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350"/>
  </bookViews>
  <sheets>
    <sheet name="ALL DP DATA" sheetId="21" r:id="rId1"/>
    <sheet name="06.30, 07.30, &amp; 12.00" sheetId="7" r:id="rId2"/>
    <sheet name="R-2, TPTW, Persentase TTD" sheetId="5" r:id="rId3"/>
    <sheet name="Pickup &amp; Retur Non Ecom" sheetId="8" r:id="rId4"/>
    <sheet name="Fr&amp;Ag" sheetId="22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0" hidden="1">'ALL DP DATA'!$C$8:$AV$1684</definedName>
    <definedName name="_xlnm._FilterDatabase" localSheetId="4" hidden="1">'Fr&amp;Ag'!$B$4:$F$1670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<sst xmlns="http://schemas.openxmlformats.org/spreadsheetml/2006/main" count="23340" uniqueCount="1757">
  <si>
    <t>Date</t>
  </si>
  <si>
    <t>report kualitas agent</t>
  </si>
  <si>
    <t>report ramadan</t>
  </si>
  <si>
    <t>定义:
 一派质量考核项
1. 快递员出勤准点率 = 当天当地时间06:30前打卡且当日有签收的快递员人数/ 当天已打卡且有签收的快递员人数
2. 0730出仓率 = 0730前出仓量/ 一班应签收量
3. 1200签收率 = 1200前签收量/ 一班应签收量
4. 一班：散货数量,按照散货班次第一班
目标：90%
质量达成
1. 交件准点率: 准点交件票数 / 应交件票数*100%
目标: 93%
2. 全天签收率 = 按规划时效网点当天签收票数/应签收票数 
目标：A92%，B90%，C90%
非平台质量
1. 非平台揽收及时率 = (实际揽收及时量 + 揽收失败及时量)/ 订单量
目标：98%
2. 非平台COD退件率 = (退件登记票数 - 退件作废票数) / 派件量</t>
  </si>
  <si>
    <t xml:space="preserve">Penjelasan: 
Penilaian Kualitas Delivery Ritase Pertama
1. Tingkat Ketepatan Waktu Kehadiran Spirnter = Jumlah sprinter yang melakukan absen sebelum 06.30 waktu setempat dan melakukan TTD/ jumlah sprinter yang melakukan absen dan melakukan TTD
2. Persentase Deliv 7.30 = Total delivery sebelum jam 7.30/ Total Seharusnya TTD Rit 1
3. Persentase TTD 12.00 = Total TTD sebelum  jam 1200/ Total seharusnya TTD Rit 1
4. Ritase Pertama: Jumlah penyebaran paket massal kargo Rit 1
Target : 90%
Pencapaian Kualitas 
1. TPTW = Total kirim tepat waktu / Total seharusnya kirim
Target: 93%
2. Persentase TTD = Jumlah TTD Hari H/Jumlah Seharusnya TTD 
Target: A92%, B90%, C90%
Kualitas Non Platform
1. % Pickup Non-ecommerce = (On Time Pick Up + On Time Gagal Pick Up) / Total Order  
Target : 98%
2. % Retur COD Non-Ecommerce =  (Jumlah regis retur - jumlah batal retur)/ jumlah delivery  </t>
  </si>
  <si>
    <t>代理区 
Agent</t>
  </si>
  <si>
    <t>代理区编码 Kode Agent</t>
  </si>
  <si>
    <t>网点
Nama Drop point</t>
  </si>
  <si>
    <t>Nama agent</t>
  </si>
  <si>
    <t>一派质量达成
Penilaian Kualitas Delivery Ritase Pertama</t>
  </si>
  <si>
    <t>二派质量达成
Penilaian Kualitas Delivery Ritase Kedua</t>
  </si>
  <si>
    <r>
      <rPr>
        <b/>
        <sz val="11"/>
        <color rgb="FFFFFFFF"/>
        <rFont val="SimSun"/>
        <charset val="134"/>
      </rPr>
      <t>全天收派质量达成</t>
    </r>
    <r>
      <rPr>
        <b/>
        <sz val="11"/>
        <color rgb="FFFFFFFF"/>
        <rFont val="Aptos"/>
        <charset val="134"/>
      </rPr>
      <t xml:space="preserve">
Pencapaian Kualitas Operasional Harian</t>
    </r>
  </si>
  <si>
    <t xml:space="preserve">快递员出勤准点率
Tingkat Ketepatan Waktu Kehadiran Spirnter </t>
  </si>
  <si>
    <t>0730出仓率
Persenase Keluar Gudang 0730</t>
  </si>
  <si>
    <r>
      <rPr>
        <b/>
        <sz val="11"/>
        <color rgb="FFFFFFFF"/>
        <rFont val="Aptos"/>
        <charset val="134"/>
      </rPr>
      <t>1200</t>
    </r>
    <r>
      <rPr>
        <b/>
        <sz val="11"/>
        <color rgb="FFFFFFFF"/>
        <rFont val="SimSun"/>
        <charset val="134"/>
      </rPr>
      <t>签收率</t>
    </r>
    <r>
      <rPr>
        <b/>
        <sz val="11"/>
        <color rgb="FFFFFFFF"/>
        <rFont val="Aptos"/>
        <charset val="134"/>
      </rPr>
      <t xml:space="preserve">
Persentase TTD 1200</t>
    </r>
  </si>
  <si>
    <r>
      <rPr>
        <b/>
        <sz val="11"/>
        <color rgb="FFFFFFFF"/>
        <rFont val="Microsoft YaHei"/>
        <charset val="134"/>
      </rPr>
      <t xml:space="preserve">二派签收率
</t>
    </r>
    <r>
      <rPr>
        <b/>
        <sz val="11"/>
        <color rgb="FFFFFFFF"/>
        <rFont val="Aptos"/>
        <charset val="134"/>
      </rPr>
      <t>Persentase TTD Delivery Kedua</t>
    </r>
  </si>
  <si>
    <t xml:space="preserve">交件准点率
TPTW  </t>
  </si>
  <si>
    <t>全天签收率
Persentase TTD</t>
  </si>
  <si>
    <t>非平台揽收及时率
% Pickup Non- Ecommerce</t>
  </si>
  <si>
    <t>非平台COD退件率
% Retur COD Non-Ecommerce</t>
  </si>
  <si>
    <t>Target</t>
  </si>
  <si>
    <t>月度达成
Pencapaian Bulanan</t>
  </si>
  <si>
    <t>目标
Target</t>
  </si>
  <si>
    <t>JAKARTA雅加达</t>
  </si>
  <si>
    <t>AGENT40</t>
  </si>
  <si>
    <t>CP_PLUIT_PERMAI</t>
  </si>
  <si>
    <t>CP_DANAUSUNTER_UTARA</t>
  </si>
  <si>
    <t>KAMAL_MUARA</t>
  </si>
  <si>
    <t>TELUK_GONG</t>
  </si>
  <si>
    <t>CP_TELUK_GONG_RAYA</t>
  </si>
  <si>
    <t>CP_PADEMANGAN_4</t>
  </si>
  <si>
    <t>CP_ANCOL_SELATAN_1</t>
  </si>
  <si>
    <t>KEPULAUAN_SERIBU</t>
  </si>
  <si>
    <t>-</t>
  </si>
  <si>
    <t>TANAH_ABANG</t>
  </si>
  <si>
    <t>SENEN</t>
  </si>
  <si>
    <t>CP_PINANGSIA_RAYA</t>
  </si>
  <si>
    <t>JOHAR_BARU_01</t>
  </si>
  <si>
    <t>CP_ZAINUL_ARIFIN</t>
  </si>
  <si>
    <t>CP_MANGGA_BESAR_2</t>
  </si>
  <si>
    <t>CP_CEGER</t>
  </si>
  <si>
    <t>KAMPUNG_TENGAH</t>
  </si>
  <si>
    <t>CP_CIJANTUNG</t>
  </si>
  <si>
    <t>DC_MAKASAR</t>
  </si>
  <si>
    <t>DC_CIRACAS</t>
  </si>
  <si>
    <t>CP_RAYA_KELAPA</t>
  </si>
  <si>
    <t>CP_PONDOK_BAMBU</t>
  </si>
  <si>
    <t>DC_JATINEGARA</t>
  </si>
  <si>
    <t>SETIABUDI</t>
  </si>
  <si>
    <t>KLENDER</t>
  </si>
  <si>
    <t>CP_JATINEGARA_BARAT</t>
  </si>
  <si>
    <t>TEBET</t>
  </si>
  <si>
    <t>CP_HAJI_NAMAN_1</t>
  </si>
  <si>
    <t>PULOGEBANG_01</t>
  </si>
  <si>
    <t>DC_PULO_GADUNG</t>
  </si>
  <si>
    <t>ROROTAN</t>
  </si>
  <si>
    <t>DC_UJUNG_MENTENG</t>
  </si>
  <si>
    <t>CP_UTAN_KAYU</t>
  </si>
  <si>
    <t>KALIBARU_01</t>
  </si>
  <si>
    <t>DC_CAKUNG</t>
  </si>
  <si>
    <t>KEDOYA_UTARA</t>
  </si>
  <si>
    <t>DC_GAMBIR</t>
  </si>
  <si>
    <t>TAMBORA</t>
  </si>
  <si>
    <t>CP_ANGGREK_2</t>
  </si>
  <si>
    <t>CP_KEBON_JERUK_RAYA</t>
  </si>
  <si>
    <t>CP_KEMBANGAN</t>
  </si>
  <si>
    <t>CP_ANGKE_INDAH</t>
  </si>
  <si>
    <t>DC_KEBAYORAN_BARU</t>
  </si>
  <si>
    <t>JATIPADANG_01</t>
  </si>
  <si>
    <t>DC_KALIBATA_UTARA</t>
  </si>
  <si>
    <t>CP_BANGKA</t>
  </si>
  <si>
    <t>CP_TANJUNG_BARAT</t>
  </si>
  <si>
    <t>CP_SRENGSENG_SAWAH</t>
  </si>
  <si>
    <t>DC_PASAR_MINGGU</t>
  </si>
  <si>
    <t>CP_CIGANJUR</t>
  </si>
  <si>
    <t>CP_TEGAL_PARANG</t>
  </si>
  <si>
    <t>DC_PALMERAH</t>
  </si>
  <si>
    <t>CP_KEBAYORAN_2</t>
  </si>
  <si>
    <t>CP_PONDOK_PINANG_2</t>
  </si>
  <si>
    <t>DC_GELORA</t>
  </si>
  <si>
    <t>DC_PESANGGRAHAN</t>
  </si>
  <si>
    <t>CP_LEBAK_BULUS</t>
  </si>
  <si>
    <t>GUNUNG_SAHARI_01</t>
  </si>
  <si>
    <t>CP_KEDOYA_RAYA_2</t>
  </si>
  <si>
    <t>GADING_GRIYA_L</t>
  </si>
  <si>
    <t>DC_KELAPA_GADING</t>
  </si>
  <si>
    <t>DC_KEMAYORAN</t>
  </si>
  <si>
    <t>CP_KOJA_1</t>
  </si>
  <si>
    <t>CP_TANJUNG_DUREN_2</t>
  </si>
  <si>
    <t>CP_KOSAMBI_BARU_1</t>
  </si>
  <si>
    <t>CP_RAWA_BUAYA_2</t>
  </si>
  <si>
    <t>CP_PERMATA_PALEM_1</t>
  </si>
  <si>
    <t>CP_KALIDERES</t>
  </si>
  <si>
    <t>CP_NEW_KAPUK</t>
  </si>
  <si>
    <t>KAPUK_RAYA</t>
  </si>
  <si>
    <t>DC_PEGADUNGAN</t>
  </si>
  <si>
    <t>TANGERANG唐格朗</t>
  </si>
  <si>
    <t>AGENT12</t>
  </si>
  <si>
    <t>SERANG_JAYA</t>
  </si>
  <si>
    <t>KASEMEN_JAYA</t>
  </si>
  <si>
    <t>KALODRAN_CIRUAS</t>
  </si>
  <si>
    <t>CIPOCOK_JAYA</t>
  </si>
  <si>
    <t>PEJATEN_MAS</t>
  </si>
  <si>
    <t>PELABUHAN_MERAK</t>
  </si>
  <si>
    <t>PERUMNAS_RAYA</t>
  </si>
  <si>
    <t>PALKA_CIOMAS</t>
  </si>
  <si>
    <t>CITANGKIL</t>
  </si>
  <si>
    <t>DP_PANGGUNGRAWI</t>
  </si>
  <si>
    <t>PONTANG_RAYA</t>
  </si>
  <si>
    <t>CIL05B</t>
  </si>
  <si>
    <t>PANTAI_ANYER</t>
  </si>
  <si>
    <t>CIWANDAN</t>
  </si>
  <si>
    <t>TAKTAKAN_JAYA</t>
  </si>
  <si>
    <t>UNYUR_JAYA</t>
  </si>
  <si>
    <t>SURADITA_CISAUK</t>
  </si>
  <si>
    <t>BAKTI_JAYA</t>
  </si>
  <si>
    <t>RODA_HIAS</t>
  </si>
  <si>
    <t>TERAS_KOTA</t>
  </si>
  <si>
    <t>PONDOK_PUCUNG</t>
  </si>
  <si>
    <t>PONDOKJAYA</t>
  </si>
  <si>
    <t>PAKOJAN</t>
  </si>
  <si>
    <t>SENTRA_JATIUWUNG</t>
  </si>
  <si>
    <t>TGR54B</t>
  </si>
  <si>
    <t>CIMONE_RAYA</t>
  </si>
  <si>
    <t>CIBODAS_RAYA</t>
  </si>
  <si>
    <t>BUARAN_INDAH</t>
  </si>
  <si>
    <t>MODERN_PARK</t>
  </si>
  <si>
    <t>KAVLING_KENANGA</t>
  </si>
  <si>
    <t>TANGCITY_MALL</t>
  </si>
  <si>
    <t>ARCADIA_BATUCEPER</t>
  </si>
  <si>
    <t>BAL01C</t>
  </si>
  <si>
    <t>HUSEIN_SASTRANEGARA</t>
  </si>
  <si>
    <t>SALEMBARAN</t>
  </si>
  <si>
    <t>PINANG_CIPONDOH</t>
  </si>
  <si>
    <t>RKS08B</t>
  </si>
  <si>
    <t>DC_LABUAN</t>
  </si>
  <si>
    <t>BAYAH</t>
  </si>
  <si>
    <t>PANIMBANG</t>
  </si>
  <si>
    <t>CIBALIUNG</t>
  </si>
  <si>
    <t>CIKEUSIK</t>
  </si>
  <si>
    <t>CILANGKAHAN</t>
  </si>
  <si>
    <t>SUDIRMAN_LABUAN</t>
  </si>
  <si>
    <t>GAJRUG</t>
  </si>
  <si>
    <t>LEUWIDAMAR</t>
  </si>
  <si>
    <t>SUKANAGARA_JAYA</t>
  </si>
  <si>
    <t>MAJASARI_PANDEGLANG</t>
  </si>
  <si>
    <t>BANJAR_KENCANA</t>
  </si>
  <si>
    <t>CIKULUR</t>
  </si>
  <si>
    <t>CITRA_MAJA</t>
  </si>
  <si>
    <t>CILELES_KENCANA</t>
  </si>
  <si>
    <t>WARUNG_BANTEN</t>
  </si>
  <si>
    <t>MUNJUL_FLAMBOYANT</t>
  </si>
  <si>
    <t>CIGADUNG_INOVASI</t>
  </si>
  <si>
    <t>MANDALA_RANGKAS</t>
  </si>
  <si>
    <t>CIMANUK</t>
  </si>
  <si>
    <t>WANASALAM</t>
  </si>
  <si>
    <t>MENES</t>
  </si>
  <si>
    <t>INFINITY_BIZPARK</t>
  </si>
  <si>
    <t>WANAKERTA_SINJAY</t>
  </si>
  <si>
    <t>PANGKALAN_TELUKNAGA</t>
  </si>
  <si>
    <t>DC_SEPATAN</t>
  </si>
  <si>
    <t>RAJEG</t>
  </si>
  <si>
    <t>MAUK_2</t>
  </si>
  <si>
    <t>PAKUHAJI</t>
  </si>
  <si>
    <t>BAL15E</t>
  </si>
  <si>
    <t>BAL15D</t>
  </si>
  <si>
    <t>SEPATAN</t>
  </si>
  <si>
    <t>TGR05D</t>
  </si>
  <si>
    <t>PIK_2_RIVERSIDE</t>
  </si>
  <si>
    <t>PERIUK</t>
  </si>
  <si>
    <t>TERITI_KUTABUMI</t>
  </si>
  <si>
    <t>CANGKUDU</t>
  </si>
  <si>
    <t>CISOKA</t>
  </si>
  <si>
    <t>CIKUPA_RAYA</t>
  </si>
  <si>
    <t>KATOMAS_RAYA</t>
  </si>
  <si>
    <t>KIBIN_RAYA</t>
  </si>
  <si>
    <t>CIKANDE_RAYA</t>
  </si>
  <si>
    <t>HARENDONG</t>
  </si>
  <si>
    <t>JAMBE_RAYA</t>
  </si>
  <si>
    <t>DP_PETIR</t>
  </si>
  <si>
    <t>KRAGILAN</t>
  </si>
  <si>
    <t>DUKUH_RAYA</t>
  </si>
  <si>
    <t>TALAGA_PASGAD</t>
  </si>
  <si>
    <t>PANONGAN_RAYA</t>
  </si>
  <si>
    <t>TUNJUNG_TEJA</t>
  </si>
  <si>
    <t>JAYANTI</t>
  </si>
  <si>
    <t>MATAGARA</t>
  </si>
  <si>
    <t>TANAH_TINGAL</t>
  </si>
  <si>
    <t>ALAM_SEGAR</t>
  </si>
  <si>
    <t>CIPUTAT_TIMUR</t>
  </si>
  <si>
    <t>GAPLEK</t>
  </si>
  <si>
    <t>DIAN_MANSION</t>
  </si>
  <si>
    <t>LARANGAN_2</t>
  </si>
  <si>
    <t>RADEN_SALEH</t>
  </si>
  <si>
    <t>SERUA_INDAH_CIPUTAT</t>
  </si>
  <si>
    <t>PONDOK_BETUNG</t>
  </si>
  <si>
    <t>CURUG_RAYA</t>
  </si>
  <si>
    <t>GRAHA_SUTERA</t>
  </si>
  <si>
    <t>GADING_KELAPA_DUA</t>
  </si>
  <si>
    <t>EDISON</t>
  </si>
  <si>
    <t>EAST_FORESTA</t>
  </si>
  <si>
    <t>PRIMA_JAYA</t>
  </si>
  <si>
    <t>KADU_JAYA</t>
  </si>
  <si>
    <t>TUGU_LEGOK</t>
  </si>
  <si>
    <t>GADING_CARTENZ</t>
  </si>
  <si>
    <t>SP_ALAM_SUTERA</t>
  </si>
  <si>
    <t>BEKASI勿加西</t>
  </si>
  <si>
    <t>AGENT13</t>
  </si>
  <si>
    <t>BEKASI</t>
  </si>
  <si>
    <t>DC_BEKASI_UTARA_01</t>
  </si>
  <si>
    <t>KALIABANG_TENGAH_02</t>
  </si>
  <si>
    <t>HARAPAN_BARU</t>
  </si>
  <si>
    <t>JATI_SAMPURNA</t>
  </si>
  <si>
    <t>PONDOK_GEDE_01</t>
  </si>
  <si>
    <t>JATIBENING_01</t>
  </si>
  <si>
    <t>JATIBENING_02</t>
  </si>
  <si>
    <t>BEKASI_BARAT_01</t>
  </si>
  <si>
    <t>BINTARA_JAYA_01</t>
  </si>
  <si>
    <t>BANTAR_GEBANG</t>
  </si>
  <si>
    <t>MANGUNJAYA_01</t>
  </si>
  <si>
    <t>TAMBUN_SELATAN_01</t>
  </si>
  <si>
    <t>DC_CIBITUNG_01</t>
  </si>
  <si>
    <t>CIBUNTU_01</t>
  </si>
  <si>
    <t>DP_MUKTIWARI_01</t>
  </si>
  <si>
    <t>HARAPAN_INDAH</t>
  </si>
  <si>
    <t>TAMBUN_UTARA</t>
  </si>
  <si>
    <t>DP_BABELAN_KOTA_01</t>
  </si>
  <si>
    <t>BABELAN</t>
  </si>
  <si>
    <t>DC_TAMBUN</t>
  </si>
  <si>
    <t>DC_JATIASIH</t>
  </si>
  <si>
    <t>DC_MUSTIKA_JAYA</t>
  </si>
  <si>
    <t>DC_PONDOK_MELATI</t>
  </si>
  <si>
    <t>DC_BEKASI_TIMUR</t>
  </si>
  <si>
    <t>DC_MEDAN_SATRIA</t>
  </si>
  <si>
    <t>DC_BEKASI_SELATAN</t>
  </si>
  <si>
    <t>TAMBUN_UTARA_02</t>
  </si>
  <si>
    <t>TARUMAJAYA_02</t>
  </si>
  <si>
    <t>BABELAN_02</t>
  </si>
  <si>
    <t>SETU_02</t>
  </si>
  <si>
    <t>RAWALUMBU_02</t>
  </si>
  <si>
    <t>CIKARANG</t>
  </si>
  <si>
    <t>DELTA_MAS</t>
  </si>
  <si>
    <t>SUKATANI</t>
  </si>
  <si>
    <t>KEDUNG_WARINGIN</t>
  </si>
  <si>
    <t>SERANG_BARU_01</t>
  </si>
  <si>
    <t>CIBARUSAH_JAYA</t>
  </si>
  <si>
    <t>PASIR_GOMBONG</t>
  </si>
  <si>
    <t>TELAGA_MURNI</t>
  </si>
  <si>
    <t>KARANG_BAHAGIA</t>
  </si>
  <si>
    <t>DC_CIKARANG_SELATAN</t>
  </si>
  <si>
    <t>DC_CIKARANG_BARAT</t>
  </si>
  <si>
    <t>DC_CIKARANG_UTARA</t>
  </si>
  <si>
    <t>DC_CIBARUSAH</t>
  </si>
  <si>
    <t>DC_CIKARANG_PUSAT</t>
  </si>
  <si>
    <t>JATI_WANGI</t>
  </si>
  <si>
    <t>CABANG_BUNGIN</t>
  </si>
  <si>
    <t>BOGOR茂物</t>
  </si>
  <si>
    <t>AGENT14</t>
  </si>
  <si>
    <t>CIB11A</t>
  </si>
  <si>
    <t>CIBATOK</t>
  </si>
  <si>
    <t>DC_CIGUDEG</t>
  </si>
  <si>
    <t>DC_DRAMAGA</t>
  </si>
  <si>
    <t>DC_JASINGA</t>
  </si>
  <si>
    <t>CIAMPEA</t>
  </si>
  <si>
    <t>DC_NANGGUNG</t>
  </si>
  <si>
    <t>DRAMAGA_2</t>
  </si>
  <si>
    <t>CIBATOK_RAYA</t>
  </si>
  <si>
    <t>LEUWILIANG1</t>
  </si>
  <si>
    <t>CP_PAMIJAHAN</t>
  </si>
  <si>
    <t>DRAMAGA_CANTIK</t>
  </si>
  <si>
    <t>LEUWISADENG</t>
  </si>
  <si>
    <t>TENJOLAYA</t>
  </si>
  <si>
    <t>BGR06D</t>
  </si>
  <si>
    <t>DC_BOGOR_KOTA</t>
  </si>
  <si>
    <t>BOGOR_UTARA</t>
  </si>
  <si>
    <t>BOGOR</t>
  </si>
  <si>
    <t>CILEBUT_RAYA</t>
  </si>
  <si>
    <t>AIR_MANCUR</t>
  </si>
  <si>
    <t>GUNUNG_BATU</t>
  </si>
  <si>
    <t>SAWOJAJAR</t>
  </si>
  <si>
    <t>SEMPLAK_RAYA</t>
  </si>
  <si>
    <t>TAMAN_CIMANGGU</t>
  </si>
  <si>
    <t>CP_BCC</t>
  </si>
  <si>
    <t>MARGAJAYA</t>
  </si>
  <si>
    <t>SINDANG_BARANG</t>
  </si>
  <si>
    <t>YASMIN</t>
  </si>
  <si>
    <t>CIOMAS</t>
  </si>
  <si>
    <t>DC_CIOMAS</t>
  </si>
  <si>
    <t>TAJUR_4</t>
  </si>
  <si>
    <t>MUARASARI</t>
  </si>
  <si>
    <t>CILEUNGSI_2</t>
  </si>
  <si>
    <t>DC_CILEUNGSI</t>
  </si>
  <si>
    <t>DC_JONGGOL</t>
  </si>
  <si>
    <t>GUNUNG_PUTRI_4</t>
  </si>
  <si>
    <t>PASAR_GANDOANG</t>
  </si>
  <si>
    <t>CARIU_2</t>
  </si>
  <si>
    <t>GUNUNG_PUTRI</t>
  </si>
  <si>
    <t>BOJONG_KULUR</t>
  </si>
  <si>
    <t>CILEUNGSI</t>
  </si>
  <si>
    <t>JONGGOL</t>
  </si>
  <si>
    <t>GUNUNG_PUTRI_RAYA</t>
  </si>
  <si>
    <t>METLAND_TRANSYOGI</t>
  </si>
  <si>
    <t>CITEUREUP</t>
  </si>
  <si>
    <t>PAKANSARI_2</t>
  </si>
  <si>
    <t>DC_GUNUNG_SINDUR</t>
  </si>
  <si>
    <t>DC_KEMANG</t>
  </si>
  <si>
    <t>DC_PARUNG</t>
  </si>
  <si>
    <t>KEMANG_2</t>
  </si>
  <si>
    <t>PARUNG_PANJANG</t>
  </si>
  <si>
    <t>SASAK_PANJANG</t>
  </si>
  <si>
    <t>PARUNG</t>
  </si>
  <si>
    <t>CISEENG</t>
  </si>
  <si>
    <t>CP_PEMBANGUNAN</t>
  </si>
  <si>
    <t>JAMPANG</t>
  </si>
  <si>
    <t>KEMANG_TONJONG</t>
  </si>
  <si>
    <t>SALABENDA</t>
  </si>
  <si>
    <t>RUMPIN_1</t>
  </si>
  <si>
    <t>KEDUNG_HALANG</t>
  </si>
  <si>
    <t>SUKARAJA_1</t>
  </si>
  <si>
    <t>DC_PAKANSARI</t>
  </si>
  <si>
    <t>GAPERI_BOJONG</t>
  </si>
  <si>
    <t>KARADENAN_RAYA</t>
  </si>
  <si>
    <t>CITAYAM_PABUARAN</t>
  </si>
  <si>
    <t>CIB01F</t>
  </si>
  <si>
    <t>RAGAJAYA</t>
  </si>
  <si>
    <t>PABUARAN_ASRI</t>
  </si>
  <si>
    <t>WON_CIMANDALA</t>
  </si>
  <si>
    <t>PAKANSARI_3</t>
  </si>
  <si>
    <t>BABAKAN_MANDANG</t>
  </si>
  <si>
    <t>CP_MAYOR_OKING</t>
  </si>
  <si>
    <t>PAKANSARI_4</t>
  </si>
  <si>
    <t>DC_CISARUA</t>
  </si>
  <si>
    <t>DC_TAJUR</t>
  </si>
  <si>
    <t>DC_CIAWI</t>
  </si>
  <si>
    <t>DC_MEGAMENDUNG</t>
  </si>
  <si>
    <t>CIGOMBONG</t>
  </si>
  <si>
    <t>CP_CARINGIN_1</t>
  </si>
  <si>
    <t>MAYOR_KH</t>
  </si>
  <si>
    <t>PUNCAK_CISARUA</t>
  </si>
  <si>
    <t>CIBEDUG</t>
  </si>
  <si>
    <t>CIJERUK</t>
  </si>
  <si>
    <t>BOGOR_SELATAN</t>
  </si>
  <si>
    <t>CIAPUS_RAYA</t>
  </si>
  <si>
    <t>PAHLAWAN_SUKSES</t>
  </si>
  <si>
    <t>PAMOYANAN_BOGOR</t>
  </si>
  <si>
    <t>CP_BNR</t>
  </si>
  <si>
    <t>DEPOK德波</t>
  </si>
  <si>
    <t>AGENT15</t>
  </si>
  <si>
    <t>MAMPANG_DEPOK</t>
  </si>
  <si>
    <t>RANGKAPAN_JAYA</t>
  </si>
  <si>
    <t>CISALAK_PASAR</t>
  </si>
  <si>
    <t>TUGU_DEPOK</t>
  </si>
  <si>
    <t>SAWANGAN_LAMA</t>
  </si>
  <si>
    <t>ABADIJAYA</t>
  </si>
  <si>
    <t>MEKARJAYA</t>
  </si>
  <si>
    <t>GROGOL_DEPOK</t>
  </si>
  <si>
    <t>TANAH_BARU</t>
  </si>
  <si>
    <t>MARGONDA_RAYA_BARU</t>
  </si>
  <si>
    <t>SUKAMAJU_BARU</t>
  </si>
  <si>
    <t>CINERE_BARU</t>
  </si>
  <si>
    <t>PANGKALAN_JATI_BARU</t>
  </si>
  <si>
    <t>JATIMULYA</t>
  </si>
  <si>
    <t>CILODONG_BARU</t>
  </si>
  <si>
    <t>BOJONGSARI_LAMA</t>
  </si>
  <si>
    <t>SERUA_DEPOK</t>
  </si>
  <si>
    <t>PONDOK_JAYA_DEPOK</t>
  </si>
  <si>
    <t>CP_ARIF_RAHMAN_HAKIM</t>
  </si>
  <si>
    <t>CP_CINERE</t>
  </si>
  <si>
    <t>CP_CIPAYUNG_JAYA</t>
  </si>
  <si>
    <t>CP_PENGASINAN</t>
  </si>
  <si>
    <t>DEPOK_SALES</t>
  </si>
  <si>
    <t>BANDUNG万隆</t>
  </si>
  <si>
    <t>AGENT16</t>
  </si>
  <si>
    <t>KADIPATEN_2</t>
  </si>
  <si>
    <t>MJA13C</t>
  </si>
  <si>
    <t>MJA20B</t>
  </si>
  <si>
    <t>JATIWANGI_2</t>
  </si>
  <si>
    <t>RAJAGALUH_2</t>
  </si>
  <si>
    <t>MJA22A</t>
  </si>
  <si>
    <t>MJA19A</t>
  </si>
  <si>
    <t>MJA07B</t>
  </si>
  <si>
    <t>TELAGA_2</t>
  </si>
  <si>
    <t>MAJALENGKA_2</t>
  </si>
  <si>
    <t>MJA02B</t>
  </si>
  <si>
    <t>JATITUJUH_2</t>
  </si>
  <si>
    <t>MJA14A</t>
  </si>
  <si>
    <t>SARIJADI</t>
  </si>
  <si>
    <t>DC_CIMAHI_TENGAH</t>
  </si>
  <si>
    <t>DC_DUNGUS_CARIANG</t>
  </si>
  <si>
    <t>DC_SARIWANGI</t>
  </si>
  <si>
    <t>DC_CIMAHI_UTARA</t>
  </si>
  <si>
    <t>DC_CIDADAP</t>
  </si>
  <si>
    <t>DC_CIMAHI_SELATAN</t>
  </si>
  <si>
    <t>IDM11C</t>
  </si>
  <si>
    <t>IDM20D</t>
  </si>
  <si>
    <t>IDM07E</t>
  </si>
  <si>
    <t>IDM18</t>
  </si>
  <si>
    <t>IDM30B</t>
  </si>
  <si>
    <t>IDM13C</t>
  </si>
  <si>
    <t>IDM28B</t>
  </si>
  <si>
    <t>IDM06D</t>
  </si>
  <si>
    <t>IDM19C</t>
  </si>
  <si>
    <t>IDM15E</t>
  </si>
  <si>
    <t>IDM10C</t>
  </si>
  <si>
    <t>IDM04E</t>
  </si>
  <si>
    <t>BDO_SALES</t>
  </si>
  <si>
    <t>GRT40A</t>
  </si>
  <si>
    <t>GRT17B</t>
  </si>
  <si>
    <t>GRT27B</t>
  </si>
  <si>
    <t>GRT06C</t>
  </si>
  <si>
    <t>GRT10B</t>
  </si>
  <si>
    <t>GRT24B</t>
  </si>
  <si>
    <t>GRT11A</t>
  </si>
  <si>
    <t>GRT07C</t>
  </si>
  <si>
    <t>GRT19A</t>
  </si>
  <si>
    <t>GRT42</t>
  </si>
  <si>
    <t>GRT05C</t>
  </si>
  <si>
    <t>GRT36A</t>
  </si>
  <si>
    <t>GRT22C</t>
  </si>
  <si>
    <t>GRT26C</t>
  </si>
  <si>
    <t>GRT41A</t>
  </si>
  <si>
    <t>GRT16B</t>
  </si>
  <si>
    <t>GRT31B</t>
  </si>
  <si>
    <t>GRT03D</t>
  </si>
  <si>
    <t>GRT02A</t>
  </si>
  <si>
    <t>GRT37C</t>
  </si>
  <si>
    <t>GRT41C</t>
  </si>
  <si>
    <t>GRT25B</t>
  </si>
  <si>
    <t>GRT32A</t>
  </si>
  <si>
    <t>GRT33C</t>
  </si>
  <si>
    <t>SOG26A</t>
  </si>
  <si>
    <t>BABAKAN_CIPARAY_2</t>
  </si>
  <si>
    <t>KUTAWARINGIN_2</t>
  </si>
  <si>
    <t>DC_HOLIS</t>
  </si>
  <si>
    <t>WARGALUYU</t>
  </si>
  <si>
    <t>PENGALENGAN_CIPINANG</t>
  </si>
  <si>
    <t>CILUNCAT</t>
  </si>
  <si>
    <t>DC_BOJONGLOA_KALER</t>
  </si>
  <si>
    <t>DC_MARGAHAYU_SELATAN</t>
  </si>
  <si>
    <t>DC_BANDUNG_SELATAN</t>
  </si>
  <si>
    <t>WARNASARI</t>
  </si>
  <si>
    <t>DC_KATAPANG</t>
  </si>
  <si>
    <t>DC_CIBADUYUT_RAYA</t>
  </si>
  <si>
    <t>SOG25C</t>
  </si>
  <si>
    <t>CIWIDEY</t>
  </si>
  <si>
    <t>DC_MARGAASIH</t>
  </si>
  <si>
    <t>SOG31E</t>
  </si>
  <si>
    <t>CANGKUANG_3</t>
  </si>
  <si>
    <t>DC_KARAWANG_BARAT</t>
  </si>
  <si>
    <t>PANGKAL_PERJUANGAN</t>
  </si>
  <si>
    <t>TEMPURAN</t>
  </si>
  <si>
    <t>PULOJAYA</t>
  </si>
  <si>
    <t>KARAWANG_WETAN</t>
  </si>
  <si>
    <t>CIBUAYA</t>
  </si>
  <si>
    <t>LOJI_2</t>
  </si>
  <si>
    <t>DC_KOSAMBI</t>
  </si>
  <si>
    <t>CIAMPEL</t>
  </si>
  <si>
    <t>NAGASARI_3</t>
  </si>
  <si>
    <t>TELUK_JAMBE_BARAT</t>
  </si>
  <si>
    <t>DC_MAJA</t>
  </si>
  <si>
    <t>KRW20F</t>
  </si>
  <si>
    <t>DC_GALUH_MAS</t>
  </si>
  <si>
    <t>SUKAHARJA_KRW</t>
  </si>
  <si>
    <t>BATUJAYA</t>
  </si>
  <si>
    <t>KRW17A</t>
  </si>
  <si>
    <t>TELAGASARI</t>
  </si>
  <si>
    <t>DAUWAN_T</t>
  </si>
  <si>
    <t>CKM_CITY</t>
  </si>
  <si>
    <t>DC_BATULAYANG</t>
  </si>
  <si>
    <t>CIKAMUNING</t>
  </si>
  <si>
    <t>NGP05B</t>
  </si>
  <si>
    <t>NGP09A</t>
  </si>
  <si>
    <t>CIPONGKOR</t>
  </si>
  <si>
    <t>SIRNAJAYA</t>
  </si>
  <si>
    <t>DC_LEMBANG</t>
  </si>
  <si>
    <t>DC_PADALARANG</t>
  </si>
  <si>
    <t>CISARUA</t>
  </si>
  <si>
    <t>NGP02E</t>
  </si>
  <si>
    <t>NGP07A</t>
  </si>
  <si>
    <t>CIPATAT</t>
  </si>
  <si>
    <t>CITAPEN</t>
  </si>
  <si>
    <t>NGP16B</t>
  </si>
  <si>
    <t>DC_NGAMPRAH</t>
  </si>
  <si>
    <t>BANJAR_PATROMAN</t>
  </si>
  <si>
    <t>PGR01C</t>
  </si>
  <si>
    <t>LANGENSARI_3</t>
  </si>
  <si>
    <t>PGR04B</t>
  </si>
  <si>
    <t>CIAMIS</t>
  </si>
  <si>
    <t>CMI01B</t>
  </si>
  <si>
    <t>PARUNGLESANG_3</t>
  </si>
  <si>
    <t>PANUMBANGAN</t>
  </si>
  <si>
    <t>SINDANGKASIH</t>
  </si>
  <si>
    <t>WINDURAJA</t>
  </si>
  <si>
    <t>CMI13C</t>
  </si>
  <si>
    <t>BJA04A</t>
  </si>
  <si>
    <t>RANCAH</t>
  </si>
  <si>
    <t>PGR05B</t>
  </si>
  <si>
    <t>PGR10B</t>
  </si>
  <si>
    <t>CMI02A</t>
  </si>
  <si>
    <t>PGR08B</t>
  </si>
  <si>
    <t>SUM12C</t>
  </si>
  <si>
    <t>SUM17B</t>
  </si>
  <si>
    <t>SUM26B</t>
  </si>
  <si>
    <t>SUM04D</t>
  </si>
  <si>
    <t>SUM06D</t>
  </si>
  <si>
    <t>SUM08D</t>
  </si>
  <si>
    <t>SUM11D</t>
  </si>
  <si>
    <t>SUM10E</t>
  </si>
  <si>
    <t>SUM01B</t>
  </si>
  <si>
    <t>SUM02B</t>
  </si>
  <si>
    <t>SUM22</t>
  </si>
  <si>
    <t>SUM05C</t>
  </si>
  <si>
    <t>SUKARAJA</t>
  </si>
  <si>
    <t>DC_CITAMIANG</t>
  </si>
  <si>
    <t>DC_PONDOKASO_LANDEUH</t>
  </si>
  <si>
    <t>SMI17B</t>
  </si>
  <si>
    <t>CICANTAYAN</t>
  </si>
  <si>
    <t>SMI02A</t>
  </si>
  <si>
    <t>CIBADAK</t>
  </si>
  <si>
    <t>PER06C</t>
  </si>
  <si>
    <t>SMI29B</t>
  </si>
  <si>
    <t>DC_BOJONG_KEMBAR</t>
  </si>
  <si>
    <t>SMI09B</t>
  </si>
  <si>
    <t>DC_CIKOLE</t>
  </si>
  <si>
    <t>KALAPA_NUNGGAL</t>
  </si>
  <si>
    <t>SMI21A</t>
  </si>
  <si>
    <t>PER11</t>
  </si>
  <si>
    <t>PER10A</t>
  </si>
  <si>
    <t>SMI19A</t>
  </si>
  <si>
    <t>PER05B</t>
  </si>
  <si>
    <t>SMI16B</t>
  </si>
  <si>
    <t>PER17A</t>
  </si>
  <si>
    <t>PER08A</t>
  </si>
  <si>
    <t>PER04D</t>
  </si>
  <si>
    <t>PER15</t>
  </si>
  <si>
    <t>SMI27B</t>
  </si>
  <si>
    <t>SMI22B</t>
  </si>
  <si>
    <t>DC_CISAAT</t>
  </si>
  <si>
    <t>SMI35A</t>
  </si>
  <si>
    <t>SMI20A</t>
  </si>
  <si>
    <t>TANGGULUN_BARAT_2</t>
  </si>
  <si>
    <t>SBG16A</t>
  </si>
  <si>
    <t>GEMBOR_4</t>
  </si>
  <si>
    <t>SUKAMANDIJAYA_2</t>
  </si>
  <si>
    <t>PUSAKARATU_4</t>
  </si>
  <si>
    <t>KALIANGSANA_2</t>
  </si>
  <si>
    <t>SBG01B</t>
  </si>
  <si>
    <t>LENGKONGJAYA_2</t>
  </si>
  <si>
    <t>SBG21B</t>
  </si>
  <si>
    <t>SBG29A</t>
  </si>
  <si>
    <t>SBG08C</t>
  </si>
  <si>
    <t>CIBOGO_SBG</t>
  </si>
  <si>
    <t>SOKLAT_4</t>
  </si>
  <si>
    <t>PATOKBEUSI_2</t>
  </si>
  <si>
    <t>CISALAK_4</t>
  </si>
  <si>
    <t>SUKARESMI_3</t>
  </si>
  <si>
    <t>SBG27A</t>
  </si>
  <si>
    <t>CIEUNDEUR</t>
  </si>
  <si>
    <t>CJR22A</t>
  </si>
  <si>
    <t>CJR16B</t>
  </si>
  <si>
    <t>CIRANJANG</t>
  </si>
  <si>
    <t>CJR26B</t>
  </si>
  <si>
    <t>CJR09B</t>
  </si>
  <si>
    <t>CJR13B</t>
  </si>
  <si>
    <t>CILAKU</t>
  </si>
  <si>
    <t>CJR06A</t>
  </si>
  <si>
    <t>CJR04A</t>
  </si>
  <si>
    <t>DC_SOLOKPANDAN</t>
  </si>
  <si>
    <t>CJR17A</t>
  </si>
  <si>
    <t>CJR14B</t>
  </si>
  <si>
    <t>SADAMAYA</t>
  </si>
  <si>
    <t>MUKA</t>
  </si>
  <si>
    <t>CIPANAS</t>
  </si>
  <si>
    <t>PACET_CJR_2</t>
  </si>
  <si>
    <t>CJR18C</t>
  </si>
  <si>
    <t>CJR07B</t>
  </si>
  <si>
    <t>PWK05B</t>
  </si>
  <si>
    <t>JATISARI_BARU</t>
  </si>
  <si>
    <t>PWK01B</t>
  </si>
  <si>
    <t>PASAR_PERMAI</t>
  </si>
  <si>
    <t>CILAMAYA</t>
  </si>
  <si>
    <t>PWK08A</t>
  </si>
  <si>
    <t>PWK03B</t>
  </si>
  <si>
    <t>PWK12A</t>
  </si>
  <si>
    <t>PWK04B</t>
  </si>
  <si>
    <t>PWK15K</t>
  </si>
  <si>
    <t>PWK10C</t>
  </si>
  <si>
    <t>PWK06B</t>
  </si>
  <si>
    <t>PWK15L</t>
  </si>
  <si>
    <t>PWK02D</t>
  </si>
  <si>
    <t>DC_KOTABARU</t>
  </si>
  <si>
    <t>KRW28B</t>
  </si>
  <si>
    <t>PWK07D</t>
  </si>
  <si>
    <t>PWK15M</t>
  </si>
  <si>
    <t>MANONJAYA</t>
  </si>
  <si>
    <t>SIN03A</t>
  </si>
  <si>
    <t>SIN07A</t>
  </si>
  <si>
    <t>TARAJU_2</t>
  </si>
  <si>
    <t>TSK03E</t>
  </si>
  <si>
    <t>KAWALU</t>
  </si>
  <si>
    <t>DC_KAMASAN</t>
  </si>
  <si>
    <t>TAMANSARI</t>
  </si>
  <si>
    <t>CIKATOMAS</t>
  </si>
  <si>
    <t>SINGAPARNA</t>
  </si>
  <si>
    <t>SALAWU_2</t>
  </si>
  <si>
    <t>TASIKMALAYA</t>
  </si>
  <si>
    <t>INDIHIANG_2</t>
  </si>
  <si>
    <t>SINDANGRERET</t>
  </si>
  <si>
    <t>CIPEDES_4</t>
  </si>
  <si>
    <t>SIN31</t>
  </si>
  <si>
    <t>SIN29B</t>
  </si>
  <si>
    <t>SIN20</t>
  </si>
  <si>
    <t>CIBEUREUM_2</t>
  </si>
  <si>
    <t>SUKAMANTRI_CIAWI</t>
  </si>
  <si>
    <t>DC_ARGASARI</t>
  </si>
  <si>
    <t>SIN26A</t>
  </si>
  <si>
    <t>CIGANITRI</t>
  </si>
  <si>
    <t>RANCAMANYAR_3</t>
  </si>
  <si>
    <t>DC_SAMOJA</t>
  </si>
  <si>
    <t>BEC</t>
  </si>
  <si>
    <t>DC_ANTAPANI_WETAN</t>
  </si>
  <si>
    <t>SOG07A</t>
  </si>
  <si>
    <t>DC_BALEENDAH</t>
  </si>
  <si>
    <t>DC_MAJALAYA</t>
  </si>
  <si>
    <t>SOG05A</t>
  </si>
  <si>
    <t>PACET</t>
  </si>
  <si>
    <t>DC_BURANGRANG</t>
  </si>
  <si>
    <t>DC_CIJAGRA</t>
  </si>
  <si>
    <t>DC_BINONG</t>
  </si>
  <si>
    <t>PARAKAN_SAAT</t>
  </si>
  <si>
    <t>SERANGMEKAR_2</t>
  </si>
  <si>
    <t>CIRENDANG</t>
  </si>
  <si>
    <t>KOJENGKANG</t>
  </si>
  <si>
    <t>KADUGEDE</t>
  </si>
  <si>
    <t>KNG18</t>
  </si>
  <si>
    <t>KNG03A</t>
  </si>
  <si>
    <t>INDANGKERTA</t>
  </si>
  <si>
    <t>KNG26</t>
  </si>
  <si>
    <t>DC_PANAWUAN</t>
  </si>
  <si>
    <t>SOG12E</t>
  </si>
  <si>
    <t>DC_RANCASARI</t>
  </si>
  <si>
    <t>DC_CIBIRU</t>
  </si>
  <si>
    <t>SOG02C</t>
  </si>
  <si>
    <t>SOG13C</t>
  </si>
  <si>
    <t>DC_MARGACINTA</t>
  </si>
  <si>
    <t>DC_PANYAWANGAN</t>
  </si>
  <si>
    <t>SOG11E</t>
  </si>
  <si>
    <t>DC_PEUNDEUY</t>
  </si>
  <si>
    <t>DC_CINAMBO</t>
  </si>
  <si>
    <t>SMB11B</t>
  </si>
  <si>
    <t>SMB08B</t>
  </si>
  <si>
    <t>SMB02B</t>
  </si>
  <si>
    <t>CRN03E</t>
  </si>
  <si>
    <t>SMB13C</t>
  </si>
  <si>
    <t>SMB10C</t>
  </si>
  <si>
    <t>SMB05D</t>
  </si>
  <si>
    <t>SMB14C</t>
  </si>
  <si>
    <t>SMB29B</t>
  </si>
  <si>
    <t>SMB37C</t>
  </si>
  <si>
    <t>CRN02C</t>
  </si>
  <si>
    <t>SMB40A</t>
  </si>
  <si>
    <t>DC_CIREBON_BARAT</t>
  </si>
  <si>
    <t>SMB03C</t>
  </si>
  <si>
    <t>SMB28C</t>
  </si>
  <si>
    <t>SEMARANG三宝垄</t>
  </si>
  <si>
    <t>AGENT17</t>
  </si>
  <si>
    <t>BANJARNEGARA</t>
  </si>
  <si>
    <t>KLAMPOK</t>
  </si>
  <si>
    <t>KARANG_KOBAR</t>
  </si>
  <si>
    <t>BAWANG</t>
  </si>
  <si>
    <t>WANADADI</t>
  </si>
  <si>
    <t>SIGALUH</t>
  </si>
  <si>
    <t>PUNGGELAN01</t>
  </si>
  <si>
    <t>MANDIRAJA01</t>
  </si>
  <si>
    <t>PEJAWARAN</t>
  </si>
  <si>
    <t>KAJEN</t>
  </si>
  <si>
    <t>BOJONG</t>
  </si>
  <si>
    <t>KARANGSARI_KAJEN</t>
  </si>
  <si>
    <t>DORO</t>
  </si>
  <si>
    <t>PANINGGARAN</t>
  </si>
  <si>
    <t>TIRTO01</t>
  </si>
  <si>
    <t>KESESI01</t>
  </si>
  <si>
    <t>WONOPRINGGO01</t>
  </si>
  <si>
    <t>KEDUNGWUNI01</t>
  </si>
  <si>
    <t>KARANGDADAP01</t>
  </si>
  <si>
    <t>TEMANGGUNG</t>
  </si>
  <si>
    <t>NGADIREJO</t>
  </si>
  <si>
    <t>CANDIROTO</t>
  </si>
  <si>
    <t>PARAKAN</t>
  </si>
  <si>
    <t>KRANGGAN</t>
  </si>
  <si>
    <t>KEDU</t>
  </si>
  <si>
    <t>WADAS</t>
  </si>
  <si>
    <t>PRINGSURAT_TIMUR</t>
  </si>
  <si>
    <t>BLORA</t>
  </si>
  <si>
    <t>NGAWEN</t>
  </si>
  <si>
    <t>JEPON</t>
  </si>
  <si>
    <t>KUNDURAN</t>
  </si>
  <si>
    <t>CEPU</t>
  </si>
  <si>
    <t>RANDUBLATUNG</t>
  </si>
  <si>
    <t>KEDUNGTUBAN</t>
  </si>
  <si>
    <t>TUNJUNGAN</t>
  </si>
  <si>
    <t>JATI_BLORA</t>
  </si>
  <si>
    <t>SAMBONG</t>
  </si>
  <si>
    <t>SUMOWONO</t>
  </si>
  <si>
    <t>AMBARAWA</t>
  </si>
  <si>
    <t>UNGARAN</t>
  </si>
  <si>
    <t>BAWEN</t>
  </si>
  <si>
    <t>BERGAS</t>
  </si>
  <si>
    <t>BANYUBIRU</t>
  </si>
  <si>
    <t>CANDIREJO</t>
  </si>
  <si>
    <t>PRINGAPUS</t>
  </si>
  <si>
    <t>SALATIGA</t>
  </si>
  <si>
    <t>SURUH</t>
  </si>
  <si>
    <t>BRINGIN</t>
  </si>
  <si>
    <t>TINGKIR</t>
  </si>
  <si>
    <t>TENGARAN</t>
  </si>
  <si>
    <t>AJIBARANG</t>
  </si>
  <si>
    <t>BANYUMAS</t>
  </si>
  <si>
    <t>PATIKRAJA</t>
  </si>
  <si>
    <t>SUMPIUH</t>
  </si>
  <si>
    <t>WANGON</t>
  </si>
  <si>
    <t>KEMBARAN</t>
  </si>
  <si>
    <t>KARANGLEWAS</t>
  </si>
  <si>
    <t>CILONGOK</t>
  </si>
  <si>
    <t>RAWALO</t>
  </si>
  <si>
    <t>SOMAGEDE</t>
  </si>
  <si>
    <t>PURWOKERTO_UTARA</t>
  </si>
  <si>
    <t>PEKUNCEN</t>
  </si>
  <si>
    <t>SUMBANG01</t>
  </si>
  <si>
    <t>KEMRANJEN01</t>
  </si>
  <si>
    <t>KARANGRAYUNG</t>
  </si>
  <si>
    <t>PURWODADI</t>
  </si>
  <si>
    <t>GODONG</t>
  </si>
  <si>
    <t>WIROSARI</t>
  </si>
  <si>
    <t>GUBUG</t>
  </si>
  <si>
    <t>KRADENAN</t>
  </si>
  <si>
    <t>GROBOGAN</t>
  </si>
  <si>
    <t>TEGOWANU</t>
  </si>
  <si>
    <t>PULOKULON</t>
  </si>
  <si>
    <t>PENAWANGAN</t>
  </si>
  <si>
    <t>TANGGUNGHARJO01</t>
  </si>
  <si>
    <t>GEYER</t>
  </si>
  <si>
    <t>GEMUH</t>
  </si>
  <si>
    <t>KENDAL</t>
  </si>
  <si>
    <t>WELERI</t>
  </si>
  <si>
    <t>BOJA</t>
  </si>
  <si>
    <t>SUKOREJO</t>
  </si>
  <si>
    <t>KALIWUNGU</t>
  </si>
  <si>
    <t>BRANGSONG</t>
  </si>
  <si>
    <t>TAMPINGAN</t>
  </si>
  <si>
    <t>PAGERUYUNG</t>
  </si>
  <si>
    <t>MEJOBO</t>
  </si>
  <si>
    <t>KUDUS</t>
  </si>
  <si>
    <t>JEKULO</t>
  </si>
  <si>
    <t>JATI</t>
  </si>
  <si>
    <t>DAWE</t>
  </si>
  <si>
    <t>UNDAAN</t>
  </si>
  <si>
    <t>KALIWUNGU_KUDUS</t>
  </si>
  <si>
    <t>GEBOG</t>
  </si>
  <si>
    <t>REJOSARI_KUDUS</t>
  </si>
  <si>
    <t>KEDUNG</t>
  </si>
  <si>
    <t>JEPARA</t>
  </si>
  <si>
    <t>BANGSRI</t>
  </si>
  <si>
    <t>PECANGAAN</t>
  </si>
  <si>
    <t>WONOREJO</t>
  </si>
  <si>
    <t>MAYONG</t>
  </si>
  <si>
    <t>TAHUNAN</t>
  </si>
  <si>
    <t>KELET</t>
  </si>
  <si>
    <t>WELAHAN</t>
  </si>
  <si>
    <t>KALINYAMATAN</t>
  </si>
  <si>
    <t>SENENAN</t>
  </si>
  <si>
    <t>NALUMSARI</t>
  </si>
  <si>
    <t>TULIS</t>
  </si>
  <si>
    <t>WARUNGASEM</t>
  </si>
  <si>
    <t>REBAN</t>
  </si>
  <si>
    <t>GRINGSING_LAMA</t>
  </si>
  <si>
    <t>BATANG_UTARA</t>
  </si>
  <si>
    <t>BATANG01</t>
  </si>
  <si>
    <t>BANDAR01</t>
  </si>
  <si>
    <t>LIMPUNG01</t>
  </si>
  <si>
    <t>SUBAH01</t>
  </si>
  <si>
    <t>TERSONO</t>
  </si>
  <si>
    <t>BLADO01</t>
  </si>
  <si>
    <t>PEKALONGAN</t>
  </si>
  <si>
    <t>WIRADESA</t>
  </si>
  <si>
    <t>BUARAN</t>
  </si>
  <si>
    <t>JATILONDO</t>
  </si>
  <si>
    <t>WONOKERTO</t>
  </si>
  <si>
    <t>KLEGO</t>
  </si>
  <si>
    <t>MEDONO</t>
  </si>
  <si>
    <t>KURIPAN</t>
  </si>
  <si>
    <t>PANJANG01</t>
  </si>
  <si>
    <t>GUNUNG_PATI</t>
  </si>
  <si>
    <t>TUGU</t>
  </si>
  <si>
    <t>MIJEN</t>
  </si>
  <si>
    <t>PLALANGAN</t>
  </si>
  <si>
    <t>BRINGIN_SEMARANG</t>
  </si>
  <si>
    <t>SILAYUR</t>
  </si>
  <si>
    <t>SEMARANG_TENGAH</t>
  </si>
  <si>
    <t>HASANUDIN</t>
  </si>
  <si>
    <t>ANJASMORO</t>
  </si>
  <si>
    <t>S_PARMAN</t>
  </si>
  <si>
    <t>SIMONGAN</t>
  </si>
  <si>
    <t>GRAHAPADMA_01</t>
  </si>
  <si>
    <t>PATI</t>
  </si>
  <si>
    <t>JUWANA</t>
  </si>
  <si>
    <t>TAMBAKROMO</t>
  </si>
  <si>
    <t>MARGOYOSO</t>
  </si>
  <si>
    <t>TAYU</t>
  </si>
  <si>
    <t>JAKENAN</t>
  </si>
  <si>
    <t>KAYEN</t>
  </si>
  <si>
    <t>WEDARIJAKSA</t>
  </si>
  <si>
    <t>BATANGAN</t>
  </si>
  <si>
    <t>TLOGOWUNGU_PTI</t>
  </si>
  <si>
    <t>WINONG</t>
  </si>
  <si>
    <t>DUKUHSETI</t>
  </si>
  <si>
    <t>PATI_KIDUL</t>
  </si>
  <si>
    <t>SUKOLILO</t>
  </si>
  <si>
    <t>TRANGKIL</t>
  </si>
  <si>
    <t>GABUS</t>
  </si>
  <si>
    <t>CLUWAK</t>
  </si>
  <si>
    <t>JUWANA_TIMUR</t>
  </si>
  <si>
    <t>REMBANG</t>
  </si>
  <si>
    <t>LASEM</t>
  </si>
  <si>
    <t>KRAGAN</t>
  </si>
  <si>
    <t>PAMOTAN</t>
  </si>
  <si>
    <t>SEDAN</t>
  </si>
  <si>
    <t>BULU</t>
  </si>
  <si>
    <t>SLUKE</t>
  </si>
  <si>
    <t>SARANG</t>
  </si>
  <si>
    <t>PANCUR</t>
  </si>
  <si>
    <t>BANYUMANIK</t>
  </si>
  <si>
    <t>SEMARANG</t>
  </si>
  <si>
    <t>TENTARA_PELAJAR</t>
  </si>
  <si>
    <t>SENDANGMULYO</t>
  </si>
  <si>
    <t>KETILENG_RAYA</t>
  </si>
  <si>
    <t>SUPRIYADI_FNC</t>
  </si>
  <si>
    <t>TLOGOSARI_FNC</t>
  </si>
  <si>
    <t>WOLTER_FNC</t>
  </si>
  <si>
    <t>SIDODADI</t>
  </si>
  <si>
    <t>GENUK</t>
  </si>
  <si>
    <t>PURBALINGGA</t>
  </si>
  <si>
    <t>BOBOTSARI</t>
  </si>
  <si>
    <t>KALIGONDANG</t>
  </si>
  <si>
    <t>BOJONGSARI</t>
  </si>
  <si>
    <t>SUMAMPIR</t>
  </si>
  <si>
    <t>PURBALINGGA_LOR</t>
  </si>
  <si>
    <t>KEMANGKON01</t>
  </si>
  <si>
    <t>KARANGREJA01</t>
  </si>
  <si>
    <t>MOJOTENGAH</t>
  </si>
  <si>
    <t>KEJAJAR</t>
  </si>
  <si>
    <t>KALIWIRO</t>
  </si>
  <si>
    <t>MADUKORO_01</t>
  </si>
  <si>
    <t>SELOMERTO_01</t>
  </si>
  <si>
    <t>SAPURAN_01</t>
  </si>
  <si>
    <t>KALIKAJAR</t>
  </si>
  <si>
    <t>SLAWI</t>
  </si>
  <si>
    <t>SURADADI</t>
  </si>
  <si>
    <t>BUMIJAWA</t>
  </si>
  <si>
    <t>SLAWI_KULON</t>
  </si>
  <si>
    <t>MARGASARI</t>
  </si>
  <si>
    <t>KRAMAT_SLAWI</t>
  </si>
  <si>
    <t>BALAPULANG</t>
  </si>
  <si>
    <t>TALANG</t>
  </si>
  <si>
    <t>TARUB</t>
  </si>
  <si>
    <t>DUKUHWARU</t>
  </si>
  <si>
    <t>KEDUNGBANTENG</t>
  </si>
  <si>
    <t>BANDARSARI</t>
  </si>
  <si>
    <t>WONOSALAM</t>
  </si>
  <si>
    <t>DEMAK</t>
  </si>
  <si>
    <t>MRANGGEN</t>
  </si>
  <si>
    <t>GAJAH</t>
  </si>
  <si>
    <t>WEDUNG</t>
  </si>
  <si>
    <t>DEMPET</t>
  </si>
  <si>
    <t>SAYUNG</t>
  </si>
  <si>
    <t>BATURSARI</t>
  </si>
  <si>
    <t>GUNTUR</t>
  </si>
  <si>
    <t>BONANG</t>
  </si>
  <si>
    <t>KARANGANYAR</t>
  </si>
  <si>
    <t>BREBES</t>
  </si>
  <si>
    <t>BUMIAYU</t>
  </si>
  <si>
    <t>KETANGGUNGAN</t>
  </si>
  <si>
    <t>LOSARI</t>
  </si>
  <si>
    <t>JATIBARANG_KIDUL</t>
  </si>
  <si>
    <t>BULAKAMBA</t>
  </si>
  <si>
    <t>LARANGAN_BREBES</t>
  </si>
  <si>
    <t>WANASARI_BREBES</t>
  </si>
  <si>
    <t>BANJARHARJO</t>
  </si>
  <si>
    <t>TONJONG</t>
  </si>
  <si>
    <t>SALEM</t>
  </si>
  <si>
    <t>BANTARKAWUNG</t>
  </si>
  <si>
    <t>PAGUYANGAN</t>
  </si>
  <si>
    <t>TANJUNG_BREBES</t>
  </si>
  <si>
    <t>SIRAMPOG01</t>
  </si>
  <si>
    <t>PEMALANG</t>
  </si>
  <si>
    <t>RANDUDONGKAL</t>
  </si>
  <si>
    <t>COMAL</t>
  </si>
  <si>
    <t>AMBOKULON</t>
  </si>
  <si>
    <t>KEBANGGAN</t>
  </si>
  <si>
    <t>BANJARDAWA</t>
  </si>
  <si>
    <t>PETARUKAN</t>
  </si>
  <si>
    <t>BODEH</t>
  </si>
  <si>
    <t>BELIK</t>
  </si>
  <si>
    <t>WATUKUMPUL</t>
  </si>
  <si>
    <t>BANTARBOLANG</t>
  </si>
  <si>
    <t>MULYOHARJO01</t>
  </si>
  <si>
    <t>TEGAL</t>
  </si>
  <si>
    <t>MARGADANA</t>
  </si>
  <si>
    <t>TEGAL_BARAT</t>
  </si>
  <si>
    <t>DUKUHTURI</t>
  </si>
  <si>
    <t>PURWOKERTO</t>
  </si>
  <si>
    <t>KEBASEN</t>
  </si>
  <si>
    <t>SRG_SALES</t>
  </si>
  <si>
    <t>PROTOMULYO</t>
  </si>
  <si>
    <t>NGALIYAN</t>
  </si>
  <si>
    <t>BSB_SEMARANG</t>
  </si>
  <si>
    <t>GAJAHMUNGKUR</t>
  </si>
  <si>
    <t>PANGGUNG_LOR</t>
  </si>
  <si>
    <t>PUDAKPAYUNG</t>
  </si>
  <si>
    <t>TEMBALANG</t>
  </si>
  <si>
    <t>BUGANGAN</t>
  </si>
  <si>
    <t>DEBONG</t>
  </si>
  <si>
    <t>YOGYAKARTA日惹</t>
  </si>
  <si>
    <t>AGENT18</t>
  </si>
  <si>
    <t>BANTUL</t>
  </si>
  <si>
    <t>KASIHAN</t>
  </si>
  <si>
    <t>SEWON</t>
  </si>
  <si>
    <t>DIRO</t>
  </si>
  <si>
    <t>GOSE</t>
  </si>
  <si>
    <t>PERWITA</t>
  </si>
  <si>
    <t>TAMANAN</t>
  </si>
  <si>
    <t>WONOCATUR</t>
  </si>
  <si>
    <t>SITIMULYO</t>
  </si>
  <si>
    <t>BOYOLALI</t>
  </si>
  <si>
    <t>TERAS</t>
  </si>
  <si>
    <t>AMPEL</t>
  </si>
  <si>
    <t>BYL03A</t>
  </si>
  <si>
    <t>SIMO</t>
  </si>
  <si>
    <t>BYL04A</t>
  </si>
  <si>
    <t>NGEMPLAK</t>
  </si>
  <si>
    <t>PULISEN</t>
  </si>
  <si>
    <t>ANDONG</t>
  </si>
  <si>
    <t>SAWIT</t>
  </si>
  <si>
    <t>KARANGGEDE</t>
  </si>
  <si>
    <t>BYL12</t>
  </si>
  <si>
    <t>CILACAP</t>
  </si>
  <si>
    <t>MAJENANG</t>
  </si>
  <si>
    <t>KROYA</t>
  </si>
  <si>
    <t>CLP03A</t>
  </si>
  <si>
    <t>SIDAREJA</t>
  </si>
  <si>
    <t>ADIPALA</t>
  </si>
  <si>
    <t>KAWUNGANTEN</t>
  </si>
  <si>
    <t>CIMANGGU</t>
  </si>
  <si>
    <t>MERTASINGA</t>
  </si>
  <si>
    <t>SALIWANGI</t>
  </si>
  <si>
    <t>NUSAWUNGU</t>
  </si>
  <si>
    <t>CLP13A</t>
  </si>
  <si>
    <t>WANAREJA</t>
  </si>
  <si>
    <t>YOGYAKARTA</t>
  </si>
  <si>
    <t>UMBULHARJO</t>
  </si>
  <si>
    <t>KATAMSO</t>
  </si>
  <si>
    <t>SURYOWIJAYAN</t>
  </si>
  <si>
    <t>GEDONG_KUNING</t>
  </si>
  <si>
    <t>GIWANGAN</t>
  </si>
  <si>
    <t>COLOMADU</t>
  </si>
  <si>
    <t>TASIKMADU</t>
  </si>
  <si>
    <t>GONDANGREJO</t>
  </si>
  <si>
    <t>KARANG_PANDAN</t>
  </si>
  <si>
    <t>MATESI</t>
  </si>
  <si>
    <t>BEJEN</t>
  </si>
  <si>
    <t>NGRINGO</t>
  </si>
  <si>
    <t>MOJOGEDANG</t>
  </si>
  <si>
    <t>TUGU_BOTO</t>
  </si>
  <si>
    <t>JUMAPOLO</t>
  </si>
  <si>
    <t>KEBAKKRAMAT</t>
  </si>
  <si>
    <t>GOMBONG</t>
  </si>
  <si>
    <t>KBM02A</t>
  </si>
  <si>
    <t>PREMBUN</t>
  </si>
  <si>
    <t>KEBUMEN_KOTA</t>
  </si>
  <si>
    <t>AYAH</t>
  </si>
  <si>
    <t>PETANAHAN</t>
  </si>
  <si>
    <t>KUTOWINANGUN</t>
  </si>
  <si>
    <t>CANDI_KEBUMEN</t>
  </si>
  <si>
    <t>KBM17</t>
  </si>
  <si>
    <t>WATES</t>
  </si>
  <si>
    <t>SENTOLO</t>
  </si>
  <si>
    <t>KULONPROGO</t>
  </si>
  <si>
    <t>NANGGULAN</t>
  </si>
  <si>
    <t>KLATEN_SELATAN</t>
  </si>
  <si>
    <t>PRAMBANAN</t>
  </si>
  <si>
    <t>DELANGGU</t>
  </si>
  <si>
    <t>BELANG_WETAN</t>
  </si>
  <si>
    <t>PEDAN</t>
  </si>
  <si>
    <t>KLATEN_TENGAH</t>
  </si>
  <si>
    <t>KARANGDOWO</t>
  </si>
  <si>
    <t>DC_KLATEN</t>
  </si>
  <si>
    <t>MOJAYAN</t>
  </si>
  <si>
    <t>MAYUNGAN</t>
  </si>
  <si>
    <t>TULUNG</t>
  </si>
  <si>
    <t>KLT26</t>
  </si>
  <si>
    <t>MAGELANG</t>
  </si>
  <si>
    <t>KUPATAN</t>
  </si>
  <si>
    <t>MUNGKID</t>
  </si>
  <si>
    <t>GRABAG</t>
  </si>
  <si>
    <t>SALAM</t>
  </si>
  <si>
    <t>SECANG</t>
  </si>
  <si>
    <t>MERTOYUDAN</t>
  </si>
  <si>
    <t>BOROBUDUR</t>
  </si>
  <si>
    <t>KEDUNGDOWO</t>
  </si>
  <si>
    <t>TEGALREJO</t>
  </si>
  <si>
    <t>TEMPURAN_MUNGKID</t>
  </si>
  <si>
    <t>PURWOREJO</t>
  </si>
  <si>
    <t>LOANO</t>
  </si>
  <si>
    <t>BUTUH</t>
  </si>
  <si>
    <t>BAGELEN</t>
  </si>
  <si>
    <t>WIRUN</t>
  </si>
  <si>
    <t>DC_BANYUURIP</t>
  </si>
  <si>
    <t>SLEMAN</t>
  </si>
  <si>
    <t>GODEAN</t>
  </si>
  <si>
    <t>NGAGLIK</t>
  </si>
  <si>
    <t>SLM03A</t>
  </si>
  <si>
    <t>DENGGUNG</t>
  </si>
  <si>
    <t>MAGUWOHARJO</t>
  </si>
  <si>
    <t>CATUR_TUNGGAL</t>
  </si>
  <si>
    <t>SETURAN</t>
  </si>
  <si>
    <t>KALASAN</t>
  </si>
  <si>
    <t>SLM10A</t>
  </si>
  <si>
    <t>BERJO</t>
  </si>
  <si>
    <t>GEJAYAN</t>
  </si>
  <si>
    <t>PALAGAN</t>
  </si>
  <si>
    <t>SLM17A</t>
  </si>
  <si>
    <t>JOMBOR</t>
  </si>
  <si>
    <t>TRIDADI</t>
  </si>
  <si>
    <t>GAMPING</t>
  </si>
  <si>
    <t>KENTUNGAN</t>
  </si>
  <si>
    <t>SOLO</t>
  </si>
  <si>
    <t>KARTASURA</t>
  </si>
  <si>
    <t>SERENGAN</t>
  </si>
  <si>
    <t>MOJOSONGO</t>
  </si>
  <si>
    <t>SUMBER_BANJARSARI</t>
  </si>
  <si>
    <t>TIPES</t>
  </si>
  <si>
    <t>JAGALAN</t>
  </si>
  <si>
    <t>BETENG</t>
  </si>
  <si>
    <t>TIMURAN</t>
  </si>
  <si>
    <t>SEMANGGI</t>
  </si>
  <si>
    <t>DANUKUSUMAN</t>
  </si>
  <si>
    <t>BUMI_LAWEYAN</t>
  </si>
  <si>
    <t>SEKIP_KADIPIRO</t>
  </si>
  <si>
    <t>DC_SOLO_BARAT</t>
  </si>
  <si>
    <t>IR_SUTAMI</t>
  </si>
  <si>
    <t>SAMPANGAN_SOLO</t>
  </si>
  <si>
    <t>SRAGEN</t>
  </si>
  <si>
    <t>GEMOLONG</t>
  </si>
  <si>
    <t>MASARAN</t>
  </si>
  <si>
    <t>GONDANG</t>
  </si>
  <si>
    <t>PILANGSARI</t>
  </si>
  <si>
    <t>TANON</t>
  </si>
  <si>
    <t>TUGU_GADING_MASARAN</t>
  </si>
  <si>
    <t>KARANGMALANG</t>
  </si>
  <si>
    <t>LANGENHARJO</t>
  </si>
  <si>
    <t>POLOKARTO</t>
  </si>
  <si>
    <t>BAKI</t>
  </si>
  <si>
    <t>TAWANGSARI</t>
  </si>
  <si>
    <t>PUCANGAN</t>
  </si>
  <si>
    <t>SLAMET_RIYADI_BARAT</t>
  </si>
  <si>
    <t>MOJOLABAN</t>
  </si>
  <si>
    <t>TELUKAN</t>
  </si>
  <si>
    <t>JETIS</t>
  </si>
  <si>
    <t>WONOGIRI</t>
  </si>
  <si>
    <t>BATURETNO</t>
  </si>
  <si>
    <t>NGADIROJO</t>
  </si>
  <si>
    <t>WURYANTORO</t>
  </si>
  <si>
    <t>SLOGOHIMO</t>
  </si>
  <si>
    <t>SELOGIRI</t>
  </si>
  <si>
    <t>PURWANTORO</t>
  </si>
  <si>
    <t>NGUNTORONADI</t>
  </si>
  <si>
    <t>JATISRONO_WGI</t>
  </si>
  <si>
    <t>WONOSARI</t>
  </si>
  <si>
    <t>NGLIPAR</t>
  </si>
  <si>
    <t>KARANGMOJO</t>
  </si>
  <si>
    <t>SURABAYA泗水</t>
  </si>
  <si>
    <t>AGENT19</t>
  </si>
  <si>
    <t>PADANGAN</t>
  </si>
  <si>
    <t>KALITIDU</t>
  </si>
  <si>
    <t>SUMBEREJO</t>
  </si>
  <si>
    <t>DC_SRATU</t>
  </si>
  <si>
    <t>DC_KLANGON</t>
  </si>
  <si>
    <t>GAYAM</t>
  </si>
  <si>
    <t>NGRAHO</t>
  </si>
  <si>
    <t>DANDER</t>
  </si>
  <si>
    <t>BALEN_1</t>
  </si>
  <si>
    <t>KEDUNGADEM_1</t>
  </si>
  <si>
    <t>TUBAN</t>
  </si>
  <si>
    <t>JATIROGO</t>
  </si>
  <si>
    <t>KEREK</t>
  </si>
  <si>
    <t>PLUMPANG</t>
  </si>
  <si>
    <t>PARENGAN</t>
  </si>
  <si>
    <t>TAMBAKBOYO</t>
  </si>
  <si>
    <t>RENGEL_1</t>
  </si>
  <si>
    <t>MERAKURAK_1</t>
  </si>
  <si>
    <t>TUBAN_1</t>
  </si>
  <si>
    <t>PALANG_1</t>
  </si>
  <si>
    <t>DRIYOREJO</t>
  </si>
  <si>
    <t>PANCENG</t>
  </si>
  <si>
    <t>MANYAR_2</t>
  </si>
  <si>
    <t>BAWEAN</t>
  </si>
  <si>
    <t>CERME</t>
  </si>
  <si>
    <t>KEBON</t>
  </si>
  <si>
    <t>MENGANTI</t>
  </si>
  <si>
    <t>KEDAMEAN</t>
  </si>
  <si>
    <t>BUNGAH_1</t>
  </si>
  <si>
    <t>DUKUN_2</t>
  </si>
  <si>
    <t>WRINGINANOM</t>
  </si>
  <si>
    <t>KEBOMAS_1</t>
  </si>
  <si>
    <t>BALONGPANGGANG_1</t>
  </si>
  <si>
    <t>DUDUKSAMPEYAN_1</t>
  </si>
  <si>
    <t>BABAT</t>
  </si>
  <si>
    <t>KEDUNGPRING_2</t>
  </si>
  <si>
    <t>PACIRAN</t>
  </si>
  <si>
    <t>MANTUP_1</t>
  </si>
  <si>
    <t>KARANGGENENG</t>
  </si>
  <si>
    <t>LAMONGAN_2</t>
  </si>
  <si>
    <t>RAYA_PACIRAN</t>
  </si>
  <si>
    <t>MOROPELANG</t>
  </si>
  <si>
    <t>SAMBENG</t>
  </si>
  <si>
    <t>SUGIO_1</t>
  </si>
  <si>
    <t>GLAGAH_LMG_1</t>
  </si>
  <si>
    <t>TIKUNG_2</t>
  </si>
  <si>
    <t>BANGKALAN</t>
  </si>
  <si>
    <t>BLEGA</t>
  </si>
  <si>
    <t>BANGKALAN_KOTA</t>
  </si>
  <si>
    <t>SEPULU</t>
  </si>
  <si>
    <t>TANAH_MERAH_1</t>
  </si>
  <si>
    <t>BURNEH_1</t>
  </si>
  <si>
    <t>TANJUNG_BUMI_1</t>
  </si>
  <si>
    <t>KAMAL_1</t>
  </si>
  <si>
    <t>AROSBAYA_1</t>
  </si>
  <si>
    <t>GALIS_1</t>
  </si>
  <si>
    <t>PAMEKASAN</t>
  </si>
  <si>
    <t>PROPPO</t>
  </si>
  <si>
    <t>PAKONG</t>
  </si>
  <si>
    <t>LARANGAN_PAMEKASAN</t>
  </si>
  <si>
    <t>PALENGAAN_1</t>
  </si>
  <si>
    <t>PEGANTENAN</t>
  </si>
  <si>
    <t>PASEAN_1</t>
  </si>
  <si>
    <t>SUMENEP</t>
  </si>
  <si>
    <t>ARJASA</t>
  </si>
  <si>
    <t>AMBUNTEN</t>
  </si>
  <si>
    <t>BATUAN_1</t>
  </si>
  <si>
    <t>KALIANGET_1</t>
  </si>
  <si>
    <t>BLUTO_1</t>
  </si>
  <si>
    <t>GAPURA_1</t>
  </si>
  <si>
    <t>PRAGAAN_1</t>
  </si>
  <si>
    <t>KOTA_SUMENEP_1</t>
  </si>
  <si>
    <t>GUNUNG_SEKAR</t>
  </si>
  <si>
    <t>CAMPLONG</t>
  </si>
  <si>
    <t>KEDUNGDUNG_1</t>
  </si>
  <si>
    <t>SAMPANG_UTARA</t>
  </si>
  <si>
    <t>SOKOBANAH</t>
  </si>
  <si>
    <t>TORJUN_RAYA</t>
  </si>
  <si>
    <t>KARANGPENANG_1</t>
  </si>
  <si>
    <t>ROBATAL</t>
  </si>
  <si>
    <t>BANYUATES_1</t>
  </si>
  <si>
    <t>OMBEN_1</t>
  </si>
  <si>
    <t>TAMBELANGAN_1</t>
  </si>
  <si>
    <t>MADIUN_1</t>
  </si>
  <si>
    <t>MEJAYAN</t>
  </si>
  <si>
    <t>DOLOPO</t>
  </si>
  <si>
    <t>JIWAN</t>
  </si>
  <si>
    <t>TAMAN_PRAJA</t>
  </si>
  <si>
    <t>MUNENG</t>
  </si>
  <si>
    <t>DC_TUGU_PENDEKAR</t>
  </si>
  <si>
    <t>MAGETAN_2</t>
  </si>
  <si>
    <t>MAOSPATI_1</t>
  </si>
  <si>
    <t>TAKERAN_1</t>
  </si>
  <si>
    <t>PLAOSAN_2</t>
  </si>
  <si>
    <t>NGAWI</t>
  </si>
  <si>
    <t>WALIKUKUN</t>
  </si>
  <si>
    <t>DC_KARTONYONO</t>
  </si>
  <si>
    <t>PARON</t>
  </si>
  <si>
    <t>PACITAN</t>
  </si>
  <si>
    <t>BALEHARJO</t>
  </si>
  <si>
    <t>NGADIROJO_1</t>
  </si>
  <si>
    <t>ARJOSARI_2</t>
  </si>
  <si>
    <t>PONOROGO</t>
  </si>
  <si>
    <t>SUMOROTO</t>
  </si>
  <si>
    <t>BALONG</t>
  </si>
  <si>
    <t>BABADAN_RAYA</t>
  </si>
  <si>
    <t>SAMBIT_1</t>
  </si>
  <si>
    <t>KEDIRI</t>
  </si>
  <si>
    <t>GROGOL</t>
  </si>
  <si>
    <t>TOSAREN</t>
  </si>
  <si>
    <t>NGADILUWIH</t>
  </si>
  <si>
    <t>TIRTO_UDAN</t>
  </si>
  <si>
    <t>PLOSOKLATEN</t>
  </si>
  <si>
    <t>PAPAR</t>
  </si>
  <si>
    <t>DC_KEDIRI</t>
  </si>
  <si>
    <t>KDR_NGASEM_2</t>
  </si>
  <si>
    <t>MOJO</t>
  </si>
  <si>
    <t>KEPUNG_2</t>
  </si>
  <si>
    <t>RINGINREJO</t>
  </si>
  <si>
    <t>PARE_4</t>
  </si>
  <si>
    <t>PLEMAHAN_3</t>
  </si>
  <si>
    <t>TULUNG_AGUNG</t>
  </si>
  <si>
    <t>CAMPUR_DARAT</t>
  </si>
  <si>
    <t>NGUNUT</t>
  </si>
  <si>
    <t>KAUMAN</t>
  </si>
  <si>
    <t>BOYOLANGU</t>
  </si>
  <si>
    <t>GONDANGRAYA</t>
  </si>
  <si>
    <t>DC_TULUNG_AGUNG</t>
  </si>
  <si>
    <t>TRENGGALEK</t>
  </si>
  <si>
    <t>GANDUSARI_1</t>
  </si>
  <si>
    <t>POGALAN</t>
  </si>
  <si>
    <t>KARANGAN_1</t>
  </si>
  <si>
    <t>DIWEK_1</t>
  </si>
  <si>
    <t>MOJOAGUNG</t>
  </si>
  <si>
    <t>PERAK</t>
  </si>
  <si>
    <t>JOMBANG_2</t>
  </si>
  <si>
    <t>TEMBELANG_1</t>
  </si>
  <si>
    <t>KABUH</t>
  </si>
  <si>
    <t>MOJOWARNO</t>
  </si>
  <si>
    <t>NGANJUK_3</t>
  </si>
  <si>
    <t>KERTOSONO</t>
  </si>
  <si>
    <t>LOCERET</t>
  </si>
  <si>
    <t>WARUJAYENG</t>
  </si>
  <si>
    <t>PRAMBON</t>
  </si>
  <si>
    <t>NGANJUK_1</t>
  </si>
  <si>
    <t>MOJOSARI</t>
  </si>
  <si>
    <t>DC_MAJAPAHIT</t>
  </si>
  <si>
    <t>BRANGKAL</t>
  </si>
  <si>
    <t>DLANGGU</t>
  </si>
  <si>
    <t>TROWULAN</t>
  </si>
  <si>
    <t>JETIS_1</t>
  </si>
  <si>
    <t>KEMLAGI_1</t>
  </si>
  <si>
    <t>NGORO</t>
  </si>
  <si>
    <t>BANGSAL</t>
  </si>
  <si>
    <t>DC_GAJAH_MADA</t>
  </si>
  <si>
    <t>TEGALSARI_4</t>
  </si>
  <si>
    <t>BULAK_1</t>
  </si>
  <si>
    <t>DC_KENJERAN</t>
  </si>
  <si>
    <t>DUKUH_SETRO_2</t>
  </si>
  <si>
    <t>GUBENG_3</t>
  </si>
  <si>
    <t>SUB_GENTENG</t>
  </si>
  <si>
    <t>KARANG_EMPAT_BESAR_2</t>
  </si>
  <si>
    <t>GUBENG_2</t>
  </si>
  <si>
    <t>TAMBAKSARI_2</t>
  </si>
  <si>
    <t>ARIEF_RAHMAN_HAKIM</t>
  </si>
  <si>
    <t>DC_SUKOLILO</t>
  </si>
  <si>
    <t>KENJERAN_3</t>
  </si>
  <si>
    <t>KEPUTIH_2</t>
  </si>
  <si>
    <t>MULYOREJO</t>
  </si>
  <si>
    <t>MULYOREJO_1</t>
  </si>
  <si>
    <t>ABDUL_KARIM</t>
  </si>
  <si>
    <t>DC_KARANGPILANG</t>
  </si>
  <si>
    <t>GUNUNG_ANYAR</t>
  </si>
  <si>
    <t>SURABAYA_KIDUL</t>
  </si>
  <si>
    <t>WONOCOLO_2</t>
  </si>
  <si>
    <t>DUKUH_PAKIS_1</t>
  </si>
  <si>
    <t>DUKUH_PAKIS_2</t>
  </si>
  <si>
    <t>DC_ARJUNO</t>
  </si>
  <si>
    <t>DC_WIYUNG</t>
  </si>
  <si>
    <t>PETEMON_BARAT</t>
  </si>
  <si>
    <t>WONOKROMO_2</t>
  </si>
  <si>
    <t>PANJANG_JIWO_2</t>
  </si>
  <si>
    <t>RAYA_TENGGILIS</t>
  </si>
  <si>
    <t>RUNGKUT_2</t>
  </si>
  <si>
    <t>RUNGKUT_ALANG_ALANG</t>
  </si>
  <si>
    <t>KALI_RUNGKUT_1</t>
  </si>
  <si>
    <t>BUBUTAN_5</t>
  </si>
  <si>
    <t>DC_MADE</t>
  </si>
  <si>
    <t>LAKARSANTRI_2</t>
  </si>
  <si>
    <t>DC_PAKAL</t>
  </si>
  <si>
    <t>MAYJEND_BARAT</t>
  </si>
  <si>
    <t>PAKAL_2</t>
  </si>
  <si>
    <t>SAMBIKEREP</t>
  </si>
  <si>
    <t>SUKOMANUNGGAL_2</t>
  </si>
  <si>
    <t>TANDES_2</t>
  </si>
  <si>
    <t>PABEAN_CANTIAN_4</t>
  </si>
  <si>
    <t>PABEAN_CANTIAN_5</t>
  </si>
  <si>
    <t>SIMOKERTO_2</t>
  </si>
  <si>
    <t>SEMAMPIR_2</t>
  </si>
  <si>
    <t>SEMAMPIR_3</t>
  </si>
  <si>
    <t>AMBULU</t>
  </si>
  <si>
    <t>TANGGUL</t>
  </si>
  <si>
    <t>RAMBIPUJI</t>
  </si>
  <si>
    <t>PUGER_1</t>
  </si>
  <si>
    <t>BALUNG</t>
  </si>
  <si>
    <t>KENCONG</t>
  </si>
  <si>
    <t>WULUHAN</t>
  </si>
  <si>
    <t>SEMBORO</t>
  </si>
  <si>
    <t>BANGSALSARI</t>
  </si>
  <si>
    <t>GUMUKMAS_1</t>
  </si>
  <si>
    <t>SUMBERBARU_1</t>
  </si>
  <si>
    <t>PASIRIAN</t>
  </si>
  <si>
    <t>JATIROTO</t>
  </si>
  <si>
    <t>MAHAKAM</t>
  </si>
  <si>
    <t>SANDTOWN</t>
  </si>
  <si>
    <t>CENTRAL_LUMAJANG</t>
  </si>
  <si>
    <t>SENDURO</t>
  </si>
  <si>
    <t>TEMPEH</t>
  </si>
  <si>
    <t>YOSOWILANGUN_1</t>
  </si>
  <si>
    <t>KLAKAH_1</t>
  </si>
  <si>
    <t>RANDUAGUNG_1</t>
  </si>
  <si>
    <t>PRONOJIWO_1</t>
  </si>
  <si>
    <t>CANDIPURO_1</t>
  </si>
  <si>
    <t>MAYANGAN_1</t>
  </si>
  <si>
    <t>WONOASIH_2</t>
  </si>
  <si>
    <t>BANTARAN_1</t>
  </si>
  <si>
    <t>MARON</t>
  </si>
  <si>
    <t>GENDING</t>
  </si>
  <si>
    <t>KRAKSAAN_2</t>
  </si>
  <si>
    <t>BESUK</t>
  </si>
  <si>
    <t>TONGAS_1</t>
  </si>
  <si>
    <t>KOTAANYAR_1</t>
  </si>
  <si>
    <t>LECES_1</t>
  </si>
  <si>
    <t>SUMBERASIH_1</t>
  </si>
  <si>
    <t>GADING_1</t>
  </si>
  <si>
    <t>JEMBER</t>
  </si>
  <si>
    <t>KALISAT</t>
  </si>
  <si>
    <t>PATRANG</t>
  </si>
  <si>
    <t>KALIWATES_2</t>
  </si>
  <si>
    <t>SUMBERSARI</t>
  </si>
  <si>
    <t>MUMBULSARI_1</t>
  </si>
  <si>
    <t>MAYANG</t>
  </si>
  <si>
    <t>PAKUSARI</t>
  </si>
  <si>
    <t>JENGGAWAH</t>
  </si>
  <si>
    <t>JEMBER_LINTAS_UTARA</t>
  </si>
  <si>
    <t>SILO_1</t>
  </si>
  <si>
    <t>SUMBERSARI_1</t>
  </si>
  <si>
    <t>JBR_ARJASA_1</t>
  </si>
  <si>
    <t>BONDOWOSO_2</t>
  </si>
  <si>
    <t>PRAJEKAN</t>
  </si>
  <si>
    <t>MAESAN_1</t>
  </si>
  <si>
    <t>JAVA_IJEN</t>
  </si>
  <si>
    <t>KAMPUNG_DURIAN</t>
  </si>
  <si>
    <t>BONDOWOSO_3</t>
  </si>
  <si>
    <t>WRINGIN</t>
  </si>
  <si>
    <t>SUMBERWRINGIN_1</t>
  </si>
  <si>
    <t>SITUBONDO</t>
  </si>
  <si>
    <t>ASEMBAGUS</t>
  </si>
  <si>
    <t>BESUKI_CITY</t>
  </si>
  <si>
    <t>PANARUKAN</t>
  </si>
  <si>
    <t>ARJASA_SBD</t>
  </si>
  <si>
    <t>DC_PANJI</t>
  </si>
  <si>
    <t>MLANDINGAN_1</t>
  </si>
  <si>
    <t>BANYUPUTIH_1</t>
  </si>
  <si>
    <t>PURWOHARJO</t>
  </si>
  <si>
    <t>JAJAG</t>
  </si>
  <si>
    <t>MOJOPANGGUNG</t>
  </si>
  <si>
    <t>GENTENG_2</t>
  </si>
  <si>
    <t>GLENMORE_1</t>
  </si>
  <si>
    <t>KALIBARU_1</t>
  </si>
  <si>
    <t>KALIPURO</t>
  </si>
  <si>
    <t>SUMBERAYU</t>
  </si>
  <si>
    <t>BWI_TEGALSARI_2</t>
  </si>
  <si>
    <t>CLURING</t>
  </si>
  <si>
    <t>SRONO</t>
  </si>
  <si>
    <t>GLAGAH</t>
  </si>
  <si>
    <t>KABAT</t>
  </si>
  <si>
    <t>WONGSOREJO</t>
  </si>
  <si>
    <t>SEMPU_1</t>
  </si>
  <si>
    <t>BANGOREJO_1</t>
  </si>
  <si>
    <t>PESANGGARAN_1</t>
  </si>
  <si>
    <t>GENTENG_BWI_1</t>
  </si>
  <si>
    <t>BWI_GENTENG</t>
  </si>
  <si>
    <t>MALANG</t>
  </si>
  <si>
    <t>BLIMBING</t>
  </si>
  <si>
    <t>KLOJEN</t>
  </si>
  <si>
    <t>SOEHAT</t>
  </si>
  <si>
    <t>KALPATARU</t>
  </si>
  <si>
    <t>SUKUN_TANJUNG</t>
  </si>
  <si>
    <t>MALANG_HITS</t>
  </si>
  <si>
    <t>DC_SUDARMO</t>
  </si>
  <si>
    <t>OLD_CITY</t>
  </si>
  <si>
    <t>PARANG_ARGO</t>
  </si>
  <si>
    <t>KLOJEN_1</t>
  </si>
  <si>
    <t>LAWANG_1</t>
  </si>
  <si>
    <t>SINGOSARI_1</t>
  </si>
  <si>
    <t>MLG_SALES</t>
  </si>
  <si>
    <t>KARANG_PLOSO_1</t>
  </si>
  <si>
    <t>BATU</t>
  </si>
  <si>
    <t>PUJON</t>
  </si>
  <si>
    <t>NGANTANG</t>
  </si>
  <si>
    <t>BUMIAJI_1</t>
  </si>
  <si>
    <t>JUNREJO_1</t>
  </si>
  <si>
    <t>KASEMBON_1</t>
  </si>
  <si>
    <t>DAU_1</t>
  </si>
  <si>
    <t>BLITAR</t>
  </si>
  <si>
    <t>TALUN</t>
  </si>
  <si>
    <t>SRENGAT</t>
  </si>
  <si>
    <t>SUKOREJO_1</t>
  </si>
  <si>
    <t>KADEMANGAN</t>
  </si>
  <si>
    <t>PONGGOK</t>
  </si>
  <si>
    <t>KESAMBEN</t>
  </si>
  <si>
    <t>KEPANJEN</t>
  </si>
  <si>
    <t>TUREN</t>
  </si>
  <si>
    <t>SUMBERPUCUNG</t>
  </si>
  <si>
    <t>DAMPIT</t>
  </si>
  <si>
    <t>PAKISAJI</t>
  </si>
  <si>
    <t>SUPER_HERO</t>
  </si>
  <si>
    <t>BULULAWANG</t>
  </si>
  <si>
    <t>BANTUR</t>
  </si>
  <si>
    <t>TALANGAGUNG_KPJ</t>
  </si>
  <si>
    <t>TIRTOYUDO</t>
  </si>
  <si>
    <t>SUMBERMANJINGWETAN_1</t>
  </si>
  <si>
    <t>PAGAK_1</t>
  </si>
  <si>
    <t>RED_DEER</t>
  </si>
  <si>
    <t>TAJINAN_1</t>
  </si>
  <si>
    <t>BEAUTIFUL_BROMO</t>
  </si>
  <si>
    <t>KEDUNGKANDANG_1</t>
  </si>
  <si>
    <t>PAKIS_1</t>
  </si>
  <si>
    <t>PANDAAN</t>
  </si>
  <si>
    <t>SUKOREJO_PND</t>
  </si>
  <si>
    <t>PURWOSARI_PND</t>
  </si>
  <si>
    <t>PURWODADI_1</t>
  </si>
  <si>
    <t>TUTUR_1</t>
  </si>
  <si>
    <t>PANDAAN_2</t>
  </si>
  <si>
    <t>PASURUAN</t>
  </si>
  <si>
    <t>BANGIL</t>
  </si>
  <si>
    <t>GEMPOL</t>
  </si>
  <si>
    <t>BUGULKIDUL</t>
  </si>
  <si>
    <t>WONOREJO_PSR</t>
  </si>
  <si>
    <t>GONDANGWETAN</t>
  </si>
  <si>
    <t>BEJI_PSR</t>
  </si>
  <si>
    <t>GRATI</t>
  </si>
  <si>
    <t>PUSPO_2</t>
  </si>
  <si>
    <t>BANGIL_1</t>
  </si>
  <si>
    <t>KRATON_1</t>
  </si>
  <si>
    <t>DC_PORONG</t>
  </si>
  <si>
    <t>DC_TANGGULANGIN</t>
  </si>
  <si>
    <t>WONOAYU_3</t>
  </si>
  <si>
    <t>PRAMBON_1</t>
  </si>
  <si>
    <t>BALONGBENDO_1</t>
  </si>
  <si>
    <t>TARIK_2</t>
  </si>
  <si>
    <t>TULANGAN_1</t>
  </si>
  <si>
    <t>SUKODONO_1</t>
  </si>
  <si>
    <t>DC_SAFELOCK</t>
  </si>
  <si>
    <t>GELAM</t>
  </si>
  <si>
    <t>TAMAN</t>
  </si>
  <si>
    <t>TAMAN_3</t>
  </si>
  <si>
    <t>DC_TAMAN</t>
  </si>
  <si>
    <t>SEDATI</t>
  </si>
  <si>
    <t>GEDANGAN</t>
  </si>
  <si>
    <t>WARU_6</t>
  </si>
  <si>
    <t>SEDATI_1</t>
  </si>
  <si>
    <t>BUDURAN_1</t>
  </si>
  <si>
    <t>WARU_7</t>
  </si>
  <si>
    <t>TCSDA003</t>
  </si>
  <si>
    <t>TCSPG101</t>
  </si>
  <si>
    <t>BALI巴厘</t>
  </si>
  <si>
    <t>AGENT21</t>
  </si>
  <si>
    <t>CP_SESETAN</t>
  </si>
  <si>
    <t>CP_BULUH_INDAH</t>
  </si>
  <si>
    <t>SINGARAJA</t>
  </si>
  <si>
    <t>CP_LETDA_MADE_PUTRA</t>
  </si>
  <si>
    <t>BATUKARU</t>
  </si>
  <si>
    <t>CP_PATIH_NAMBI</t>
  </si>
  <si>
    <t>CP_PULAU_NIAS</t>
  </si>
  <si>
    <t>CP_BATUBULAN</t>
  </si>
  <si>
    <t>CP_NANGKA</t>
  </si>
  <si>
    <t>BLAMBANGAN</t>
  </si>
  <si>
    <t>CP_TANGKUBAN_PERAHU</t>
  </si>
  <si>
    <t>CP_MADE_LEBAH</t>
  </si>
  <si>
    <t>CP_WR_SUPRATMAN</t>
  </si>
  <si>
    <t>CP_BUANA_RAYA</t>
  </si>
  <si>
    <t>CP_SEBATU</t>
  </si>
  <si>
    <t>CP_UDAYANA</t>
  </si>
  <si>
    <t>SAELUS</t>
  </si>
  <si>
    <t>CP_DALUNG</t>
  </si>
  <si>
    <t>CP_GATSU_TENGAH</t>
  </si>
  <si>
    <t>CP_GANTI</t>
  </si>
  <si>
    <t>CP_KALIUNTU</t>
  </si>
  <si>
    <t>CP_TUKAD_YEH_AYA</t>
  </si>
  <si>
    <t>CP_ASEMAN</t>
  </si>
  <si>
    <t>CP_BUDUK_TENGAH</t>
  </si>
  <si>
    <t>CP_MASBAGIK_UTARA</t>
  </si>
  <si>
    <t>CP_KESAMBI_1</t>
  </si>
  <si>
    <t>CP_PANJITILAR_NEGARA</t>
  </si>
  <si>
    <t>CP_TUKAD_BARU</t>
  </si>
  <si>
    <t>CP_UDAYANA_1</t>
  </si>
  <si>
    <t>CP_KENYERI</t>
  </si>
  <si>
    <t>CP_SUBUR</t>
  </si>
  <si>
    <t>CP_BITERA</t>
  </si>
  <si>
    <t>GUWANG</t>
  </si>
  <si>
    <t>SATELIT</t>
  </si>
  <si>
    <t>GLOGOR_CARIK</t>
  </si>
  <si>
    <t>PEMENANG</t>
  </si>
  <si>
    <t>MASBAGIK_1</t>
  </si>
  <si>
    <t>TCABU021</t>
  </si>
  <si>
    <t>ADONARA</t>
  </si>
  <si>
    <t>MADAPANGGA</t>
  </si>
  <si>
    <t>PUJUT</t>
  </si>
  <si>
    <t>PEKAT</t>
  </si>
  <si>
    <t>LABUAN_HAJI</t>
  </si>
  <si>
    <t>SEKONGKANG</t>
  </si>
  <si>
    <t>UTAN_RHEE</t>
  </si>
  <si>
    <t>KEDIRI_1</t>
  </si>
  <si>
    <t>AMPENAN</t>
  </si>
  <si>
    <t>LASIANA</t>
  </si>
  <si>
    <t>ATAMBUA</t>
  </si>
  <si>
    <t>BORONG</t>
  </si>
  <si>
    <t>WOHA</t>
  </si>
  <si>
    <t>KEFAMENANU</t>
  </si>
  <si>
    <t>BETUN</t>
  </si>
  <si>
    <t>ENDE</t>
  </si>
  <si>
    <t>SELONG</t>
  </si>
  <si>
    <t>OELAMASI</t>
  </si>
  <si>
    <t>ALAK</t>
  </si>
  <si>
    <t>OEBUFU</t>
  </si>
  <si>
    <t>CAKRANEGARA</t>
  </si>
  <si>
    <t>SERUNI</t>
  </si>
  <si>
    <t>KARANG_GENTENG</t>
  </si>
  <si>
    <t>BAA</t>
  </si>
  <si>
    <t>KELAPA_LIMA</t>
  </si>
  <si>
    <t>KUPANG</t>
  </si>
  <si>
    <t>MATARAM</t>
  </si>
  <si>
    <t>WAIKABUBAK</t>
  </si>
  <si>
    <t>MAUMERE</t>
  </si>
  <si>
    <t>SOE</t>
  </si>
  <si>
    <t>AMI_SALES</t>
  </si>
  <si>
    <t>MAULAFA</t>
  </si>
  <si>
    <t>DOMPU</t>
  </si>
  <si>
    <t>WAINGAPU</t>
  </si>
  <si>
    <t>KUANINO</t>
  </si>
  <si>
    <t>RUTENG</t>
  </si>
  <si>
    <t>MBAY</t>
  </si>
  <si>
    <t>LEWOLEBA</t>
  </si>
  <si>
    <t>TAMBOLAKA</t>
  </si>
  <si>
    <t>BAJAWA</t>
  </si>
  <si>
    <t>LARANTUKA</t>
  </si>
  <si>
    <t>TODE_KISAR</t>
  </si>
  <si>
    <t>BIMA</t>
  </si>
  <si>
    <t>KALABAHI</t>
  </si>
  <si>
    <t>LABUAN_BAJO</t>
  </si>
  <si>
    <t>DASAN_CERMEN</t>
  </si>
  <si>
    <t>GIA04A</t>
  </si>
  <si>
    <t>MONJOK_1</t>
  </si>
  <si>
    <t>KETEWEL</t>
  </si>
  <si>
    <t>BAYAN_1</t>
  </si>
  <si>
    <t>KAYANGAN_1</t>
  </si>
  <si>
    <t>GIANYAR_1</t>
  </si>
  <si>
    <t>KLUMPU</t>
  </si>
  <si>
    <t>MARGA</t>
  </si>
  <si>
    <t>KLUNGKUNG_1</t>
  </si>
  <si>
    <t>MELAYA_1</t>
  </si>
  <si>
    <t>PELIATAN_1</t>
  </si>
  <si>
    <t>PAYANGAN_1</t>
  </si>
  <si>
    <t>MUNCAN_1</t>
  </si>
  <si>
    <t>MANGGIS_1</t>
  </si>
  <si>
    <t>ABANG_1</t>
  </si>
  <si>
    <t>AMLAPURA_1</t>
  </si>
  <si>
    <t>UBUD_1</t>
  </si>
  <si>
    <t>NEGARA_1</t>
  </si>
  <si>
    <t>CELUK_1</t>
  </si>
  <si>
    <t>MERITA_1</t>
  </si>
  <si>
    <t>SUKAWATI_1</t>
  </si>
  <si>
    <t>PEKUTATAN_1</t>
  </si>
  <si>
    <t>MENDOYO_1</t>
  </si>
  <si>
    <t>BULELENG_1</t>
  </si>
  <si>
    <t>ANTURAN_1</t>
  </si>
  <si>
    <t>BATURITI_1</t>
  </si>
  <si>
    <t>TEJAKULA_1</t>
  </si>
  <si>
    <t>SELEMADEG_1</t>
  </si>
  <si>
    <t>SERIRIT_1</t>
  </si>
  <si>
    <t>BUNGKULAN_1</t>
  </si>
  <si>
    <t>GEROKGAK_1</t>
  </si>
  <si>
    <t>BADUNG_SELATAN_1</t>
  </si>
  <si>
    <t>CANGGU_1</t>
  </si>
  <si>
    <t>JIMBARAN_1</t>
  </si>
  <si>
    <t>KUTA_2</t>
  </si>
  <si>
    <t>DC_KUTA_1</t>
  </si>
  <si>
    <t>UNGASAN_1</t>
  </si>
  <si>
    <t>JEMBRANA</t>
  </si>
  <si>
    <t>PRAYA_TENGAH</t>
  </si>
  <si>
    <t>KEDEWATAN</t>
  </si>
  <si>
    <t>SUMBERKIMA</t>
  </si>
  <si>
    <t>BANJAR_SGA</t>
  </si>
  <si>
    <t>LEMBONGAN</t>
  </si>
  <si>
    <t>SUKASADA</t>
  </si>
  <si>
    <t>CP_SANGSIT</t>
  </si>
  <si>
    <t>PENGADANG</t>
  </si>
  <si>
    <t>WOJA</t>
  </si>
  <si>
    <t>PRINGGABAYA</t>
  </si>
  <si>
    <t>KERUAK</t>
  </si>
  <si>
    <t>TEMBUKU</t>
  </si>
  <si>
    <t>MOYO</t>
  </si>
  <si>
    <t>MONTA</t>
  </si>
  <si>
    <t>LUNYUK</t>
  </si>
  <si>
    <t>BRANG_REA</t>
  </si>
  <si>
    <t>MPUNDA</t>
  </si>
  <si>
    <t>REMPUNG</t>
  </si>
  <si>
    <t>BANJARANGKAN</t>
  </si>
  <si>
    <t>MALUK</t>
  </si>
  <si>
    <t>BOLO</t>
  </si>
  <si>
    <t>NUSA_PENIDA</t>
  </si>
  <si>
    <t>SAKRA_BARAT</t>
  </si>
  <si>
    <t>KINTAMANI</t>
  </si>
  <si>
    <t>SAPE</t>
  </si>
  <si>
    <t>EMPANG_TARANO</t>
  </si>
  <si>
    <t>PUYUNG</t>
  </si>
  <si>
    <t>RABA_SASAMBO</t>
  </si>
  <si>
    <t>PLAMPANG</t>
  </si>
  <si>
    <t>SETELUK</t>
  </si>
  <si>
    <t>LAPE</t>
  </si>
  <si>
    <t>ALAS</t>
  </si>
  <si>
    <t>MANTANG</t>
  </si>
  <si>
    <t>NARMADA</t>
  </si>
  <si>
    <t>GUNUNG_SARI</t>
  </si>
  <si>
    <t>SIKUR</t>
  </si>
  <si>
    <t>TANAK_AWU</t>
  </si>
  <si>
    <t>SEGANTENG</t>
  </si>
  <si>
    <t>EMPANG</t>
  </si>
  <si>
    <t>SUSUT</t>
  </si>
  <si>
    <t>GERUNG</t>
  </si>
  <si>
    <t>TALIWANG</t>
  </si>
  <si>
    <t>SUMBAWA</t>
  </si>
  <si>
    <t>SEMARAPURA</t>
  </si>
  <si>
    <t>BANGLI</t>
  </si>
  <si>
    <t>KESRA</t>
  </si>
  <si>
    <t>TAMAN_SARI</t>
  </si>
  <si>
    <t>LABUAN_LOMBOK</t>
  </si>
  <si>
    <t>PUPUAN_1</t>
  </si>
  <si>
    <t>TAMAN_GRIYA_1</t>
  </si>
  <si>
    <t>SEMINYAK_1</t>
  </si>
  <si>
    <t>KELAN_1</t>
  </si>
  <si>
    <t>MERTANADI_1</t>
  </si>
  <si>
    <t>SUNSET_ROAD_1</t>
  </si>
  <si>
    <t>ABIANBASE_1</t>
  </si>
  <si>
    <t>BLAHKIUH_1</t>
  </si>
  <si>
    <t>CICA_1</t>
  </si>
  <si>
    <t>MENGWI_1</t>
  </si>
  <si>
    <t>DC_MENGWI_1</t>
  </si>
  <si>
    <t>DC_DENPASAR_SELATAN1</t>
  </si>
  <si>
    <t>NANGKA_SELATAN_1</t>
  </si>
  <si>
    <t>PEMECUTAN_1</t>
  </si>
  <si>
    <t>DENPASAR_UTARA_1</t>
  </si>
  <si>
    <t>KEBO_IWA_UTARA_1</t>
  </si>
  <si>
    <t>PEGUYANGAN_1</t>
  </si>
  <si>
    <t>KEMUDA_1</t>
  </si>
  <si>
    <t>AYANI_UTARA_1</t>
  </si>
  <si>
    <t>SESETAN_2</t>
  </si>
  <si>
    <t>GRIYA_ANYAR_1</t>
  </si>
  <si>
    <t>PUPUTAN_RENON_1</t>
  </si>
  <si>
    <t>WIBISANA_1</t>
  </si>
  <si>
    <t>KEBO_IWA_1</t>
  </si>
  <si>
    <t>DC_PULAU_MOYO_1</t>
  </si>
  <si>
    <t>PULAU_BUNGIN_1</t>
  </si>
  <si>
    <t>SIDAKARYA_1</t>
  </si>
  <si>
    <t>PEMOGAN_1</t>
  </si>
  <si>
    <t>DC_DENPASAR_BARAT_3</t>
  </si>
  <si>
    <t>SANUR_KAUH_1</t>
  </si>
  <si>
    <t>SANUR_1</t>
  </si>
  <si>
    <t>KEBO_IWA_SELATAN_1</t>
  </si>
  <si>
    <t>PADANG_SAMBIAN_1</t>
  </si>
  <si>
    <t>HAYAM_WURUK_1</t>
  </si>
  <si>
    <t>RENON_1</t>
  </si>
  <si>
    <t>MAHENDRADATTA_1</t>
  </si>
  <si>
    <t>CANDIKUNING</t>
  </si>
  <si>
    <t>SUWUNG_KAUH</t>
  </si>
  <si>
    <t>PERANG</t>
  </si>
  <si>
    <t>SEDANG</t>
  </si>
  <si>
    <t>KEROBOKAN_1</t>
  </si>
  <si>
    <t>PERMATA_HIJAU</t>
  </si>
  <si>
    <t>PURA_DEMAK</t>
  </si>
  <si>
    <t>PENEBEL</t>
  </si>
  <si>
    <t>DAUH_PEKEN_05</t>
  </si>
  <si>
    <t>KERAMBITAN_04</t>
  </si>
  <si>
    <t>COKROAMINOTO</t>
  </si>
  <si>
    <t>TUKAD_PETANU</t>
  </si>
  <si>
    <t>PANJER</t>
  </si>
  <si>
    <t>TABANANAN_01</t>
  </si>
  <si>
    <t>BADAK_AGUNG</t>
  </si>
  <si>
    <t>AYANI_UTARA2</t>
  </si>
  <si>
    <t>KARYA_MAKMUR</t>
  </si>
  <si>
    <t>DENPASAR_SELATAN_2</t>
  </si>
  <si>
    <t>PULAU_MOYO_2</t>
  </si>
  <si>
    <t>RAYA_KUTA</t>
  </si>
  <si>
    <t>BATU_BOLONG</t>
  </si>
  <si>
    <t>KESIMAN</t>
  </si>
  <si>
    <t>PADANG_UDAYANA</t>
  </si>
  <si>
    <t>CP_PEMECUTAN_KAJA</t>
  </si>
  <si>
    <t>KALIMUTU</t>
  </si>
  <si>
    <t>CP_SEMER</t>
  </si>
  <si>
    <t>KARTINI</t>
  </si>
  <si>
    <t>DENPASAR_BARAT2</t>
  </si>
  <si>
    <t>ULUWATU1</t>
  </si>
  <si>
    <t>DC_DENPASAR_BARAT</t>
  </si>
  <si>
    <t>SOPUTAN</t>
  </si>
  <si>
    <t>DENPASAR</t>
  </si>
  <si>
    <t>KUTA_SELATAN</t>
  </si>
  <si>
    <t>SIULAN</t>
  </si>
  <si>
    <t>SANUR_KAJA</t>
  </si>
  <si>
    <t>NUSA_KAMBANGAN</t>
  </si>
  <si>
    <t>MOYO_HULU</t>
  </si>
  <si>
    <t>PRAYA</t>
  </si>
  <si>
    <t>TCWHO131</t>
  </si>
  <si>
    <t>TCWHO231</t>
  </si>
  <si>
    <t>PEDUNGAN_1</t>
  </si>
  <si>
    <t>TEMBAU</t>
  </si>
  <si>
    <t>DPS_SALES</t>
  </si>
  <si>
    <t>PYW03A</t>
  </si>
  <si>
    <t>WHO22</t>
  </si>
  <si>
    <t>APU07A</t>
  </si>
  <si>
    <t>TNW02B</t>
  </si>
  <si>
    <t>BNL02A</t>
  </si>
  <si>
    <t>TAW02B</t>
  </si>
  <si>
    <t>BMU01A</t>
  </si>
  <si>
    <t>GIA07B</t>
  </si>
  <si>
    <t>APU05A</t>
  </si>
  <si>
    <t>KUPANG_TIMUR</t>
  </si>
  <si>
    <t>合计 Total</t>
  </si>
  <si>
    <t>a</t>
  </si>
  <si>
    <r>
      <rPr>
        <sz val="11"/>
        <color indexed="8"/>
        <rFont val="Aptos"/>
        <charset val="134"/>
      </rPr>
      <t xml:space="preserve">定义:
</t>
    </r>
    <r>
      <rPr>
        <b/>
        <sz val="11"/>
        <color rgb="FF000000"/>
        <rFont val="Aptos"/>
        <charset val="134"/>
      </rPr>
      <t xml:space="preserve">
一派质量考核项</t>
    </r>
    <r>
      <rPr>
        <sz val="11"/>
        <color rgb="FF000000"/>
        <rFont val="Aptos"/>
        <charset val="134"/>
      </rPr>
      <t xml:space="preserve">
快递员出勤准点率 = 当天当地时间06:30前打卡且当日有签收的快递员人数/ 当天已打卡且有签收的快递员人数</t>
    </r>
    <r>
      <rPr>
        <b/>
        <sz val="11"/>
        <color rgb="FF000000"/>
        <rFont val="Aptos"/>
        <charset val="134"/>
      </rPr>
      <t xml:space="preserve">
</t>
    </r>
    <r>
      <rPr>
        <sz val="11"/>
        <color indexed="8"/>
        <rFont val="Aptos"/>
        <charset val="134"/>
      </rPr>
      <t xml:space="preserve">0730出仓率 = 0730前出仓量/ 一班应签收量
1200签收率 = 1200前签收量/ 一班应签收量
一班：散货数量,按照散货班次第一班
目标：90%
</t>
    </r>
    <r>
      <rPr>
        <b/>
        <sz val="11"/>
        <color rgb="FF000000"/>
        <rFont val="Aptos"/>
        <charset val="134"/>
      </rPr>
      <t xml:space="preserve">非平台揽收及时率
</t>
    </r>
    <r>
      <rPr>
        <sz val="11"/>
        <color indexed="8"/>
        <rFont val="Aptos"/>
        <charset val="134"/>
      </rPr>
      <t xml:space="preserve">JMS - 经营指标 - 时效 - 订单收派件时效监控-DB-订单录入时间
未算订单来源 : 
SHOPEE, SHOPEECB, MAGELLAN, TOKOPEDIA, KURIRREKOMENDASI, LAZADA, BUKALAPAK, BUKASEND, BUKAEXPRESS, TTREVERSE, TOKOREVERSE
揽收操作及时率 = (实际揽收及时量 + 揽收失败及时量)/ 订单量*100%
目标：97%
</t>
    </r>
    <r>
      <rPr>
        <b/>
        <sz val="11"/>
        <color rgb="FF000000"/>
        <rFont val="Aptos"/>
        <charset val="134"/>
      </rPr>
      <t>交件准点率</t>
    </r>
    <r>
      <rPr>
        <sz val="11"/>
        <color indexed="8"/>
        <rFont val="Aptos"/>
        <charset val="134"/>
      </rPr>
      <t xml:space="preserve">
JMS - 经营指标 - 时效 - 交件准点率(新)
取值时间: 按规划到件日期统计 天-1
交件准点率: 准点交件票数 / 应交件票数*100%
目标: 93%
</t>
    </r>
    <r>
      <rPr>
        <b/>
        <sz val="11"/>
        <color rgb="FF000000"/>
        <rFont val="Aptos"/>
        <charset val="134"/>
      </rPr>
      <t>全天签收率</t>
    </r>
    <r>
      <rPr>
        <sz val="11"/>
        <color indexed="8"/>
        <rFont val="Aptos"/>
        <charset val="134"/>
      </rPr>
      <t xml:space="preserve">
JMS-经营指标-末端-实际签收(半截路由)
取值时间：T-1
如果退件 = Y，预测签收时间 + 7 天
全天签收率 = 按规划时效网点当天签收票数/应签收票数 
目标：A92%，B90%，C90%
</t>
    </r>
    <r>
      <rPr>
        <b/>
        <sz val="11"/>
        <color rgb="FF000000"/>
        <rFont val="Aptos"/>
        <charset val="134"/>
      </rPr>
      <t>非平台COD退件率</t>
    </r>
    <r>
      <rPr>
        <sz val="11"/>
        <color indexed="8"/>
        <rFont val="Aptos"/>
        <charset val="134"/>
      </rPr>
      <t xml:space="preserve">
JMS -操作平台-数据监控-退件量报表(新)
COD: Y
未算订单来源 : 
SHOPEE, SHOPEECB, MAGELLAN, TOKOPEDIA, KURIRREKOMENDASI, LAZADA, BUKALAPAK, BUKASEND, BUKAEXPRESS, TTREVERSE, TOKOREVERSE
退件量=退件登记票数-退件作废票数
退件率=退件量/派件量</t>
    </r>
  </si>
  <si>
    <r>
      <rPr>
        <sz val="11"/>
        <color indexed="8"/>
        <rFont val="Aptos"/>
        <charset val="134"/>
      </rPr>
      <t xml:space="preserve">Penjelasan:
</t>
    </r>
    <r>
      <rPr>
        <b/>
        <sz val="11"/>
        <color rgb="FF000000"/>
        <rFont val="Aptos"/>
        <charset val="134"/>
      </rPr>
      <t xml:space="preserve">
Penilaian Kualitas Delivery Ritase Pertama
</t>
    </r>
    <r>
      <rPr>
        <sz val="11"/>
        <color rgb="FF000000"/>
        <rFont val="Aptos"/>
        <charset val="134"/>
      </rPr>
      <t>Tingkat Ketepatan Waktu Kehadiran Spirnter = Jumlah sprinter yang melakukan absen sebelum 06.30 waktu setempat dan melakukan TTD/ jumlah sprinter yang melakukan absen dan melakukan TTD</t>
    </r>
    <r>
      <rPr>
        <b/>
        <sz val="11"/>
        <color rgb="FF000000"/>
        <rFont val="Aptos"/>
        <charset val="134"/>
      </rPr>
      <t xml:space="preserve">
</t>
    </r>
    <r>
      <rPr>
        <sz val="11"/>
        <color indexed="8"/>
        <rFont val="Aptos"/>
        <charset val="134"/>
      </rPr>
      <t xml:space="preserve">Persentase Deliv 7.30 = Total delivery sebelum jam 7.30/ Total Seharusnya TTD Rit 1
Persentase TTD 12.00 = Total TTD sebelum  jam 1200/ Total seharusnya TTD Rit 1
Ritase Pertama: Jumlah penyebaran paket massal kargo Rit 1
Target : 90%
</t>
    </r>
    <r>
      <rPr>
        <b/>
        <sz val="11"/>
        <color rgb="FF000000"/>
        <rFont val="Aptos"/>
        <charset val="134"/>
      </rPr>
      <t>PU Rate Non-ecomm</t>
    </r>
    <r>
      <rPr>
        <sz val="11"/>
        <color indexed="8"/>
        <rFont val="Aptos"/>
        <charset val="134"/>
      </rPr>
      <t xml:space="preserve">
JMS - Penilaian - SLA - SLA Order PU - Deliv (Refine)-Waktu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</t>
    </r>
    <r>
      <rPr>
        <b/>
        <sz val="11"/>
        <color rgb="FF000000"/>
        <rFont val="Aptos"/>
        <charset val="134"/>
      </rPr>
      <t>TPTW</t>
    </r>
    <r>
      <rPr>
        <sz val="11"/>
        <color indexed="8"/>
        <rFont val="Aptos"/>
        <charset val="134"/>
      </rPr>
      <t xml:space="preserve">
JMS - Penilaian - Laporan SLA - TPTW (New)
Waktu Penarikan: Berdasarkan Waktu Perencanaan Sampai H-1
Tingkat Pengiriman Tepat Waktu: Total kirim tepat waktu / Total seharusnya kirim
Target: 96%
</t>
    </r>
    <r>
      <rPr>
        <b/>
        <sz val="11"/>
        <color rgb="FF000000"/>
        <rFont val="Aptos"/>
        <charset val="134"/>
      </rPr>
      <t>TTD Aktual</t>
    </r>
    <r>
      <rPr>
        <sz val="11"/>
        <color indexed="8"/>
        <rFont val="Aptos"/>
        <charset val="134"/>
      </rPr>
      <t xml:space="preserve">
JMS-Penilaian-Incoming-TTD Aktual(Rute Statis)
Waktu Penarikan: T-1
Jika Retur = Y, maka waktu prediksi + 7 hari
Persentase Keseluruhan Hari TTD = Jumlah TTD Hari H/Jumlah Seharusnya TTD 
Target: A92%, B90%, C90%
</t>
    </r>
    <r>
      <rPr>
        <b/>
        <sz val="11"/>
        <color rgb="FF000000"/>
        <rFont val="Aptos"/>
        <charset val="134"/>
      </rPr>
      <t>Retur COD Non-ecomm</t>
    </r>
    <r>
      <rPr>
        <sz val="11"/>
        <color indexed="8"/>
        <rFont val="Aptos"/>
        <charset val="134"/>
      </rPr>
      <t xml:space="preserve">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</t>
    </r>
  </si>
  <si>
    <r>
      <rPr>
        <sz val="11"/>
        <color indexed="8"/>
        <rFont val="Aptos"/>
        <charset val="134"/>
      </rPr>
      <t xml:space="preserve">Penjelasan:
</t>
    </r>
    <r>
      <rPr>
        <b/>
        <sz val="11"/>
        <color rgb="FF000000"/>
        <rFont val="Aptos"/>
        <charset val="134"/>
      </rPr>
      <t xml:space="preserve">PU Rate Non-ecomm
</t>
    </r>
    <r>
      <rPr>
        <sz val="11"/>
        <color rgb="FF000000"/>
        <rFont val="Aptos"/>
        <charset val="134"/>
      </rPr>
      <t>JMS - Penilaian - SLA - SLA Order PU - Deliv (Refine)-</t>
    </r>
    <r>
      <rPr>
        <sz val="11"/>
        <color indexed="8"/>
        <rFont val="Aptos"/>
        <charset val="134"/>
      </rPr>
      <t xml:space="preserve">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</t>
    </r>
    <r>
      <rPr>
        <b/>
        <sz val="11"/>
        <color rgb="FF000000"/>
        <rFont val="Aptos"/>
        <charset val="134"/>
      </rPr>
      <t>TPTW</t>
    </r>
    <r>
      <rPr>
        <sz val="11"/>
        <color indexed="8"/>
        <rFont val="Aptos"/>
        <charset val="134"/>
      </rPr>
      <t xml:space="preserve">
JMS - Penilaian - Laporan SLA - TPTW (New)
Waktu Penarikan: Berdasarkan Waktu Perencanaan Sampai H-1
Tingkat Pengiriman Tepat Waktu: Total kirim tepat waktu / Total seharusnya kirim
Target: 96%
</t>
    </r>
    <r>
      <rPr>
        <b/>
        <sz val="11"/>
        <color rgb="FF000000"/>
        <rFont val="Aptos"/>
        <charset val="134"/>
      </rPr>
      <t>TTD Aktual</t>
    </r>
    <r>
      <rPr>
        <sz val="11"/>
        <color indexed="8"/>
        <rFont val="Aptos"/>
        <charset val="134"/>
      </rPr>
      <t xml:space="preserve">
JMS-Penilaian-Incoming-TTD Aktual(Rute Statis)
Waktu Penarikan: T-1
Jika Retur = Y, maka waktu prediksi + 7 hari
Persentase Keseluruhan Hari TTD = Jumlah TTD Hari H/Jumlah Seharusnya TTD 
Target: A92%, B90%, C90%
</t>
    </r>
    <r>
      <rPr>
        <b/>
        <sz val="11"/>
        <color rgb="FF000000"/>
        <rFont val="Aptos"/>
        <charset val="134"/>
      </rPr>
      <t>Persentase TTD EZ 3 Hari 3 kali Delivery</t>
    </r>
    <r>
      <rPr>
        <sz val="11"/>
        <color indexed="8"/>
        <rFont val="Aptos"/>
        <charset val="134"/>
      </rPr>
      <t xml:space="preserve">
JMS-Penilaian-Incoming-TTD Aktual(Rute Statis)
Waktu Penarikan: T-3, Jenis Layanan: EZ, Status Retur: N
Persentase TTD EZ 3 Hari 3 kali Delivery = jumlah pesanan EZ yang ditandatangani dalam 3 hari / jumlah pesanan EZ yang seharusnya ditandatangani
</t>
    </r>
    <r>
      <rPr>
        <b/>
        <sz val="11"/>
        <color rgb="FF000000"/>
        <rFont val="Aptos"/>
        <charset val="134"/>
      </rPr>
      <t>Retur COD Non-ecomm</t>
    </r>
    <r>
      <rPr>
        <sz val="11"/>
        <color indexed="8"/>
        <rFont val="Aptos"/>
        <charset val="134"/>
      </rPr>
      <t xml:space="preserve">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
</t>
    </r>
  </si>
  <si>
    <t>Area</t>
  </si>
  <si>
    <t>Agent</t>
  </si>
  <si>
    <t>Kode Agent</t>
  </si>
  <si>
    <t>Penilaian Kualitas Delivery Ritase Pertama</t>
  </si>
  <si>
    <t>06:30 ABSENSI</t>
  </si>
  <si>
    <t>Persentase Keluar Gudang 0730</t>
  </si>
  <si>
    <t>Persentase TTD 1200</t>
  </si>
  <si>
    <t>Pencapaian Bulanan</t>
  </si>
  <si>
    <t>Jawa - Bali</t>
  </si>
  <si>
    <t>TANGERANG</t>
  </si>
  <si>
    <t>DEPOK</t>
  </si>
  <si>
    <t>BANDUNG</t>
  </si>
  <si>
    <t>SURABAYA</t>
  </si>
  <si>
    <t>BALI</t>
  </si>
  <si>
    <t>JAKARTA</t>
  </si>
  <si>
    <t>Penilaian Kualitas Delivery Ritase Kedua</t>
  </si>
  <si>
    <t>Pencapaian Kualitas Operasional Harian</t>
  </si>
  <si>
    <t>Pencapaian TTD Delivery Kedua</t>
  </si>
  <si>
    <t xml:space="preserve">TPTW  </t>
  </si>
  <si>
    <t>Persentase TTD</t>
  </si>
  <si>
    <t>PICKUP NON-ECOMMERCE</t>
  </si>
  <si>
    <t>RETUR COD NON-ECOMMERCE</t>
  </si>
  <si>
    <t>商业模式 Model Bisnis</t>
  </si>
  <si>
    <r>
      <rPr>
        <b/>
        <sz val="11"/>
        <color rgb="FFFFFFFF"/>
        <rFont val="SimSun"/>
        <charset val="134"/>
      </rPr>
      <t>主管</t>
    </r>
    <r>
      <rPr>
        <b/>
        <sz val="11"/>
        <color rgb="FFFFFFFF"/>
        <rFont val="Aptos"/>
        <charset val="134"/>
      </rPr>
      <t xml:space="preserve"> Supervisor (SPV)</t>
    </r>
  </si>
  <si>
    <t>Franchise</t>
  </si>
  <si>
    <t>Muhammad Rahman Akbar</t>
  </si>
  <si>
    <t>Dicky Ferdiantoro</t>
  </si>
  <si>
    <t>Ardhyansyah</t>
  </si>
  <si>
    <t>Arrizal Rabin Husein</t>
  </si>
  <si>
    <t>Fahri Paisal</t>
  </si>
  <si>
    <t>Rendy Krisnandy</t>
  </si>
  <si>
    <t>Fitriyani</t>
  </si>
  <si>
    <t>Muhammad Aditya</t>
  </si>
  <si>
    <t>Khafi Agist Virli</t>
  </si>
  <si>
    <t>Gugun Gunawan</t>
  </si>
  <si>
    <t>Budi Setiyadi Nugraha</t>
  </si>
  <si>
    <t>Syahroni</t>
  </si>
  <si>
    <t>Lucas</t>
  </si>
  <si>
    <t>Rheyfalina</t>
  </si>
  <si>
    <t>CP_CIPAYUNG JAYA</t>
  </si>
  <si>
    <t>Adam irfan k</t>
  </si>
  <si>
    <t>Surya Rahmadhani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</si>
</sst>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/mm/yyyy;@"/>
    <numFmt numFmtId="181" formatCode="###,###,###,###,###,##0.00%"/>
  </numFmts>
  <fonts count="42">
    <font>
      <sz val="11"/>
      <color theme="1"/>
      <name val="Calibri"/>
      <charset val="134"/>
      <scheme val="minor"/>
    </font>
    <font>
      <b/>
      <sz val="11"/>
      <color rgb="FFFFFFFF"/>
      <name val="Aptos"/>
      <charset val="134"/>
    </font>
    <font>
      <b/>
      <sz val="11"/>
      <color rgb="FFFFFFFF"/>
      <name val="Calibri"/>
      <charset val="134"/>
      <scheme val="minor"/>
    </font>
    <font>
      <b/>
      <sz val="11"/>
      <color rgb="FFFFFFFF"/>
      <name val="SimSun"/>
      <charset val="134"/>
    </font>
    <font>
      <sz val="11"/>
      <color indexed="8"/>
      <name val="Aptos"/>
      <charset val="134"/>
    </font>
    <font>
      <sz val="11"/>
      <color indexed="8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rgb="FFFFFFFF"/>
      <name val="Microsoft YaHei"/>
      <charset val="134"/>
    </font>
    <font>
      <sz val="11"/>
      <name val="Calibri"/>
      <charset val="134"/>
      <scheme val="minor"/>
    </font>
    <font>
      <sz val="11"/>
      <color rgb="FFFF0000"/>
      <name val="Aptos"/>
      <charset val="134"/>
    </font>
    <font>
      <b/>
      <sz val="22"/>
      <color rgb="FFFFFFFF"/>
      <name val="Aptos"/>
      <charset val="134"/>
    </font>
    <font>
      <sz val="11"/>
      <color theme="1"/>
      <name val="Aptos"/>
      <charset val="134"/>
    </font>
    <font>
      <sz val="11"/>
      <color theme="1"/>
      <name val="DengXian"/>
      <charset val="134"/>
    </font>
    <font>
      <sz val="11"/>
      <color rgb="FF000000"/>
      <name val="DengXian"/>
      <charset val="134"/>
    </font>
    <font>
      <sz val="11"/>
      <color rgb="FF000000"/>
      <name val="Calibri"/>
      <charset val="134"/>
      <scheme val="minor"/>
    </font>
    <font>
      <sz val="11"/>
      <color rgb="FF000000"/>
      <name val="Arial"/>
      <charset val="134"/>
    </font>
    <font>
      <sz val="11"/>
      <color rgb="FF000000"/>
      <name val="&quot;Aptos Narrow&quot;"/>
      <charset val="134"/>
    </font>
    <font>
      <sz val="11"/>
      <color theme="1"/>
      <name val="Arial"/>
      <charset val="134"/>
    </font>
    <font>
      <sz val="11"/>
      <color theme="1" tint="0.0499893185216834"/>
      <name val="Calibri"/>
      <charset val="134"/>
      <scheme val="minor"/>
    </font>
    <font>
      <b/>
      <sz val="11"/>
      <color theme="0"/>
      <name val="Aptos"/>
      <charset val="134"/>
    </font>
    <font>
      <b/>
      <sz val="11"/>
      <name val="Apto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000000"/>
      <name val="Aptos"/>
      <charset val="134"/>
    </font>
    <font>
      <sz val="11"/>
      <color rgb="FF000000"/>
      <name val="Aptos"/>
      <charset val="134"/>
    </font>
  </fonts>
  <fills count="43">
    <fill>
      <patternFill patternType="none"/>
    </fill>
    <fill>
      <patternFill patternType="gray125"/>
    </fill>
    <fill>
      <patternFill patternType="solid">
        <fgColor rgb="FFFF11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1C7C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ECCC"/>
        <bgColor indexed="64"/>
      </patternFill>
    </fill>
    <fill>
      <patternFill patternType="solid">
        <fgColor rgb="FFFFF6D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4">
    <border>
      <left/>
      <right/>
      <top/>
      <bottom/>
      <diagonal/>
    </border>
    <border>
      <left style="medium">
        <color auto="1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theme="9" tint="0.399945066682943"/>
      </left>
      <right style="thin">
        <color theme="0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9" tint="0.399945066682943"/>
      </top>
      <bottom style="thin">
        <color theme="0"/>
      </bottom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/>
      <diagonal/>
    </border>
    <border>
      <left style="medium">
        <color theme="9" tint="0.399945066682943"/>
      </left>
      <right style="medium">
        <color theme="9" tint="0.399945066682943"/>
      </right>
      <top style="medium">
        <color theme="9" tint="0.399945066682943"/>
      </top>
      <bottom/>
      <diagonal/>
    </border>
    <border>
      <left style="medium">
        <color theme="9" tint="0.399945066682943"/>
      </left>
      <right style="medium">
        <color theme="9" tint="0.399945066682943"/>
      </right>
      <top style="medium">
        <color theme="9" tint="0.399945066682943"/>
      </top>
      <bottom style="medium">
        <color theme="9" tint="0.399945066682943"/>
      </bottom>
      <diagonal/>
    </border>
    <border>
      <left style="medium">
        <color theme="9" tint="0.399945066682943"/>
      </left>
      <right style="medium">
        <color theme="9" tint="0.399945066682943"/>
      </right>
      <top/>
      <bottom/>
      <diagonal/>
    </border>
    <border>
      <left style="medium">
        <color theme="9" tint="0.399945066682943"/>
      </left>
      <right style="medium">
        <color theme="9" tint="0.399945066682943"/>
      </right>
      <top/>
      <bottom style="medium">
        <color theme="9" tint="0.399945066682943"/>
      </bottom>
      <diagonal/>
    </border>
    <border>
      <left style="medium">
        <color theme="9" tint="0.399945066682943"/>
      </left>
      <right/>
      <top/>
      <bottom style="medium">
        <color theme="9" tint="0.399945066682943"/>
      </bottom>
      <diagonal/>
    </border>
    <border>
      <left/>
      <right/>
      <top style="medium">
        <color rgb="FFFF7C80"/>
      </top>
      <bottom style="medium">
        <color theme="9" tint="0.399945066682943"/>
      </bottom>
      <diagonal/>
    </border>
    <border>
      <left/>
      <right/>
      <top/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 style="medium">
        <color rgb="FFFF7C8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/>
      <top style="medium">
        <color theme="9" tint="0.399945066682943"/>
      </top>
      <bottom style="thin">
        <color theme="0"/>
      </bottom>
      <diagonal/>
    </border>
    <border>
      <left/>
      <right/>
      <top style="medium">
        <color theme="9" tint="0.399945066682943"/>
      </top>
      <bottom style="thin">
        <color theme="0"/>
      </bottom>
      <diagonal/>
    </border>
    <border>
      <left/>
      <right style="medium">
        <color theme="9" tint="0.399945066682943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medium">
        <color theme="9" tint="0.399945066682943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medium">
        <color theme="9" tint="0.399945066682943"/>
      </bottom>
      <diagonal/>
    </border>
    <border>
      <left style="thin">
        <color theme="0"/>
      </left>
      <right style="medium">
        <color theme="9" tint="0.399945066682943"/>
      </right>
      <top/>
      <bottom style="medium">
        <color theme="9" tint="0.399945066682943"/>
      </bottom>
      <diagonal/>
    </border>
    <border>
      <left style="thin">
        <color theme="0"/>
      </left>
      <right/>
      <top/>
      <bottom style="medium">
        <color auto="1"/>
      </bottom>
      <diagonal/>
    </border>
    <border>
      <left style="thin">
        <color theme="0"/>
      </left>
      <right style="medium">
        <color theme="9" tint="0.399945066682943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 style="thin">
        <color theme="0"/>
      </bottom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theme="9" tint="0.399945066682943"/>
      </bottom>
      <diagonal/>
    </border>
    <border>
      <left style="thin">
        <color theme="0"/>
      </left>
      <right style="medium">
        <color theme="9" tint="0.399945066682943"/>
      </right>
      <top style="medium">
        <color rgb="FFFF7C80"/>
      </top>
      <bottom style="medium">
        <color theme="9" tint="0.39994506668294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rgb="FFF1C7C7"/>
      </bottom>
      <diagonal/>
    </border>
    <border>
      <left style="thin">
        <color theme="0"/>
      </left>
      <right style="thin">
        <color auto="1"/>
      </right>
      <top/>
      <bottom style="thin">
        <color rgb="FFF1C7C7"/>
      </bottom>
      <diagonal/>
    </border>
    <border>
      <left/>
      <right/>
      <top/>
      <bottom style="thin">
        <color rgb="FFF1C7C7"/>
      </bottom>
      <diagonal/>
    </border>
    <border>
      <left style="thin">
        <color auto="1"/>
      </left>
      <right style="thin">
        <color theme="0"/>
      </right>
      <top/>
      <bottom style="thin">
        <color rgb="FFF1C7C7"/>
      </bottom>
      <diagonal/>
    </border>
    <border>
      <left/>
      <right/>
      <top style="thin">
        <color rgb="FFFFCCCC"/>
      </top>
      <bottom/>
      <diagonal/>
    </border>
    <border>
      <left style="thin">
        <color rgb="FFFFCCCC"/>
      </left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FFCCCC"/>
      </left>
      <right/>
      <top style="thin">
        <color rgb="FFFFCCCC"/>
      </top>
      <bottom style="thin">
        <color rgb="FFFFCCCC"/>
      </bottom>
      <diagonal/>
    </border>
    <border>
      <left/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FFCCCC"/>
      </left>
      <right style="thin">
        <color rgb="FFFFCCCC"/>
      </right>
      <top style="thin">
        <color rgb="FFFFCCCC"/>
      </top>
      <bottom/>
      <diagonal/>
    </border>
    <border>
      <left style="thin">
        <color rgb="FFF1C7C7"/>
      </left>
      <right/>
      <top style="thin">
        <color rgb="FFF1C7C7"/>
      </top>
      <bottom style="thin">
        <color rgb="FFF1C7C7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theme="0"/>
      </left>
      <right/>
      <top style="thin">
        <color rgb="FFF1C7C7"/>
      </top>
      <bottom style="thin">
        <color theme="0"/>
      </bottom>
      <diagonal/>
    </border>
    <border>
      <left/>
      <right/>
      <top style="thin">
        <color rgb="FFF1C7C7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4" borderId="8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87" applyNumberFormat="0" applyFill="0" applyAlignment="0" applyProtection="0">
      <alignment vertical="center"/>
    </xf>
    <xf numFmtId="0" fontId="27" fillId="0" borderId="87" applyNumberFormat="0" applyFill="0" applyAlignment="0" applyProtection="0">
      <alignment vertical="center"/>
    </xf>
    <xf numFmtId="0" fontId="28" fillId="0" borderId="8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5" borderId="89" applyNumberFormat="0" applyAlignment="0" applyProtection="0">
      <alignment vertical="center"/>
    </xf>
    <xf numFmtId="0" fontId="30" fillId="16" borderId="90" applyNumberFormat="0" applyAlignment="0" applyProtection="0">
      <alignment vertical="center"/>
    </xf>
    <xf numFmtId="0" fontId="31" fillId="16" borderId="89" applyNumberFormat="0" applyAlignment="0" applyProtection="0">
      <alignment vertical="center"/>
    </xf>
    <xf numFmtId="0" fontId="32" fillId="17" borderId="91" applyNumberFormat="0" applyAlignment="0" applyProtection="0">
      <alignment vertical="center"/>
    </xf>
    <xf numFmtId="0" fontId="33" fillId="0" borderId="92" applyNumberFormat="0" applyFill="0" applyAlignment="0" applyProtection="0">
      <alignment vertical="center"/>
    </xf>
    <xf numFmtId="0" fontId="34" fillId="0" borderId="93" applyNumberFormat="0" applyFill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5" fillId="0" borderId="0"/>
    <xf numFmtId="0" fontId="5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</cellStyleXfs>
  <cellXfs count="2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4" fillId="3" borderId="10" xfId="0" applyFont="1" applyFill="1" applyBorder="1">
      <alignment vertical="center"/>
    </xf>
    <xf numFmtId="0" fontId="0" fillId="0" borderId="11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>
      <alignment vertical="center"/>
    </xf>
    <xf numFmtId="0" fontId="4" fillId="3" borderId="14" xfId="0" applyFont="1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0" fontId="4" fillId="3" borderId="14" xfId="0" applyNumberFormat="1" applyFont="1" applyFill="1" applyBorder="1">
      <alignment vertical="center"/>
    </xf>
    <xf numFmtId="10" fontId="0" fillId="0" borderId="13" xfId="0" applyNumberFormat="1" applyBorder="1">
      <alignment vertical="center"/>
    </xf>
    <xf numFmtId="10" fontId="0" fillId="0" borderId="13" xfId="0" applyNumberFormat="1" applyBorder="1" applyAlignment="1">
      <alignment horizontal="center" vertical="center"/>
    </xf>
    <xf numFmtId="10" fontId="0" fillId="0" borderId="15" xfId="0" applyNumberFormat="1" applyBorder="1" applyAlignment="1">
      <alignment horizontal="center" vertical="center"/>
    </xf>
    <xf numFmtId="0" fontId="0" fillId="0" borderId="13" xfId="0" applyNumberFormat="1" applyBorder="1">
      <alignment vertical="center"/>
    </xf>
    <xf numFmtId="10" fontId="4" fillId="3" borderId="16" xfId="0" applyNumberFormat="1" applyFont="1" applyFill="1" applyBorder="1">
      <alignment vertical="center"/>
    </xf>
    <xf numFmtId="10" fontId="0" fillId="0" borderId="17" xfId="0" applyNumberFormat="1" applyBorder="1">
      <alignment vertical="center"/>
    </xf>
    <xf numFmtId="10" fontId="0" fillId="0" borderId="17" xfId="0" applyNumberFormat="1" applyBorder="1" applyAlignment="1">
      <alignment horizontal="center" vertical="center"/>
    </xf>
    <xf numFmtId="10" fontId="0" fillId="0" borderId="18" xfId="0" applyNumberFormat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58" fontId="2" fillId="2" borderId="9" xfId="0" applyNumberFormat="1" applyFont="1" applyFill="1" applyBorder="1" applyAlignment="1">
      <alignment horizontal="center" vertical="center" wrapText="1"/>
    </xf>
    <xf numFmtId="180" fontId="2" fillId="2" borderId="9" xfId="0" applyNumberFormat="1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/>
    </xf>
    <xf numFmtId="10" fontId="5" fillId="4" borderId="27" xfId="3" applyNumberFormat="1" applyFont="1" applyFill="1" applyBorder="1" applyAlignment="1">
      <alignment horizontal="center"/>
    </xf>
    <xf numFmtId="10" fontId="5" fillId="0" borderId="27" xfId="3" applyNumberFormat="1" applyFont="1" applyFill="1" applyBorder="1" applyAlignment="1">
      <alignment horizontal="center"/>
    </xf>
    <xf numFmtId="181" fontId="5" fillId="4" borderId="27" xfId="0" applyNumberFormat="1" applyFont="1" applyFill="1" applyBorder="1" applyAlignment="1">
      <alignment horizontal="center" vertical="center"/>
    </xf>
    <xf numFmtId="10" fontId="5" fillId="0" borderId="27" xfId="3" applyNumberFormat="1" applyFont="1" applyBorder="1" applyAlignment="1">
      <alignment horizontal="center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10" fontId="2" fillId="5" borderId="33" xfId="3" applyNumberFormat="1" applyFont="1" applyFill="1" applyBorder="1" applyAlignment="1">
      <alignment horizontal="center" vertical="center" wrapText="1"/>
    </xf>
    <xf numFmtId="10" fontId="6" fillId="5" borderId="33" xfId="3" applyNumberFormat="1" applyFont="1" applyFill="1" applyBorder="1" applyAlignment="1">
      <alignment horizontal="center" vertical="center" wrapText="1"/>
    </xf>
    <xf numFmtId="10" fontId="2" fillId="2" borderId="34" xfId="3" applyNumberFormat="1" applyFon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1" fillId="2" borderId="22" xfId="50" applyFont="1" applyFill="1" applyBorder="1" applyAlignment="1">
      <alignment horizontal="center" vertical="center" wrapText="1"/>
    </xf>
    <xf numFmtId="0" fontId="7" fillId="2" borderId="23" xfId="50" applyFont="1" applyFill="1" applyBorder="1" applyAlignment="1">
      <alignment horizontal="center" vertical="center" wrapText="1"/>
    </xf>
    <xf numFmtId="0" fontId="7" fillId="2" borderId="41" xfId="5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58" fontId="2" fillId="2" borderId="43" xfId="0" applyNumberFormat="1" applyFont="1" applyFill="1" applyBorder="1" applyAlignment="1">
      <alignment horizontal="center" vertical="center" wrapText="1"/>
    </xf>
    <xf numFmtId="10" fontId="5" fillId="4" borderId="27" xfId="0" applyNumberFormat="1" applyFont="1" applyFill="1" applyBorder="1" applyAlignment="1">
      <alignment horizontal="center" vertical="center"/>
    </xf>
    <xf numFmtId="10" fontId="5" fillId="0" borderId="27" xfId="0" applyNumberFormat="1" applyFont="1" applyBorder="1" applyAlignment="1">
      <alignment horizontal="center" vertical="center"/>
    </xf>
    <xf numFmtId="181" fontId="5" fillId="0" borderId="27" xfId="0" applyNumberFormat="1" applyFont="1" applyBorder="1" applyAlignment="1">
      <alignment horizontal="center" vertical="center"/>
    </xf>
    <xf numFmtId="10" fontId="2" fillId="2" borderId="32" xfId="3" applyNumberFormat="1" applyFont="1" applyFill="1" applyBorder="1" applyAlignment="1">
      <alignment horizontal="center" vertical="center" wrapText="1"/>
    </xf>
    <xf numFmtId="10" fontId="2" fillId="2" borderId="44" xfId="3" applyNumberFormat="1" applyFont="1" applyFill="1" applyBorder="1" applyAlignment="1">
      <alignment horizontal="center" vertical="center" wrapText="1"/>
    </xf>
    <xf numFmtId="10" fontId="2" fillId="5" borderId="45" xfId="3" applyNumberFormat="1" applyFont="1" applyFill="1" applyBorder="1" applyAlignment="1">
      <alignment horizontal="center" vertical="center" wrapText="1"/>
    </xf>
    <xf numFmtId="10" fontId="2" fillId="5" borderId="46" xfId="3" applyNumberFormat="1" applyFont="1" applyFill="1" applyBorder="1" applyAlignment="1">
      <alignment horizontal="center" vertical="center" wrapText="1"/>
    </xf>
    <xf numFmtId="10" fontId="2" fillId="2" borderId="33" xfId="3" applyNumberFormat="1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47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180" fontId="2" fillId="2" borderId="50" xfId="0" applyNumberFormat="1" applyFont="1" applyFill="1" applyBorder="1" applyAlignment="1">
      <alignment horizontal="center" vertical="center" wrapText="1"/>
    </xf>
    <xf numFmtId="58" fontId="2" fillId="2" borderId="50" xfId="0" applyNumberFormat="1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10" fontId="5" fillId="4" borderId="27" xfId="3" applyNumberFormat="1" applyFont="1" applyFill="1" applyBorder="1" applyAlignment="1">
      <alignment horizontal="center" vertical="center"/>
    </xf>
    <xf numFmtId="10" fontId="8" fillId="0" borderId="27" xfId="0" applyNumberFormat="1" applyFont="1" applyBorder="1" applyAlignment="1">
      <alignment horizontal="center" vertical="center"/>
    </xf>
    <xf numFmtId="10" fontId="2" fillId="2" borderId="52" xfId="3" applyNumberFormat="1" applyFont="1" applyFill="1" applyBorder="1" applyAlignment="1">
      <alignment horizontal="center" vertical="center" wrapText="1"/>
    </xf>
    <xf numFmtId="10" fontId="2" fillId="5" borderId="53" xfId="3" applyNumberFormat="1" applyFont="1" applyFill="1" applyBorder="1" applyAlignment="1">
      <alignment horizontal="center" vertical="center" wrapText="1"/>
    </xf>
    <xf numFmtId="0" fontId="4" fillId="6" borderId="0" xfId="0" applyFont="1" applyFill="1" applyAlignment="1"/>
    <xf numFmtId="0" fontId="4" fillId="7" borderId="0" xfId="0" applyFont="1" applyFill="1" applyAlignment="1"/>
    <xf numFmtId="0" fontId="4" fillId="8" borderId="0" xfId="0" applyFont="1" applyFill="1" applyAlignment="1"/>
    <xf numFmtId="0" fontId="4" fillId="0" borderId="0" xfId="0" applyFont="1" applyAlignment="1"/>
    <xf numFmtId="0" fontId="4" fillId="0" borderId="0" xfId="0" applyFont="1" applyAlignment="1">
      <alignment wrapText="1"/>
    </xf>
    <xf numFmtId="0" fontId="9" fillId="0" borderId="0" xfId="0" applyFont="1" applyAlignment="1"/>
    <xf numFmtId="0" fontId="4" fillId="5" borderId="0" xfId="0" applyFont="1" applyFill="1" applyAlignment="1"/>
    <xf numFmtId="0" fontId="10" fillId="5" borderId="0" xfId="0" applyFont="1" applyFill="1" applyAlignment="1">
      <alignment horizontal="center" vertical="center" wrapText="1"/>
    </xf>
    <xf numFmtId="0" fontId="9" fillId="5" borderId="0" xfId="0" applyFont="1" applyFill="1" applyAlignment="1"/>
    <xf numFmtId="58" fontId="4" fillId="0" borderId="0" xfId="0" applyNumberFormat="1" applyFont="1" applyAlignment="1"/>
    <xf numFmtId="0" fontId="4" fillId="3" borderId="0" xfId="0" applyFont="1" applyFill="1" applyAlignment="1"/>
    <xf numFmtId="0" fontId="10" fillId="3" borderId="0" xfId="0" applyFont="1" applyFill="1" applyAlignment="1">
      <alignment horizontal="center" vertical="center" wrapText="1"/>
    </xf>
    <xf numFmtId="0" fontId="11" fillId="3" borderId="15" xfId="0" applyFont="1" applyFill="1" applyBorder="1" applyAlignment="1">
      <alignment horizontal="left" vertical="top" wrapText="1"/>
    </xf>
    <xf numFmtId="0" fontId="11" fillId="3" borderId="54" xfId="0" applyFont="1" applyFill="1" applyBorder="1" applyAlignment="1">
      <alignment horizontal="left" vertical="top" wrapText="1"/>
    </xf>
    <xf numFmtId="0" fontId="11" fillId="3" borderId="55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56" xfId="0" applyFont="1" applyFill="1" applyBorder="1" applyAlignment="1">
      <alignment horizontal="center" vertical="center" wrapText="1"/>
    </xf>
    <xf numFmtId="0" fontId="1" fillId="2" borderId="57" xfId="0" applyFont="1" applyFill="1" applyBorder="1" applyAlignment="1">
      <alignment horizontal="center" vertical="center" wrapText="1"/>
    </xf>
    <xf numFmtId="0" fontId="1" fillId="2" borderId="5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" fillId="2" borderId="59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6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61" xfId="0" applyFont="1" applyFill="1" applyBorder="1" applyAlignment="1">
      <alignment horizontal="center" vertical="center" wrapText="1"/>
    </xf>
    <xf numFmtId="0" fontId="1" fillId="2" borderId="62" xfId="0" applyFont="1" applyFill="1" applyBorder="1" applyAlignment="1">
      <alignment horizontal="center" vertical="center" wrapText="1"/>
    </xf>
    <xf numFmtId="0" fontId="1" fillId="2" borderId="63" xfId="0" applyFont="1" applyFill="1" applyBorder="1" applyAlignment="1">
      <alignment horizontal="center" vertical="center" wrapText="1"/>
    </xf>
    <xf numFmtId="0" fontId="7" fillId="2" borderId="6" xfId="5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80" fontId="4" fillId="0" borderId="0" xfId="0" applyNumberFormat="1" applyFont="1" applyAlignment="1"/>
    <xf numFmtId="0" fontId="1" fillId="2" borderId="64" xfId="0" applyFont="1" applyFill="1" applyBorder="1" applyAlignment="1">
      <alignment horizontal="center" vertical="center" wrapText="1"/>
    </xf>
    <xf numFmtId="0" fontId="1" fillId="2" borderId="65" xfId="0" applyFont="1" applyFill="1" applyBorder="1" applyAlignment="1">
      <alignment horizontal="center" vertical="center" wrapText="1"/>
    </xf>
    <xf numFmtId="0" fontId="1" fillId="2" borderId="66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58" fontId="1" fillId="2" borderId="9" xfId="0" applyNumberFormat="1" applyFont="1" applyFill="1" applyBorder="1" applyAlignment="1">
      <alignment horizontal="center" vertical="center" wrapText="1"/>
    </xf>
    <xf numFmtId="180" fontId="1" fillId="2" borderId="9" xfId="0" applyNumberFormat="1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4" fillId="9" borderId="68" xfId="0" applyFont="1" applyFill="1" applyBorder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10" fontId="4" fillId="10" borderId="69" xfId="3" applyNumberFormat="1" applyFont="1" applyFill="1" applyBorder="1" applyAlignment="1">
      <alignment horizontal="center"/>
    </xf>
    <xf numFmtId="181" fontId="4" fillId="0" borderId="69" xfId="0" applyNumberFormat="1" applyFont="1" applyBorder="1" applyAlignment="1">
      <alignment horizontal="center" vertical="center"/>
    </xf>
    <xf numFmtId="181" fontId="4" fillId="0" borderId="70" xfId="0" applyNumberFormat="1" applyFont="1" applyBorder="1" applyAlignment="1">
      <alignment horizontal="center" vertical="center"/>
    </xf>
    <xf numFmtId="10" fontId="5" fillId="10" borderId="0" xfId="3" applyNumberFormat="1" applyFont="1" applyFill="1" applyBorder="1" applyAlignment="1">
      <alignment horizontal="center" vertical="center"/>
    </xf>
    <xf numFmtId="181" fontId="4" fillId="0" borderId="71" xfId="0" applyNumberFormat="1" applyFont="1" applyBorder="1" applyAlignment="1">
      <alignment horizontal="center" vertical="center"/>
    </xf>
    <xf numFmtId="10" fontId="4" fillId="0" borderId="69" xfId="3" applyNumberFormat="1" applyFont="1" applyFill="1" applyBorder="1" applyAlignment="1">
      <alignment horizontal="center"/>
    </xf>
    <xf numFmtId="10" fontId="4" fillId="0" borderId="70" xfId="3" applyNumberFormat="1" applyFont="1" applyFill="1" applyBorder="1" applyAlignment="1">
      <alignment horizontal="center"/>
    </xf>
    <xf numFmtId="181" fontId="5" fillId="10" borderId="0" xfId="0" applyNumberFormat="1" applyFont="1" applyFill="1" applyAlignment="1">
      <alignment horizontal="center" vertical="center"/>
    </xf>
    <xf numFmtId="10" fontId="4" fillId="0" borderId="71" xfId="3" applyNumberFormat="1" applyFont="1" applyBorder="1" applyAlignment="1">
      <alignment horizontal="center"/>
    </xf>
    <xf numFmtId="10" fontId="4" fillId="0" borderId="69" xfId="3" applyNumberFormat="1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6" borderId="68" xfId="0" applyFont="1" applyFill="1" applyBorder="1">
      <alignment vertical="center"/>
    </xf>
    <xf numFmtId="0" fontId="4" fillId="6" borderId="0" xfId="0" applyFont="1" applyFill="1" applyAlignment="1">
      <alignment horizontal="center"/>
    </xf>
    <xf numFmtId="0" fontId="4" fillId="6" borderId="0" xfId="0" applyFont="1" applyFill="1" applyAlignment="1">
      <alignment horizontal="left"/>
    </xf>
    <xf numFmtId="10" fontId="4" fillId="6" borderId="69" xfId="3" applyNumberFormat="1" applyFont="1" applyFill="1" applyBorder="1" applyAlignment="1">
      <alignment horizontal="center"/>
    </xf>
    <xf numFmtId="181" fontId="4" fillId="6" borderId="69" xfId="0" applyNumberFormat="1" applyFont="1" applyFill="1" applyBorder="1" applyAlignment="1">
      <alignment horizontal="center" vertical="center"/>
    </xf>
    <xf numFmtId="181" fontId="4" fillId="6" borderId="70" xfId="0" applyNumberFormat="1" applyFont="1" applyFill="1" applyBorder="1" applyAlignment="1">
      <alignment horizontal="center" vertical="center"/>
    </xf>
    <xf numFmtId="181" fontId="4" fillId="6" borderId="71" xfId="0" applyNumberFormat="1" applyFont="1" applyFill="1" applyBorder="1" applyAlignment="1">
      <alignment horizontal="center" vertical="center"/>
    </xf>
    <xf numFmtId="10" fontId="5" fillId="6" borderId="0" xfId="3" applyNumberFormat="1" applyFont="1" applyFill="1" applyBorder="1" applyAlignment="1">
      <alignment horizontal="center" vertical="center"/>
    </xf>
    <xf numFmtId="181" fontId="4" fillId="6" borderId="72" xfId="0" applyNumberFormat="1" applyFont="1" applyFill="1" applyBorder="1" applyAlignment="1">
      <alignment horizontal="center" vertical="center"/>
    </xf>
    <xf numFmtId="0" fontId="5" fillId="9" borderId="0" xfId="0" applyFont="1" applyFill="1" applyAlignment="1">
      <alignment horizontal="left" vertical="center"/>
    </xf>
    <xf numFmtId="0" fontId="12" fillId="0" borderId="0" xfId="0" applyFont="1" applyAlignment="1"/>
    <xf numFmtId="0" fontId="5" fillId="6" borderId="0" xfId="0" applyFont="1" applyFill="1" applyAlignment="1">
      <alignment horizontal="left" vertical="center"/>
    </xf>
    <xf numFmtId="0" fontId="5" fillId="6" borderId="0" xfId="0" applyFont="1" applyFill="1">
      <alignment vertical="center"/>
    </xf>
    <xf numFmtId="0" fontId="13" fillId="0" borderId="0" xfId="0" applyFont="1" applyAlignment="1">
      <alignment horizontal="left" vertical="center"/>
    </xf>
    <xf numFmtId="181" fontId="4" fillId="10" borderId="69" xfId="0" applyNumberFormat="1" applyFont="1" applyFill="1" applyBorder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center" vertical="center"/>
    </xf>
    <xf numFmtId="10" fontId="4" fillId="6" borderId="71" xfId="3" applyNumberFormat="1" applyFont="1" applyFill="1" applyBorder="1" applyAlignment="1">
      <alignment horizontal="center"/>
    </xf>
    <xf numFmtId="0" fontId="5" fillId="11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9" fillId="6" borderId="0" xfId="0" applyFont="1" applyFill="1" applyAlignment="1">
      <alignment horizontal="left" vertical="center"/>
    </xf>
    <xf numFmtId="10" fontId="9" fillId="6" borderId="71" xfId="3" applyNumberFormat="1" applyFont="1" applyFill="1" applyBorder="1" applyAlignment="1">
      <alignment horizontal="center"/>
    </xf>
    <xf numFmtId="181" fontId="9" fillId="6" borderId="69" xfId="0" applyNumberFormat="1" applyFont="1" applyFill="1" applyBorder="1" applyAlignment="1">
      <alignment horizontal="center" vertical="center"/>
    </xf>
    <xf numFmtId="10" fontId="9" fillId="6" borderId="69" xfId="3" applyNumberFormat="1" applyFont="1" applyFill="1" applyBorder="1" applyAlignment="1">
      <alignment horizontal="center"/>
    </xf>
    <xf numFmtId="0" fontId="5" fillId="0" borderId="0" xfId="0" applyFont="1">
      <alignment vertical="center"/>
    </xf>
    <xf numFmtId="0" fontId="0" fillId="0" borderId="0" xfId="0" applyAlignment="1"/>
    <xf numFmtId="0" fontId="12" fillId="0" borderId="0" xfId="0" applyFont="1">
      <alignment vertical="center"/>
    </xf>
    <xf numFmtId="0" fontId="4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10" fontId="4" fillId="6" borderId="0" xfId="3" applyNumberFormat="1" applyFont="1" applyFill="1" applyBorder="1" applyAlignment="1">
      <alignment horizontal="center"/>
    </xf>
    <xf numFmtId="181" fontId="4" fillId="6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5" fillId="9" borderId="73" xfId="0" applyFont="1" applyFill="1" applyBorder="1" applyAlignment="1">
      <alignment horizontal="left" vertical="center"/>
    </xf>
    <xf numFmtId="0" fontId="14" fillId="0" borderId="74" xfId="0" applyFont="1" applyBorder="1" applyAlignment="1">
      <alignment horizontal="left" vertical="center"/>
    </xf>
    <xf numFmtId="0" fontId="14" fillId="0" borderId="75" xfId="0" applyFont="1" applyBorder="1" applyAlignment="1">
      <alignment horizontal="left" vertical="center"/>
    </xf>
    <xf numFmtId="0" fontId="14" fillId="0" borderId="74" xfId="0" applyFont="1" applyBorder="1" applyAlignment="1">
      <alignment horizontal="left"/>
    </xf>
    <xf numFmtId="0" fontId="14" fillId="0" borderId="75" xfId="0" applyFont="1" applyBorder="1" applyAlignment="1">
      <alignment horizontal="left"/>
    </xf>
    <xf numFmtId="0" fontId="14" fillId="0" borderId="74" xfId="0" applyFont="1" applyBorder="1" applyAlignment="1"/>
    <xf numFmtId="0" fontId="14" fillId="0" borderId="75" xfId="0" applyFont="1" applyBorder="1" applyAlignment="1"/>
    <xf numFmtId="0" fontId="14" fillId="12" borderId="74" xfId="0" applyFont="1" applyFill="1" applyBorder="1" applyAlignment="1">
      <alignment horizontal="left"/>
    </xf>
    <xf numFmtId="0" fontId="14" fillId="12" borderId="75" xfId="0" applyFont="1" applyFill="1" applyBorder="1" applyAlignment="1">
      <alignment horizontal="left"/>
    </xf>
    <xf numFmtId="0" fontId="5" fillId="12" borderId="74" xfId="0" applyFont="1" applyFill="1" applyBorder="1">
      <alignment vertical="center"/>
    </xf>
    <xf numFmtId="0" fontId="5" fillId="12" borderId="75" xfId="0" applyFont="1" applyFill="1" applyBorder="1">
      <alignment vertical="center"/>
    </xf>
    <xf numFmtId="0" fontId="14" fillId="12" borderId="74" xfId="0" applyFont="1" applyFill="1" applyBorder="1" applyAlignment="1">
      <alignment horizontal="left" vertical="center"/>
    </xf>
    <xf numFmtId="0" fontId="14" fillId="12" borderId="75" xfId="0" applyFont="1" applyFill="1" applyBorder="1" applyAlignment="1">
      <alignment horizontal="left" vertical="center"/>
    </xf>
    <xf numFmtId="181" fontId="4" fillId="8" borderId="69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181" fontId="4" fillId="8" borderId="0" xfId="0" applyNumberFormat="1" applyFont="1" applyFill="1" applyAlignment="1">
      <alignment horizontal="center" vertical="center"/>
    </xf>
    <xf numFmtId="0" fontId="18" fillId="0" borderId="0" xfId="0" applyFont="1" applyAlignment="1"/>
    <xf numFmtId="0" fontId="18" fillId="0" borderId="0" xfId="49" applyFont="1"/>
    <xf numFmtId="0" fontId="8" fillId="0" borderId="0" xfId="0" applyFont="1" applyAlignment="1"/>
    <xf numFmtId="0" fontId="1" fillId="2" borderId="76" xfId="0" applyFont="1" applyFill="1" applyBorder="1" applyAlignment="1">
      <alignment horizontal="center" vertical="center" wrapText="1"/>
    </xf>
    <xf numFmtId="0" fontId="1" fillId="2" borderId="77" xfId="0" applyFont="1" applyFill="1" applyBorder="1" applyAlignment="1">
      <alignment horizontal="center" vertical="center" wrapText="1"/>
    </xf>
    <xf numFmtId="10" fontId="1" fillId="2" borderId="78" xfId="3" applyNumberFormat="1" applyFont="1" applyFill="1" applyBorder="1" applyAlignment="1">
      <alignment horizontal="center" vertical="center" wrapText="1"/>
    </xf>
    <xf numFmtId="10" fontId="1" fillId="13" borderId="78" xfId="3" applyNumberFormat="1" applyFont="1" applyFill="1" applyBorder="1" applyAlignment="1">
      <alignment horizontal="center" vertical="center" wrapText="1"/>
    </xf>
    <xf numFmtId="181" fontId="19" fillId="13" borderId="69" xfId="0" applyNumberFormat="1" applyFont="1" applyFill="1" applyBorder="1" applyAlignment="1">
      <alignment horizontal="center" vertical="center"/>
    </xf>
    <xf numFmtId="10" fontId="19" fillId="13" borderId="78" xfId="3" applyNumberFormat="1" applyFont="1" applyFill="1" applyBorder="1" applyAlignment="1">
      <alignment horizontal="center" vertical="center" wrapText="1"/>
    </xf>
    <xf numFmtId="10" fontId="6" fillId="13" borderId="0" xfId="3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10" fontId="1" fillId="3" borderId="0" xfId="3" applyNumberFormat="1" applyFont="1" applyFill="1" applyBorder="1" applyAlignment="1">
      <alignment horizontal="center" vertical="center" wrapText="1"/>
    </xf>
    <xf numFmtId="10" fontId="20" fillId="3" borderId="0" xfId="3" applyNumberFormat="1" applyFont="1" applyFill="1" applyBorder="1" applyAlignment="1">
      <alignment horizontal="center" vertical="center" wrapText="1"/>
    </xf>
    <xf numFmtId="0" fontId="9" fillId="5" borderId="0" xfId="0" applyFont="1" applyFill="1" applyAlignment="1">
      <alignment wrapText="1"/>
    </xf>
    <xf numFmtId="0" fontId="9" fillId="5" borderId="0" xfId="0" applyFont="1" applyFill="1" applyAlignment="1">
      <alignment horizontal="center" vertical="center"/>
    </xf>
    <xf numFmtId="10" fontId="9" fillId="5" borderId="0" xfId="3" applyNumberFormat="1" applyFont="1" applyFill="1" applyBorder="1" applyAlignment="1">
      <alignment horizontal="center"/>
    </xf>
    <xf numFmtId="181" fontId="9" fillId="5" borderId="0" xfId="0" applyNumberFormat="1" applyFont="1" applyFill="1" applyAlignment="1">
      <alignment horizontal="center" vertical="center"/>
    </xf>
    <xf numFmtId="0" fontId="4" fillId="0" borderId="7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80" xfId="0" applyFont="1" applyBorder="1" applyAlignment="1">
      <alignment horizontal="left" vertical="top" wrapText="1"/>
    </xf>
    <xf numFmtId="0" fontId="4" fillId="0" borderId="81" xfId="0" applyFont="1" applyBorder="1" applyAlignment="1">
      <alignment horizontal="left" vertical="top" wrapText="1"/>
    </xf>
    <xf numFmtId="0" fontId="4" fillId="0" borderId="82" xfId="0" applyFont="1" applyBorder="1" applyAlignment="1">
      <alignment horizontal="left" vertical="top" wrapText="1"/>
    </xf>
    <xf numFmtId="0" fontId="4" fillId="0" borderId="83" xfId="0" applyFont="1" applyBorder="1" applyAlignment="1">
      <alignment horizontal="left" vertical="top" wrapText="1"/>
    </xf>
    <xf numFmtId="0" fontId="4" fillId="0" borderId="84" xfId="0" applyFont="1" applyBorder="1" applyAlignment="1">
      <alignment horizontal="left" vertical="top" wrapText="1"/>
    </xf>
    <xf numFmtId="0" fontId="4" fillId="0" borderId="85" xfId="0" applyFont="1" applyBorder="1" applyAlignment="1">
      <alignment horizontal="left" vertical="top" wrapText="1"/>
    </xf>
    <xf numFmtId="0" fontId="0" fillId="0" borderId="13" xfId="0" applyBorder="1" quotePrefix="1">
      <alignment vertic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  <cellStyle name="Percent 2" xfId="52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4.xml"/><Relationship Id="rId8" Type="http://schemas.openxmlformats.org/officeDocument/2006/relationships/externalLink" Target="externalLinks/externalLink3.xml"/><Relationship Id="rId7" Type="http://schemas.openxmlformats.org/officeDocument/2006/relationships/externalLink" Target="externalLinks/externalLink2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externalLink" Target="externalLinks/externalLink10.xml"/><Relationship Id="rId14" Type="http://schemas.openxmlformats.org/officeDocument/2006/relationships/externalLink" Target="externalLinks/externalLink9.xml"/><Relationship Id="rId13" Type="http://schemas.openxmlformats.org/officeDocument/2006/relationships/externalLink" Target="externalLinks/externalLink8.xml"/><Relationship Id="rId12" Type="http://schemas.openxmlformats.org/officeDocument/2006/relationships/externalLink" Target="externalLinks/externalLink7.xml"/><Relationship Id="rId11" Type="http://schemas.openxmlformats.org/officeDocument/2006/relationships/externalLink" Target="externalLinks/externalLink6.xml"/><Relationship Id="rId10" Type="http://schemas.openxmlformats.org/officeDocument/2006/relationships/externalLink" Target="externalLinks/externalLink5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cuments\Data%20Dashboard%20Denni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DB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DB%20DROPPOINT_AGUSTUS_2026%20(AGENT18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List%20DP%20Aktif%20Bali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LIST%20RM%20SUB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AG16%20-%20BANDUNG%20-%20Update%20Data%20DP%2030%20Juli%202026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AG13%20-%20BEKASI%20-%20Update%20Data%20DP%2030%20Juli%202026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cuments\AG40\Keluar%20Gudang%207.30%20&amp;%20TTD%2012.00\L2%20-%20AGENT40%20-%20%250730%20&amp;%20%25TTD12.00%20-%2022%20JUL%202026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DATA%20DP%20AGENT%20BOGOR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INFORMASI%20DP_DROP%20POINT%20AKTIF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er DP"/>
      <sheetName val="Raw Abnsensi"/>
      <sheetName val="Raw Abnsensi (2)"/>
      <sheetName val="Raw Deliv TTD 730 1200"/>
      <sheetName val="TTD rit 2"/>
      <sheetName val="Raw TPTW TTD"/>
      <sheetName val="Raw PU Non Ecom"/>
      <sheetName val="Raw Retur COD Non Ecom"/>
      <sheetName val="非平台目标 Target Non Ec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 DP"/>
    </sheetNames>
    <sheetDataSet>
      <sheetData sheetId="0">
        <row r="2">
          <cell r="C2" t="str">
            <v>NAMA DP</v>
          </cell>
        </row>
        <row r="2">
          <cell r="F2" t="str">
            <v>MANAGER KOTA</v>
          </cell>
        </row>
        <row r="3">
          <cell r="C3" t="str">
            <v>BANJARNEGARA</v>
          </cell>
        </row>
        <row r="3">
          <cell r="F3" t="str">
            <v>AGUS</v>
          </cell>
        </row>
        <row r="4">
          <cell r="C4" t="str">
            <v>KLAMPOK</v>
          </cell>
        </row>
        <row r="4">
          <cell r="F4" t="str">
            <v>AGUS</v>
          </cell>
        </row>
        <row r="5">
          <cell r="C5" t="str">
            <v>KARANG_KOBAR</v>
          </cell>
        </row>
        <row r="5">
          <cell r="F5" t="str">
            <v>AGUS</v>
          </cell>
        </row>
        <row r="6">
          <cell r="C6" t="str">
            <v>BAWANG</v>
          </cell>
        </row>
        <row r="6">
          <cell r="F6" t="str">
            <v>AGUS</v>
          </cell>
        </row>
        <row r="7">
          <cell r="C7" t="str">
            <v>WANADADI</v>
          </cell>
        </row>
        <row r="7">
          <cell r="F7" t="str">
            <v>AGUS</v>
          </cell>
        </row>
        <row r="8">
          <cell r="C8" t="str">
            <v>SIGALUH</v>
          </cell>
        </row>
        <row r="8">
          <cell r="F8" t="str">
            <v>AGUS</v>
          </cell>
        </row>
        <row r="9">
          <cell r="C9" t="str">
            <v>PUNGGELAN01</v>
          </cell>
        </row>
        <row r="9">
          <cell r="F9" t="str">
            <v>AGUS</v>
          </cell>
        </row>
        <row r="10">
          <cell r="C10" t="str">
            <v>MANDIRAJA01</v>
          </cell>
        </row>
        <row r="10">
          <cell r="F10" t="str">
            <v>AGUS</v>
          </cell>
        </row>
        <row r="11">
          <cell r="C11" t="str">
            <v>PEJAWARAN</v>
          </cell>
        </row>
        <row r="11">
          <cell r="F11" t="str">
            <v>AGUS</v>
          </cell>
        </row>
        <row r="12">
          <cell r="C12" t="str">
            <v>KAJEN</v>
          </cell>
        </row>
        <row r="12">
          <cell r="F12" t="str">
            <v>AI RIFIAN</v>
          </cell>
        </row>
        <row r="13">
          <cell r="C13" t="str">
            <v>BOJONG</v>
          </cell>
        </row>
        <row r="13">
          <cell r="F13" t="str">
            <v>AI RIFIAN</v>
          </cell>
        </row>
        <row r="14">
          <cell r="C14" t="str">
            <v>KARANGSARI_KAJEN</v>
          </cell>
        </row>
        <row r="14">
          <cell r="F14" t="str">
            <v>AI RIFIAN</v>
          </cell>
        </row>
        <row r="15">
          <cell r="C15" t="str">
            <v>DORO</v>
          </cell>
        </row>
        <row r="15">
          <cell r="F15" t="str">
            <v>AI RIFIAN</v>
          </cell>
        </row>
        <row r="16">
          <cell r="C16" t="str">
            <v>PANINGGARAN</v>
          </cell>
        </row>
        <row r="16">
          <cell r="F16" t="str">
            <v>AI RIFIAN</v>
          </cell>
        </row>
        <row r="17">
          <cell r="C17" t="str">
            <v>TIRTO01</v>
          </cell>
        </row>
        <row r="17">
          <cell r="F17" t="str">
            <v>AI RIFIAN</v>
          </cell>
        </row>
        <row r="18">
          <cell r="C18" t="str">
            <v>KESESI01</v>
          </cell>
        </row>
        <row r="18">
          <cell r="F18" t="str">
            <v>AI RIFIAN</v>
          </cell>
        </row>
        <row r="19">
          <cell r="C19" t="str">
            <v>WONOPRINGGO01</v>
          </cell>
        </row>
        <row r="19">
          <cell r="F19" t="str">
            <v>AI RIFIAN</v>
          </cell>
        </row>
        <row r="20">
          <cell r="C20" t="str">
            <v>KEDUNGWUNI01</v>
          </cell>
        </row>
        <row r="20">
          <cell r="F20" t="str">
            <v>AI RIFIAN</v>
          </cell>
        </row>
        <row r="21">
          <cell r="C21" t="str">
            <v>KARANGDADAP01</v>
          </cell>
        </row>
        <row r="21">
          <cell r="F21" t="str">
            <v>AI RIFIAN</v>
          </cell>
        </row>
        <row r="22">
          <cell r="C22" t="str">
            <v>TEMANGGUNG</v>
          </cell>
        </row>
        <row r="22">
          <cell r="F22" t="str">
            <v>BOWO</v>
          </cell>
        </row>
        <row r="23">
          <cell r="C23" t="str">
            <v>NGADIREJO</v>
          </cell>
        </row>
        <row r="23">
          <cell r="F23" t="str">
            <v>BOWO</v>
          </cell>
        </row>
        <row r="24">
          <cell r="C24" t="str">
            <v>CANDIROTO</v>
          </cell>
        </row>
        <row r="24">
          <cell r="F24" t="str">
            <v>BOWO</v>
          </cell>
        </row>
        <row r="25">
          <cell r="C25" t="str">
            <v>PARAKAN</v>
          </cell>
        </row>
        <row r="25">
          <cell r="F25" t="str">
            <v>BOWO</v>
          </cell>
        </row>
        <row r="26">
          <cell r="C26" t="str">
            <v>KRANGGAN</v>
          </cell>
        </row>
        <row r="26">
          <cell r="F26" t="str">
            <v>BOWO</v>
          </cell>
        </row>
        <row r="27">
          <cell r="C27" t="str">
            <v>KEDU</v>
          </cell>
        </row>
        <row r="27">
          <cell r="F27" t="str">
            <v>BOWO</v>
          </cell>
        </row>
        <row r="28">
          <cell r="C28" t="str">
            <v>WADAS</v>
          </cell>
        </row>
        <row r="28">
          <cell r="F28" t="str">
            <v>BOWO</v>
          </cell>
        </row>
        <row r="29">
          <cell r="C29" t="str">
            <v>PRINGSURAT_TIMUR</v>
          </cell>
        </row>
        <row r="29">
          <cell r="F29" t="str">
            <v>BOWO</v>
          </cell>
        </row>
        <row r="30">
          <cell r="C30" t="str">
            <v>BLORA</v>
          </cell>
        </row>
        <row r="30">
          <cell r="F30" t="str">
            <v>DADANG</v>
          </cell>
        </row>
        <row r="31">
          <cell r="C31" t="str">
            <v>NGAWEN</v>
          </cell>
        </row>
        <row r="31">
          <cell r="F31" t="str">
            <v>DADANG</v>
          </cell>
        </row>
        <row r="32">
          <cell r="C32" t="str">
            <v>JEPON</v>
          </cell>
        </row>
        <row r="32">
          <cell r="F32" t="str">
            <v>DADANG</v>
          </cell>
        </row>
        <row r="33">
          <cell r="C33" t="str">
            <v>KUNDURAN</v>
          </cell>
        </row>
        <row r="33">
          <cell r="F33" t="str">
            <v>DADANG</v>
          </cell>
        </row>
        <row r="34">
          <cell r="C34" t="str">
            <v>CEPU</v>
          </cell>
        </row>
        <row r="34">
          <cell r="F34" t="str">
            <v>DADANG</v>
          </cell>
        </row>
        <row r="35">
          <cell r="C35" t="str">
            <v>RANDUBLATUNG</v>
          </cell>
        </row>
        <row r="35">
          <cell r="F35" t="str">
            <v>DADANG</v>
          </cell>
        </row>
        <row r="36">
          <cell r="C36" t="str">
            <v>KEDUNGTUBAN</v>
          </cell>
        </row>
        <row r="36">
          <cell r="F36" t="str">
            <v>DADANG</v>
          </cell>
        </row>
        <row r="37">
          <cell r="C37" t="str">
            <v>TUNJUNGAN</v>
          </cell>
        </row>
        <row r="37">
          <cell r="F37" t="str">
            <v>DADANG</v>
          </cell>
        </row>
        <row r="38">
          <cell r="C38" t="str">
            <v>JATI_BLORA</v>
          </cell>
        </row>
        <row r="38">
          <cell r="F38" t="str">
            <v>DADANG</v>
          </cell>
        </row>
        <row r="39">
          <cell r="C39" t="str">
            <v>SAMBONG</v>
          </cell>
        </row>
        <row r="39">
          <cell r="F39" t="str">
            <v>DADANG</v>
          </cell>
        </row>
        <row r="40">
          <cell r="C40" t="str">
            <v>SUMOWONO</v>
          </cell>
        </row>
        <row r="40">
          <cell r="F40" t="str">
            <v>DANIEL</v>
          </cell>
        </row>
        <row r="41">
          <cell r="C41" t="str">
            <v>AMBARAWA</v>
          </cell>
        </row>
        <row r="41">
          <cell r="F41" t="str">
            <v>DANIEL</v>
          </cell>
        </row>
        <row r="42">
          <cell r="C42" t="str">
            <v>UNGARAN</v>
          </cell>
        </row>
        <row r="42">
          <cell r="F42" t="str">
            <v>DANIEL</v>
          </cell>
        </row>
        <row r="43">
          <cell r="C43" t="str">
            <v>BAWEN</v>
          </cell>
        </row>
        <row r="43">
          <cell r="F43" t="str">
            <v>DANIEL</v>
          </cell>
        </row>
        <row r="44">
          <cell r="C44" t="str">
            <v>BERGAS</v>
          </cell>
        </row>
        <row r="44">
          <cell r="F44" t="str">
            <v>DANIEL</v>
          </cell>
        </row>
        <row r="45">
          <cell r="C45" t="str">
            <v>BANYUBIRU</v>
          </cell>
        </row>
        <row r="45">
          <cell r="F45" t="str">
            <v>DANIEL</v>
          </cell>
        </row>
        <row r="46">
          <cell r="C46" t="str">
            <v>CANDIREJO</v>
          </cell>
        </row>
        <row r="46">
          <cell r="F46" t="str">
            <v>DANIEL</v>
          </cell>
        </row>
        <row r="47">
          <cell r="C47" t="str">
            <v>PRINGAPUS</v>
          </cell>
        </row>
        <row r="47">
          <cell r="F47" t="str">
            <v>DANIEL</v>
          </cell>
        </row>
        <row r="48">
          <cell r="C48" t="str">
            <v>SALATIGA</v>
          </cell>
        </row>
        <row r="48">
          <cell r="F48" t="str">
            <v>GERRY</v>
          </cell>
        </row>
        <row r="49">
          <cell r="C49" t="str">
            <v>SURUH</v>
          </cell>
        </row>
        <row r="49">
          <cell r="F49" t="str">
            <v>GERRY</v>
          </cell>
        </row>
        <row r="50">
          <cell r="C50" t="str">
            <v>BRINGIN</v>
          </cell>
        </row>
        <row r="50">
          <cell r="F50" t="str">
            <v>GERRY</v>
          </cell>
        </row>
        <row r="51">
          <cell r="C51" t="str">
            <v>TINGKIR</v>
          </cell>
        </row>
        <row r="51">
          <cell r="F51" t="str">
            <v>GERRY</v>
          </cell>
        </row>
        <row r="52">
          <cell r="C52" t="str">
            <v>TENGARAN</v>
          </cell>
        </row>
        <row r="52">
          <cell r="F52" t="str">
            <v>GERRY</v>
          </cell>
        </row>
        <row r="53">
          <cell r="C53" t="str">
            <v>AJIBARANG</v>
          </cell>
        </row>
        <row r="53">
          <cell r="F53" t="str">
            <v>HERI</v>
          </cell>
        </row>
        <row r="54">
          <cell r="C54" t="str">
            <v>BANYUMAS</v>
          </cell>
        </row>
        <row r="54">
          <cell r="F54" t="str">
            <v>HERI</v>
          </cell>
        </row>
        <row r="55">
          <cell r="C55" t="str">
            <v>PATIKRAJA</v>
          </cell>
        </row>
        <row r="55">
          <cell r="F55" t="str">
            <v>HERI</v>
          </cell>
        </row>
        <row r="56">
          <cell r="C56" t="str">
            <v>SUMPIUH</v>
          </cell>
        </row>
        <row r="56">
          <cell r="F56" t="str">
            <v>HERI</v>
          </cell>
        </row>
        <row r="57">
          <cell r="C57" t="str">
            <v>WANGON</v>
          </cell>
        </row>
        <row r="57">
          <cell r="F57" t="str">
            <v>HERI</v>
          </cell>
        </row>
        <row r="58">
          <cell r="C58" t="str">
            <v>KEMBARAN</v>
          </cell>
        </row>
        <row r="58">
          <cell r="F58" t="str">
            <v>HERI</v>
          </cell>
        </row>
        <row r="59">
          <cell r="C59" t="str">
            <v>KARANGLEWAS</v>
          </cell>
        </row>
        <row r="59">
          <cell r="F59" t="str">
            <v>HERI</v>
          </cell>
        </row>
        <row r="60">
          <cell r="C60" t="str">
            <v>CILONGOK</v>
          </cell>
        </row>
        <row r="60">
          <cell r="F60" t="str">
            <v>HERI</v>
          </cell>
        </row>
        <row r="61">
          <cell r="C61" t="str">
            <v>RAWALO</v>
          </cell>
        </row>
        <row r="61">
          <cell r="F61" t="str">
            <v>HERI</v>
          </cell>
        </row>
        <row r="62">
          <cell r="C62" t="str">
            <v>SOMAGEDE</v>
          </cell>
        </row>
        <row r="62">
          <cell r="F62" t="str">
            <v>HERI</v>
          </cell>
        </row>
        <row r="63">
          <cell r="C63" t="str">
            <v>PURWOKERTO_UTARA</v>
          </cell>
        </row>
        <row r="63">
          <cell r="F63" t="str">
            <v>HERI</v>
          </cell>
        </row>
        <row r="64">
          <cell r="C64" t="str">
            <v>PEKUNCEN</v>
          </cell>
        </row>
        <row r="64">
          <cell r="F64" t="str">
            <v>HERI</v>
          </cell>
        </row>
        <row r="65">
          <cell r="C65" t="str">
            <v>SUMBANG01</v>
          </cell>
        </row>
        <row r="65">
          <cell r="F65" t="str">
            <v>HERI</v>
          </cell>
        </row>
        <row r="66">
          <cell r="C66" t="str">
            <v>KEMRANJEN01</v>
          </cell>
        </row>
        <row r="66">
          <cell r="F66" t="str">
            <v>HERI</v>
          </cell>
        </row>
        <row r="67">
          <cell r="C67" t="str">
            <v>KARANGRAYUNG</v>
          </cell>
        </row>
        <row r="67">
          <cell r="F67" t="str">
            <v>RISWANTO</v>
          </cell>
        </row>
        <row r="68">
          <cell r="C68" t="str">
            <v>PURWODADI</v>
          </cell>
        </row>
        <row r="68">
          <cell r="F68" t="str">
            <v>RISWANTO</v>
          </cell>
        </row>
        <row r="69">
          <cell r="C69" t="str">
            <v>GODONG</v>
          </cell>
        </row>
        <row r="69">
          <cell r="F69" t="str">
            <v>RISWANTO</v>
          </cell>
        </row>
        <row r="70">
          <cell r="C70" t="str">
            <v>WIROSARI</v>
          </cell>
        </row>
        <row r="70">
          <cell r="F70" t="str">
            <v>RISWANTO</v>
          </cell>
        </row>
        <row r="71">
          <cell r="C71" t="str">
            <v>GUBUG</v>
          </cell>
        </row>
        <row r="71">
          <cell r="F71" t="str">
            <v>RISWANTO</v>
          </cell>
        </row>
        <row r="72">
          <cell r="C72" t="str">
            <v>KRADENAN</v>
          </cell>
        </row>
        <row r="72">
          <cell r="F72" t="str">
            <v>RISWANTO</v>
          </cell>
        </row>
        <row r="73">
          <cell r="C73" t="str">
            <v>GROBOGAN</v>
          </cell>
        </row>
        <row r="73">
          <cell r="F73" t="str">
            <v>RISWANTO</v>
          </cell>
        </row>
        <row r="74">
          <cell r="C74" t="str">
            <v>TEGOWANU</v>
          </cell>
        </row>
        <row r="74">
          <cell r="F74" t="str">
            <v>RISWANTO</v>
          </cell>
        </row>
        <row r="75">
          <cell r="C75" t="str">
            <v>PULOKULON</v>
          </cell>
        </row>
        <row r="75">
          <cell r="F75" t="str">
            <v>RISWANTO</v>
          </cell>
        </row>
        <row r="76">
          <cell r="C76" t="str">
            <v>PENAWANGAN</v>
          </cell>
        </row>
        <row r="76">
          <cell r="F76" t="str">
            <v>RISWANTO</v>
          </cell>
        </row>
        <row r="77">
          <cell r="C77" t="str">
            <v>TANGGUNGHARJO01</v>
          </cell>
        </row>
        <row r="77">
          <cell r="F77" t="str">
            <v>RISWANTO</v>
          </cell>
        </row>
        <row r="78">
          <cell r="C78" t="str">
            <v>GEYER</v>
          </cell>
        </row>
        <row r="78">
          <cell r="F78" t="str">
            <v>RISWANTO</v>
          </cell>
        </row>
        <row r="79">
          <cell r="C79" t="str">
            <v>GEMUH</v>
          </cell>
        </row>
        <row r="79">
          <cell r="F79" t="str">
            <v>KHABIB</v>
          </cell>
        </row>
        <row r="80">
          <cell r="C80" t="str">
            <v>KENDAL</v>
          </cell>
        </row>
        <row r="80">
          <cell r="F80" t="str">
            <v>KHABIB</v>
          </cell>
        </row>
        <row r="81">
          <cell r="C81" t="str">
            <v>WELERI</v>
          </cell>
        </row>
        <row r="81">
          <cell r="F81" t="str">
            <v>KHABIB</v>
          </cell>
        </row>
        <row r="82">
          <cell r="C82" t="str">
            <v>BOJA</v>
          </cell>
        </row>
        <row r="82">
          <cell r="F82" t="str">
            <v>KHABIB</v>
          </cell>
        </row>
        <row r="83">
          <cell r="C83" t="str">
            <v>SUKOREJO</v>
          </cell>
        </row>
        <row r="83">
          <cell r="F83" t="str">
            <v>KHABIB</v>
          </cell>
        </row>
        <row r="84">
          <cell r="C84" t="str">
            <v>KALIWUNGU</v>
          </cell>
        </row>
        <row r="84">
          <cell r="F84" t="str">
            <v>KHABIB</v>
          </cell>
        </row>
        <row r="85">
          <cell r="C85" t="str">
            <v>BRANGSONG</v>
          </cell>
        </row>
        <row r="85">
          <cell r="F85" t="str">
            <v>KHABIB</v>
          </cell>
        </row>
        <row r="86">
          <cell r="C86" t="str">
            <v>TAMPINGAN</v>
          </cell>
        </row>
        <row r="86">
          <cell r="F86" t="str">
            <v>KHABIB</v>
          </cell>
        </row>
        <row r="87">
          <cell r="C87" t="str">
            <v>PAGERUYUNG</v>
          </cell>
        </row>
        <row r="87">
          <cell r="F87" t="str">
            <v>KHABIB</v>
          </cell>
        </row>
        <row r="88">
          <cell r="C88" t="str">
            <v>MEJOBO</v>
          </cell>
        </row>
        <row r="88">
          <cell r="F88" t="str">
            <v>KHOLIK</v>
          </cell>
        </row>
        <row r="89">
          <cell r="C89" t="str">
            <v>KUDUS</v>
          </cell>
        </row>
        <row r="89">
          <cell r="F89" t="str">
            <v>KHOLIK</v>
          </cell>
        </row>
        <row r="90">
          <cell r="C90" t="str">
            <v>JEKULO</v>
          </cell>
        </row>
        <row r="90">
          <cell r="F90" t="str">
            <v>KHOLIK</v>
          </cell>
        </row>
        <row r="91">
          <cell r="C91" t="str">
            <v>JATI</v>
          </cell>
        </row>
        <row r="91">
          <cell r="F91" t="str">
            <v>KHOLIK</v>
          </cell>
        </row>
        <row r="92">
          <cell r="C92" t="str">
            <v>DAWE</v>
          </cell>
        </row>
        <row r="92">
          <cell r="F92" t="str">
            <v>KHOLIK</v>
          </cell>
        </row>
        <row r="93">
          <cell r="C93" t="str">
            <v>UNDAAN</v>
          </cell>
        </row>
        <row r="93">
          <cell r="F93" t="str">
            <v>KHOLIK</v>
          </cell>
        </row>
        <row r="94">
          <cell r="C94" t="str">
            <v>KALIWUNGU_KUDUS</v>
          </cell>
        </row>
        <row r="94">
          <cell r="F94" t="str">
            <v>KHOLIK</v>
          </cell>
        </row>
        <row r="95">
          <cell r="C95" t="str">
            <v>GEBOG</v>
          </cell>
        </row>
        <row r="95">
          <cell r="F95" t="str">
            <v>KHOLIK</v>
          </cell>
        </row>
        <row r="96">
          <cell r="C96" t="str">
            <v>REJOSARI_KUDUS</v>
          </cell>
        </row>
        <row r="96">
          <cell r="F96" t="str">
            <v>KHOLIK</v>
          </cell>
        </row>
        <row r="97">
          <cell r="C97" t="str">
            <v>KEDUNG</v>
          </cell>
        </row>
        <row r="97">
          <cell r="F97" t="str">
            <v>KHOLIL</v>
          </cell>
        </row>
        <row r="98">
          <cell r="C98" t="str">
            <v>JEPARA</v>
          </cell>
        </row>
        <row r="98">
          <cell r="F98" t="str">
            <v>KHOLIL</v>
          </cell>
        </row>
        <row r="99">
          <cell r="C99" t="str">
            <v>BANGSRI</v>
          </cell>
        </row>
        <row r="99">
          <cell r="F99" t="str">
            <v>KHOLIL</v>
          </cell>
        </row>
        <row r="100">
          <cell r="C100" t="str">
            <v>PECANGAAN</v>
          </cell>
        </row>
        <row r="100">
          <cell r="F100" t="str">
            <v>KHOLIL</v>
          </cell>
        </row>
        <row r="101">
          <cell r="C101" t="str">
            <v>WONOREJO</v>
          </cell>
        </row>
        <row r="101">
          <cell r="F101" t="str">
            <v>KHOLIL</v>
          </cell>
        </row>
        <row r="102">
          <cell r="C102" t="str">
            <v>MAYONG</v>
          </cell>
        </row>
        <row r="102">
          <cell r="F102" t="str">
            <v>KHOLIL</v>
          </cell>
        </row>
        <row r="103">
          <cell r="C103" t="str">
            <v>TAHUNAN</v>
          </cell>
        </row>
        <row r="103">
          <cell r="F103" t="str">
            <v>KHOLIL</v>
          </cell>
        </row>
        <row r="104">
          <cell r="C104" t="str">
            <v>KELET</v>
          </cell>
        </row>
        <row r="104">
          <cell r="F104" t="str">
            <v>KHOLIL</v>
          </cell>
        </row>
        <row r="105">
          <cell r="C105" t="str">
            <v>WELAHAN</v>
          </cell>
        </row>
        <row r="105">
          <cell r="F105" t="str">
            <v>KHOLIL</v>
          </cell>
        </row>
        <row r="106">
          <cell r="C106" t="str">
            <v>KALINYAMATAN</v>
          </cell>
        </row>
        <row r="106">
          <cell r="F106" t="str">
            <v>KHOLIL</v>
          </cell>
        </row>
        <row r="107">
          <cell r="C107" t="str">
            <v>SENENAN</v>
          </cell>
        </row>
        <row r="107">
          <cell r="F107" t="str">
            <v>KHOLIL</v>
          </cell>
        </row>
        <row r="108">
          <cell r="C108" t="str">
            <v>NALUMSARI</v>
          </cell>
        </row>
        <row r="108">
          <cell r="F108" t="str">
            <v>KHOLIL</v>
          </cell>
        </row>
        <row r="109">
          <cell r="C109" t="str">
            <v>TULIS</v>
          </cell>
        </row>
        <row r="109">
          <cell r="F109" t="str">
            <v>SUPRIYADI</v>
          </cell>
        </row>
        <row r="110">
          <cell r="C110" t="str">
            <v>WARUNGASEM</v>
          </cell>
        </row>
        <row r="110">
          <cell r="F110" t="str">
            <v>SUPRIYADI</v>
          </cell>
        </row>
        <row r="111">
          <cell r="C111" t="str">
            <v>REBAN</v>
          </cell>
        </row>
        <row r="111">
          <cell r="F111" t="str">
            <v>SUPRIYADI</v>
          </cell>
        </row>
        <row r="112">
          <cell r="C112" t="str">
            <v>GRINGSING_LAMA</v>
          </cell>
        </row>
        <row r="112">
          <cell r="F112" t="str">
            <v>SUPRIYADI</v>
          </cell>
        </row>
        <row r="113">
          <cell r="C113" t="str">
            <v>BATANG_UTARA</v>
          </cell>
        </row>
        <row r="113">
          <cell r="F113" t="str">
            <v>SUPRIYADI</v>
          </cell>
        </row>
        <row r="114">
          <cell r="C114" t="str">
            <v>BATANG01</v>
          </cell>
        </row>
        <row r="114">
          <cell r="F114" t="str">
            <v>SUPRIYADI</v>
          </cell>
        </row>
        <row r="115">
          <cell r="C115" t="str">
            <v>BANDAR01</v>
          </cell>
        </row>
        <row r="115">
          <cell r="F115" t="str">
            <v>SUPRIYADI</v>
          </cell>
        </row>
        <row r="116">
          <cell r="C116" t="str">
            <v>LIMPUNG01</v>
          </cell>
        </row>
        <row r="116">
          <cell r="F116" t="str">
            <v>SUPRIYADI</v>
          </cell>
        </row>
        <row r="117">
          <cell r="C117" t="str">
            <v>SUBAH01</v>
          </cell>
        </row>
        <row r="117">
          <cell r="F117" t="str">
            <v>SUPRIYADI</v>
          </cell>
        </row>
        <row r="118">
          <cell r="C118" t="str">
            <v>TERSONO</v>
          </cell>
        </row>
        <row r="118">
          <cell r="F118" t="str">
            <v>SUPRIYADI</v>
          </cell>
        </row>
        <row r="119">
          <cell r="C119" t="str">
            <v>BLADO01</v>
          </cell>
        </row>
        <row r="119">
          <cell r="F119" t="str">
            <v>SUPRIYADI</v>
          </cell>
        </row>
        <row r="120">
          <cell r="C120" t="str">
            <v>PEKALONGAN</v>
          </cell>
        </row>
        <row r="120">
          <cell r="F120" t="str">
            <v>OKI</v>
          </cell>
        </row>
        <row r="121">
          <cell r="C121" t="str">
            <v>WIRADESA</v>
          </cell>
        </row>
        <row r="121">
          <cell r="F121" t="str">
            <v>OKI</v>
          </cell>
        </row>
        <row r="122">
          <cell r="C122" t="str">
            <v>BUARAN</v>
          </cell>
        </row>
        <row r="122">
          <cell r="F122" t="str">
            <v>OKI</v>
          </cell>
        </row>
        <row r="123">
          <cell r="C123" t="str">
            <v>JATILONDO</v>
          </cell>
        </row>
        <row r="123">
          <cell r="F123" t="str">
            <v>OKI</v>
          </cell>
        </row>
        <row r="124">
          <cell r="C124" t="str">
            <v>WONOKERTO</v>
          </cell>
        </row>
        <row r="124">
          <cell r="F124" t="str">
            <v>OKI</v>
          </cell>
        </row>
        <row r="125">
          <cell r="C125" t="str">
            <v>KLEGO</v>
          </cell>
        </row>
        <row r="125">
          <cell r="F125" t="str">
            <v>OKI</v>
          </cell>
        </row>
        <row r="126">
          <cell r="C126" t="str">
            <v>MEDONO</v>
          </cell>
        </row>
        <row r="126">
          <cell r="F126" t="str">
            <v>OKI</v>
          </cell>
        </row>
        <row r="127">
          <cell r="C127" t="str">
            <v>KURIPAN</v>
          </cell>
        </row>
        <row r="127">
          <cell r="F127" t="str">
            <v>OKI</v>
          </cell>
        </row>
        <row r="128">
          <cell r="C128" t="str">
            <v>PANJANG01</v>
          </cell>
        </row>
        <row r="128">
          <cell r="F128" t="str">
            <v>OKI</v>
          </cell>
        </row>
        <row r="129">
          <cell r="C129" t="str">
            <v>GUNUNG_PATI</v>
          </cell>
        </row>
        <row r="129">
          <cell r="F129" t="str">
            <v>RAGIL</v>
          </cell>
        </row>
        <row r="130">
          <cell r="C130" t="str">
            <v>TUGU</v>
          </cell>
        </row>
        <row r="130">
          <cell r="F130" t="str">
            <v>RAGIL</v>
          </cell>
        </row>
        <row r="131">
          <cell r="C131" t="str">
            <v>MIJEN</v>
          </cell>
        </row>
        <row r="131">
          <cell r="F131" t="str">
            <v>RAGIL</v>
          </cell>
        </row>
        <row r="132">
          <cell r="C132" t="str">
            <v>PLALANGAN</v>
          </cell>
        </row>
        <row r="132">
          <cell r="F132" t="str">
            <v>RAGIL</v>
          </cell>
        </row>
        <row r="133">
          <cell r="C133" t="str">
            <v>BRINGIN_SEMARANG</v>
          </cell>
        </row>
        <row r="133">
          <cell r="F133" t="str">
            <v>RAGIL</v>
          </cell>
        </row>
        <row r="134">
          <cell r="C134" t="str">
            <v>SILAYUR</v>
          </cell>
        </row>
        <row r="134">
          <cell r="F134" t="str">
            <v>RAGIL</v>
          </cell>
        </row>
        <row r="135">
          <cell r="C135" t="str">
            <v>SEMARANG_TENGAH</v>
          </cell>
        </row>
        <row r="135">
          <cell r="F135" t="str">
            <v>RAGIL</v>
          </cell>
        </row>
        <row r="136">
          <cell r="C136" t="str">
            <v>HASANUDIN</v>
          </cell>
        </row>
        <row r="136">
          <cell r="F136" t="str">
            <v>RAGIL</v>
          </cell>
        </row>
        <row r="137">
          <cell r="C137" t="str">
            <v>ANJASMORO</v>
          </cell>
        </row>
        <row r="137">
          <cell r="F137" t="str">
            <v>RAGIL</v>
          </cell>
        </row>
        <row r="138">
          <cell r="C138" t="str">
            <v>S_PARMAN</v>
          </cell>
        </row>
        <row r="138">
          <cell r="F138" t="str">
            <v>RAGIL</v>
          </cell>
        </row>
        <row r="139">
          <cell r="C139" t="str">
            <v>SIMONGAN</v>
          </cell>
        </row>
        <row r="139">
          <cell r="F139" t="str">
            <v>RAGIL</v>
          </cell>
        </row>
        <row r="140">
          <cell r="C140" t="str">
            <v>GRAHAPADMA_01</v>
          </cell>
        </row>
        <row r="140">
          <cell r="F140" t="str">
            <v>RAGIL</v>
          </cell>
        </row>
        <row r="141">
          <cell r="C141" t="str">
            <v>PATI</v>
          </cell>
        </row>
        <row r="141">
          <cell r="F141" t="str">
            <v>RENDRA</v>
          </cell>
        </row>
        <row r="142">
          <cell r="C142" t="str">
            <v>JUWANA</v>
          </cell>
        </row>
        <row r="142">
          <cell r="F142" t="str">
            <v>RENDRA</v>
          </cell>
        </row>
        <row r="143">
          <cell r="C143" t="str">
            <v>TAMBAKROMO</v>
          </cell>
        </row>
        <row r="143">
          <cell r="F143" t="str">
            <v>RENDRA</v>
          </cell>
        </row>
        <row r="144">
          <cell r="C144" t="str">
            <v>MARGOYOSO</v>
          </cell>
        </row>
        <row r="144">
          <cell r="F144" t="str">
            <v>RENDRA</v>
          </cell>
        </row>
        <row r="145">
          <cell r="C145" t="str">
            <v>TAYU</v>
          </cell>
        </row>
        <row r="145">
          <cell r="F145" t="str">
            <v>RENDRA</v>
          </cell>
        </row>
        <row r="146">
          <cell r="C146" t="str">
            <v>JAKENAN</v>
          </cell>
        </row>
        <row r="146">
          <cell r="F146" t="str">
            <v>RENDRA</v>
          </cell>
        </row>
        <row r="147">
          <cell r="C147" t="str">
            <v>KAYEN</v>
          </cell>
        </row>
        <row r="147">
          <cell r="F147" t="str">
            <v>RENDRA</v>
          </cell>
        </row>
        <row r="148">
          <cell r="C148" t="str">
            <v>WEDARIJAKSA</v>
          </cell>
        </row>
        <row r="148">
          <cell r="F148" t="str">
            <v>RENDRA</v>
          </cell>
        </row>
        <row r="149">
          <cell r="C149" t="str">
            <v>BATANGAN</v>
          </cell>
        </row>
        <row r="149">
          <cell r="F149" t="str">
            <v>RENDRA</v>
          </cell>
        </row>
        <row r="150">
          <cell r="C150" t="str">
            <v>TLOGOWUNGU_PTI</v>
          </cell>
        </row>
        <row r="150">
          <cell r="F150" t="str">
            <v>RENDRA</v>
          </cell>
        </row>
        <row r="151">
          <cell r="C151" t="str">
            <v>WINONG</v>
          </cell>
        </row>
        <row r="151">
          <cell r="F151" t="str">
            <v>RENDRA</v>
          </cell>
        </row>
        <row r="152">
          <cell r="C152" t="str">
            <v>DUKUHSETI</v>
          </cell>
        </row>
        <row r="152">
          <cell r="F152" t="str">
            <v>RENDRA</v>
          </cell>
        </row>
        <row r="153">
          <cell r="C153" t="str">
            <v>PATI_KIDUL</v>
          </cell>
        </row>
        <row r="153">
          <cell r="F153" t="str">
            <v>RENDRA</v>
          </cell>
        </row>
        <row r="154">
          <cell r="C154" t="str">
            <v>SUKOLILO</v>
          </cell>
        </row>
        <row r="154">
          <cell r="F154" t="str">
            <v>RENDRA</v>
          </cell>
        </row>
        <row r="155">
          <cell r="C155" t="str">
            <v>TRANGKIL</v>
          </cell>
        </row>
        <row r="155">
          <cell r="F155" t="str">
            <v>RENDRA</v>
          </cell>
        </row>
        <row r="156">
          <cell r="C156" t="str">
            <v>GABUS</v>
          </cell>
        </row>
        <row r="156">
          <cell r="F156" t="str">
            <v>RENDRA</v>
          </cell>
        </row>
        <row r="157">
          <cell r="C157" t="str">
            <v>CLUWAK</v>
          </cell>
        </row>
        <row r="157">
          <cell r="F157" t="str">
            <v>RENDRA</v>
          </cell>
        </row>
        <row r="158">
          <cell r="C158" t="str">
            <v>JUWANA_TIMUR</v>
          </cell>
        </row>
        <row r="158">
          <cell r="F158" t="str">
            <v>RENDRA</v>
          </cell>
        </row>
        <row r="159">
          <cell r="C159" t="str">
            <v>REMBANG</v>
          </cell>
        </row>
        <row r="159">
          <cell r="F159" t="str">
            <v>ARIF WIBOWO</v>
          </cell>
        </row>
        <row r="160">
          <cell r="C160" t="str">
            <v>LASEM</v>
          </cell>
        </row>
        <row r="160">
          <cell r="F160" t="str">
            <v>ARIF WIBOWO</v>
          </cell>
        </row>
        <row r="161">
          <cell r="C161" t="str">
            <v>KRAGAN</v>
          </cell>
        </row>
        <row r="161">
          <cell r="F161" t="str">
            <v>ARIF WIBOWO</v>
          </cell>
        </row>
        <row r="162">
          <cell r="C162" t="str">
            <v>PAMOTAN</v>
          </cell>
        </row>
        <row r="162">
          <cell r="F162" t="str">
            <v>ARIF WIBOWO</v>
          </cell>
        </row>
        <row r="163">
          <cell r="C163" t="str">
            <v>SEDAN</v>
          </cell>
        </row>
        <row r="163">
          <cell r="F163" t="str">
            <v>ARIF WIBOWO</v>
          </cell>
        </row>
        <row r="164">
          <cell r="C164" t="str">
            <v>BULU</v>
          </cell>
        </row>
        <row r="164">
          <cell r="F164" t="str">
            <v>ARIF WIBOWO</v>
          </cell>
        </row>
        <row r="165">
          <cell r="C165" t="str">
            <v>SLUKE</v>
          </cell>
        </row>
        <row r="165">
          <cell r="F165" t="str">
            <v>ARIF WIBOWO</v>
          </cell>
        </row>
        <row r="166">
          <cell r="C166" t="str">
            <v>SARANG</v>
          </cell>
        </row>
        <row r="166">
          <cell r="F166" t="str">
            <v>ARIF WIBOWO</v>
          </cell>
        </row>
        <row r="167">
          <cell r="C167" t="str">
            <v>PANCUR</v>
          </cell>
        </row>
        <row r="167">
          <cell r="F167" t="str">
            <v>ARIF WIBOWO</v>
          </cell>
        </row>
        <row r="168">
          <cell r="C168" t="str">
            <v>BANYUMANIK</v>
          </cell>
        </row>
        <row r="168">
          <cell r="F168" t="str">
            <v>RONY</v>
          </cell>
        </row>
        <row r="169">
          <cell r="C169" t="str">
            <v>SEMARANG</v>
          </cell>
        </row>
        <row r="169">
          <cell r="F169" t="str">
            <v>RONY</v>
          </cell>
        </row>
        <row r="170">
          <cell r="C170" t="str">
            <v>TENTARA_PELAJAR</v>
          </cell>
        </row>
        <row r="170">
          <cell r="F170" t="str">
            <v>RONY</v>
          </cell>
        </row>
        <row r="171">
          <cell r="C171" t="str">
            <v>SENDANGMULYO</v>
          </cell>
        </row>
        <row r="171">
          <cell r="F171" t="str">
            <v>RONY</v>
          </cell>
        </row>
        <row r="172">
          <cell r="C172" t="str">
            <v>KETILENG_RAYA</v>
          </cell>
        </row>
        <row r="172">
          <cell r="F172" t="str">
            <v>RONY</v>
          </cell>
        </row>
        <row r="173">
          <cell r="C173" t="str">
            <v>SUPRIYADI_FNC</v>
          </cell>
        </row>
        <row r="173">
          <cell r="F173" t="str">
            <v>RONY</v>
          </cell>
        </row>
        <row r="174">
          <cell r="C174" t="str">
            <v>TLOGOSARI_FNC</v>
          </cell>
        </row>
        <row r="174">
          <cell r="F174" t="str">
            <v>RONY</v>
          </cell>
        </row>
        <row r="175">
          <cell r="C175" t="str">
            <v>WOLTER_FNC</v>
          </cell>
        </row>
        <row r="175">
          <cell r="F175" t="str">
            <v>RONY</v>
          </cell>
        </row>
        <row r="176">
          <cell r="C176" t="str">
            <v>SIDODADI</v>
          </cell>
        </row>
        <row r="176">
          <cell r="F176" t="str">
            <v>RONY</v>
          </cell>
        </row>
        <row r="177">
          <cell r="C177" t="str">
            <v>GENUK</v>
          </cell>
        </row>
        <row r="177">
          <cell r="F177" t="str">
            <v>RONY</v>
          </cell>
        </row>
        <row r="178">
          <cell r="C178" t="str">
            <v>PURBALINGGA</v>
          </cell>
        </row>
        <row r="178">
          <cell r="F178" t="str">
            <v>SULIS</v>
          </cell>
        </row>
        <row r="179">
          <cell r="C179" t="str">
            <v>BOBOTSARI</v>
          </cell>
        </row>
        <row r="179">
          <cell r="F179" t="str">
            <v>SULIS</v>
          </cell>
        </row>
        <row r="180">
          <cell r="C180" t="str">
            <v>KALIGONDANG</v>
          </cell>
        </row>
        <row r="180">
          <cell r="F180" t="str">
            <v>SULIS</v>
          </cell>
        </row>
        <row r="181">
          <cell r="C181" t="str">
            <v>BOJONGSARI</v>
          </cell>
        </row>
        <row r="181">
          <cell r="F181" t="str">
            <v>SULIS</v>
          </cell>
        </row>
        <row r="182">
          <cell r="C182" t="str">
            <v>SUMAMPIR</v>
          </cell>
        </row>
        <row r="182">
          <cell r="F182" t="str">
            <v>SULIS</v>
          </cell>
        </row>
        <row r="183">
          <cell r="C183" t="str">
            <v>PURBALINGGA_LOR</v>
          </cell>
        </row>
        <row r="183">
          <cell r="F183" t="str">
            <v>SULIS</v>
          </cell>
        </row>
        <row r="184">
          <cell r="C184" t="str">
            <v>KEMANGKON01</v>
          </cell>
        </row>
        <row r="184">
          <cell r="F184" t="str">
            <v>SULIS</v>
          </cell>
        </row>
        <row r="185">
          <cell r="C185" t="str">
            <v>KARANGREJA01</v>
          </cell>
        </row>
        <row r="185">
          <cell r="F185" t="str">
            <v>SULIS</v>
          </cell>
        </row>
        <row r="186">
          <cell r="C186" t="str">
            <v>MOJOTENGAH</v>
          </cell>
        </row>
        <row r="186">
          <cell r="F186" t="str">
            <v>RIZKY</v>
          </cell>
        </row>
        <row r="187">
          <cell r="C187" t="str">
            <v>KEJAJAR</v>
          </cell>
        </row>
        <row r="187">
          <cell r="F187" t="str">
            <v>RIZKY</v>
          </cell>
        </row>
        <row r="188">
          <cell r="C188" t="str">
            <v>KALIWIRO</v>
          </cell>
        </row>
        <row r="188">
          <cell r="F188" t="str">
            <v>RIZKY</v>
          </cell>
        </row>
        <row r="189">
          <cell r="C189" t="str">
            <v>MADUKORO_01</v>
          </cell>
        </row>
        <row r="189">
          <cell r="F189" t="str">
            <v>RIZKY</v>
          </cell>
        </row>
        <row r="190">
          <cell r="C190" t="str">
            <v>SELOMERTO_01</v>
          </cell>
        </row>
        <row r="190">
          <cell r="F190" t="str">
            <v>RIZKY</v>
          </cell>
        </row>
        <row r="191">
          <cell r="C191" t="str">
            <v>SAPURAN_01</v>
          </cell>
        </row>
        <row r="191">
          <cell r="F191" t="str">
            <v>RIZKY</v>
          </cell>
        </row>
        <row r="192">
          <cell r="C192" t="str">
            <v>KALIKAJAR</v>
          </cell>
        </row>
        <row r="192">
          <cell r="F192" t="str">
            <v>RIZKY</v>
          </cell>
        </row>
        <row r="193">
          <cell r="C193" t="str">
            <v>SLAWI</v>
          </cell>
        </row>
        <row r="193">
          <cell r="F193" t="str">
            <v>WAWAN</v>
          </cell>
        </row>
        <row r="194">
          <cell r="C194" t="str">
            <v>SURADADI</v>
          </cell>
        </row>
        <row r="194">
          <cell r="F194" t="str">
            <v>WAWAN</v>
          </cell>
        </row>
        <row r="195">
          <cell r="C195" t="str">
            <v>BUMIJAWA</v>
          </cell>
        </row>
        <row r="195">
          <cell r="F195" t="str">
            <v>WAWAN</v>
          </cell>
        </row>
        <row r="196">
          <cell r="C196" t="str">
            <v>SLAWI_KULON</v>
          </cell>
        </row>
        <row r="196">
          <cell r="F196" t="str">
            <v>WAWAN</v>
          </cell>
        </row>
        <row r="197">
          <cell r="C197" t="str">
            <v>MARGASARI</v>
          </cell>
        </row>
        <row r="197">
          <cell r="F197" t="str">
            <v>WAWAN</v>
          </cell>
        </row>
        <row r="198">
          <cell r="C198" t="str">
            <v>KRAMAT_SLAWI</v>
          </cell>
        </row>
        <row r="198">
          <cell r="F198" t="str">
            <v>WAWAN</v>
          </cell>
        </row>
        <row r="199">
          <cell r="C199" t="str">
            <v>BALAPULANG</v>
          </cell>
        </row>
        <row r="199">
          <cell r="F199" t="str">
            <v>WAWAN</v>
          </cell>
        </row>
        <row r="200">
          <cell r="C200" t="str">
            <v>TALANG</v>
          </cell>
        </row>
        <row r="200">
          <cell r="F200" t="str">
            <v>WAWAN</v>
          </cell>
        </row>
        <row r="201">
          <cell r="C201" t="str">
            <v>TARUB</v>
          </cell>
        </row>
        <row r="201">
          <cell r="F201" t="str">
            <v>WAWAN</v>
          </cell>
        </row>
        <row r="202">
          <cell r="C202" t="str">
            <v>DUKUHWARU</v>
          </cell>
        </row>
        <row r="202">
          <cell r="F202" t="str">
            <v>WAWAN</v>
          </cell>
        </row>
        <row r="203">
          <cell r="C203" t="str">
            <v>KEDUNGBANTENG</v>
          </cell>
        </row>
        <row r="203">
          <cell r="F203" t="str">
            <v>WAWAN</v>
          </cell>
        </row>
        <row r="204">
          <cell r="C204" t="str">
            <v>BANDARSARI</v>
          </cell>
        </row>
        <row r="204">
          <cell r="F204" t="str">
            <v>WAWAN</v>
          </cell>
        </row>
        <row r="205">
          <cell r="C205" t="str">
            <v>WONOSALAM</v>
          </cell>
        </row>
        <row r="205">
          <cell r="F205" t="str">
            <v>YANUAR</v>
          </cell>
        </row>
        <row r="206">
          <cell r="C206" t="str">
            <v>DEMAK</v>
          </cell>
        </row>
        <row r="206">
          <cell r="F206" t="str">
            <v>YANUAR</v>
          </cell>
        </row>
        <row r="207">
          <cell r="C207" t="str">
            <v>MRANGGEN</v>
          </cell>
        </row>
        <row r="207">
          <cell r="F207" t="str">
            <v>YANUAR</v>
          </cell>
        </row>
        <row r="208">
          <cell r="C208" t="str">
            <v>GAJAH</v>
          </cell>
        </row>
        <row r="208">
          <cell r="F208" t="str">
            <v>YANUAR</v>
          </cell>
        </row>
        <row r="209">
          <cell r="C209" t="str">
            <v>WEDUNG</v>
          </cell>
        </row>
        <row r="209">
          <cell r="F209" t="str">
            <v>YANUAR</v>
          </cell>
        </row>
        <row r="210">
          <cell r="C210" t="str">
            <v>DEMPET</v>
          </cell>
        </row>
        <row r="210">
          <cell r="F210" t="str">
            <v>YANUAR</v>
          </cell>
        </row>
        <row r="211">
          <cell r="C211" t="str">
            <v>SAYUNG</v>
          </cell>
        </row>
        <row r="211">
          <cell r="F211" t="str">
            <v>YANUAR</v>
          </cell>
        </row>
        <row r="212">
          <cell r="C212" t="str">
            <v>BATURSARI</v>
          </cell>
        </row>
        <row r="212">
          <cell r="F212" t="str">
            <v>YANUAR</v>
          </cell>
        </row>
        <row r="213">
          <cell r="C213" t="str">
            <v>GUNTUR</v>
          </cell>
        </row>
        <row r="213">
          <cell r="F213" t="str">
            <v>YANUAR</v>
          </cell>
        </row>
        <row r="214">
          <cell r="C214" t="str">
            <v>BONANG</v>
          </cell>
        </row>
        <row r="214">
          <cell r="F214" t="str">
            <v>YANUAR</v>
          </cell>
        </row>
        <row r="215">
          <cell r="C215" t="str">
            <v>KARANGANYAR</v>
          </cell>
        </row>
        <row r="215">
          <cell r="F215" t="str">
            <v>YANUAR</v>
          </cell>
        </row>
        <row r="216">
          <cell r="C216" t="str">
            <v>BREBES</v>
          </cell>
        </row>
        <row r="216">
          <cell r="F216" t="str">
            <v>YUDHA BRB</v>
          </cell>
        </row>
        <row r="217">
          <cell r="C217" t="str">
            <v>BUMIAYU</v>
          </cell>
        </row>
        <row r="217">
          <cell r="F217" t="str">
            <v>YUDHA BRB</v>
          </cell>
        </row>
        <row r="218">
          <cell r="C218" t="str">
            <v>KETANGGUNGAN</v>
          </cell>
        </row>
        <row r="218">
          <cell r="F218" t="str">
            <v>YUDHA BRB</v>
          </cell>
        </row>
        <row r="219">
          <cell r="C219" t="str">
            <v>LOSARI</v>
          </cell>
        </row>
        <row r="219">
          <cell r="F219" t="str">
            <v>YUDHA BRB</v>
          </cell>
        </row>
        <row r="220">
          <cell r="C220" t="str">
            <v>JATIBARANG_KIDUL</v>
          </cell>
        </row>
        <row r="220">
          <cell r="F220" t="str">
            <v>YUDHA BRB</v>
          </cell>
        </row>
        <row r="221">
          <cell r="C221" t="str">
            <v>BULAKAMBA</v>
          </cell>
        </row>
        <row r="221">
          <cell r="F221" t="str">
            <v>YUDHA BRB</v>
          </cell>
        </row>
        <row r="222">
          <cell r="C222" t="str">
            <v>LARANGAN_BREBES</v>
          </cell>
        </row>
        <row r="222">
          <cell r="F222" t="str">
            <v>YUDHA BRB</v>
          </cell>
        </row>
        <row r="223">
          <cell r="C223" t="str">
            <v>WANASARI_BREBES</v>
          </cell>
        </row>
        <row r="223">
          <cell r="F223" t="str">
            <v>YUDHA BRB</v>
          </cell>
        </row>
        <row r="224">
          <cell r="C224" t="str">
            <v>BANJARHARJO</v>
          </cell>
        </row>
        <row r="224">
          <cell r="F224" t="str">
            <v>YUDHA BRB</v>
          </cell>
        </row>
        <row r="225">
          <cell r="C225" t="str">
            <v>TONJONG</v>
          </cell>
        </row>
        <row r="225">
          <cell r="F225" t="str">
            <v>YUDHA BRB</v>
          </cell>
        </row>
        <row r="226">
          <cell r="C226" t="str">
            <v>SALEM</v>
          </cell>
        </row>
        <row r="226">
          <cell r="F226" t="str">
            <v>YUDHA BRB</v>
          </cell>
        </row>
        <row r="227">
          <cell r="C227" t="str">
            <v>BANTARKAWUNG</v>
          </cell>
        </row>
        <row r="227">
          <cell r="F227" t="str">
            <v>YUDHA BRB</v>
          </cell>
        </row>
        <row r="228">
          <cell r="C228" t="str">
            <v>PAGUYANGAN</v>
          </cell>
        </row>
        <row r="228">
          <cell r="F228" t="str">
            <v>YUDHA BRB</v>
          </cell>
        </row>
        <row r="229">
          <cell r="C229" t="str">
            <v>TANJUNG_BREBES</v>
          </cell>
        </row>
        <row r="229">
          <cell r="F229" t="str">
            <v>YUDHA BRB</v>
          </cell>
        </row>
        <row r="230">
          <cell r="C230" t="str">
            <v>SIRAMPOG01</v>
          </cell>
        </row>
        <row r="230">
          <cell r="F230" t="str">
            <v>YUDHA BRB</v>
          </cell>
        </row>
        <row r="231">
          <cell r="C231" t="str">
            <v>PEMALANG</v>
          </cell>
        </row>
        <row r="231">
          <cell r="F231" t="str">
            <v>ZAENAL</v>
          </cell>
        </row>
        <row r="232">
          <cell r="C232" t="str">
            <v>RANDUDONGKAL</v>
          </cell>
        </row>
        <row r="232">
          <cell r="F232" t="str">
            <v>ZAENAL</v>
          </cell>
        </row>
        <row r="233">
          <cell r="C233" t="str">
            <v>COMAL</v>
          </cell>
        </row>
        <row r="233">
          <cell r="F233" t="str">
            <v>ZAENAL</v>
          </cell>
        </row>
        <row r="234">
          <cell r="C234" t="str">
            <v>AMBOKULON</v>
          </cell>
        </row>
        <row r="234">
          <cell r="F234" t="str">
            <v>ZAENAL</v>
          </cell>
        </row>
        <row r="235">
          <cell r="C235" t="str">
            <v>KEBANGGAN</v>
          </cell>
        </row>
        <row r="235">
          <cell r="F235" t="str">
            <v>ZAENAL</v>
          </cell>
        </row>
        <row r="236">
          <cell r="C236" t="str">
            <v>BANJARDAWA</v>
          </cell>
        </row>
        <row r="236">
          <cell r="F236" t="str">
            <v>ZAENAL</v>
          </cell>
        </row>
        <row r="237">
          <cell r="C237" t="str">
            <v>PETARUKAN</v>
          </cell>
        </row>
        <row r="237">
          <cell r="F237" t="str">
            <v>ZAENAL</v>
          </cell>
        </row>
        <row r="238">
          <cell r="C238" t="str">
            <v>BODEH</v>
          </cell>
        </row>
        <row r="238">
          <cell r="F238" t="str">
            <v>ZAENAL</v>
          </cell>
        </row>
        <row r="239">
          <cell r="C239" t="str">
            <v>BELIK</v>
          </cell>
        </row>
        <row r="239">
          <cell r="F239" t="str">
            <v>ZAENAL</v>
          </cell>
        </row>
        <row r="240">
          <cell r="C240" t="str">
            <v>WATUKUMPUL</v>
          </cell>
        </row>
        <row r="240">
          <cell r="F240" t="str">
            <v>ZAENAL</v>
          </cell>
        </row>
        <row r="241">
          <cell r="C241" t="str">
            <v>BANTARBOLANG</v>
          </cell>
        </row>
        <row r="241">
          <cell r="F241" t="str">
            <v>ZAENAL</v>
          </cell>
        </row>
        <row r="242">
          <cell r="C242" t="str">
            <v>MULYOHARJO01</v>
          </cell>
        </row>
        <row r="242">
          <cell r="F242" t="str">
            <v>ZAENAL</v>
          </cell>
        </row>
        <row r="243">
          <cell r="C243" t="str">
            <v>TEGAL</v>
          </cell>
        </row>
        <row r="243">
          <cell r="F243" t="str">
            <v>DIAZ</v>
          </cell>
        </row>
        <row r="244">
          <cell r="C244" t="str">
            <v>MARGADANA</v>
          </cell>
        </row>
        <row r="244">
          <cell r="F244" t="str">
            <v>DIAZ</v>
          </cell>
        </row>
        <row r="245">
          <cell r="C245" t="str">
            <v>TEGAL_BARAT</v>
          </cell>
        </row>
        <row r="245">
          <cell r="F245" t="str">
            <v>DIAZ</v>
          </cell>
        </row>
        <row r="246">
          <cell r="C246" t="str">
            <v>DUKUHTURI</v>
          </cell>
        </row>
        <row r="246">
          <cell r="F246" t="str">
            <v>DIAZ</v>
          </cell>
        </row>
        <row r="247">
          <cell r="C247" t="str">
            <v>TCBJN021</v>
          </cell>
        </row>
        <row r="247">
          <cell r="F247" t="str">
            <v>AGUS</v>
          </cell>
        </row>
        <row r="248">
          <cell r="C248" t="str">
            <v>TCBOL011</v>
          </cell>
        </row>
        <row r="248">
          <cell r="F248" t="str">
            <v>DADANG</v>
          </cell>
        </row>
        <row r="249">
          <cell r="C249" t="str">
            <v>TCPDD061</v>
          </cell>
        </row>
        <row r="249">
          <cell r="F249" t="str">
            <v>RISWANTO</v>
          </cell>
        </row>
        <row r="250">
          <cell r="C250" t="str">
            <v>TCJPR131</v>
          </cell>
        </row>
        <row r="250">
          <cell r="F250" t="str">
            <v>KHOLIL</v>
          </cell>
        </row>
        <row r="251">
          <cell r="C251" t="str">
            <v>TCPKL011</v>
          </cell>
        </row>
        <row r="251">
          <cell r="F251" t="str">
            <v>OKI,AI RIFIAN</v>
          </cell>
        </row>
        <row r="252">
          <cell r="C252" t="str">
            <v>TCPTI211</v>
          </cell>
        </row>
        <row r="252">
          <cell r="F252" t="str">
            <v>RENDRA</v>
          </cell>
        </row>
        <row r="253">
          <cell r="C253" t="str">
            <v>TCRMB031</v>
          </cell>
        </row>
        <row r="253">
          <cell r="F253" t="str">
            <v>ARIF WIBOWO</v>
          </cell>
        </row>
        <row r="254">
          <cell r="C254" t="str">
            <v>TCWNB061</v>
          </cell>
        </row>
        <row r="254">
          <cell r="F254" t="str">
            <v>RIZKY</v>
          </cell>
        </row>
        <row r="255">
          <cell r="C255" t="str">
            <v>TCPML021</v>
          </cell>
        </row>
        <row r="255">
          <cell r="F255" t="str">
            <v>ZAENAL</v>
          </cell>
        </row>
        <row r="256">
          <cell r="C256" t="str">
            <v>PURWOKERTO</v>
          </cell>
        </row>
        <row r="256">
          <cell r="F256" t="str">
            <v>HERI</v>
          </cell>
        </row>
        <row r="257">
          <cell r="C257" t="str">
            <v>KEBASEN</v>
          </cell>
        </row>
        <row r="257">
          <cell r="F257" t="str">
            <v>HERI</v>
          </cell>
        </row>
        <row r="258">
          <cell r="C258" t="str">
            <v>SRG_SALES</v>
          </cell>
        </row>
        <row r="258">
          <cell r="F258" t="str">
            <v>IRWAN</v>
          </cell>
        </row>
        <row r="259">
          <cell r="C259" t="str">
            <v>PROTOMULYO</v>
          </cell>
        </row>
        <row r="259">
          <cell r="F259" t="str">
            <v>KHABIB</v>
          </cell>
        </row>
        <row r="260">
          <cell r="C260" t="str">
            <v>NGALIYAN</v>
          </cell>
        </row>
        <row r="260">
          <cell r="F260" t="str">
            <v>RAGIL</v>
          </cell>
        </row>
        <row r="261">
          <cell r="C261" t="str">
            <v>BSB_SEMARANG</v>
          </cell>
        </row>
        <row r="261">
          <cell r="F261" t="str">
            <v>RAGIL</v>
          </cell>
        </row>
        <row r="262">
          <cell r="C262" t="str">
            <v>GAJAHMUNGKUR</v>
          </cell>
        </row>
        <row r="262">
          <cell r="F262" t="str">
            <v>RAGIL</v>
          </cell>
        </row>
        <row r="263">
          <cell r="C263" t="str">
            <v>PANGGUNG_LOR</v>
          </cell>
        </row>
        <row r="263">
          <cell r="F263" t="str">
            <v>RAGIL</v>
          </cell>
        </row>
        <row r="264">
          <cell r="C264" t="str">
            <v>PUDAKPAYUNG</v>
          </cell>
        </row>
        <row r="264">
          <cell r="F264" t="str">
            <v>RONY</v>
          </cell>
        </row>
        <row r="265">
          <cell r="C265" t="str">
            <v>TEMBALANG</v>
          </cell>
        </row>
        <row r="265">
          <cell r="F265" t="str">
            <v>RONY</v>
          </cell>
        </row>
        <row r="266">
          <cell r="C266" t="str">
            <v>BUGANGAN</v>
          </cell>
        </row>
        <row r="266">
          <cell r="F266" t="str">
            <v>RONY</v>
          </cell>
        </row>
        <row r="267">
          <cell r="C267" t="str">
            <v>DEBONG</v>
          </cell>
        </row>
        <row r="267">
          <cell r="F267" t="str">
            <v>DIAZ</v>
          </cell>
        </row>
        <row r="268">
          <cell r="C268" t="str">
            <v>PTI_GATEWAY</v>
          </cell>
        </row>
        <row r="268">
          <cell r="F268" t="str">
            <v>SKY</v>
          </cell>
        </row>
        <row r="269">
          <cell r="C269" t="str">
            <v>PWO_GATEWAY</v>
          </cell>
        </row>
        <row r="269">
          <cell r="F269" t="str">
            <v>SKY</v>
          </cell>
        </row>
        <row r="270">
          <cell r="C270" t="str">
            <v>SRG_GATEWAY</v>
          </cell>
        </row>
        <row r="270">
          <cell r="F270" t="str">
            <v>SKY</v>
          </cell>
        </row>
        <row r="271">
          <cell r="C271" t="str">
            <v>TGL_GATEWAY</v>
          </cell>
        </row>
        <row r="271">
          <cell r="F271" t="str">
            <v>SKY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JANUARI 2024"/>
      <sheetName val="FEBRUARI 2024"/>
      <sheetName val="MARET 2024"/>
      <sheetName val="APRIL 2024"/>
      <sheetName val="MEI 2024"/>
      <sheetName val="JUNI 2024"/>
      <sheetName val="JULI 2024"/>
      <sheetName val="AGUSTUS 2024"/>
      <sheetName val="SEPTEMBER 2024"/>
      <sheetName val="OKTOBER 2024"/>
      <sheetName val="NOVEMBER 2024"/>
      <sheetName val="DESEMBER 2024"/>
      <sheetName val="JANUARI 2025"/>
      <sheetName val="FEBRUARI 2025"/>
      <sheetName val="AGUSTUS 2026"/>
      <sheetName val="DP TIDAK AKTIF"/>
      <sheetName val="Update 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B1" t="str">
            <v>Nama Droppoint</v>
          </cell>
        </row>
        <row r="1">
          <cell r="I1" t="str">
            <v>RM; SPV</v>
          </cell>
        </row>
        <row r="2">
          <cell r="B2" t="str">
            <v>BANTUAN FILTER</v>
          </cell>
        </row>
        <row r="2">
          <cell r="I2" t="str">
            <v>BANTUAN FILTER</v>
          </cell>
        </row>
        <row r="3">
          <cell r="B3" t="str">
            <v>BANTUL</v>
          </cell>
        </row>
        <row r="3">
          <cell r="I3" t="str">
            <v>BIMO WALGITO</v>
          </cell>
        </row>
        <row r="4">
          <cell r="B4" t="str">
            <v>KASIHAN</v>
          </cell>
        </row>
        <row r="4">
          <cell r="I4" t="str">
            <v>BIMO WALGITO</v>
          </cell>
        </row>
        <row r="5">
          <cell r="B5" t="str">
            <v>SEWON</v>
          </cell>
        </row>
        <row r="5">
          <cell r="I5" t="str">
            <v>BIMO WALGITO</v>
          </cell>
        </row>
        <row r="6">
          <cell r="B6" t="str">
            <v>DIRO</v>
          </cell>
        </row>
        <row r="6">
          <cell r="I6" t="str">
            <v>BIMO WALGITO</v>
          </cell>
        </row>
        <row r="7">
          <cell r="B7" t="str">
            <v>GOSE</v>
          </cell>
        </row>
        <row r="7">
          <cell r="I7" t="str">
            <v>BIMO WALGITO</v>
          </cell>
        </row>
        <row r="8">
          <cell r="B8" t="str">
            <v>PERWITA</v>
          </cell>
        </row>
        <row r="8">
          <cell r="I8" t="str">
            <v>BIMO WALGITO</v>
          </cell>
        </row>
        <row r="9">
          <cell r="B9" t="str">
            <v>TAMANAN</v>
          </cell>
        </row>
        <row r="9">
          <cell r="I9" t="str">
            <v>BIMO WALGITO</v>
          </cell>
        </row>
        <row r="10">
          <cell r="B10" t="str">
            <v>WONOCATUR</v>
          </cell>
        </row>
        <row r="10">
          <cell r="I10" t="str">
            <v>BIMO WALGITO</v>
          </cell>
        </row>
        <row r="11">
          <cell r="B11" t="str">
            <v>SITIMULYO</v>
          </cell>
        </row>
        <row r="11">
          <cell r="I11" t="str">
            <v>BIMO WALGITO</v>
          </cell>
        </row>
        <row r="12">
          <cell r="B12" t="str">
            <v>BOYOLALI</v>
          </cell>
        </row>
        <row r="12">
          <cell r="I12" t="str">
            <v>RIZKI NOFRIA WAHYUDI</v>
          </cell>
        </row>
        <row r="13">
          <cell r="B13" t="str">
            <v>TERAS</v>
          </cell>
        </row>
        <row r="13">
          <cell r="I13" t="str">
            <v>RIZKI NOFRIA WAHYUDI</v>
          </cell>
        </row>
        <row r="14">
          <cell r="B14" t="str">
            <v>AMPEL</v>
          </cell>
        </row>
        <row r="14">
          <cell r="I14" t="str">
            <v>RIZKI NOFRIA WAHYUDI</v>
          </cell>
        </row>
        <row r="15">
          <cell r="B15" t="str">
            <v>BYL03A</v>
          </cell>
        </row>
        <row r="15">
          <cell r="I15" t="str">
            <v>RIZKI NOFRIA WAHYUDI</v>
          </cell>
        </row>
        <row r="16">
          <cell r="B16" t="str">
            <v>SIMO</v>
          </cell>
        </row>
        <row r="16">
          <cell r="I16" t="str">
            <v>RIZKI NOFRIA WAHYUDI</v>
          </cell>
        </row>
        <row r="17">
          <cell r="B17" t="str">
            <v>BYL04A</v>
          </cell>
        </row>
        <row r="17">
          <cell r="I17" t="str">
            <v>RIZKI NOFRIA WAHYUDI</v>
          </cell>
        </row>
        <row r="18">
          <cell r="B18" t="str">
            <v>NGEMPLAK</v>
          </cell>
        </row>
        <row r="18">
          <cell r="I18" t="str">
            <v>RIZKI NOFRIA WAHYUDI</v>
          </cell>
        </row>
        <row r="19">
          <cell r="B19" t="str">
            <v>PULISEN</v>
          </cell>
        </row>
        <row r="19">
          <cell r="I19" t="str">
            <v>RIZKI NOFRIA WAHYUDI</v>
          </cell>
        </row>
        <row r="20">
          <cell r="B20" t="str">
            <v>ANDONG</v>
          </cell>
        </row>
        <row r="20">
          <cell r="I20" t="str">
            <v>RIZKI NOFRIA WAHYUDI</v>
          </cell>
        </row>
        <row r="21">
          <cell r="B21" t="str">
            <v>SAWIT</v>
          </cell>
        </row>
        <row r="21">
          <cell r="I21" t="str">
            <v>RIZKI NOFRIA WAHYUDI</v>
          </cell>
        </row>
        <row r="22">
          <cell r="B22" t="str">
            <v>KARANGGEDE</v>
          </cell>
        </row>
        <row r="22">
          <cell r="I22" t="str">
            <v>RIZKI NOFRIA WAHYUDI</v>
          </cell>
        </row>
        <row r="23">
          <cell r="B23" t="str">
            <v>BYL12</v>
          </cell>
        </row>
        <row r="23">
          <cell r="I23" t="str">
            <v>RIZKI NOFRIA WAHYUDI</v>
          </cell>
        </row>
        <row r="24">
          <cell r="B24" t="str">
            <v>CILACAP</v>
          </cell>
        </row>
        <row r="24">
          <cell r="I24" t="str">
            <v>DIMAS DANU SOHIBAN</v>
          </cell>
        </row>
        <row r="25">
          <cell r="B25" t="str">
            <v>MAJENANG</v>
          </cell>
        </row>
        <row r="25">
          <cell r="I25" t="str">
            <v>IFAN SUTIONO</v>
          </cell>
        </row>
        <row r="26">
          <cell r="B26" t="str">
            <v>KROYA</v>
          </cell>
        </row>
        <row r="26">
          <cell r="I26" t="str">
            <v>DIMAS DANU SOHIBAN</v>
          </cell>
        </row>
        <row r="27">
          <cell r="B27" t="str">
            <v>CLP03A</v>
          </cell>
        </row>
        <row r="27">
          <cell r="I27" t="str">
            <v>DIMAS DANU SOHIBAN</v>
          </cell>
        </row>
        <row r="28">
          <cell r="B28" t="str">
            <v>SIDAREJA</v>
          </cell>
        </row>
        <row r="28">
          <cell r="I28" t="str">
            <v>IFAN SUTIONO</v>
          </cell>
        </row>
        <row r="29">
          <cell r="B29" t="str">
            <v>ADIPALA</v>
          </cell>
        </row>
        <row r="29">
          <cell r="I29" t="str">
            <v>DIMAS DANU SOHIBAN</v>
          </cell>
        </row>
        <row r="30">
          <cell r="B30" t="str">
            <v>KAWUNGANTEN</v>
          </cell>
        </row>
        <row r="30">
          <cell r="I30" t="str">
            <v>IFAN SUTIONO</v>
          </cell>
        </row>
        <row r="31">
          <cell r="B31" t="str">
            <v>CIMANGGU</v>
          </cell>
        </row>
        <row r="31">
          <cell r="I31" t="str">
            <v>IFAN SUTIONO</v>
          </cell>
        </row>
        <row r="32">
          <cell r="B32" t="str">
            <v>MERTASINGA</v>
          </cell>
        </row>
        <row r="32">
          <cell r="I32" t="str">
            <v>DIMAS DANU SOHIBAN</v>
          </cell>
        </row>
        <row r="33">
          <cell r="B33" t="str">
            <v>SALIWANGI</v>
          </cell>
        </row>
        <row r="33">
          <cell r="I33" t="str">
            <v>DIMAS DANU SOHIBAN</v>
          </cell>
        </row>
        <row r="34">
          <cell r="B34" t="str">
            <v>NUSAWUNGU</v>
          </cell>
        </row>
        <row r="34">
          <cell r="I34" t="str">
            <v>DIMAS DANU SOHIBAN</v>
          </cell>
        </row>
        <row r="35">
          <cell r="B35" t="str">
            <v>CLP13A</v>
          </cell>
        </row>
        <row r="35">
          <cell r="I35" t="str">
            <v>IFAN SUTIONO</v>
          </cell>
        </row>
        <row r="36">
          <cell r="B36" t="str">
            <v>WANAREJA</v>
          </cell>
        </row>
        <row r="36">
          <cell r="I36" t="str">
            <v>IFAN SUTIONO</v>
          </cell>
        </row>
        <row r="37">
          <cell r="B37" t="str">
            <v>YOGYAKARTA</v>
          </cell>
        </row>
        <row r="37">
          <cell r="I37" t="str">
            <v>SURYA DWI J</v>
          </cell>
        </row>
        <row r="38">
          <cell r="B38" t="str">
            <v>UMBULHARJO</v>
          </cell>
        </row>
        <row r="38">
          <cell r="I38" t="str">
            <v>SURYA DWI J</v>
          </cell>
        </row>
        <row r="39">
          <cell r="B39" t="str">
            <v>KATAMSO</v>
          </cell>
        </row>
        <row r="39">
          <cell r="I39" t="str">
            <v>SURYA DWI J</v>
          </cell>
        </row>
        <row r="40">
          <cell r="B40" t="str">
            <v>SURYOWIJAYAN</v>
          </cell>
        </row>
        <row r="40">
          <cell r="I40" t="str">
            <v>SURYA DWI J</v>
          </cell>
        </row>
        <row r="41">
          <cell r="B41" t="str">
            <v>GEDONG_KUNING</v>
          </cell>
        </row>
        <row r="41">
          <cell r="I41" t="str">
            <v>SURYA DWI J</v>
          </cell>
        </row>
        <row r="42">
          <cell r="B42" t="str">
            <v>GIWANGAN</v>
          </cell>
        </row>
        <row r="42">
          <cell r="I42" t="str">
            <v>SURYA DWI J</v>
          </cell>
        </row>
        <row r="43">
          <cell r="B43" t="str">
            <v>COLOMADU</v>
          </cell>
        </row>
        <row r="43">
          <cell r="I43" t="str">
            <v>OKI WILLYANTO</v>
          </cell>
        </row>
        <row r="44">
          <cell r="B44" t="str">
            <v>TASIKMADU</v>
          </cell>
        </row>
        <row r="44">
          <cell r="I44" t="str">
            <v>FATAH MUSTOFA B</v>
          </cell>
        </row>
        <row r="45">
          <cell r="B45" t="str">
            <v>GONDANGREJO</v>
          </cell>
        </row>
        <row r="45">
          <cell r="I45" t="str">
            <v>FATAH MUSTOFA B</v>
          </cell>
        </row>
        <row r="46">
          <cell r="B46" t="str">
            <v>KARANG_PANDAN</v>
          </cell>
        </row>
        <row r="46">
          <cell r="I46" t="str">
            <v>FATAH MUSTOFA B</v>
          </cell>
        </row>
        <row r="47">
          <cell r="B47" t="str">
            <v>MATESI</v>
          </cell>
        </row>
        <row r="47">
          <cell r="I47" t="str">
            <v>FATAH MUSTOFA B</v>
          </cell>
        </row>
        <row r="48">
          <cell r="B48" t="str">
            <v>BEJEN</v>
          </cell>
        </row>
        <row r="48">
          <cell r="I48" t="str">
            <v>FATAH MUSTOFA B</v>
          </cell>
        </row>
        <row r="49">
          <cell r="B49" t="str">
            <v>NGRINGO</v>
          </cell>
        </row>
        <row r="49">
          <cell r="I49" t="str">
            <v>FATAH MUSTOFA B</v>
          </cell>
        </row>
        <row r="50">
          <cell r="B50" t="str">
            <v>MOJOGEDANG</v>
          </cell>
        </row>
        <row r="50">
          <cell r="I50" t="str">
            <v>FATAH MUSTOFA B</v>
          </cell>
        </row>
        <row r="51">
          <cell r="B51" t="str">
            <v>TUGU_BOTO</v>
          </cell>
        </row>
        <row r="51">
          <cell r="I51" t="str">
            <v>OKI WILLYANTO</v>
          </cell>
        </row>
        <row r="52">
          <cell r="B52" t="str">
            <v>JUMAPOLO</v>
          </cell>
        </row>
        <row r="52">
          <cell r="I52" t="str">
            <v>FATAH MUSTOFA B</v>
          </cell>
        </row>
        <row r="53">
          <cell r="B53" t="str">
            <v>KEBAKKRAMAT</v>
          </cell>
        </row>
        <row r="53">
          <cell r="I53" t="str">
            <v>FATAH MUSTOFA B</v>
          </cell>
        </row>
        <row r="54">
          <cell r="B54" t="str">
            <v>GOMBONG</v>
          </cell>
        </row>
        <row r="54">
          <cell r="I54" t="str">
            <v>LUTFI HARIYANTO</v>
          </cell>
        </row>
        <row r="55">
          <cell r="B55" t="str">
            <v>KBM02A</v>
          </cell>
        </row>
        <row r="55">
          <cell r="I55" t="str">
            <v>LUTFI HARIYANTO</v>
          </cell>
        </row>
        <row r="56">
          <cell r="B56" t="str">
            <v>PREMBUN</v>
          </cell>
        </row>
        <row r="56">
          <cell r="I56" t="str">
            <v>LUTFI HARIYANTO</v>
          </cell>
        </row>
        <row r="57">
          <cell r="B57" t="str">
            <v>KEBUMEN_KOTA</v>
          </cell>
        </row>
        <row r="57">
          <cell r="I57" t="str">
            <v>LUTFI HARIYANTO</v>
          </cell>
        </row>
        <row r="58">
          <cell r="B58" t="str">
            <v>AYAH</v>
          </cell>
        </row>
        <row r="58">
          <cell r="I58" t="str">
            <v>LUTFI HARIYANTO</v>
          </cell>
        </row>
        <row r="59">
          <cell r="B59" t="str">
            <v>PETANAHAN</v>
          </cell>
        </row>
        <row r="59">
          <cell r="I59" t="str">
            <v>LUTFI HARIYANTO</v>
          </cell>
        </row>
        <row r="60">
          <cell r="B60" t="str">
            <v>KUTOWINANGUN</v>
          </cell>
        </row>
        <row r="60">
          <cell r="I60" t="str">
            <v>LUTFI HARIYANTO</v>
          </cell>
        </row>
        <row r="61">
          <cell r="B61" t="str">
            <v>CANDI_KEBUMEN</v>
          </cell>
        </row>
        <row r="61">
          <cell r="I61" t="str">
            <v>LUTFI HARIYANTO</v>
          </cell>
        </row>
        <row r="62">
          <cell r="B62" t="str">
            <v>KBM17</v>
          </cell>
        </row>
        <row r="62">
          <cell r="I62" t="str">
            <v>LUTFI HARIYANTO</v>
          </cell>
        </row>
        <row r="63">
          <cell r="B63" t="str">
            <v>WATES</v>
          </cell>
        </row>
        <row r="63">
          <cell r="I63" t="str">
            <v>RASTO ZANU MUBIARTO</v>
          </cell>
        </row>
        <row r="64">
          <cell r="B64" t="str">
            <v>SENTOLO</v>
          </cell>
        </row>
        <row r="64">
          <cell r="I64" t="str">
            <v>RASTO ZANU MUBIARTO</v>
          </cell>
        </row>
        <row r="65">
          <cell r="B65" t="str">
            <v>KULONPROGO</v>
          </cell>
        </row>
        <row r="65">
          <cell r="I65" t="str">
            <v>RASTO ZANU MUBIARTO</v>
          </cell>
        </row>
        <row r="66">
          <cell r="B66" t="str">
            <v>NANGGULAN</v>
          </cell>
        </row>
        <row r="66">
          <cell r="I66" t="str">
            <v>RASTO ZANU MUBIARTO</v>
          </cell>
        </row>
        <row r="67">
          <cell r="B67" t="str">
            <v>KLATEN_SELATAN</v>
          </cell>
        </row>
        <row r="67">
          <cell r="I67" t="str">
            <v>ADIMAS BAYU RADITYO</v>
          </cell>
        </row>
        <row r="68">
          <cell r="B68" t="str">
            <v>PRAMBANAN</v>
          </cell>
        </row>
        <row r="68">
          <cell r="I68" t="str">
            <v>ADIMAS BAYU RADITYO</v>
          </cell>
        </row>
        <row r="69">
          <cell r="B69" t="str">
            <v>DELANGGU</v>
          </cell>
        </row>
        <row r="69">
          <cell r="I69" t="str">
            <v>ADIMAS BAYU RADITYO</v>
          </cell>
        </row>
        <row r="70">
          <cell r="B70" t="str">
            <v>BELANG_WETAN</v>
          </cell>
        </row>
        <row r="70">
          <cell r="I70" t="str">
            <v>ADIMAS BAYU RADITYO</v>
          </cell>
        </row>
        <row r="71">
          <cell r="B71" t="str">
            <v>PEDAN</v>
          </cell>
        </row>
        <row r="71">
          <cell r="I71" t="str">
            <v>ADIMAS BAYU RADITYO</v>
          </cell>
        </row>
        <row r="72">
          <cell r="B72" t="str">
            <v>KLATEN_TENGAH</v>
          </cell>
        </row>
        <row r="72">
          <cell r="I72" t="str">
            <v>ADIMAS BAYU RADITYO</v>
          </cell>
        </row>
        <row r="73">
          <cell r="B73" t="str">
            <v>KARANGDOWO</v>
          </cell>
        </row>
        <row r="73">
          <cell r="I73" t="str">
            <v>ADIMAS BAYU RADITYO</v>
          </cell>
        </row>
        <row r="74">
          <cell r="B74" t="str">
            <v>DC_KLATEN</v>
          </cell>
        </row>
        <row r="74">
          <cell r="I74" t="str">
            <v>ADIMAS BAYU RADITYO</v>
          </cell>
        </row>
        <row r="75">
          <cell r="B75" t="str">
            <v>MOJAYAN</v>
          </cell>
        </row>
        <row r="75">
          <cell r="I75" t="str">
            <v>ADIMAS BAYU RADITYO</v>
          </cell>
        </row>
        <row r="76">
          <cell r="B76" t="str">
            <v>MAYUNGAN</v>
          </cell>
        </row>
        <row r="76">
          <cell r="I76" t="str">
            <v>ADIMAS BAYU RADITYO</v>
          </cell>
        </row>
        <row r="77">
          <cell r="B77" t="str">
            <v>TULUNG</v>
          </cell>
        </row>
        <row r="77">
          <cell r="I77" t="str">
            <v>ADIMAS BAYU RADITYO</v>
          </cell>
        </row>
        <row r="78">
          <cell r="B78" t="str">
            <v>KLT26</v>
          </cell>
        </row>
        <row r="78">
          <cell r="I78" t="str">
            <v>ADIMAS BAYU RADITYO</v>
          </cell>
        </row>
        <row r="79">
          <cell r="B79" t="str">
            <v>MAGELANG</v>
          </cell>
        </row>
        <row r="79">
          <cell r="I79" t="str">
            <v>MUHAMMAD DENI HENDRO SUSILO</v>
          </cell>
        </row>
        <row r="80">
          <cell r="B80" t="str">
            <v>KUPATAN</v>
          </cell>
        </row>
        <row r="80">
          <cell r="I80" t="str">
            <v>MUHAMMAD DENI HENDRO SUSILO</v>
          </cell>
        </row>
        <row r="81">
          <cell r="B81" t="str">
            <v>MUNGKID</v>
          </cell>
        </row>
        <row r="81">
          <cell r="I81" t="str">
            <v>MUHAMMAD DENI HENDRO SUSILO</v>
          </cell>
        </row>
        <row r="82">
          <cell r="B82" t="str">
            <v>GRABAG</v>
          </cell>
        </row>
        <row r="82">
          <cell r="I82" t="str">
            <v>MUHAMMAD DENI HENDRO SUSILO</v>
          </cell>
        </row>
        <row r="83">
          <cell r="B83" t="str">
            <v>SALAM</v>
          </cell>
        </row>
        <row r="83">
          <cell r="I83" t="str">
            <v>MUHAMMAD DENI HENDRO SUSILO</v>
          </cell>
        </row>
        <row r="84">
          <cell r="B84" t="str">
            <v>SECANG</v>
          </cell>
        </row>
        <row r="84">
          <cell r="I84" t="str">
            <v>MUHAMMAD DENI HENDRO SUSILO</v>
          </cell>
        </row>
        <row r="85">
          <cell r="B85" t="str">
            <v>MERTOYUDAN</v>
          </cell>
        </row>
        <row r="85">
          <cell r="I85" t="str">
            <v>MUHAMMAD DENI HENDRO SUSILO</v>
          </cell>
        </row>
        <row r="86">
          <cell r="B86" t="str">
            <v>BOROBUDUR</v>
          </cell>
        </row>
        <row r="86">
          <cell r="I86" t="str">
            <v>MUHAMMAD DENI HENDRO SUSILO</v>
          </cell>
        </row>
        <row r="87">
          <cell r="B87" t="str">
            <v>KEDUNGDOWO</v>
          </cell>
        </row>
        <row r="87">
          <cell r="I87" t="str">
            <v>MUHAMMAD DENI HENDRO SUSILO</v>
          </cell>
        </row>
        <row r="88">
          <cell r="B88" t="str">
            <v>TEGALREJO</v>
          </cell>
        </row>
        <row r="88">
          <cell r="I88" t="str">
            <v>MUHAMMAD DENI HENDRO SUSILO</v>
          </cell>
        </row>
        <row r="89">
          <cell r="B89" t="str">
            <v>TEMPURAN_MUNGKID</v>
          </cell>
        </row>
        <row r="89">
          <cell r="I89" t="str">
            <v>MUHAMMAD DENI HENDRO SUSILO</v>
          </cell>
        </row>
        <row r="90">
          <cell r="B90" t="str">
            <v>PURWOREJO</v>
          </cell>
        </row>
        <row r="90">
          <cell r="I90" t="str">
            <v>PAIMUN</v>
          </cell>
        </row>
        <row r="91">
          <cell r="B91" t="str">
            <v>LOANO</v>
          </cell>
        </row>
        <row r="91">
          <cell r="I91" t="str">
            <v>PAIMUN</v>
          </cell>
        </row>
        <row r="92">
          <cell r="B92" t="str">
            <v>BUTUH</v>
          </cell>
        </row>
        <row r="92">
          <cell r="I92" t="str">
            <v>PAIMUN</v>
          </cell>
        </row>
        <row r="93">
          <cell r="B93" t="str">
            <v>BAGELEN</v>
          </cell>
        </row>
        <row r="93">
          <cell r="I93" t="str">
            <v>PAIMUN</v>
          </cell>
        </row>
        <row r="94">
          <cell r="B94" t="str">
            <v>WIRUN</v>
          </cell>
        </row>
        <row r="94">
          <cell r="I94" t="str">
            <v>PAIMUN</v>
          </cell>
        </row>
        <row r="95">
          <cell r="B95" t="str">
            <v>DC_BANYUURIP</v>
          </cell>
        </row>
        <row r="95">
          <cell r="I95" t="str">
            <v>PAIMUN</v>
          </cell>
        </row>
        <row r="96">
          <cell r="B96" t="str">
            <v>SLEMAN</v>
          </cell>
        </row>
        <row r="96">
          <cell r="I96" t="str">
            <v>FARIS JAGAD SANTOSA</v>
          </cell>
        </row>
        <row r="97">
          <cell r="B97" t="str">
            <v>GODEAN</v>
          </cell>
        </row>
        <row r="97">
          <cell r="I97" t="str">
            <v>RASTO ZANU MUBIARTO</v>
          </cell>
        </row>
        <row r="98">
          <cell r="B98" t="str">
            <v>NGAGLIK</v>
          </cell>
        </row>
        <row r="98">
          <cell r="I98" t="str">
            <v>FARIS JAGAD SANTOSA</v>
          </cell>
        </row>
        <row r="99">
          <cell r="B99" t="str">
            <v>SLM03A</v>
          </cell>
        </row>
        <row r="99">
          <cell r="I99" t="str">
            <v>RASTO ZANU MUBIARTO</v>
          </cell>
        </row>
        <row r="100">
          <cell r="B100" t="str">
            <v>DENGGUNG</v>
          </cell>
        </row>
        <row r="100">
          <cell r="I100" t="str">
            <v>RASTO ZANU MUBIARTO</v>
          </cell>
        </row>
        <row r="101">
          <cell r="B101" t="str">
            <v>MAGUWOHARJO</v>
          </cell>
        </row>
        <row r="101">
          <cell r="I101" t="str">
            <v>FARIS JAGAD SANTOSA</v>
          </cell>
        </row>
        <row r="102">
          <cell r="B102" t="str">
            <v>CATUR_TUNGGAL</v>
          </cell>
        </row>
        <row r="102">
          <cell r="I102" t="str">
            <v>FARIS JAGAD SANTOSA</v>
          </cell>
        </row>
        <row r="103">
          <cell r="B103" t="str">
            <v>SETURAN</v>
          </cell>
        </row>
        <row r="103">
          <cell r="I103" t="str">
            <v>FARIS JAGAD SANTOSA</v>
          </cell>
        </row>
        <row r="104">
          <cell r="B104" t="str">
            <v>KALASAN</v>
          </cell>
        </row>
        <row r="104">
          <cell r="I104" t="str">
            <v>FARIS JAGAD SANTOSA</v>
          </cell>
        </row>
        <row r="105">
          <cell r="B105" t="str">
            <v>SLM10A</v>
          </cell>
        </row>
        <row r="105">
          <cell r="I105" t="str">
            <v>RASTO ZANU MUBIARTO</v>
          </cell>
        </row>
        <row r="106">
          <cell r="B106" t="str">
            <v>BERJO</v>
          </cell>
        </row>
        <row r="106">
          <cell r="I106" t="str">
            <v>RASTO ZANU MUBIARTO</v>
          </cell>
        </row>
        <row r="107">
          <cell r="B107" t="str">
            <v>GEJAYAN</v>
          </cell>
        </row>
        <row r="107">
          <cell r="I107" t="str">
            <v>FARIS JAGAD SANTOSA</v>
          </cell>
        </row>
        <row r="108">
          <cell r="B108" t="str">
            <v>PALAGAN</v>
          </cell>
        </row>
        <row r="108">
          <cell r="I108" t="str">
            <v>FARIS JAGAD SANTOSA</v>
          </cell>
        </row>
        <row r="109">
          <cell r="B109" t="str">
            <v>SLM17A</v>
          </cell>
        </row>
        <row r="109">
          <cell r="I109" t="str">
            <v>FARIS JAGAD SANTOSA</v>
          </cell>
        </row>
        <row r="110">
          <cell r="B110" t="str">
            <v>JOMBOR</v>
          </cell>
        </row>
        <row r="110">
          <cell r="I110" t="str">
            <v>RASTO ZANU MUBIARTO</v>
          </cell>
        </row>
        <row r="111">
          <cell r="B111" t="str">
            <v>TRIDADI</v>
          </cell>
        </row>
        <row r="111">
          <cell r="I111" t="str">
            <v>RASTO ZANU MUBIARTO</v>
          </cell>
        </row>
        <row r="112">
          <cell r="B112" t="str">
            <v>GAMPING</v>
          </cell>
        </row>
        <row r="112">
          <cell r="I112" t="str">
            <v>RASTO ZANU MUBIARTO</v>
          </cell>
        </row>
        <row r="113">
          <cell r="B113" t="str">
            <v>KENTUNGAN</v>
          </cell>
        </row>
        <row r="113">
          <cell r="I113" t="str">
            <v>FARIS JAGAD SANTOSA</v>
          </cell>
        </row>
        <row r="114">
          <cell r="B114" t="str">
            <v>SOLO</v>
          </cell>
        </row>
        <row r="114">
          <cell r="I114" t="str">
            <v>OKI WILLYANTO</v>
          </cell>
        </row>
        <row r="115">
          <cell r="B115" t="str">
            <v>KARTASURA</v>
          </cell>
        </row>
        <row r="115">
          <cell r="I115" t="str">
            <v>MUHAMMAD CHAIRIL ANAM</v>
          </cell>
        </row>
        <row r="116">
          <cell r="B116" t="str">
            <v>SERENGAN</v>
          </cell>
        </row>
        <row r="116">
          <cell r="I116" t="str">
            <v>FAJAR MAFAZAKI</v>
          </cell>
        </row>
        <row r="117">
          <cell r="B117" t="str">
            <v>MOJOSONGO</v>
          </cell>
        </row>
        <row r="117">
          <cell r="I117" t="str">
            <v>FAJAR MAFAZAKI</v>
          </cell>
        </row>
        <row r="118">
          <cell r="B118" t="str">
            <v>SUMBER_BANJARSARI</v>
          </cell>
        </row>
        <row r="118">
          <cell r="I118" t="str">
            <v>OKI WILLYANTO</v>
          </cell>
        </row>
        <row r="119">
          <cell r="B119" t="str">
            <v>TIPES</v>
          </cell>
        </row>
        <row r="119">
          <cell r="I119" t="str">
            <v>FAJAR MAFAZAKI</v>
          </cell>
        </row>
        <row r="120">
          <cell r="B120" t="str">
            <v>JAGALAN</v>
          </cell>
        </row>
        <row r="120">
          <cell r="I120" t="str">
            <v>FAJAR MAFAZAKI</v>
          </cell>
        </row>
        <row r="121">
          <cell r="B121" t="str">
            <v>BETENG</v>
          </cell>
        </row>
        <row r="121">
          <cell r="I121" t="str">
            <v>FAJAR MAFAZAKI</v>
          </cell>
        </row>
        <row r="122">
          <cell r="B122" t="str">
            <v>TIMURAN</v>
          </cell>
        </row>
        <row r="122">
          <cell r="I122" t="str">
            <v>FAJAR MAFAZAKI</v>
          </cell>
        </row>
        <row r="123">
          <cell r="B123" t="str">
            <v>SEMANGGI</v>
          </cell>
        </row>
        <row r="123">
          <cell r="I123" t="str">
            <v>FAJAR MAFAZAKI</v>
          </cell>
        </row>
        <row r="124">
          <cell r="B124" t="str">
            <v>DANUKUSUMAN</v>
          </cell>
        </row>
        <row r="124">
          <cell r="I124" t="str">
            <v>FAJAR MAFAZAKI</v>
          </cell>
        </row>
        <row r="125">
          <cell r="B125" t="str">
            <v>BUMI_LAWEYAN</v>
          </cell>
        </row>
        <row r="125">
          <cell r="I125" t="str">
            <v>OKI WILLYANTO</v>
          </cell>
        </row>
        <row r="126">
          <cell r="B126" t="str">
            <v>SEKIP_KADIPIRO</v>
          </cell>
        </row>
        <row r="126">
          <cell r="I126" t="str">
            <v>OKI WILLYANTO</v>
          </cell>
        </row>
        <row r="127">
          <cell r="B127" t="str">
            <v>DC_SOLO_BARAT</v>
          </cell>
        </row>
        <row r="127">
          <cell r="I127" t="str">
            <v>OKI WILLYANTO</v>
          </cell>
        </row>
        <row r="128">
          <cell r="B128" t="str">
            <v>IR_SUTAMI</v>
          </cell>
        </row>
        <row r="128">
          <cell r="I128" t="str">
            <v>FAJAR MAFAZAKI</v>
          </cell>
        </row>
        <row r="129">
          <cell r="B129" t="str">
            <v>SAMPANGAN_SOLO</v>
          </cell>
        </row>
        <row r="129">
          <cell r="I129" t="str">
            <v>FAJAR MAFAZAKI</v>
          </cell>
        </row>
        <row r="130">
          <cell r="B130" t="str">
            <v>SRAGEN</v>
          </cell>
        </row>
        <row r="130">
          <cell r="I130" t="str">
            <v>FERY SAPUTRO</v>
          </cell>
        </row>
        <row r="131">
          <cell r="B131" t="str">
            <v>GEMOLONG</v>
          </cell>
        </row>
        <row r="131">
          <cell r="I131" t="str">
            <v>FERY SAPUTRO</v>
          </cell>
        </row>
        <row r="132">
          <cell r="B132" t="str">
            <v>MASARAN</v>
          </cell>
        </row>
        <row r="132">
          <cell r="I132" t="str">
            <v>FERY SAPUTRO</v>
          </cell>
        </row>
        <row r="133">
          <cell r="B133" t="str">
            <v>GONDANG</v>
          </cell>
        </row>
        <row r="133">
          <cell r="I133" t="str">
            <v>FERY SAPUTRO</v>
          </cell>
        </row>
        <row r="134">
          <cell r="B134" t="str">
            <v>PILANGSARI</v>
          </cell>
        </row>
        <row r="134">
          <cell r="I134" t="str">
            <v>FERY SAPUTRO</v>
          </cell>
        </row>
        <row r="135">
          <cell r="B135" t="str">
            <v>TANON</v>
          </cell>
        </row>
        <row r="135">
          <cell r="I135" t="str">
            <v>FERY SAPUTRO</v>
          </cell>
        </row>
        <row r="136">
          <cell r="B136" t="str">
            <v>TUGU_GADING_MASARAN</v>
          </cell>
        </row>
        <row r="136">
          <cell r="I136" t="str">
            <v>FERY SAPUTRO</v>
          </cell>
        </row>
        <row r="137">
          <cell r="B137" t="str">
            <v>KARANGMALANG</v>
          </cell>
        </row>
        <row r="137">
          <cell r="I137" t="str">
            <v>FERY SAPUTRO</v>
          </cell>
        </row>
        <row r="138">
          <cell r="B138" t="str">
            <v>LANGENHARJO</v>
          </cell>
        </row>
        <row r="138">
          <cell r="I138" t="str">
            <v>MUHAMMAD CHAIRIL ANAM</v>
          </cell>
        </row>
        <row r="139">
          <cell r="B139" t="str">
            <v>POLOKARTO</v>
          </cell>
        </row>
        <row r="139">
          <cell r="I139" t="str">
            <v>MUHAMMAD CHAIRIL ANAM</v>
          </cell>
        </row>
        <row r="140">
          <cell r="B140" t="str">
            <v>BAKI</v>
          </cell>
        </row>
        <row r="140">
          <cell r="I140" t="str">
            <v>MUHAMMAD CHAIRIL ANAM</v>
          </cell>
        </row>
        <row r="141">
          <cell r="B141" t="str">
            <v>TAWANGSARI</v>
          </cell>
        </row>
        <row r="141">
          <cell r="I141" t="str">
            <v>MUHAMMAD CHAIRIL ANAM</v>
          </cell>
        </row>
        <row r="142">
          <cell r="B142" t="str">
            <v>PUCANGAN</v>
          </cell>
        </row>
        <row r="142">
          <cell r="I142" t="str">
            <v>MUHAMMAD CHAIRIL ANAM</v>
          </cell>
        </row>
        <row r="143">
          <cell r="B143" t="str">
            <v>SLAMET_RIYADI_BARAT</v>
          </cell>
        </row>
        <row r="143">
          <cell r="I143" t="str">
            <v>MUHAMMAD CHAIRIL ANAM</v>
          </cell>
        </row>
        <row r="144">
          <cell r="B144" t="str">
            <v>MOJOLABAN</v>
          </cell>
        </row>
        <row r="144">
          <cell r="I144" t="str">
            <v>MUHAMMAD CHAIRIL ANAM</v>
          </cell>
        </row>
        <row r="145">
          <cell r="B145" t="str">
            <v>TELUKAN</v>
          </cell>
        </row>
        <row r="145">
          <cell r="I145" t="str">
            <v>MUHAMMAD CHAIRIL ANAM</v>
          </cell>
        </row>
        <row r="146">
          <cell r="B146" t="str">
            <v>JETIS</v>
          </cell>
        </row>
        <row r="146">
          <cell r="I146" t="str">
            <v>MUHAMMAD CHAIRIL ANAM</v>
          </cell>
        </row>
        <row r="147">
          <cell r="B147" t="str">
            <v>TCBTL101</v>
          </cell>
        </row>
        <row r="147">
          <cell r="I147" t="str">
            <v>BIMO WALGITO</v>
          </cell>
        </row>
        <row r="148">
          <cell r="B148" t="str">
            <v>TCBTL111</v>
          </cell>
        </row>
        <row r="148">
          <cell r="I148" t="str">
            <v>BIMO WALGITO</v>
          </cell>
        </row>
        <row r="149">
          <cell r="B149" t="str">
            <v>TCBTL171</v>
          </cell>
        </row>
        <row r="149">
          <cell r="I149" t="str">
            <v>SURYA DWI J</v>
          </cell>
        </row>
        <row r="150">
          <cell r="B150" t="str">
            <v>TCBYL091</v>
          </cell>
        </row>
        <row r="150">
          <cell r="I150" t="str">
            <v>RIZKI NOFRIA WAHYUDI</v>
          </cell>
        </row>
        <row r="151">
          <cell r="B151" t="str">
            <v>TCCLP061</v>
          </cell>
        </row>
        <row r="151">
          <cell r="I151" t="str">
            <v>IFAN SUTIONO</v>
          </cell>
        </row>
        <row r="152">
          <cell r="B152" t="str">
            <v>TCCLP241</v>
          </cell>
        </row>
        <row r="152">
          <cell r="I152" t="str">
            <v>DIMAS DANU SOHIBAN</v>
          </cell>
        </row>
        <row r="153">
          <cell r="B153" t="str">
            <v>TCKAA071</v>
          </cell>
        </row>
        <row r="153">
          <cell r="I153" t="str">
            <v>FATAH MUSTOFA B</v>
          </cell>
        </row>
        <row r="154">
          <cell r="B154" t="str">
            <v>TCKAA171</v>
          </cell>
        </row>
        <row r="154">
          <cell r="I154" t="str">
            <v>OKI WILLYANTO</v>
          </cell>
        </row>
        <row r="155">
          <cell r="B155" t="str">
            <v>TCKBM031</v>
          </cell>
        </row>
        <row r="155">
          <cell r="I155" t="str">
            <v>LUTFI HARIYANTO</v>
          </cell>
        </row>
        <row r="156">
          <cell r="B156" t="str">
            <v>TCKLP121</v>
          </cell>
        </row>
        <row r="156">
          <cell r="I156" t="str">
            <v>RASTO ZANU MUBIARTO</v>
          </cell>
        </row>
        <row r="157">
          <cell r="B157" t="str">
            <v>TCKLT021</v>
          </cell>
        </row>
        <row r="157">
          <cell r="I157" t="str">
            <v>ADIMAS BAYU RADITYO</v>
          </cell>
        </row>
        <row r="158">
          <cell r="B158" t="str">
            <v>TCMUG071</v>
          </cell>
        </row>
        <row r="158">
          <cell r="I158" t="str">
            <v>MUHAMMAD DENI HENDRO SUSILO</v>
          </cell>
        </row>
        <row r="159">
          <cell r="B159" t="str">
            <v>TCPWJ101</v>
          </cell>
        </row>
        <row r="159">
          <cell r="I159" t="str">
            <v>PAIMUN</v>
          </cell>
        </row>
        <row r="160">
          <cell r="B160" t="str">
            <v>TCSLM011</v>
          </cell>
        </row>
        <row r="160">
          <cell r="I160" t="str">
            <v>FARIS JAGAD SANTOSA</v>
          </cell>
        </row>
        <row r="161">
          <cell r="B161" t="str">
            <v>TCSLM101</v>
          </cell>
        </row>
        <row r="161">
          <cell r="I161" t="str">
            <v>RASTO ZANU MUBIARTO</v>
          </cell>
        </row>
        <row r="162">
          <cell r="B162" t="str">
            <v>TCSOC041</v>
          </cell>
        </row>
        <row r="162">
          <cell r="I162" t="str">
            <v>FAJAR MAFAZAKI</v>
          </cell>
        </row>
        <row r="163">
          <cell r="B163" t="str">
            <v>TCSRN061</v>
          </cell>
        </row>
        <row r="163">
          <cell r="I163" t="str">
            <v>FERY SAPUTRO</v>
          </cell>
        </row>
        <row r="164">
          <cell r="B164" t="str">
            <v>TCSUJ051</v>
          </cell>
        </row>
        <row r="164">
          <cell r="I164" t="str">
            <v>MUHAMMAD CHAIRIL ANAM</v>
          </cell>
        </row>
        <row r="165">
          <cell r="B165" t="str">
            <v>TCWGI051</v>
          </cell>
        </row>
        <row r="165">
          <cell r="I165" t="str">
            <v>JOKO NDARU FEBRIYANTO</v>
          </cell>
        </row>
        <row r="166">
          <cell r="B166" t="str">
            <v>TCWNO031</v>
          </cell>
        </row>
        <row r="166">
          <cell r="I166" t="str">
            <v>SURYA DWI J</v>
          </cell>
        </row>
        <row r="167">
          <cell r="B167" t="str">
            <v>WONOGIRI</v>
          </cell>
        </row>
        <row r="167">
          <cell r="I167" t="str">
            <v>JOKO NDARU FEBRIYANTO</v>
          </cell>
        </row>
        <row r="168">
          <cell r="B168" t="str">
            <v>BATURETNO</v>
          </cell>
        </row>
        <row r="168">
          <cell r="I168" t="str">
            <v>JOKO NDARU FEBRIYANTO</v>
          </cell>
        </row>
        <row r="169">
          <cell r="B169" t="str">
            <v>NGADIROJO</v>
          </cell>
        </row>
        <row r="169">
          <cell r="I169" t="str">
            <v>JOKO NDARU FEBRIYANTO</v>
          </cell>
        </row>
        <row r="170">
          <cell r="B170" t="str">
            <v>WURYANTORO</v>
          </cell>
        </row>
        <row r="170">
          <cell r="I170" t="str">
            <v>JOKO NDARU FEBRIYANTO</v>
          </cell>
        </row>
        <row r="171">
          <cell r="B171" t="str">
            <v>SLOGOHIMO</v>
          </cell>
        </row>
        <row r="171">
          <cell r="I171" t="str">
            <v>JOKO NDARU FEBRIYANTO</v>
          </cell>
        </row>
        <row r="172">
          <cell r="B172" t="str">
            <v>SELOGIRI</v>
          </cell>
        </row>
        <row r="172">
          <cell r="I172" t="str">
            <v>JOKO NDARU FEBRIYANTO</v>
          </cell>
        </row>
        <row r="173">
          <cell r="B173" t="str">
            <v>PURWANTORO</v>
          </cell>
        </row>
        <row r="173">
          <cell r="I173" t="str">
            <v>JOKO NDARU FEBRIYANTO</v>
          </cell>
        </row>
        <row r="174">
          <cell r="B174" t="str">
            <v>NGUNTORONADI</v>
          </cell>
        </row>
        <row r="174">
          <cell r="I174" t="str">
            <v>JOKO NDARU FEBRIYANTO</v>
          </cell>
        </row>
        <row r="175">
          <cell r="B175" t="str">
            <v>JATISRONO_WGI</v>
          </cell>
        </row>
        <row r="175">
          <cell r="I175" t="str">
            <v>JOKO NDARU FEBRIYANTO</v>
          </cell>
        </row>
        <row r="176">
          <cell r="B176" t="str">
            <v>WONOSARI</v>
          </cell>
        </row>
        <row r="176">
          <cell r="I176" t="str">
            <v>SURYA DWI J</v>
          </cell>
        </row>
        <row r="177">
          <cell r="B177" t="str">
            <v>NGLIPAR</v>
          </cell>
        </row>
        <row r="177">
          <cell r="I177" t="str">
            <v>SURYA DWI J</v>
          </cell>
        </row>
        <row r="178">
          <cell r="B178" t="str">
            <v>KARANGMOJO</v>
          </cell>
        </row>
        <row r="178">
          <cell r="I178" t="str">
            <v>SURYA DWI J</v>
          </cell>
        </row>
      </sheetData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LL"/>
      <sheetName val="OUTGOING"/>
    </sheetNames>
    <sheetDataSet>
      <sheetData sheetId="0">
        <row r="2">
          <cell r="C2" t="str">
            <v>Nama Drop Point</v>
          </cell>
        </row>
        <row r="2">
          <cell r="N2" t="str">
            <v>Penanggung Jawab</v>
          </cell>
        </row>
        <row r="3">
          <cell r="C3" t="str">
            <v>PEMENANG</v>
          </cell>
        </row>
        <row r="3">
          <cell r="N3" t="str">
            <v>MUHAMMAD TONY NUGRAHA</v>
          </cell>
        </row>
        <row r="4">
          <cell r="C4" t="str">
            <v>MASBAGIK_1</v>
          </cell>
        </row>
        <row r="4">
          <cell r="N4" t="str">
            <v>Abi Hilmawan</v>
          </cell>
        </row>
        <row r="5">
          <cell r="C5" t="str">
            <v>TCABU021</v>
          </cell>
        </row>
        <row r="5">
          <cell r="N5" t="str">
            <v>CICI TRISNAWATI NGGILLI</v>
          </cell>
        </row>
        <row r="6">
          <cell r="C6" t="str">
            <v>ADONARA</v>
          </cell>
        </row>
        <row r="6">
          <cell r="N6" t="str">
            <v>PETRUS TRIMULIA WANGGA DALA</v>
          </cell>
        </row>
        <row r="7">
          <cell r="C7" t="str">
            <v>MADAPANGGA</v>
          </cell>
        </row>
        <row r="7">
          <cell r="N7" t="str">
            <v>SYARIFUDDIN</v>
          </cell>
        </row>
        <row r="8">
          <cell r="C8" t="str">
            <v>PUJUT</v>
          </cell>
        </row>
        <row r="8">
          <cell r="N8" t="str">
            <v>Suhardi </v>
          </cell>
        </row>
        <row r="9">
          <cell r="C9" t="str">
            <v>PEKAT</v>
          </cell>
        </row>
        <row r="9">
          <cell r="N9" t="str">
            <v>M. SALAHUDIN</v>
          </cell>
        </row>
        <row r="10">
          <cell r="C10" t="str">
            <v>LABUAN_HAJI</v>
          </cell>
        </row>
        <row r="10">
          <cell r="N10" t="str">
            <v>Abi Hilmawan</v>
          </cell>
        </row>
        <row r="11">
          <cell r="C11" t="str">
            <v>SEKONGKANG</v>
          </cell>
        </row>
        <row r="11">
          <cell r="N11" t="str">
            <v>RITA HERMAWATI</v>
          </cell>
        </row>
        <row r="12">
          <cell r="C12" t="str">
            <v>CP_PANJITILAR_NEGARA</v>
          </cell>
        </row>
        <row r="12">
          <cell r="N12" t="str">
            <v>MUHAMMAD JUMADIL</v>
          </cell>
        </row>
        <row r="13">
          <cell r="C13" t="str">
            <v>UTAN_RHEE</v>
          </cell>
        </row>
        <row r="13">
          <cell r="N13" t="str">
            <v>DENI SUSATYO</v>
          </cell>
        </row>
        <row r="14">
          <cell r="C14" t="str">
            <v>CP_MASBAGIK_UTARA</v>
          </cell>
        </row>
        <row r="14">
          <cell r="N14" t="str">
            <v>Abi Hilmawan</v>
          </cell>
        </row>
        <row r="15">
          <cell r="C15" t="str">
            <v>CP_GANTI</v>
          </cell>
        </row>
        <row r="15">
          <cell r="N15" t="str">
            <v>Suhardi </v>
          </cell>
        </row>
        <row r="16">
          <cell r="C16" t="str">
            <v>KEDIRI_1</v>
          </cell>
        </row>
        <row r="16">
          <cell r="N16" t="str">
            <v>MUHAMMAD TONY NUGRAHA</v>
          </cell>
        </row>
        <row r="17">
          <cell r="C17" t="str">
            <v>AMPENAN</v>
          </cell>
        </row>
        <row r="17">
          <cell r="N17" t="str">
            <v>MUHAMMAD JUMADIL</v>
          </cell>
        </row>
        <row r="18">
          <cell r="C18" t="str">
            <v>LASIANA</v>
          </cell>
        </row>
        <row r="18">
          <cell r="N18" t="str">
            <v>EKAYASA EBENHAEZER SANDY KALLA</v>
          </cell>
        </row>
        <row r="19">
          <cell r="C19" t="str">
            <v>ATAMBUA</v>
          </cell>
        </row>
        <row r="19">
          <cell r="N19" t="str">
            <v>CICI TRISNAWATI NGGILLI</v>
          </cell>
        </row>
        <row r="20">
          <cell r="C20" t="str">
            <v>BORONG</v>
          </cell>
        </row>
        <row r="20">
          <cell r="N20" t="str">
            <v>ALOYSIUS RIWANTO</v>
          </cell>
        </row>
        <row r="21">
          <cell r="C21" t="str">
            <v>WOHA</v>
          </cell>
        </row>
        <row r="21">
          <cell r="N21" t="str">
            <v>SYARIFUDDIN</v>
          </cell>
        </row>
        <row r="22">
          <cell r="C22" t="str">
            <v>KEFAMENANU</v>
          </cell>
        </row>
        <row r="22">
          <cell r="N22" t="str">
            <v>CICI TRISNAWATI NGGILLI</v>
          </cell>
        </row>
        <row r="23">
          <cell r="C23" t="str">
            <v>BETUN</v>
          </cell>
        </row>
        <row r="23">
          <cell r="N23" t="str">
            <v>CICI TRISNAWATI NGGILLI</v>
          </cell>
        </row>
        <row r="24">
          <cell r="C24" t="str">
            <v>ENDE</v>
          </cell>
        </row>
        <row r="24">
          <cell r="N24" t="str">
            <v>PETRUS TRIMULIA WANGGA DALA</v>
          </cell>
        </row>
        <row r="25">
          <cell r="C25" t="str">
            <v>SELONG</v>
          </cell>
        </row>
        <row r="25">
          <cell r="N25" t="str">
            <v>Abi Hilmawan</v>
          </cell>
        </row>
        <row r="26">
          <cell r="C26" t="str">
            <v>OELAMASI</v>
          </cell>
        </row>
        <row r="26">
          <cell r="N26" t="str">
            <v>CHINDY BIRE</v>
          </cell>
        </row>
        <row r="27">
          <cell r="C27" t="str">
            <v>ALAK</v>
          </cell>
        </row>
        <row r="27">
          <cell r="N27" t="str">
            <v>MANAHAN SIMATUPANG SIBURIAN</v>
          </cell>
        </row>
        <row r="28">
          <cell r="C28" t="str">
            <v>OEBUFU</v>
          </cell>
        </row>
        <row r="28">
          <cell r="N28" t="str">
            <v>ADRIAN ALFANDION BENU</v>
          </cell>
        </row>
        <row r="29">
          <cell r="C29" t="str">
            <v>CAKRANEGARA</v>
          </cell>
        </row>
        <row r="29">
          <cell r="N29" t="str">
            <v>MUHAMMAD JUMADIL</v>
          </cell>
        </row>
        <row r="30">
          <cell r="C30" t="str">
            <v>SERUNI</v>
          </cell>
        </row>
        <row r="30">
          <cell r="N30" t="str">
            <v>MUHAMMAD JUMADIL</v>
          </cell>
        </row>
        <row r="31">
          <cell r="C31" t="str">
            <v>KARANG_GENTENG</v>
          </cell>
        </row>
        <row r="31">
          <cell r="N31" t="str">
            <v>MUHAMMAD JUMADIL</v>
          </cell>
        </row>
        <row r="32">
          <cell r="C32" t="str">
            <v>BAA</v>
          </cell>
        </row>
        <row r="32">
          <cell r="N32" t="str">
            <v>CHINDY BIRE</v>
          </cell>
        </row>
        <row r="33">
          <cell r="C33" t="str">
            <v>KELAPA_LIMA</v>
          </cell>
        </row>
        <row r="33">
          <cell r="N33" t="str">
            <v>JUNEIDI ANDRI MANDALA</v>
          </cell>
        </row>
        <row r="34">
          <cell r="C34" t="str">
            <v>KUPANG</v>
          </cell>
        </row>
        <row r="34">
          <cell r="N34" t="str">
            <v>FELIX DEMASIUS FOENAY</v>
          </cell>
        </row>
        <row r="35">
          <cell r="C35" t="str">
            <v>MATARAM</v>
          </cell>
        </row>
        <row r="35">
          <cell r="N35" t="str">
            <v>MUHAMMAD JUMADIL</v>
          </cell>
        </row>
        <row r="36">
          <cell r="C36" t="str">
            <v>WAIKABUBAK</v>
          </cell>
        </row>
        <row r="36">
          <cell r="N36" t="str">
            <v>ARMIYATI BULU</v>
          </cell>
        </row>
        <row r="37">
          <cell r="C37" t="str">
            <v>MAUMERE</v>
          </cell>
        </row>
        <row r="37">
          <cell r="N37" t="str">
            <v>PETRUS TRIMULIA WANGGA DALA</v>
          </cell>
        </row>
        <row r="38">
          <cell r="C38" t="str">
            <v>SOE</v>
          </cell>
        </row>
        <row r="38">
          <cell r="N38" t="str">
            <v>CICI TRISNAWATI NGGILLI</v>
          </cell>
        </row>
        <row r="39">
          <cell r="C39" t="str">
            <v>AMI_SALES</v>
          </cell>
        </row>
        <row r="39">
          <cell r="N39" t="str">
            <v>MUHAMMAD JUMADIL</v>
          </cell>
        </row>
        <row r="40">
          <cell r="C40" t="str">
            <v>MAULAFA</v>
          </cell>
        </row>
        <row r="40">
          <cell r="N40" t="str">
            <v>PUTRY PRATIWY ELISABETH KAMEO</v>
          </cell>
        </row>
        <row r="41">
          <cell r="C41" t="str">
            <v>DOMPU</v>
          </cell>
        </row>
        <row r="41">
          <cell r="N41" t="str">
            <v>M. SALAHUDIN</v>
          </cell>
        </row>
        <row r="42">
          <cell r="C42" t="str">
            <v>WAINGAPU</v>
          </cell>
        </row>
        <row r="42">
          <cell r="N42" t="str">
            <v>ARMIYATI BULU</v>
          </cell>
        </row>
        <row r="43">
          <cell r="C43" t="str">
            <v>KUANINO</v>
          </cell>
        </row>
        <row r="43">
          <cell r="N43" t="str">
            <v>ISMAIL ABDURAHMAN MARO</v>
          </cell>
        </row>
        <row r="44">
          <cell r="C44" t="str">
            <v>RUTENG</v>
          </cell>
        </row>
        <row r="44">
          <cell r="N44" t="str">
            <v>ALOYSIUS RIWANTO</v>
          </cell>
        </row>
        <row r="45">
          <cell r="C45" t="str">
            <v>MBAY</v>
          </cell>
        </row>
        <row r="45">
          <cell r="N45" t="str">
            <v>ALOYSIUS RIWANTO</v>
          </cell>
        </row>
        <row r="46">
          <cell r="C46" t="str">
            <v>LEWOLEBA</v>
          </cell>
        </row>
        <row r="46">
          <cell r="N46" t="str">
            <v>PETRUS TRIMULIA WANGGA DALA</v>
          </cell>
        </row>
        <row r="47">
          <cell r="C47" t="str">
            <v>TAMBOLAKA</v>
          </cell>
        </row>
        <row r="47">
          <cell r="N47" t="str">
            <v>ARMIYATI BULU</v>
          </cell>
        </row>
        <row r="48">
          <cell r="C48" t="str">
            <v>BAJAWA</v>
          </cell>
        </row>
        <row r="48">
          <cell r="N48" t="str">
            <v>ALOYSIUS RIWANTO</v>
          </cell>
        </row>
        <row r="49">
          <cell r="C49" t="str">
            <v>LARANTUKA</v>
          </cell>
        </row>
        <row r="49">
          <cell r="N49" t="str">
            <v>PETRUS TRIMULIA WANGGA DALA</v>
          </cell>
        </row>
        <row r="50">
          <cell r="C50" t="str">
            <v>TODE_KISAR</v>
          </cell>
        </row>
        <row r="50">
          <cell r="N50" t="str">
            <v>CHINDY BIRE</v>
          </cell>
        </row>
        <row r="51">
          <cell r="C51" t="str">
            <v>BIMA</v>
          </cell>
        </row>
        <row r="51">
          <cell r="N51" t="str">
            <v>FAHRURRAZI</v>
          </cell>
        </row>
        <row r="52">
          <cell r="C52" t="str">
            <v>KALABAHI</v>
          </cell>
        </row>
        <row r="52">
          <cell r="N52" t="str">
            <v>PETRUS TRIMULIA WANGGA DALA</v>
          </cell>
        </row>
        <row r="53">
          <cell r="C53" t="str">
            <v>LABUAN_BAJO</v>
          </cell>
        </row>
        <row r="53">
          <cell r="N53" t="str">
            <v>ALOYSIUS RIWANTO</v>
          </cell>
        </row>
        <row r="54">
          <cell r="C54" t="str">
            <v>DASAN_CERMEN</v>
          </cell>
        </row>
        <row r="54">
          <cell r="N54" t="str">
            <v>MUHAMMAD JUMADIL</v>
          </cell>
        </row>
        <row r="55">
          <cell r="C55" t="str">
            <v>GIA04A</v>
          </cell>
        </row>
        <row r="55">
          <cell r="N55" t="str">
            <v>I Gd Andika Adi Prasetya Murya</v>
          </cell>
        </row>
        <row r="56">
          <cell r="C56" t="str">
            <v>MONJOK_1</v>
          </cell>
        </row>
        <row r="56">
          <cell r="N56" t="str">
            <v>MUHAMMAD JUMADIL</v>
          </cell>
        </row>
        <row r="57">
          <cell r="C57" t="str">
            <v>KETEWEL</v>
          </cell>
        </row>
        <row r="57">
          <cell r="N57" t="str">
            <v>GUSTI NGURAH ARY RAKA DARMAYASA, SE.MM</v>
          </cell>
        </row>
        <row r="58">
          <cell r="C58" t="str">
            <v>BAYAN_1</v>
          </cell>
        </row>
        <row r="58">
          <cell r="N58" t="str">
            <v>MUHAMMAD TONY NUGRAHA</v>
          </cell>
        </row>
        <row r="59">
          <cell r="C59" t="str">
            <v>KAYANGAN_1</v>
          </cell>
        </row>
        <row r="59">
          <cell r="N59" t="str">
            <v>MUHAMMAD TONY NUGRAHA</v>
          </cell>
        </row>
        <row r="60">
          <cell r="C60" t="str">
            <v>GIANYAR_1</v>
          </cell>
        </row>
        <row r="60">
          <cell r="N60" t="str">
            <v>GUSTI NGURAH ARY RAKA DARMAYASA, SE.MM</v>
          </cell>
        </row>
        <row r="61">
          <cell r="C61" t="str">
            <v>KLUMPU</v>
          </cell>
        </row>
        <row r="61">
          <cell r="N61" t="str">
            <v>GEMAYA WANGSA</v>
          </cell>
        </row>
        <row r="62">
          <cell r="C62" t="str">
            <v>MARGA</v>
          </cell>
        </row>
        <row r="62">
          <cell r="N62" t="str">
            <v>AGUS KADE DIVA RAMANA</v>
          </cell>
        </row>
        <row r="63">
          <cell r="C63" t="str">
            <v>KLUNGKUNG_1</v>
          </cell>
        </row>
        <row r="63">
          <cell r="N63" t="str">
            <v>GEMAYA WANGSA</v>
          </cell>
        </row>
        <row r="64">
          <cell r="C64" t="str">
            <v>MELAYA_1</v>
          </cell>
        </row>
        <row r="64">
          <cell r="N64" t="str">
            <v>YUNAN FURQONA RAMADHANI</v>
          </cell>
        </row>
        <row r="65">
          <cell r="C65" t="str">
            <v>PELIATAN_1</v>
          </cell>
        </row>
        <row r="65">
          <cell r="N65" t="str">
            <v>I Gd Andika Adi Prasetya Murya</v>
          </cell>
        </row>
        <row r="66">
          <cell r="C66" t="str">
            <v>PAYANGAN_1</v>
          </cell>
        </row>
        <row r="66">
          <cell r="N66" t="str">
            <v>I Gd Andika Adi Prasetya Murya</v>
          </cell>
        </row>
        <row r="67">
          <cell r="C67" t="str">
            <v>MUNCAN_1</v>
          </cell>
        </row>
        <row r="67">
          <cell r="N67" t="str">
            <v>AGUSTINUS DICKY PURWONO</v>
          </cell>
        </row>
        <row r="68">
          <cell r="C68" t="str">
            <v>MANGGIS_1</v>
          </cell>
        </row>
        <row r="68">
          <cell r="N68" t="str">
            <v>AGUSTINUS DICKY PURWONO</v>
          </cell>
        </row>
        <row r="69">
          <cell r="C69" t="str">
            <v>ABANG_1</v>
          </cell>
        </row>
        <row r="69">
          <cell r="N69" t="str">
            <v>AGUSTINUS DICKY PURWONO</v>
          </cell>
        </row>
        <row r="70">
          <cell r="C70" t="str">
            <v>AMLAPURA_1</v>
          </cell>
        </row>
        <row r="70">
          <cell r="N70" t="str">
            <v>AGUSTINUS DICKY PURWONO</v>
          </cell>
        </row>
        <row r="71">
          <cell r="C71" t="str">
            <v>UBUD_1</v>
          </cell>
        </row>
        <row r="71">
          <cell r="N71" t="str">
            <v>I Gd Andika Adi Prasetya Murya</v>
          </cell>
        </row>
        <row r="72">
          <cell r="C72" t="str">
            <v>NEGARA_1</v>
          </cell>
        </row>
        <row r="72">
          <cell r="N72" t="str">
            <v>YUNAN FURQONA RAMADHANI</v>
          </cell>
        </row>
        <row r="73">
          <cell r="C73" t="str">
            <v>CELUK_1</v>
          </cell>
        </row>
        <row r="73">
          <cell r="N73" t="str">
            <v>GUSTI NGURAH ARY RAKA DARMAYASA, SE.MM</v>
          </cell>
        </row>
        <row r="74">
          <cell r="C74" t="str">
            <v>MERITA_1</v>
          </cell>
        </row>
        <row r="74">
          <cell r="N74" t="str">
            <v>AGUSTINUS DICKY PURWONO</v>
          </cell>
        </row>
        <row r="75">
          <cell r="C75" t="str">
            <v>SUKAWATI_1</v>
          </cell>
        </row>
        <row r="75">
          <cell r="N75" t="str">
            <v>GUSTI NGURAH ARY RAKA DARMAYASA, SE.MM</v>
          </cell>
        </row>
        <row r="76">
          <cell r="C76" t="str">
            <v>PEKUTATAN_1</v>
          </cell>
        </row>
        <row r="76">
          <cell r="N76" t="str">
            <v>YUNAN FURQONA RAMADHANI</v>
          </cell>
        </row>
        <row r="77">
          <cell r="C77" t="str">
            <v>MENDOYO_1</v>
          </cell>
        </row>
        <row r="77">
          <cell r="N77" t="str">
            <v>YUNAN FURQONA RAMADHANI</v>
          </cell>
        </row>
        <row r="78">
          <cell r="C78" t="str">
            <v>BULELENG_1</v>
          </cell>
        </row>
        <row r="78">
          <cell r="N78" t="str">
            <v>DEAR RAMOS DAMANIK</v>
          </cell>
        </row>
        <row r="79">
          <cell r="C79" t="str">
            <v>ANTURAN_1</v>
          </cell>
        </row>
        <row r="79">
          <cell r="N79" t="str">
            <v>DEAR RAMOS DAMANIK</v>
          </cell>
        </row>
        <row r="80">
          <cell r="C80" t="str">
            <v>BATURITI_1</v>
          </cell>
        </row>
        <row r="80">
          <cell r="N80" t="str">
            <v>AGUS KADE DIVA RAMANA</v>
          </cell>
        </row>
        <row r="81">
          <cell r="C81" t="str">
            <v>TEJAKULA_1</v>
          </cell>
        </row>
        <row r="81">
          <cell r="N81" t="str">
            <v>DEAR RAMOS DAMANIK</v>
          </cell>
        </row>
        <row r="82">
          <cell r="C82" t="str">
            <v>SELEMADEG_1</v>
          </cell>
        </row>
        <row r="82">
          <cell r="N82" t="str">
            <v>AGUS KADE DIVA RAMANA</v>
          </cell>
        </row>
        <row r="83">
          <cell r="C83" t="str">
            <v>SERIRIT_1</v>
          </cell>
        </row>
        <row r="83">
          <cell r="N83" t="str">
            <v>DEAR RAMOS DAMANIK</v>
          </cell>
        </row>
        <row r="84">
          <cell r="C84" t="str">
            <v>BUNGKULAN_1</v>
          </cell>
        </row>
        <row r="84">
          <cell r="N84" t="str">
            <v>DEAR RAMOS DAMANIK</v>
          </cell>
        </row>
        <row r="85">
          <cell r="C85" t="str">
            <v>GEROKGAK_1</v>
          </cell>
        </row>
        <row r="85">
          <cell r="N85" t="str">
            <v>DEAR RAMOS DAMANIK</v>
          </cell>
        </row>
        <row r="86">
          <cell r="C86" t="str">
            <v>BADUNG_SELATAN_1</v>
          </cell>
        </row>
        <row r="86">
          <cell r="N86" t="str">
            <v>Rino Prasetya Wibowo</v>
          </cell>
        </row>
        <row r="87">
          <cell r="C87" t="str">
            <v>CANGGU_1</v>
          </cell>
        </row>
        <row r="87">
          <cell r="N87" t="str">
            <v>I GEDE BAGUS ADI SURYAWAN , ST</v>
          </cell>
        </row>
        <row r="88">
          <cell r="C88" t="str">
            <v>JIMBARAN_1</v>
          </cell>
        </row>
        <row r="88">
          <cell r="N88" t="str">
            <v>Rino Prasetya Wibowo</v>
          </cell>
        </row>
        <row r="89">
          <cell r="C89" t="str">
            <v>KUTA_2</v>
          </cell>
        </row>
        <row r="89">
          <cell r="N89" t="str">
            <v>AGUS PRADNYANA</v>
          </cell>
        </row>
        <row r="90">
          <cell r="C90" t="str">
            <v>DC_KUTA_1</v>
          </cell>
        </row>
        <row r="90">
          <cell r="N90" t="str">
            <v>I KOMANG FERI INDRAJAYA</v>
          </cell>
        </row>
        <row r="91">
          <cell r="C91" t="str">
            <v>UNGASAN_1</v>
          </cell>
        </row>
        <row r="91">
          <cell r="N91" t="str">
            <v>AGUS PRADNYANA</v>
          </cell>
        </row>
        <row r="92">
          <cell r="C92" t="str">
            <v>JEMBRANA</v>
          </cell>
        </row>
        <row r="92">
          <cell r="N92" t="str">
            <v>YUNAN FURQONA RAMADHANI</v>
          </cell>
        </row>
        <row r="93">
          <cell r="C93" t="str">
            <v>PRAYA_TENGAH</v>
          </cell>
        </row>
        <row r="93">
          <cell r="N93" t="str">
            <v>Suhardi </v>
          </cell>
        </row>
        <row r="94">
          <cell r="C94" t="str">
            <v>KEDEWATAN</v>
          </cell>
        </row>
        <row r="94">
          <cell r="N94" t="str">
            <v>I Gd Andika Adi Prasetya Murya</v>
          </cell>
        </row>
        <row r="95">
          <cell r="C95" t="str">
            <v>SUMBERKIMA</v>
          </cell>
        </row>
        <row r="95">
          <cell r="N95" t="str">
            <v>DEAR RAMOS DAMANIK</v>
          </cell>
        </row>
        <row r="96">
          <cell r="C96" t="str">
            <v>BANJAR_SGA</v>
          </cell>
        </row>
        <row r="96">
          <cell r="N96" t="str">
            <v>DEAR RAMOS DAMANIK</v>
          </cell>
        </row>
        <row r="97">
          <cell r="C97" t="str">
            <v>LEMBONGAN</v>
          </cell>
        </row>
        <row r="97">
          <cell r="N97" t="str">
            <v>GEMAYA WANGSA</v>
          </cell>
        </row>
        <row r="98">
          <cell r="C98" t="str">
            <v>SUKASADA</v>
          </cell>
        </row>
        <row r="98">
          <cell r="N98" t="str">
            <v>DEAR RAMOS DAMANIK</v>
          </cell>
        </row>
        <row r="99">
          <cell r="C99" t="str">
            <v>CP_SEBATU</v>
          </cell>
        </row>
        <row r="99">
          <cell r="N99" t="str">
            <v>GUSTI NGURAH ARY RAKA DARMAYASA, SE.MM</v>
          </cell>
        </row>
        <row r="100">
          <cell r="C100" t="str">
            <v>CP_UDAYANA</v>
          </cell>
        </row>
        <row r="100">
          <cell r="N100" t="str">
            <v>YUNAN FURQONA RAMADHANI</v>
          </cell>
        </row>
        <row r="101">
          <cell r="C101" t="str">
            <v>CP_KALIUNTU</v>
          </cell>
        </row>
        <row r="101">
          <cell r="N101" t="str">
            <v>DEAR RAMOS DAMANIK</v>
          </cell>
        </row>
        <row r="102">
          <cell r="C102" t="str">
            <v>CP_BATUBULAN</v>
          </cell>
        </row>
        <row r="102">
          <cell r="N102" t="str">
            <v>GUSTI NGURAH ARY RAKA DARMAYASA, SE.MM</v>
          </cell>
        </row>
        <row r="103">
          <cell r="C103" t="str">
            <v>CP_MADE_LEBAH</v>
          </cell>
        </row>
        <row r="103">
          <cell r="N103" t="str">
            <v>I Gd Andika Adi Prasetya Murya</v>
          </cell>
        </row>
        <row r="104">
          <cell r="C104" t="str">
            <v>CP_DALUNG</v>
          </cell>
        </row>
        <row r="104">
          <cell r="N104" t="str">
            <v>I GEDE BAGUS ADI SURYAWAN , ST</v>
          </cell>
        </row>
        <row r="105">
          <cell r="C105" t="str">
            <v>CP_SANGSIT</v>
          </cell>
        </row>
        <row r="105">
          <cell r="N105" t="str">
            <v>DEAR RAMOS DAMANIK</v>
          </cell>
        </row>
        <row r="106">
          <cell r="C106" t="str">
            <v>CP_UDAYANA_1</v>
          </cell>
        </row>
        <row r="106">
          <cell r="N106" t="str">
            <v>GUSTI NGURAH ARY RAKA DARMAYASA, SE.MM</v>
          </cell>
        </row>
        <row r="107">
          <cell r="C107" t="str">
            <v>GUWANG</v>
          </cell>
        </row>
        <row r="107">
          <cell r="N107" t="str">
            <v>GUSTI NGURAH ARY RAKA DARMAYASA, SE.MM</v>
          </cell>
        </row>
        <row r="108">
          <cell r="C108" t="str">
            <v>PENGADANG</v>
          </cell>
        </row>
        <row r="108">
          <cell r="N108" t="str">
            <v>Suhardi </v>
          </cell>
        </row>
        <row r="109">
          <cell r="C109" t="str">
            <v>WOJA</v>
          </cell>
        </row>
        <row r="109">
          <cell r="N109" t="str">
            <v>M. SALAHUDIN</v>
          </cell>
        </row>
        <row r="110">
          <cell r="C110" t="str">
            <v>PRINGGABAYA</v>
          </cell>
        </row>
        <row r="110">
          <cell r="N110" t="str">
            <v>Abi Hilmawan</v>
          </cell>
        </row>
        <row r="111">
          <cell r="C111" t="str">
            <v>KERUAK</v>
          </cell>
        </row>
        <row r="111">
          <cell r="N111" t="str">
            <v>Abi Hilmawan</v>
          </cell>
        </row>
        <row r="112">
          <cell r="C112" t="str">
            <v>CP_BITERA</v>
          </cell>
        </row>
        <row r="112">
          <cell r="N112" t="str">
            <v>GUSTI NGURAH ARY RAKA DARMAYASA, SE.MM</v>
          </cell>
        </row>
        <row r="113">
          <cell r="C113" t="str">
            <v>TEMBUKU</v>
          </cell>
        </row>
        <row r="113">
          <cell r="N113" t="str">
            <v>I Kadek Sandiyasa</v>
          </cell>
        </row>
        <row r="114">
          <cell r="C114" t="str">
            <v>MOYO</v>
          </cell>
        </row>
        <row r="114">
          <cell r="N114" t="str">
            <v>Ari Ardiansyah</v>
          </cell>
        </row>
        <row r="115">
          <cell r="C115" t="str">
            <v>MONTA</v>
          </cell>
        </row>
        <row r="115">
          <cell r="N115" t="str">
            <v>SYARIFUDDIN</v>
          </cell>
        </row>
        <row r="116">
          <cell r="C116" t="str">
            <v>LUNYUK</v>
          </cell>
        </row>
        <row r="116">
          <cell r="N116" t="str">
            <v>DENI SUSATYO</v>
          </cell>
        </row>
        <row r="117">
          <cell r="C117" t="str">
            <v>BRANG_REA</v>
          </cell>
        </row>
        <row r="117">
          <cell r="N117" t="str">
            <v>Syamsul Bahri</v>
          </cell>
        </row>
        <row r="118">
          <cell r="C118" t="str">
            <v>MPUNDA</v>
          </cell>
        </row>
        <row r="118">
          <cell r="N118" t="str">
            <v>FAHRURRAZI</v>
          </cell>
        </row>
        <row r="119">
          <cell r="C119" t="str">
            <v>REMPUNG</v>
          </cell>
        </row>
        <row r="119">
          <cell r="N119" t="str">
            <v>Abi Hilmawan</v>
          </cell>
        </row>
        <row r="120">
          <cell r="C120" t="str">
            <v>BANJARANGKAN</v>
          </cell>
        </row>
        <row r="120">
          <cell r="N120" t="str">
            <v>GEMAYA WANGSA</v>
          </cell>
        </row>
        <row r="121">
          <cell r="C121" t="str">
            <v>MALUK</v>
          </cell>
        </row>
        <row r="121">
          <cell r="N121" t="str">
            <v>Muhammad Aqil Fadhilah</v>
          </cell>
        </row>
        <row r="122">
          <cell r="C122" t="str">
            <v>BOLO</v>
          </cell>
        </row>
        <row r="122">
          <cell r="N122" t="str">
            <v>SYARIFUDDIN</v>
          </cell>
        </row>
        <row r="123">
          <cell r="C123" t="str">
            <v>NUSA_PENIDA</v>
          </cell>
        </row>
        <row r="123">
          <cell r="N123" t="str">
            <v>GEMAYA WANGSA</v>
          </cell>
        </row>
        <row r="124">
          <cell r="C124" t="str">
            <v>SAKRA_BARAT</v>
          </cell>
        </row>
        <row r="124">
          <cell r="N124" t="str">
            <v>Abi Hilmawan</v>
          </cell>
        </row>
        <row r="125">
          <cell r="C125" t="str">
            <v>KINTAMANI</v>
          </cell>
        </row>
        <row r="125">
          <cell r="N125" t="str">
            <v>I Kadek Sandiyasa</v>
          </cell>
        </row>
        <row r="126">
          <cell r="C126" t="str">
            <v>SAPE</v>
          </cell>
        </row>
        <row r="126">
          <cell r="N126" t="str">
            <v>FAHRURRAZI</v>
          </cell>
        </row>
        <row r="127">
          <cell r="C127" t="str">
            <v>EMPANG_TARANO</v>
          </cell>
        </row>
        <row r="127">
          <cell r="N127" t="str">
            <v>Ari Ardiansyah</v>
          </cell>
        </row>
        <row r="128">
          <cell r="C128" t="str">
            <v>PUYUNG</v>
          </cell>
        </row>
        <row r="128">
          <cell r="N128" t="str">
            <v>Suhardi </v>
          </cell>
        </row>
        <row r="129">
          <cell r="C129" t="str">
            <v>RABA_SASAMBO</v>
          </cell>
        </row>
        <row r="129">
          <cell r="N129" t="str">
            <v>FAHRURRAZI</v>
          </cell>
        </row>
        <row r="130">
          <cell r="C130" t="str">
            <v>PLAMPANG</v>
          </cell>
        </row>
        <row r="130">
          <cell r="N130" t="str">
            <v>Ari Ardiansyah</v>
          </cell>
        </row>
        <row r="131">
          <cell r="C131" t="str">
            <v>SETELUK</v>
          </cell>
        </row>
        <row r="131">
          <cell r="N131" t="str">
            <v>ANTON IQRA ANUGRA</v>
          </cell>
        </row>
        <row r="132">
          <cell r="C132" t="str">
            <v>LAPE</v>
          </cell>
        </row>
        <row r="132">
          <cell r="N132" t="str">
            <v>Ari Ardiansyah</v>
          </cell>
        </row>
        <row r="133">
          <cell r="C133" t="str">
            <v>ALAS</v>
          </cell>
        </row>
        <row r="133">
          <cell r="N133" t="str">
            <v>DENI SUSATYO</v>
          </cell>
        </row>
        <row r="134">
          <cell r="C134" t="str">
            <v>MANTANG</v>
          </cell>
        </row>
        <row r="134">
          <cell r="N134" t="str">
            <v>Suhardi </v>
          </cell>
        </row>
        <row r="135">
          <cell r="C135" t="str">
            <v>NARMADA</v>
          </cell>
        </row>
        <row r="135">
          <cell r="N135" t="str">
            <v>MUHAMMAD TONY NUGRAHA</v>
          </cell>
        </row>
        <row r="136">
          <cell r="C136" t="str">
            <v>GUNUNG_SARI</v>
          </cell>
        </row>
        <row r="136">
          <cell r="N136" t="str">
            <v>MUHAMMAD TONY NUGRAHA</v>
          </cell>
        </row>
        <row r="137">
          <cell r="C137" t="str">
            <v>SIKUR</v>
          </cell>
        </row>
        <row r="137">
          <cell r="N137" t="str">
            <v>Abi Hilmawan</v>
          </cell>
        </row>
        <row r="138">
          <cell r="C138" t="str">
            <v>TANAK_AWU</v>
          </cell>
        </row>
        <row r="138">
          <cell r="N138" t="str">
            <v>Suhardi </v>
          </cell>
        </row>
        <row r="139">
          <cell r="C139" t="str">
            <v>SEGANTENG</v>
          </cell>
        </row>
        <row r="139">
          <cell r="N139" t="str">
            <v>MUHAMMAD JUMADIL</v>
          </cell>
        </row>
        <row r="140">
          <cell r="C140" t="str">
            <v>EMPANG</v>
          </cell>
        </row>
        <row r="140">
          <cell r="N140" t="str">
            <v>DENI SUSATYO</v>
          </cell>
        </row>
        <row r="141">
          <cell r="C141" t="str">
            <v>SUSUT</v>
          </cell>
        </row>
        <row r="141">
          <cell r="N141" t="str">
            <v>I Kadek Sandiyasa</v>
          </cell>
        </row>
        <row r="142">
          <cell r="C142" t="str">
            <v>GERUNG</v>
          </cell>
        </row>
        <row r="142">
          <cell r="N142" t="str">
            <v>MUHAMMAD TONY NUGRAHA</v>
          </cell>
        </row>
        <row r="143">
          <cell r="C143" t="str">
            <v>TALIWANG</v>
          </cell>
        </row>
        <row r="143">
          <cell r="N143" t="str">
            <v>Resi Marsila</v>
          </cell>
        </row>
        <row r="144">
          <cell r="C144" t="str">
            <v>SUMBAWA</v>
          </cell>
        </row>
        <row r="144">
          <cell r="N144" t="str">
            <v>DENI SUSATYO</v>
          </cell>
        </row>
        <row r="145">
          <cell r="C145" t="str">
            <v>SEMARAPURA</v>
          </cell>
        </row>
        <row r="145">
          <cell r="N145" t="str">
            <v>GEMAYA WANGSA</v>
          </cell>
        </row>
        <row r="146">
          <cell r="C146" t="str">
            <v>SINGARAJA</v>
          </cell>
        </row>
        <row r="146">
          <cell r="N146" t="str">
            <v>DEAR RAMOS DAMANIK</v>
          </cell>
        </row>
        <row r="147">
          <cell r="C147" t="str">
            <v>BANGLI</v>
          </cell>
        </row>
        <row r="147">
          <cell r="N147" t="str">
            <v>I Kadek Sandiyasa</v>
          </cell>
        </row>
        <row r="148">
          <cell r="C148" t="str">
            <v>KESRA</v>
          </cell>
        </row>
        <row r="148">
          <cell r="N148" t="str">
            <v>MUHAMMAD JUMADIL</v>
          </cell>
        </row>
        <row r="149">
          <cell r="C149" t="str">
            <v>TAMAN_SARI</v>
          </cell>
        </row>
        <row r="149">
          <cell r="N149" t="str">
            <v>MUHAMMAD JUMADIL</v>
          </cell>
        </row>
        <row r="150">
          <cell r="C150" t="str">
            <v>LABUAN_LOMBOK</v>
          </cell>
        </row>
        <row r="150">
          <cell r="N150" t="str">
            <v>Abi Hilmawan</v>
          </cell>
        </row>
        <row r="151">
          <cell r="C151" t="str">
            <v>PUPUAN_1</v>
          </cell>
        </row>
        <row r="151">
          <cell r="N151" t="str">
            <v>AGUS KADE DIVA RAMANA</v>
          </cell>
        </row>
        <row r="152">
          <cell r="C152" t="str">
            <v>TAMAN_GRIYA_1</v>
          </cell>
        </row>
        <row r="152">
          <cell r="N152" t="str">
            <v>Rino Prasetya Wibowo</v>
          </cell>
        </row>
        <row r="153">
          <cell r="C153" t="str">
            <v>SEMINYAK_1</v>
          </cell>
        </row>
        <row r="153">
          <cell r="N153" t="str">
            <v>I GEDE BAGUS ADI SURYAWAN , ST</v>
          </cell>
        </row>
        <row r="154">
          <cell r="C154" t="str">
            <v>KELAN_1</v>
          </cell>
        </row>
        <row r="154">
          <cell r="N154" t="str">
            <v>Rino Prasetya Wibowo</v>
          </cell>
        </row>
        <row r="155">
          <cell r="C155" t="str">
            <v>MERTANADI_1</v>
          </cell>
        </row>
        <row r="155">
          <cell r="N155" t="str">
            <v>I KOMANG FERI INDRAJAYA</v>
          </cell>
        </row>
        <row r="156">
          <cell r="C156" t="str">
            <v>SUNSET_ROAD_1</v>
          </cell>
        </row>
        <row r="156">
          <cell r="N156" t="str">
            <v>AGUS PRADNYANA</v>
          </cell>
        </row>
        <row r="157">
          <cell r="C157" t="str">
            <v>ABIANBASE_1</v>
          </cell>
        </row>
        <row r="157">
          <cell r="N157" t="str">
            <v>I GEDE BAGUS ADI SURYAWAN , ST</v>
          </cell>
        </row>
        <row r="158">
          <cell r="C158" t="str">
            <v>BLAHKIUH_1</v>
          </cell>
        </row>
        <row r="158">
          <cell r="N158" t="str">
            <v>I GEDE BAGUS ADI SURYAWAN , ST</v>
          </cell>
        </row>
        <row r="159">
          <cell r="C159" t="str">
            <v>CICA_1</v>
          </cell>
        </row>
        <row r="159">
          <cell r="N159" t="str">
            <v>I GEDE BAGUS ADI SURYAWAN , ST</v>
          </cell>
        </row>
        <row r="160">
          <cell r="C160" t="str">
            <v>MENGWI_1</v>
          </cell>
        </row>
        <row r="160">
          <cell r="N160" t="str">
            <v>I GEDE BAGUS ADI SURYAWAN , ST</v>
          </cell>
        </row>
        <row r="161">
          <cell r="C161" t="str">
            <v>DC_MENGWI_1</v>
          </cell>
        </row>
        <row r="161">
          <cell r="N161" t="str">
            <v>I GEDE BAGUS ADI SURYAWAN , ST</v>
          </cell>
        </row>
        <row r="162">
          <cell r="C162" t="str">
            <v>DC_DENPASAR_SELATAN1</v>
          </cell>
        </row>
        <row r="162">
          <cell r="N162" t="str">
            <v>KADEK DWIPA ANGGARASTRA</v>
          </cell>
        </row>
        <row r="163">
          <cell r="C163" t="str">
            <v>NANGKA_SELATAN_1</v>
          </cell>
        </row>
        <row r="163">
          <cell r="N163" t="str">
            <v>DWIKY REZA ARDANI WINAHARA</v>
          </cell>
        </row>
        <row r="164">
          <cell r="C164" t="str">
            <v>PEMECUTAN_1</v>
          </cell>
        </row>
        <row r="164">
          <cell r="N164" t="str">
            <v>NI PUTU DEWI LASTINI</v>
          </cell>
        </row>
        <row r="165">
          <cell r="C165" t="str">
            <v>DENPASAR_UTARA_1</v>
          </cell>
        </row>
        <row r="165">
          <cell r="N165" t="str">
            <v>NI PUTU DEWI LASTINI</v>
          </cell>
        </row>
        <row r="166">
          <cell r="C166" t="str">
            <v>KEBO_IWA_UTARA_1</v>
          </cell>
        </row>
        <row r="166">
          <cell r="N166" t="str">
            <v>NI PUTU DEWI LASTINI</v>
          </cell>
        </row>
        <row r="167">
          <cell r="C167" t="str">
            <v>PEGUYANGAN_1</v>
          </cell>
        </row>
        <row r="167">
          <cell r="N167" t="str">
            <v>NI PUTU DEWI LASTINI</v>
          </cell>
        </row>
        <row r="168">
          <cell r="C168" t="str">
            <v>KEMUDA_1</v>
          </cell>
        </row>
        <row r="168">
          <cell r="N168" t="str">
            <v>DWIKY REZA ARDANI WINAHARA</v>
          </cell>
        </row>
        <row r="169">
          <cell r="C169" t="str">
            <v>AYANI_UTARA_1</v>
          </cell>
        </row>
        <row r="169">
          <cell r="N169" t="str">
            <v>NI PUTU DEWI LASTINI</v>
          </cell>
        </row>
        <row r="170">
          <cell r="C170" t="str">
            <v>SESETAN_2</v>
          </cell>
        </row>
        <row r="170">
          <cell r="N170" t="str">
            <v>KADEK DWIPA ANGGARASTRA</v>
          </cell>
        </row>
        <row r="171">
          <cell r="C171" t="str">
            <v>GRIYA_ANYAR_1</v>
          </cell>
        </row>
        <row r="171">
          <cell r="N171" t="str">
            <v>KADEK DWIPA ANGGARASTRA</v>
          </cell>
        </row>
        <row r="172">
          <cell r="C172" t="str">
            <v>PUPUTAN_RENON_1</v>
          </cell>
        </row>
        <row r="172">
          <cell r="N172" t="str">
            <v>DWIKY REZA ARDANI WINAHARA</v>
          </cell>
        </row>
        <row r="173">
          <cell r="C173" t="str">
            <v>WIBISANA_1</v>
          </cell>
        </row>
        <row r="173">
          <cell r="N173" t="str">
            <v>NI WAYAN ELSA SEPTIANA INDRIANI</v>
          </cell>
        </row>
        <row r="174">
          <cell r="C174" t="str">
            <v>KEBO_IWA_1</v>
          </cell>
        </row>
        <row r="174">
          <cell r="N174" t="str">
            <v>NI PUTU DEWI LASTINI</v>
          </cell>
        </row>
        <row r="175">
          <cell r="C175" t="str">
            <v>DC_PULAU_MOYO_1</v>
          </cell>
        </row>
        <row r="175">
          <cell r="N175" t="str">
            <v>KADEK DWIPA ANGGARASTRA</v>
          </cell>
        </row>
        <row r="176">
          <cell r="C176" t="str">
            <v>PULAU_BUNGIN_1</v>
          </cell>
        </row>
        <row r="176">
          <cell r="N176" t="str">
            <v>KADEK DWIPA ANGGARASTRA</v>
          </cell>
        </row>
        <row r="177">
          <cell r="C177" t="str">
            <v>SIDAKARYA_1</v>
          </cell>
        </row>
        <row r="177">
          <cell r="N177" t="str">
            <v>KADEK DWIPA ANGGARASTRA</v>
          </cell>
        </row>
        <row r="178">
          <cell r="C178" t="str">
            <v>PEMOGAN_1</v>
          </cell>
        </row>
        <row r="178">
          <cell r="N178" t="str">
            <v>KADEK DWIPA ANGGARASTRA</v>
          </cell>
        </row>
        <row r="179">
          <cell r="C179" t="str">
            <v>DC_DENPASAR_BARAT_3</v>
          </cell>
        </row>
        <row r="179">
          <cell r="N179" t="str">
            <v>NI WAYAN ELSA SEPTIANA INDRIANI</v>
          </cell>
        </row>
        <row r="180">
          <cell r="C180" t="str">
            <v>SANUR_KAUH_1</v>
          </cell>
        </row>
        <row r="180">
          <cell r="N180" t="str">
            <v>KADEK DWIPA ANGGARASTRA</v>
          </cell>
        </row>
        <row r="181">
          <cell r="C181" t="str">
            <v>SANUR_1</v>
          </cell>
        </row>
        <row r="181">
          <cell r="N181" t="str">
            <v>KADEK DWIPA ANGGARASTRA</v>
          </cell>
        </row>
        <row r="182">
          <cell r="C182" t="str">
            <v>KEBO_IWA_SELATAN_1</v>
          </cell>
        </row>
        <row r="182">
          <cell r="N182" t="str">
            <v>NI PUTU DEWI LASTINI</v>
          </cell>
        </row>
        <row r="183">
          <cell r="C183" t="str">
            <v>PADANG_SAMBIAN_1</v>
          </cell>
        </row>
        <row r="183">
          <cell r="N183" t="str">
            <v>NI WAYAN ELSA SEPTIANA INDRIANI</v>
          </cell>
        </row>
        <row r="184">
          <cell r="C184" t="str">
            <v>HAYAM_WURUK_1</v>
          </cell>
        </row>
        <row r="184">
          <cell r="N184" t="str">
            <v>DWIKY REZA ARDANI WINAHARA</v>
          </cell>
        </row>
        <row r="185">
          <cell r="C185" t="str">
            <v>RENON_1</v>
          </cell>
        </row>
        <row r="185">
          <cell r="N185" t="str">
            <v>DWIKY REZA ARDANI WINAHARA</v>
          </cell>
        </row>
        <row r="186">
          <cell r="C186" t="str">
            <v>MAHENDRADATTA_1</v>
          </cell>
        </row>
        <row r="186">
          <cell r="N186" t="str">
            <v>NI WAYAN ELSA SEPTIANA INDRIANI</v>
          </cell>
        </row>
        <row r="187">
          <cell r="C187" t="str">
            <v>CANDIKUNING</v>
          </cell>
        </row>
        <row r="187">
          <cell r="N187" t="str">
            <v>AGUS KADE DIVA RAMANA</v>
          </cell>
        </row>
        <row r="188">
          <cell r="C188" t="str">
            <v>SUWUNG_KAUH</v>
          </cell>
        </row>
        <row r="188">
          <cell r="N188" t="str">
            <v>KADEK DWIPA ANGGARASTRA</v>
          </cell>
        </row>
        <row r="189">
          <cell r="C189" t="str">
            <v>PERANG</v>
          </cell>
        </row>
        <row r="189">
          <cell r="N189" t="str">
            <v>I GEDE BAGUS ADI SURYAWAN , ST</v>
          </cell>
        </row>
        <row r="190">
          <cell r="C190" t="str">
            <v>SEDANG</v>
          </cell>
        </row>
        <row r="190">
          <cell r="N190" t="str">
            <v>I GEDE BAGUS ADI SURYAWAN , ST</v>
          </cell>
        </row>
        <row r="191">
          <cell r="C191" t="str">
            <v>KEROBOKAN_1</v>
          </cell>
        </row>
        <row r="191">
          <cell r="N191" t="str">
            <v>I KOMANG FERI INDRAJAYA</v>
          </cell>
        </row>
        <row r="192">
          <cell r="C192" t="str">
            <v>PERMATA_HIJAU</v>
          </cell>
        </row>
        <row r="192">
          <cell r="N192" t="str">
            <v>NI WAYAN ELSA SEPTIANA INDRIANI</v>
          </cell>
        </row>
        <row r="193">
          <cell r="C193" t="str">
            <v>PURA_DEMAK</v>
          </cell>
        </row>
        <row r="193">
          <cell r="N193" t="str">
            <v>NI WAYAN ELSA SEPTIANA INDRIANI</v>
          </cell>
        </row>
        <row r="194">
          <cell r="C194" t="str">
            <v>PENEBEL</v>
          </cell>
        </row>
        <row r="194">
          <cell r="N194" t="str">
            <v>AGUS KADE DIVA RAMANA</v>
          </cell>
        </row>
        <row r="195">
          <cell r="C195" t="str">
            <v>DAUH_PEKEN_05</v>
          </cell>
        </row>
        <row r="195">
          <cell r="N195" t="str">
            <v>Rino Prasetya Wibowo</v>
          </cell>
        </row>
        <row r="196">
          <cell r="C196" t="str">
            <v>KERAMBITAN_04</v>
          </cell>
        </row>
        <row r="196">
          <cell r="N196" t="str">
            <v>AGUS KADE DIVA RAMANA</v>
          </cell>
        </row>
        <row r="197">
          <cell r="C197" t="str">
            <v>COKROAMINOTO</v>
          </cell>
        </row>
        <row r="197">
          <cell r="N197" t="str">
            <v>NI PUTU DEWI LASTINI</v>
          </cell>
        </row>
        <row r="198">
          <cell r="C198" t="str">
            <v>TUKAD_PETANU</v>
          </cell>
        </row>
        <row r="198">
          <cell r="N198" t="str">
            <v>DWIKY REZA ARDANI WINAHARA</v>
          </cell>
        </row>
        <row r="199">
          <cell r="C199" t="str">
            <v>PANJER</v>
          </cell>
        </row>
        <row r="199">
          <cell r="N199" t="str">
            <v>KADEK DWIPA ANGGARASTRA</v>
          </cell>
        </row>
        <row r="200">
          <cell r="C200" t="str">
            <v>TABANANAN_01</v>
          </cell>
        </row>
        <row r="200">
          <cell r="N200" t="str">
            <v>AGUS KADE DIVA RAMANA</v>
          </cell>
        </row>
        <row r="201">
          <cell r="C201" t="str">
            <v>BADAK_AGUNG</v>
          </cell>
        </row>
        <row r="201">
          <cell r="N201" t="str">
            <v>DWIKY REZA ARDANI WINAHARA</v>
          </cell>
        </row>
        <row r="202">
          <cell r="C202" t="str">
            <v>AYANI_UTARA2</v>
          </cell>
        </row>
        <row r="202">
          <cell r="N202" t="str">
            <v>NI PUTU DEWI LASTINI</v>
          </cell>
        </row>
        <row r="203">
          <cell r="C203" t="str">
            <v>KARYA_MAKMUR</v>
          </cell>
        </row>
        <row r="203">
          <cell r="N203" t="str">
            <v>NI PUTU DEWI LASTINI</v>
          </cell>
        </row>
        <row r="204">
          <cell r="C204" t="str">
            <v>DENPASAR_SELATAN_2</v>
          </cell>
        </row>
        <row r="204">
          <cell r="N204" t="str">
            <v>KADEK DWIPA ANGGARASTRA</v>
          </cell>
        </row>
        <row r="205">
          <cell r="C205" t="str">
            <v>PULAU_MOYO_2</v>
          </cell>
        </row>
        <row r="205">
          <cell r="N205" t="str">
            <v>KADEK DWIPA ANGGARASTRA</v>
          </cell>
        </row>
        <row r="206">
          <cell r="C206" t="str">
            <v>RAYA_KUTA</v>
          </cell>
        </row>
        <row r="206">
          <cell r="N206" t="str">
            <v>I KOMANG FERI INDRAJAYA</v>
          </cell>
        </row>
        <row r="207">
          <cell r="C207" t="str">
            <v>BATU_BOLONG</v>
          </cell>
        </row>
        <row r="207">
          <cell r="N207" t="str">
            <v>I GEDE BAGUS ADI SURYAWAN , ST</v>
          </cell>
        </row>
        <row r="208">
          <cell r="C208" t="str">
            <v>BATUKARU</v>
          </cell>
        </row>
        <row r="208">
          <cell r="N208" t="str">
            <v>NI WAYAN ELSA SEPTIANA INDRIANI</v>
          </cell>
        </row>
        <row r="209">
          <cell r="C209" t="str">
            <v>KESIMAN</v>
          </cell>
        </row>
        <row r="209">
          <cell r="N209" t="str">
            <v>DWIKY REZA ARDANI WINAHARA</v>
          </cell>
        </row>
        <row r="210">
          <cell r="C210" t="str">
            <v>PADANG_UDAYANA</v>
          </cell>
        </row>
        <row r="210">
          <cell r="N210" t="str">
            <v>NI WAYAN ELSA SEPTIANA INDRIANI</v>
          </cell>
        </row>
        <row r="211">
          <cell r="C211" t="str">
            <v>BLAMBANGAN</v>
          </cell>
        </row>
        <row r="211">
          <cell r="N211" t="str">
            <v>AGUS PRADNYANA</v>
          </cell>
        </row>
        <row r="212">
          <cell r="C212" t="str">
            <v>CP_GATSU_TENGAH</v>
          </cell>
        </row>
        <row r="212">
          <cell r="N212" t="str">
            <v>NI PUTU DEWI LASTINI</v>
          </cell>
        </row>
        <row r="213">
          <cell r="C213" t="str">
            <v>CP_PULAU_NIAS</v>
          </cell>
        </row>
        <row r="213">
          <cell r="N213" t="str">
            <v>NI WAYAN ELSA SEPTIANA INDRIANI</v>
          </cell>
        </row>
        <row r="214">
          <cell r="C214" t="str">
            <v>CP_LETDA_MADE_PUTRA</v>
          </cell>
        </row>
        <row r="214">
          <cell r="N214" t="str">
            <v>DWIKY REZA ARDANI WINAHARA</v>
          </cell>
        </row>
        <row r="215">
          <cell r="C215" t="str">
            <v>CP_BULUH_INDAH</v>
          </cell>
        </row>
        <row r="215">
          <cell r="N215" t="str">
            <v>NI WAYAN ELSA SEPTIANA INDRIANI</v>
          </cell>
        </row>
        <row r="216">
          <cell r="C216" t="str">
            <v>CP_PEMECUTAN_KAJA</v>
          </cell>
        </row>
        <row r="216">
          <cell r="N216" t="str">
            <v>NI PUTU DEWI LASTINI</v>
          </cell>
        </row>
        <row r="217">
          <cell r="C217" t="str">
            <v>SAELUS</v>
          </cell>
        </row>
        <row r="217">
          <cell r="N217" t="str">
            <v>KADEK DWIPA ANGGARASTRA</v>
          </cell>
        </row>
        <row r="218">
          <cell r="C218" t="str">
            <v>CP_BUDUK_TENGAH</v>
          </cell>
        </row>
        <row r="218">
          <cell r="N218" t="str">
            <v>I GEDE BAGUS ADI SURYAWAN , ST</v>
          </cell>
        </row>
        <row r="219">
          <cell r="C219" t="str">
            <v>KALIMUTU</v>
          </cell>
        </row>
        <row r="219">
          <cell r="N219" t="str">
            <v>NI WAYAN ELSA SEPTIANA INDRIANI</v>
          </cell>
        </row>
        <row r="220">
          <cell r="C220" t="str">
            <v>CP_PATIH_NAMBI</v>
          </cell>
        </row>
        <row r="220">
          <cell r="N220" t="str">
            <v>NI PUTU DEWI LASTINI</v>
          </cell>
        </row>
        <row r="221">
          <cell r="C221" t="str">
            <v>CP_ASEMAN</v>
          </cell>
        </row>
        <row r="221">
          <cell r="N221" t="str">
            <v>I GEDE BAGUS ADI SURYAWAN , ST</v>
          </cell>
        </row>
        <row r="222">
          <cell r="C222" t="str">
            <v>CP_KESAMBI_1</v>
          </cell>
        </row>
        <row r="222">
          <cell r="N222" t="str">
            <v>I KOMANG FERI INDRAJAYA</v>
          </cell>
        </row>
        <row r="223">
          <cell r="C223" t="str">
            <v>CP_WR_SUPRATMAN</v>
          </cell>
        </row>
        <row r="223">
          <cell r="N223" t="str">
            <v>DWIKY REZA ARDANI WINAHARA</v>
          </cell>
        </row>
        <row r="224">
          <cell r="C224" t="str">
            <v>CP_KENYERI</v>
          </cell>
        </row>
        <row r="224">
          <cell r="N224" t="str">
            <v>DWIKY REZA ARDANI WINAHARA</v>
          </cell>
        </row>
        <row r="225">
          <cell r="C225" t="str">
            <v>CP_NANGKA</v>
          </cell>
        </row>
        <row r="225">
          <cell r="N225" t="str">
            <v>NI PUTU DEWI LASTINI</v>
          </cell>
        </row>
        <row r="226">
          <cell r="C226" t="str">
            <v>CP_TANGKUBAN_PERAHU</v>
          </cell>
        </row>
        <row r="226">
          <cell r="N226" t="str">
            <v>NI WAYAN ELSA SEPTIANA INDRIANI</v>
          </cell>
        </row>
        <row r="227">
          <cell r="C227" t="str">
            <v>CP_SESETAN</v>
          </cell>
        </row>
        <row r="227">
          <cell r="N227" t="str">
            <v>KADEK DWIPA ANGGARASTRA</v>
          </cell>
        </row>
        <row r="228">
          <cell r="C228" t="str">
            <v>CP_TUKAD_BARU</v>
          </cell>
        </row>
        <row r="228">
          <cell r="N228" t="str">
            <v>KADEK DWIPA ANGGARASTRA</v>
          </cell>
        </row>
        <row r="229">
          <cell r="C229" t="str">
            <v>CP_TUKAD_YEH_AYA</v>
          </cell>
        </row>
        <row r="229">
          <cell r="N229" t="str">
            <v>KADEK DWIPA ANGGARASTRA</v>
          </cell>
        </row>
        <row r="230">
          <cell r="C230" t="str">
            <v>CP_SUBUR</v>
          </cell>
        </row>
        <row r="230">
          <cell r="N230" t="str">
            <v>NI WAYAN ELSA SEPTIANA INDRIANI</v>
          </cell>
        </row>
        <row r="231">
          <cell r="C231" t="str">
            <v>CP_BUANA_RAYA</v>
          </cell>
        </row>
        <row r="231">
          <cell r="N231" t="str">
            <v>NI WAYAN ELSA SEPTIANA INDRIANI</v>
          </cell>
        </row>
        <row r="232">
          <cell r="C232" t="str">
            <v>SATELIT</v>
          </cell>
        </row>
        <row r="232">
          <cell r="N232" t="str">
            <v>NI WAYAN ELSA SEPTIANA INDRIANI</v>
          </cell>
        </row>
        <row r="233">
          <cell r="C233" t="str">
            <v>CP_SEMER</v>
          </cell>
        </row>
        <row r="233">
          <cell r="N233" t="str">
            <v>I GEDE BAGUS ADI SURYAWAN , ST</v>
          </cell>
        </row>
        <row r="234">
          <cell r="C234" t="str">
            <v>KARTINI</v>
          </cell>
        </row>
        <row r="234">
          <cell r="N234" t="str">
            <v>DWIKY REZA ARDANI WINAHARA</v>
          </cell>
        </row>
        <row r="235">
          <cell r="C235" t="str">
            <v>DENPASAR_BARAT2</v>
          </cell>
        </row>
        <row r="235">
          <cell r="N235" t="str">
            <v>NI WAYAN ELSA SEPTIANA INDRIANI</v>
          </cell>
        </row>
        <row r="236">
          <cell r="C236" t="str">
            <v>ULUWATU1</v>
          </cell>
        </row>
        <row r="236">
          <cell r="N236" t="str">
            <v>AGUS PRADNYANA</v>
          </cell>
        </row>
        <row r="237">
          <cell r="C237" t="str">
            <v>GLOGOR_CARIK</v>
          </cell>
        </row>
        <row r="237">
          <cell r="N237" t="str">
            <v>KADEK DWIPA ANGGARASTRA</v>
          </cell>
        </row>
        <row r="238">
          <cell r="C238" t="str">
            <v>DC_DENPASAR_BARAT</v>
          </cell>
        </row>
        <row r="238">
          <cell r="N238" t="str">
            <v>NI WAYAN ELSA SEPTIANA INDRIANI</v>
          </cell>
        </row>
        <row r="239">
          <cell r="C239" t="str">
            <v>SOPUTAN</v>
          </cell>
        </row>
        <row r="239">
          <cell r="N239" t="str">
            <v>NI WAYAN ELSA SEPTIANA INDRIANI</v>
          </cell>
        </row>
        <row r="240">
          <cell r="C240" t="str">
            <v>DENPASAR</v>
          </cell>
        </row>
        <row r="240">
          <cell r="N240" t="str">
            <v>NI WAYAN ELSA SEPTIANA INDRIANI</v>
          </cell>
        </row>
        <row r="241">
          <cell r="C241" t="str">
            <v>KUTA_SELATAN</v>
          </cell>
        </row>
        <row r="241">
          <cell r="N241" t="str">
            <v>AGUS PRADNYANA</v>
          </cell>
        </row>
        <row r="242">
          <cell r="C242" t="str">
            <v>SIULAN</v>
          </cell>
        </row>
        <row r="242">
          <cell r="N242" t="str">
            <v>DWIKY REZA ARDANI WINAHARA</v>
          </cell>
        </row>
        <row r="243">
          <cell r="C243" t="str">
            <v>SANUR_KAJA</v>
          </cell>
        </row>
        <row r="243">
          <cell r="N243" t="str">
            <v>DWIKY REZA ARDANI WINAHARA</v>
          </cell>
        </row>
        <row r="244">
          <cell r="C244" t="str">
            <v>NUSA_KAMBANGAN</v>
          </cell>
        </row>
        <row r="244">
          <cell r="N244" t="str">
            <v>NI WAYAN ELSA SEPTIANA INDRIANI</v>
          </cell>
        </row>
        <row r="245">
          <cell r="C245" t="str">
            <v>MOYO_HULU</v>
          </cell>
        </row>
        <row r="245">
          <cell r="N245" t="str">
            <v>Ari Ardiansyah</v>
          </cell>
        </row>
        <row r="246">
          <cell r="C246" t="str">
            <v>PRAYA</v>
          </cell>
        </row>
        <row r="246">
          <cell r="N246" t="str">
            <v>Suhardi </v>
          </cell>
        </row>
        <row r="247">
          <cell r="C247" t="str">
            <v>TCWHO131</v>
          </cell>
        </row>
        <row r="247">
          <cell r="N247" t="str">
            <v>ADE HARYANTO</v>
          </cell>
        </row>
        <row r="248">
          <cell r="C248" t="str">
            <v>TCWHO231</v>
          </cell>
        </row>
        <row r="248">
          <cell r="N248" t="str">
            <v>NOFITA</v>
          </cell>
        </row>
        <row r="249">
          <cell r="C249" t="str">
            <v>PEDUNGAN_1</v>
          </cell>
        </row>
        <row r="249">
          <cell r="N249" t="str">
            <v>PANJI PRATAMA</v>
          </cell>
        </row>
        <row r="250">
          <cell r="C250" t="str">
            <v>TEMBAU</v>
          </cell>
        </row>
        <row r="250">
          <cell r="N250" t="str">
            <v>PANJI PRATAMA</v>
          </cell>
        </row>
        <row r="251">
          <cell r="C251" t="str">
            <v>DPS_SALES</v>
          </cell>
        </row>
        <row r="251">
          <cell r="N251" t="str">
            <v>Panji Pratama</v>
          </cell>
        </row>
        <row r="252">
          <cell r="C252" t="str">
            <v>PYW03A</v>
          </cell>
        </row>
        <row r="252">
          <cell r="N252" t="str">
            <v>Suhardi </v>
          </cell>
        </row>
        <row r="253">
          <cell r="C253" t="str">
            <v>WHO22</v>
          </cell>
        </row>
        <row r="253">
          <cell r="N253" t="str">
            <v>FAHRURRAZI</v>
          </cell>
        </row>
        <row r="254">
          <cell r="C254" t="str">
            <v>APU07A</v>
          </cell>
        </row>
        <row r="254">
          <cell r="N254" t="str">
            <v>AGUSTINUS DICKY PURWONO</v>
          </cell>
        </row>
        <row r="255">
          <cell r="C255" t="str">
            <v>TNW02B</v>
          </cell>
        </row>
        <row r="255">
          <cell r="N255" t="str">
            <v>AGUS KADE DIVA RAMANA</v>
          </cell>
        </row>
        <row r="256">
          <cell r="C256" t="str">
            <v>BNL02A</v>
          </cell>
        </row>
        <row r="256">
          <cell r="N256" t="str">
            <v>I Kadek Sandiyasa</v>
          </cell>
        </row>
        <row r="257">
          <cell r="C257" t="str">
            <v>TAW02B</v>
          </cell>
        </row>
        <row r="257">
          <cell r="N257" t="str">
            <v>Resi Marsila</v>
          </cell>
        </row>
        <row r="258">
          <cell r="C258" t="str">
            <v>BMU01A</v>
          </cell>
        </row>
        <row r="258">
          <cell r="N258" t="str">
            <v>FAHRURRAZI</v>
          </cell>
        </row>
        <row r="259">
          <cell r="C259" t="str">
            <v>GIA07B</v>
          </cell>
        </row>
        <row r="259">
          <cell r="N259" t="str">
            <v>GUSTI NGURAH ARY RAKA DARMAYASA, SE.MM</v>
          </cell>
        </row>
        <row r="260">
          <cell r="C260" t="str">
            <v>APU05A</v>
          </cell>
        </row>
        <row r="260">
          <cell r="N260" t="str">
            <v>AGUSTINUS DICKY PURWONO</v>
          </cell>
        </row>
        <row r="261">
          <cell r="C261" t="str">
            <v>KUPANG_TIMUR</v>
          </cell>
        </row>
        <row r="261">
          <cell r="N261" t="str">
            <v>Salvatris Siro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</sheetNames>
    <sheetDataSet>
      <sheetData sheetId="0">
        <row r="1">
          <cell r="C1" t="str">
            <v>Nama Cabang
网点名称</v>
          </cell>
        </row>
        <row r="1">
          <cell r="E1" t="str">
            <v>SPV (Update 29 Mei 2026)</v>
          </cell>
        </row>
        <row r="2">
          <cell r="C2" t="str">
            <v>PADANGAN</v>
          </cell>
        </row>
        <row r="2">
          <cell r="E2" t="str">
            <v>Fahmi Nur Muhamad</v>
          </cell>
        </row>
        <row r="3">
          <cell r="C3" t="str">
            <v>KALITIDU</v>
          </cell>
        </row>
        <row r="3">
          <cell r="E3" t="str">
            <v>Imam Khudori</v>
          </cell>
        </row>
        <row r="4">
          <cell r="C4" t="str">
            <v>SUMBEREJO</v>
          </cell>
        </row>
        <row r="4">
          <cell r="E4" t="str">
            <v>Dwi Murdianto</v>
          </cell>
        </row>
        <row r="5">
          <cell r="C5" t="str">
            <v>DC_SRATU</v>
          </cell>
        </row>
        <row r="5">
          <cell r="E5" t="str">
            <v>Ali Subeki</v>
          </cell>
        </row>
        <row r="6">
          <cell r="C6" t="str">
            <v>DC_KLANGON</v>
          </cell>
        </row>
        <row r="6">
          <cell r="E6" t="str">
            <v>Dwi Murdianto</v>
          </cell>
        </row>
        <row r="7">
          <cell r="C7" t="str">
            <v>GAYAM</v>
          </cell>
        </row>
        <row r="7">
          <cell r="E7" t="str">
            <v>Mochamad Robi Hidayat</v>
          </cell>
        </row>
        <row r="8">
          <cell r="C8" t="str">
            <v>NGRAHO</v>
          </cell>
        </row>
        <row r="8">
          <cell r="E8" t="str">
            <v>Fahmi Nur Muhamad</v>
          </cell>
        </row>
        <row r="9">
          <cell r="C9" t="str">
            <v>DANDER</v>
          </cell>
        </row>
        <row r="9">
          <cell r="E9" t="str">
            <v>Imam Khudori</v>
          </cell>
        </row>
        <row r="10">
          <cell r="C10" t="str">
            <v>BALEN_1</v>
          </cell>
        </row>
        <row r="10">
          <cell r="E10" t="str">
            <v>Mochamad Robi Hidayat</v>
          </cell>
        </row>
        <row r="11">
          <cell r="C11" t="str">
            <v>KEDUNGADEM_1</v>
          </cell>
        </row>
        <row r="11">
          <cell r="E11" t="str">
            <v>Ali Subeki</v>
          </cell>
        </row>
        <row r="12">
          <cell r="C12" t="str">
            <v>TUBAN</v>
          </cell>
        </row>
        <row r="12">
          <cell r="E12" t="str">
            <v>Budianto</v>
          </cell>
        </row>
        <row r="13">
          <cell r="C13" t="str">
            <v>JATIROGO</v>
          </cell>
        </row>
        <row r="13">
          <cell r="E13" t="str">
            <v>Andy Kistiwantono</v>
          </cell>
        </row>
        <row r="14">
          <cell r="C14" t="str">
            <v>KEREK</v>
          </cell>
        </row>
        <row r="14">
          <cell r="E14" t="str">
            <v>M. Zen Asrofi</v>
          </cell>
        </row>
        <row r="15">
          <cell r="C15" t="str">
            <v>PLUMPANG</v>
          </cell>
        </row>
        <row r="15">
          <cell r="E15" t="str">
            <v>Totok Suwiknyo</v>
          </cell>
        </row>
        <row r="16">
          <cell r="C16" t="str">
            <v>PARENGAN</v>
          </cell>
        </row>
        <row r="16">
          <cell r="E16" t="str">
            <v>Andy Kistiwantono</v>
          </cell>
        </row>
        <row r="17">
          <cell r="C17" t="str">
            <v>TAMBAKBOYO</v>
          </cell>
        </row>
        <row r="17">
          <cell r="E17" t="str">
            <v>M. Zen Asrofi</v>
          </cell>
        </row>
        <row r="18">
          <cell r="C18" t="str">
            <v>RENGEL_1</v>
          </cell>
        </row>
        <row r="18">
          <cell r="E18" t="str">
            <v>Mokhammad Ali Mustofa</v>
          </cell>
        </row>
        <row r="19">
          <cell r="C19" t="str">
            <v>MERAKURAK_1</v>
          </cell>
        </row>
        <row r="19">
          <cell r="E19" t="str">
            <v>Mokhammad Ali Mustofa</v>
          </cell>
        </row>
        <row r="20">
          <cell r="C20" t="str">
            <v>TUBAN_1</v>
          </cell>
        </row>
        <row r="20">
          <cell r="E20" t="str">
            <v>Totok Suwiknyo</v>
          </cell>
        </row>
        <row r="21">
          <cell r="C21" t="str">
            <v>PALANG_1</v>
          </cell>
        </row>
        <row r="21">
          <cell r="E21" t="str">
            <v>Budianto</v>
          </cell>
        </row>
        <row r="22">
          <cell r="C22" t="str">
            <v>DRIYOREJO</v>
          </cell>
        </row>
        <row r="22">
          <cell r="E22" t="str">
            <v>Niza Ramadani</v>
          </cell>
        </row>
        <row r="23">
          <cell r="C23" t="str">
            <v>PANCENG</v>
          </cell>
        </row>
        <row r="23">
          <cell r="E23" t="str">
            <v>Dian Putra Aris Firmansyah</v>
          </cell>
        </row>
        <row r="24">
          <cell r="C24" t="str">
            <v>MANYAR_2</v>
          </cell>
        </row>
        <row r="24">
          <cell r="E24" t="str">
            <v>Mohammad Fa'Iq Al Abror</v>
          </cell>
        </row>
        <row r="25">
          <cell r="C25" t="str">
            <v>BAWEAN</v>
          </cell>
        </row>
        <row r="25">
          <cell r="E25" t="str">
            <v>Fariszulhazmi</v>
          </cell>
        </row>
        <row r="26">
          <cell r="C26" t="str">
            <v>CERME</v>
          </cell>
        </row>
        <row r="26">
          <cell r="E26" t="str">
            <v>Fitra Romansyah</v>
          </cell>
        </row>
        <row r="27">
          <cell r="C27" t="str">
            <v>KEBON</v>
          </cell>
        </row>
        <row r="27">
          <cell r="E27" t="str">
            <v>Fariszulhazmi</v>
          </cell>
        </row>
        <row r="28">
          <cell r="C28" t="str">
            <v>MENGANTI</v>
          </cell>
        </row>
        <row r="28">
          <cell r="E28" t="str">
            <v>Dede Rahadiansyah Ucky Pradana</v>
          </cell>
        </row>
        <row r="29">
          <cell r="C29" t="str">
            <v>KEDAMEAN</v>
          </cell>
        </row>
        <row r="29">
          <cell r="E29" t="str">
            <v>Ardyanita Wanti, S.Pd</v>
          </cell>
        </row>
        <row r="30">
          <cell r="C30" t="str">
            <v>BUNGAH_1</v>
          </cell>
        </row>
        <row r="30">
          <cell r="E30" t="str">
            <v>Mohammad Fa'Iq Al Abror</v>
          </cell>
        </row>
        <row r="31">
          <cell r="C31" t="str">
            <v>DUKUN_2</v>
          </cell>
        </row>
        <row r="31">
          <cell r="E31" t="str">
            <v>Dian Putra Aris Firmansyah</v>
          </cell>
        </row>
        <row r="32">
          <cell r="C32" t="str">
            <v>WRINGINANOM</v>
          </cell>
        </row>
        <row r="32">
          <cell r="E32" t="str">
            <v>Ardyanita Wanti, S.Pd</v>
          </cell>
        </row>
        <row r="33">
          <cell r="C33" t="str">
            <v>KEBOMAS_1</v>
          </cell>
        </row>
        <row r="33">
          <cell r="E33" t="str">
            <v>Fariszulhazmi</v>
          </cell>
        </row>
        <row r="34">
          <cell r="C34" t="str">
            <v>BALONGPANGGANG_1</v>
          </cell>
        </row>
        <row r="34">
          <cell r="E34" t="str">
            <v>Fitra Romansyah</v>
          </cell>
        </row>
        <row r="35">
          <cell r="C35" t="str">
            <v>DUDUKSAMPEYAN_1</v>
          </cell>
        </row>
        <row r="35">
          <cell r="E35" t="str">
            <v>Fitra Romansyah</v>
          </cell>
        </row>
        <row r="36">
          <cell r="C36" t="str">
            <v>BABAT</v>
          </cell>
        </row>
        <row r="36">
          <cell r="E36" t="str">
            <v>M. Faris Rahman</v>
          </cell>
        </row>
        <row r="37">
          <cell r="C37" t="str">
            <v>KEDUNGPRING_2</v>
          </cell>
        </row>
        <row r="37">
          <cell r="E37" t="str">
            <v>Ali Said</v>
          </cell>
        </row>
        <row r="38">
          <cell r="C38" t="str">
            <v>PACIRAN</v>
          </cell>
        </row>
        <row r="38">
          <cell r="E38" t="str">
            <v>Siswa Maulana Malik</v>
          </cell>
        </row>
        <row r="39">
          <cell r="C39" t="str">
            <v>MANTUP_1</v>
          </cell>
        </row>
        <row r="39">
          <cell r="E39" t="str">
            <v>Ahmad Andy Fajar Wijaya</v>
          </cell>
        </row>
        <row r="40">
          <cell r="C40" t="str">
            <v>KARANGGENENG</v>
          </cell>
        </row>
        <row r="40">
          <cell r="E40" t="str">
            <v>Moch Ali Muksin</v>
          </cell>
        </row>
        <row r="41">
          <cell r="C41" t="str">
            <v>LAMONGAN_2</v>
          </cell>
        </row>
        <row r="41">
          <cell r="E41" t="str">
            <v>Ahmad Andy Fajar Wijaya</v>
          </cell>
        </row>
        <row r="42">
          <cell r="C42" t="str">
            <v>RAYA_PACIRAN</v>
          </cell>
        </row>
        <row r="42">
          <cell r="E42" t="str">
            <v>Siswa Maulana Malik</v>
          </cell>
        </row>
        <row r="43">
          <cell r="C43" t="str">
            <v>MOROPELANG</v>
          </cell>
        </row>
        <row r="43">
          <cell r="E43" t="str">
            <v>M. Faris Rahman</v>
          </cell>
        </row>
        <row r="44">
          <cell r="C44" t="str">
            <v>SAMBENG</v>
          </cell>
        </row>
        <row r="44">
          <cell r="E44" t="str">
            <v>Ali Said</v>
          </cell>
        </row>
        <row r="45">
          <cell r="C45" t="str">
            <v>SUGIO_1</v>
          </cell>
        </row>
        <row r="45">
          <cell r="E45" t="str">
            <v>M. Faris Rahman</v>
          </cell>
        </row>
        <row r="46">
          <cell r="C46" t="str">
            <v>GLAGAH_LMG_1</v>
          </cell>
        </row>
        <row r="46">
          <cell r="E46" t="str">
            <v>Moch Ali Muksin</v>
          </cell>
        </row>
        <row r="47">
          <cell r="C47" t="str">
            <v>TIKUNG_2</v>
          </cell>
        </row>
        <row r="47">
          <cell r="E47" t="str">
            <v>Ahmad Andy Fajar Wijaya</v>
          </cell>
        </row>
        <row r="48">
          <cell r="C48" t="str">
            <v>BANGKALAN</v>
          </cell>
        </row>
        <row r="48">
          <cell r="E48" t="str">
            <v>Faris Meilugianta Pratama</v>
          </cell>
        </row>
        <row r="49">
          <cell r="C49" t="str">
            <v>BLEGA</v>
          </cell>
        </row>
        <row r="49">
          <cell r="E49" t="str">
            <v>Zainal Abidin</v>
          </cell>
        </row>
        <row r="50">
          <cell r="C50" t="str">
            <v>BANGKALAN_KOTA</v>
          </cell>
        </row>
        <row r="50">
          <cell r="E50" t="str">
            <v>Ega Chandra Dinata</v>
          </cell>
        </row>
        <row r="51">
          <cell r="C51" t="str">
            <v>SEPULU</v>
          </cell>
        </row>
        <row r="51">
          <cell r="E51" t="str">
            <v>Fauzen Alfan</v>
          </cell>
        </row>
        <row r="52">
          <cell r="C52" t="str">
            <v>TANAH_MERAH_1</v>
          </cell>
        </row>
        <row r="52">
          <cell r="E52" t="str">
            <v>Faris Meilugianta Pratama</v>
          </cell>
        </row>
        <row r="53">
          <cell r="C53" t="str">
            <v>BURNEH_1</v>
          </cell>
        </row>
        <row r="53">
          <cell r="E53" t="str">
            <v>Hilman Anshori</v>
          </cell>
        </row>
        <row r="54">
          <cell r="C54" t="str">
            <v>TANJUNG_BUMI_1</v>
          </cell>
        </row>
        <row r="54">
          <cell r="E54" t="str">
            <v>-</v>
          </cell>
        </row>
        <row r="55">
          <cell r="C55" t="str">
            <v>KAMAL_1</v>
          </cell>
        </row>
        <row r="55">
          <cell r="E55" t="str">
            <v>-</v>
          </cell>
        </row>
        <row r="56">
          <cell r="C56" t="str">
            <v>AROSBAYA_1</v>
          </cell>
        </row>
        <row r="56">
          <cell r="E56" t="str">
            <v>-</v>
          </cell>
        </row>
        <row r="57">
          <cell r="C57" t="str">
            <v>GALIS_1</v>
          </cell>
        </row>
        <row r="57">
          <cell r="E57" t="str">
            <v>-</v>
          </cell>
        </row>
        <row r="58">
          <cell r="C58" t="str">
            <v>PAMEKASAN</v>
          </cell>
        </row>
        <row r="58">
          <cell r="E58" t="str">
            <v>Andi Wiranata Negara</v>
          </cell>
        </row>
        <row r="59">
          <cell r="C59" t="str">
            <v>PROPPO</v>
          </cell>
        </row>
        <row r="59">
          <cell r="E59" t="str">
            <v>Moh. Hasan</v>
          </cell>
        </row>
        <row r="60">
          <cell r="C60" t="str">
            <v>PAKONG</v>
          </cell>
        </row>
        <row r="60">
          <cell r="E60" t="str">
            <v>Farida</v>
          </cell>
        </row>
        <row r="61">
          <cell r="C61" t="str">
            <v>LARANGAN_PAMEKASAN</v>
          </cell>
        </row>
        <row r="61">
          <cell r="E61" t="str">
            <v>Moh. Hasan</v>
          </cell>
        </row>
        <row r="62">
          <cell r="C62" t="str">
            <v>PALENGAAN_1</v>
          </cell>
        </row>
        <row r="62">
          <cell r="E62" t="str">
            <v>Farida</v>
          </cell>
        </row>
        <row r="63">
          <cell r="C63" t="str">
            <v>PEGANTENAN</v>
          </cell>
        </row>
        <row r="63">
          <cell r="E63" t="str">
            <v>Abdur Rahman</v>
          </cell>
        </row>
        <row r="64">
          <cell r="C64" t="str">
            <v>PASEAN_1</v>
          </cell>
        </row>
        <row r="64">
          <cell r="E64" t="str">
            <v>Abdur Rahman</v>
          </cell>
        </row>
        <row r="65">
          <cell r="C65" t="str">
            <v>SUMENEP</v>
          </cell>
        </row>
        <row r="65">
          <cell r="E65" t="str">
            <v>Ahmad Khairul Zawawi</v>
          </cell>
        </row>
        <row r="66">
          <cell r="C66" t="str">
            <v>ARJASA</v>
          </cell>
        </row>
        <row r="66">
          <cell r="E66" t="str">
            <v>Ahmad Khairul Zawawi</v>
          </cell>
        </row>
        <row r="67">
          <cell r="C67" t="str">
            <v>AMBUNTEN</v>
          </cell>
        </row>
        <row r="67">
          <cell r="E67" t="str">
            <v>Muhlis Riyadi</v>
          </cell>
        </row>
        <row r="68">
          <cell r="C68" t="str">
            <v>BATUAN_1</v>
          </cell>
        </row>
        <row r="68">
          <cell r="E68" t="str">
            <v>Mohammad Irsyad</v>
          </cell>
        </row>
        <row r="69">
          <cell r="C69" t="str">
            <v>KALIANGET_1</v>
          </cell>
        </row>
        <row r="69">
          <cell r="E69" t="str">
            <v>Mohammad Irsyad</v>
          </cell>
        </row>
        <row r="70">
          <cell r="C70" t="str">
            <v>BLUTO_1</v>
          </cell>
        </row>
        <row r="70">
          <cell r="E70" t="str">
            <v>Eka Satrio</v>
          </cell>
        </row>
        <row r="71">
          <cell r="C71" t="str">
            <v>GAPURA_1</v>
          </cell>
        </row>
        <row r="71">
          <cell r="E71" t="str">
            <v>Hodaifah</v>
          </cell>
        </row>
        <row r="72">
          <cell r="C72" t="str">
            <v>PRAGAAN_1</v>
          </cell>
        </row>
        <row r="72">
          <cell r="E72" t="str">
            <v>Hodaifah</v>
          </cell>
        </row>
        <row r="73">
          <cell r="C73" t="str">
            <v>KOTA_SUMENEP_1</v>
          </cell>
        </row>
        <row r="73">
          <cell r="E73" t="str">
            <v>Mohammad Irsyad</v>
          </cell>
        </row>
        <row r="74">
          <cell r="C74" t="str">
            <v>GUNUNG_SEKAR</v>
          </cell>
        </row>
        <row r="74">
          <cell r="E74" t="str">
            <v>Syamsuddin</v>
          </cell>
        </row>
        <row r="75">
          <cell r="C75" t="str">
            <v>CAMPLONG</v>
          </cell>
        </row>
        <row r="75">
          <cell r="E75" t="str">
            <v>Yusufil Hamdhani Akbar</v>
          </cell>
        </row>
        <row r="76">
          <cell r="C76" t="str">
            <v>KEDUNGDUNG_1</v>
          </cell>
        </row>
        <row r="76">
          <cell r="E76" t="str">
            <v>-</v>
          </cell>
        </row>
        <row r="77">
          <cell r="C77" t="str">
            <v>SAMPANG_UTARA</v>
          </cell>
        </row>
        <row r="77">
          <cell r="E77" t="str">
            <v>Moh. Adfar Istihar</v>
          </cell>
        </row>
        <row r="78">
          <cell r="C78" t="str">
            <v>SOKOBANAH</v>
          </cell>
        </row>
        <row r="78">
          <cell r="E78" t="str">
            <v>Moh. Adfar Istihar</v>
          </cell>
        </row>
        <row r="79">
          <cell r="C79" t="str">
            <v>TORJUN_RAYA</v>
          </cell>
        </row>
        <row r="79">
          <cell r="E79" t="str">
            <v>Abd. Ghoni</v>
          </cell>
        </row>
        <row r="80">
          <cell r="C80" t="str">
            <v>KARANGPENANG_1</v>
          </cell>
        </row>
        <row r="80">
          <cell r="E80" t="str">
            <v>Abd. Syakur</v>
          </cell>
        </row>
        <row r="81">
          <cell r="C81" t="str">
            <v>ROBATAL</v>
          </cell>
        </row>
        <row r="81">
          <cell r="E81" t="str">
            <v>Abd. Syakur</v>
          </cell>
        </row>
        <row r="82">
          <cell r="C82" t="str">
            <v>BANYUATES_1</v>
          </cell>
        </row>
        <row r="82">
          <cell r="E82" t="str">
            <v>-</v>
          </cell>
        </row>
        <row r="83">
          <cell r="C83" t="str">
            <v>OMBEN_1</v>
          </cell>
        </row>
        <row r="83">
          <cell r="E83" t="str">
            <v>-</v>
          </cell>
        </row>
        <row r="84">
          <cell r="C84" t="str">
            <v>TAMBELANGAN_1</v>
          </cell>
        </row>
        <row r="84">
          <cell r="E84" t="str">
            <v>-</v>
          </cell>
        </row>
        <row r="85">
          <cell r="C85" t="str">
            <v>MADIUN_1</v>
          </cell>
        </row>
        <row r="85">
          <cell r="E85" t="str">
            <v>Eko Junaidi</v>
          </cell>
        </row>
        <row r="86">
          <cell r="C86" t="str">
            <v>MEJAYAN</v>
          </cell>
        </row>
        <row r="86">
          <cell r="E86" t="str">
            <v>Tika Vebrian Tiara Devi</v>
          </cell>
        </row>
        <row r="87">
          <cell r="C87" t="str">
            <v>DOLOPO</v>
          </cell>
        </row>
        <row r="87">
          <cell r="E87" t="str">
            <v>Eko Prasetianto Nugroho</v>
          </cell>
        </row>
        <row r="88">
          <cell r="C88" t="str">
            <v>JIWAN</v>
          </cell>
        </row>
        <row r="88">
          <cell r="E88" t="str">
            <v>Eko Junaidi</v>
          </cell>
        </row>
        <row r="89">
          <cell r="C89" t="str">
            <v>TAMAN_PRAJA</v>
          </cell>
        </row>
        <row r="89">
          <cell r="E89" t="str">
            <v>Boma Eka Kurniawan</v>
          </cell>
        </row>
        <row r="90">
          <cell r="C90" t="str">
            <v>MUNENG</v>
          </cell>
        </row>
        <row r="90">
          <cell r="E90" t="str">
            <v>Tika Vebrian Tiara Devi</v>
          </cell>
        </row>
        <row r="91">
          <cell r="C91" t="str">
            <v>DC_TUGU_PENDEKAR</v>
          </cell>
        </row>
        <row r="91">
          <cell r="E91" t="str">
            <v>Galih Dewangga</v>
          </cell>
        </row>
        <row r="92">
          <cell r="C92" t="str">
            <v>MAGETAN_2</v>
          </cell>
        </row>
        <row r="92">
          <cell r="E92" t="str">
            <v>Riza Aji Nurcholis</v>
          </cell>
        </row>
        <row r="93">
          <cell r="C93" t="str">
            <v>MAOSPATI_1</v>
          </cell>
        </row>
        <row r="93">
          <cell r="E93" t="str">
            <v>Hendrik Robi Saputra</v>
          </cell>
        </row>
        <row r="94">
          <cell r="C94" t="str">
            <v>TAKERAN_1</v>
          </cell>
        </row>
        <row r="94">
          <cell r="E94" t="str">
            <v>Rika Arif Aprianto</v>
          </cell>
        </row>
        <row r="95">
          <cell r="C95" t="str">
            <v>PLAOSAN_2</v>
          </cell>
        </row>
        <row r="95">
          <cell r="E95" t="str">
            <v>Yacob Juan Firmansyah</v>
          </cell>
        </row>
        <row r="96">
          <cell r="C96" t="str">
            <v>NGAWI</v>
          </cell>
        </row>
        <row r="96">
          <cell r="E96" t="str">
            <v>Rony Koco Abrianto</v>
          </cell>
        </row>
        <row r="97">
          <cell r="C97" t="str">
            <v>WALIKUKUN</v>
          </cell>
        </row>
        <row r="97">
          <cell r="E97" t="str">
            <v>Fathoni Yusuf</v>
          </cell>
        </row>
        <row r="98">
          <cell r="C98" t="str">
            <v>DC_KARTONYONO</v>
          </cell>
        </row>
        <row r="98">
          <cell r="E98" t="str">
            <v>Faizal Dwi Pramono</v>
          </cell>
        </row>
        <row r="99">
          <cell r="C99" t="str">
            <v>PARON</v>
          </cell>
        </row>
        <row r="99">
          <cell r="E99" t="str">
            <v>Yudi Yiswoyo</v>
          </cell>
        </row>
        <row r="100">
          <cell r="C100" t="str">
            <v>PACITAN</v>
          </cell>
        </row>
        <row r="100">
          <cell r="E100" t="str">
            <v>Irul Marwianto</v>
          </cell>
        </row>
        <row r="101">
          <cell r="C101" t="str">
            <v>BALEHARJO</v>
          </cell>
        </row>
        <row r="101">
          <cell r="E101" t="str">
            <v>Fikto Nur Mansah</v>
          </cell>
        </row>
        <row r="102">
          <cell r="C102" t="str">
            <v>NGADIROJO_1</v>
          </cell>
        </row>
        <row r="102">
          <cell r="E102" t="str">
            <v>Fikto Nur Mansah</v>
          </cell>
        </row>
        <row r="103">
          <cell r="C103" t="str">
            <v>ARJOSARI_2</v>
          </cell>
        </row>
        <row r="103">
          <cell r="E103" t="str">
            <v>Irul Marwianto</v>
          </cell>
        </row>
        <row r="104">
          <cell r="C104" t="str">
            <v>PONOROGO</v>
          </cell>
        </row>
        <row r="104">
          <cell r="E104" t="str">
            <v>Fanky Puguh Prasetyo</v>
          </cell>
        </row>
        <row r="105">
          <cell r="C105" t="str">
            <v>SUMOROTO</v>
          </cell>
        </row>
        <row r="105">
          <cell r="E105" t="str">
            <v>Mohamad Ariz Zakariya</v>
          </cell>
        </row>
        <row r="106">
          <cell r="C106" t="str">
            <v>BALONG</v>
          </cell>
        </row>
        <row r="106">
          <cell r="E106" t="str">
            <v>Mohammad Putra Surya Mahendra</v>
          </cell>
        </row>
        <row r="107">
          <cell r="C107" t="str">
            <v>BABADAN_RAYA</v>
          </cell>
        </row>
        <row r="107">
          <cell r="E107" t="str">
            <v>Angga Widayanto</v>
          </cell>
        </row>
        <row r="108">
          <cell r="C108" t="str">
            <v>SAMBIT_1</v>
          </cell>
        </row>
        <row r="108">
          <cell r="E108" t="str">
            <v>Ruly Syaiful Ansor</v>
          </cell>
        </row>
        <row r="109">
          <cell r="C109" t="str">
            <v>KEDIRI</v>
          </cell>
        </row>
        <row r="109">
          <cell r="E109" t="str">
            <v>Prasetyo Istianto</v>
          </cell>
        </row>
        <row r="110">
          <cell r="C110" t="str">
            <v>GROGOL</v>
          </cell>
        </row>
        <row r="110">
          <cell r="E110" t="str">
            <v>Widi Rumekso</v>
          </cell>
        </row>
        <row r="111">
          <cell r="C111" t="str">
            <v>TOSAREN</v>
          </cell>
        </row>
        <row r="111">
          <cell r="E111" t="str">
            <v>Mohammad Afreza Al Ayyubi</v>
          </cell>
        </row>
        <row r="112">
          <cell r="C112" t="str">
            <v>NGADILUWIH</v>
          </cell>
        </row>
        <row r="112">
          <cell r="E112" t="str">
            <v>Laga Pratama Nurjiwo</v>
          </cell>
        </row>
        <row r="113">
          <cell r="C113" t="str">
            <v>TIRTO_UDAN</v>
          </cell>
        </row>
        <row r="113">
          <cell r="E113" t="str">
            <v>Ali Zainal Abidin</v>
          </cell>
        </row>
        <row r="114">
          <cell r="C114" t="str">
            <v>PLOSOKLATEN</v>
          </cell>
        </row>
        <row r="114">
          <cell r="E114" t="str">
            <v>Dyah Ayu Larasati Tri Palupi</v>
          </cell>
        </row>
        <row r="115">
          <cell r="C115" t="str">
            <v>PAPAR</v>
          </cell>
        </row>
        <row r="115">
          <cell r="E115" t="str">
            <v>Feri Setiawan</v>
          </cell>
        </row>
        <row r="116">
          <cell r="C116" t="str">
            <v>DC_KEDIRI</v>
          </cell>
        </row>
        <row r="116">
          <cell r="E116" t="str">
            <v>M. Yanuar Rifa'I</v>
          </cell>
        </row>
        <row r="117">
          <cell r="C117" t="str">
            <v>KDR_NGASEM_2</v>
          </cell>
        </row>
        <row r="117">
          <cell r="E117" t="str">
            <v>Muhammad Syaifullah</v>
          </cell>
        </row>
        <row r="118">
          <cell r="C118" t="str">
            <v>MOJO</v>
          </cell>
        </row>
        <row r="118">
          <cell r="E118" t="str">
            <v>Diky Satriawan</v>
          </cell>
        </row>
        <row r="119">
          <cell r="C119" t="str">
            <v>KEPUNG_2</v>
          </cell>
        </row>
        <row r="119">
          <cell r="E119" t="str">
            <v>Achmad Afandi</v>
          </cell>
        </row>
        <row r="120">
          <cell r="C120" t="str">
            <v>RINGINREJO</v>
          </cell>
        </row>
        <row r="120">
          <cell r="E120" t="str">
            <v>Nanang Arifianto</v>
          </cell>
        </row>
        <row r="121">
          <cell r="C121" t="str">
            <v>PARE_4</v>
          </cell>
        </row>
        <row r="121">
          <cell r="E121" t="str">
            <v>Rif'An Munawwir</v>
          </cell>
        </row>
        <row r="122">
          <cell r="C122" t="str">
            <v>PLEMAHAN_3</v>
          </cell>
        </row>
        <row r="122">
          <cell r="E122" t="str">
            <v>Shokibul Kafi</v>
          </cell>
        </row>
        <row r="123">
          <cell r="C123" t="str">
            <v>TULUNG_AGUNG</v>
          </cell>
        </row>
        <row r="123">
          <cell r="E123" t="str">
            <v>Ahmad Fakhru Rozan</v>
          </cell>
        </row>
        <row r="124">
          <cell r="C124" t="str">
            <v>CAMPUR_DARAT</v>
          </cell>
        </row>
        <row r="124">
          <cell r="E124" t="str">
            <v>Afan Fardianto</v>
          </cell>
        </row>
        <row r="125">
          <cell r="C125" t="str">
            <v>NGUNUT</v>
          </cell>
        </row>
        <row r="125">
          <cell r="E125" t="str">
            <v>Dwi Wahyu Wichaksono</v>
          </cell>
        </row>
        <row r="126">
          <cell r="C126" t="str">
            <v>KAUMAN</v>
          </cell>
        </row>
        <row r="126">
          <cell r="E126" t="str">
            <v>Hafiz Adam Adidarmawan</v>
          </cell>
        </row>
        <row r="127">
          <cell r="C127" t="str">
            <v>BOYOLANGU</v>
          </cell>
        </row>
        <row r="127">
          <cell r="E127" t="str">
            <v>Argo Lumaksana</v>
          </cell>
        </row>
        <row r="128">
          <cell r="C128" t="str">
            <v>GONDANGRAYA</v>
          </cell>
        </row>
        <row r="128">
          <cell r="E128" t="str">
            <v>Ahmad Fakhru Rozan</v>
          </cell>
        </row>
        <row r="129">
          <cell r="C129" t="str">
            <v>DC_TULUNG_AGUNG</v>
          </cell>
        </row>
        <row r="129">
          <cell r="E129" t="str">
            <v>Hafiz Adam Adidarmawan</v>
          </cell>
        </row>
        <row r="130">
          <cell r="C130" t="str">
            <v>TRENGGALEK</v>
          </cell>
        </row>
        <row r="130">
          <cell r="E130" t="str">
            <v>Rochma Ridho Permadi</v>
          </cell>
        </row>
        <row r="131">
          <cell r="C131" t="str">
            <v>GANDUSARI_1</v>
          </cell>
        </row>
        <row r="131">
          <cell r="E131" t="str">
            <v>Mohammad Chandra Hermawan</v>
          </cell>
        </row>
        <row r="132">
          <cell r="C132" t="str">
            <v>POGALAN</v>
          </cell>
        </row>
        <row r="132">
          <cell r="E132" t="str">
            <v>Setiyo Budi Iswanto</v>
          </cell>
        </row>
        <row r="133">
          <cell r="C133" t="str">
            <v>KARANGAN_1</v>
          </cell>
        </row>
        <row r="133">
          <cell r="E133" t="str">
            <v>Muhammad Alfan Fauzi</v>
          </cell>
        </row>
        <row r="134">
          <cell r="C134" t="str">
            <v>DIWEK_1</v>
          </cell>
        </row>
        <row r="134">
          <cell r="E134" t="str">
            <v>Muhammad Ali Yusuf</v>
          </cell>
        </row>
        <row r="135">
          <cell r="C135" t="str">
            <v>MOJOAGUNG</v>
          </cell>
        </row>
        <row r="135">
          <cell r="E135" t="str">
            <v>Ali Ghofar</v>
          </cell>
        </row>
        <row r="136">
          <cell r="C136" t="str">
            <v>PERAK</v>
          </cell>
        </row>
        <row r="136">
          <cell r="E136" t="str">
            <v>Muhammad Ali Yusuf</v>
          </cell>
        </row>
        <row r="137">
          <cell r="C137" t="str">
            <v>JOMBANG_2</v>
          </cell>
        </row>
        <row r="137">
          <cell r="E137" t="str">
            <v>Muhammad Ghoniyyulloh</v>
          </cell>
        </row>
        <row r="138">
          <cell r="C138" t="str">
            <v>TEMBELANG_1</v>
          </cell>
        </row>
        <row r="138">
          <cell r="E138" t="str">
            <v>Agung Hendi Alparista</v>
          </cell>
        </row>
        <row r="139">
          <cell r="C139" t="str">
            <v>KABUH</v>
          </cell>
        </row>
        <row r="139">
          <cell r="E139" t="str">
            <v>Agung Hendi Alparista</v>
          </cell>
        </row>
        <row r="140">
          <cell r="C140" t="str">
            <v>MOJOWARNO</v>
          </cell>
        </row>
        <row r="140">
          <cell r="E140" t="str">
            <v>Muhammad Azam Khoirur Roziqin</v>
          </cell>
        </row>
        <row r="141">
          <cell r="C141" t="str">
            <v>NGANJUK_3</v>
          </cell>
        </row>
        <row r="141">
          <cell r="E141" t="str">
            <v>Didit Adi Saputro</v>
          </cell>
        </row>
        <row r="142">
          <cell r="C142" t="str">
            <v>KERTOSONO</v>
          </cell>
        </row>
        <row r="142">
          <cell r="E142" t="str">
            <v>Ali Machtub</v>
          </cell>
        </row>
        <row r="143">
          <cell r="C143" t="str">
            <v>LOCERET</v>
          </cell>
        </row>
        <row r="143">
          <cell r="E143" t="str">
            <v>Didit Adi Saputro</v>
          </cell>
        </row>
        <row r="144">
          <cell r="C144" t="str">
            <v>WARUJAYENG</v>
          </cell>
        </row>
        <row r="144">
          <cell r="E144" t="str">
            <v>Wanto Sugianto</v>
          </cell>
        </row>
        <row r="145">
          <cell r="C145" t="str">
            <v>PRAMBON</v>
          </cell>
        </row>
        <row r="145">
          <cell r="E145" t="str">
            <v>Ali Machtub</v>
          </cell>
        </row>
        <row r="146">
          <cell r="C146" t="str">
            <v>NGANJUK_1</v>
          </cell>
        </row>
        <row r="146">
          <cell r="E146" t="str">
            <v>Dedi Wibowo</v>
          </cell>
        </row>
        <row r="147">
          <cell r="C147" t="str">
            <v>MOJOSARI</v>
          </cell>
        </row>
        <row r="147">
          <cell r="E147" t="str">
            <v>Indra Kokasih</v>
          </cell>
        </row>
        <row r="148">
          <cell r="C148" t="str">
            <v>DC_MAJAPAHIT</v>
          </cell>
        </row>
        <row r="148">
          <cell r="E148" t="str">
            <v>Dwi Harioseno</v>
          </cell>
        </row>
        <row r="149">
          <cell r="C149" t="str">
            <v>BRANGKAL</v>
          </cell>
        </row>
        <row r="149">
          <cell r="E149" t="str">
            <v>Harianto</v>
          </cell>
        </row>
        <row r="150">
          <cell r="C150" t="str">
            <v>DLANGGU</v>
          </cell>
        </row>
        <row r="150">
          <cell r="E150" t="str">
            <v>Mokhammad Arif Pratama Wijaya</v>
          </cell>
        </row>
        <row r="151">
          <cell r="C151" t="str">
            <v>TROWULAN</v>
          </cell>
        </row>
        <row r="151">
          <cell r="E151" t="str">
            <v>Harianto</v>
          </cell>
        </row>
        <row r="152">
          <cell r="C152" t="str">
            <v>JETIS_1</v>
          </cell>
        </row>
        <row r="152">
          <cell r="E152" t="str">
            <v>Abdul Rauf Nafik</v>
          </cell>
        </row>
        <row r="153">
          <cell r="C153" t="str">
            <v>KEMLAGI_1</v>
          </cell>
        </row>
        <row r="153">
          <cell r="E153" t="str">
            <v>Abdul Rauf Nafik</v>
          </cell>
        </row>
        <row r="154">
          <cell r="C154" t="str">
            <v>NGORO</v>
          </cell>
        </row>
        <row r="154">
          <cell r="E154" t="str">
            <v>Indra Kokasih</v>
          </cell>
        </row>
        <row r="155">
          <cell r="C155" t="str">
            <v>BANGSAL</v>
          </cell>
        </row>
        <row r="155">
          <cell r="E155" t="str">
            <v>Ahmad Fariz Rohmatulloh</v>
          </cell>
        </row>
        <row r="156">
          <cell r="C156" t="str">
            <v>DC_GAJAH_MADA</v>
          </cell>
        </row>
        <row r="156">
          <cell r="E156" t="str">
            <v>Mokhammad Arif Pratama Wijaya</v>
          </cell>
        </row>
        <row r="157">
          <cell r="C157" t="str">
            <v>ABDUL_KARIM</v>
          </cell>
        </row>
        <row r="157">
          <cell r="E157" t="str">
            <v>Bagus Hermawan</v>
          </cell>
        </row>
        <row r="158">
          <cell r="C158" t="str">
            <v>DC_KARANGPILANG</v>
          </cell>
        </row>
        <row r="158">
          <cell r="E158" t="str">
            <v>-</v>
          </cell>
        </row>
        <row r="159">
          <cell r="C159" t="str">
            <v>GUNUNG_ANYAR</v>
          </cell>
        </row>
        <row r="159">
          <cell r="E159" t="str">
            <v>Satrio Wahyu Nugroho</v>
          </cell>
        </row>
        <row r="160">
          <cell r="C160" t="str">
            <v>SURABAYA_KIDUL</v>
          </cell>
        </row>
        <row r="160">
          <cell r="E160" t="str">
            <v>Bintang Zaesar Ramadan</v>
          </cell>
        </row>
        <row r="161">
          <cell r="C161" t="str">
            <v>TEGALSARI_4</v>
          </cell>
        </row>
        <row r="161">
          <cell r="E161" t="str">
            <v>Taufiq Hidayat</v>
          </cell>
        </row>
        <row r="162">
          <cell r="C162" t="str">
            <v>WONOCOLO_2</v>
          </cell>
        </row>
        <row r="162">
          <cell r="E162" t="str">
            <v>-</v>
          </cell>
        </row>
        <row r="163">
          <cell r="C163" t="str">
            <v>BULAK_1</v>
          </cell>
        </row>
        <row r="163">
          <cell r="E163" t="str">
            <v>Wahyu Hari Prayitno</v>
          </cell>
        </row>
        <row r="164">
          <cell r="C164" t="str">
            <v>DC_KENJERAN</v>
          </cell>
        </row>
        <row r="164">
          <cell r="E164" t="str">
            <v>Achmad Findi Kurniawan</v>
          </cell>
        </row>
        <row r="165">
          <cell r="C165" t="str">
            <v>DUKUH_PAKIS_1</v>
          </cell>
        </row>
        <row r="165">
          <cell r="E165" t="str">
            <v>Havid Rambu Sinaga</v>
          </cell>
        </row>
        <row r="166">
          <cell r="C166" t="str">
            <v>DUKUH_PAKIS_2</v>
          </cell>
        </row>
        <row r="166">
          <cell r="E166" t="str">
            <v>-</v>
          </cell>
        </row>
        <row r="167">
          <cell r="C167" t="str">
            <v>DUKUH_SETRO_2</v>
          </cell>
        </row>
        <row r="167">
          <cell r="E167" t="str">
            <v>Hartoyo Utomo</v>
          </cell>
        </row>
        <row r="168">
          <cell r="C168" t="str">
            <v>GUBENG_3</v>
          </cell>
        </row>
        <row r="168">
          <cell r="E168" t="str">
            <v>Fani Putra Adi Pratama</v>
          </cell>
        </row>
        <row r="169">
          <cell r="C169" t="str">
            <v>SUB_GENTENG</v>
          </cell>
        </row>
        <row r="169">
          <cell r="E169" t="str">
            <v>Tarmuji</v>
          </cell>
        </row>
        <row r="170">
          <cell r="C170" t="str">
            <v>KARANG_EMPAT_BESAR_2</v>
          </cell>
        </row>
        <row r="170">
          <cell r="E170" t="str">
            <v>Hartoyo Utomo</v>
          </cell>
        </row>
        <row r="171">
          <cell r="C171" t="str">
            <v>GUBENG_2</v>
          </cell>
        </row>
        <row r="171">
          <cell r="E171" t="str">
            <v>Ainun Yahya, S.Kom</v>
          </cell>
        </row>
        <row r="172">
          <cell r="C172" t="str">
            <v>DC_ARJUNO</v>
          </cell>
        </row>
        <row r="172">
          <cell r="E172" t="str">
            <v>Angga Yulistyawan</v>
          </cell>
        </row>
        <row r="173">
          <cell r="C173" t="str">
            <v>DC_WIYUNG</v>
          </cell>
        </row>
        <row r="173">
          <cell r="E173" t="str">
            <v>Moch. Irsyad</v>
          </cell>
        </row>
        <row r="174">
          <cell r="C174" t="str">
            <v>PETEMON_BARAT</v>
          </cell>
        </row>
        <row r="174">
          <cell r="E174" t="str">
            <v>Alfiyatuz Zahra</v>
          </cell>
        </row>
        <row r="175">
          <cell r="C175" t="str">
            <v>WONOKROMO_2</v>
          </cell>
        </row>
        <row r="175">
          <cell r="E175" t="str">
            <v>Impron Suryadi</v>
          </cell>
        </row>
        <row r="176">
          <cell r="C176" t="str">
            <v>BUBUTAN_5</v>
          </cell>
        </row>
        <row r="176">
          <cell r="E176" t="str">
            <v>Ghifar Zakatus Suaidah</v>
          </cell>
        </row>
        <row r="177">
          <cell r="C177" t="str">
            <v>BUBUTAN_4</v>
          </cell>
        </row>
        <row r="177">
          <cell r="E177" t="str">
            <v>-</v>
          </cell>
        </row>
        <row r="178">
          <cell r="C178" t="str">
            <v>DC_MADE</v>
          </cell>
        </row>
        <row r="178">
          <cell r="E178" t="str">
            <v>Agus Prianto</v>
          </cell>
        </row>
        <row r="179">
          <cell r="C179" t="str">
            <v>LAKARSANTRI_2</v>
          </cell>
        </row>
        <row r="179">
          <cell r="E179" t="str">
            <v>Moch. Ragil Januar</v>
          </cell>
        </row>
        <row r="180">
          <cell r="C180" t="str">
            <v>DC_PAKAL</v>
          </cell>
        </row>
        <row r="180">
          <cell r="E180" t="str">
            <v>Hasan Mahmudi</v>
          </cell>
        </row>
        <row r="181">
          <cell r="C181" t="str">
            <v>MAYJEND_BARAT</v>
          </cell>
        </row>
        <row r="181">
          <cell r="E181" t="str">
            <v>Moch. Ragil Januar</v>
          </cell>
        </row>
        <row r="182">
          <cell r="C182" t="str">
            <v>PAKAL_2</v>
          </cell>
        </row>
        <row r="182">
          <cell r="E182" t="str">
            <v>Dwi Novitasari</v>
          </cell>
        </row>
        <row r="183">
          <cell r="C183" t="str">
            <v>SAMBIKEREP</v>
          </cell>
        </row>
        <row r="183">
          <cell r="E183" t="str">
            <v>Agus Prianto</v>
          </cell>
        </row>
        <row r="184">
          <cell r="C184" t="str">
            <v>SAMBIKEREP_2</v>
          </cell>
        </row>
        <row r="184">
          <cell r="E184" t="str">
            <v>-</v>
          </cell>
        </row>
        <row r="185">
          <cell r="C185" t="str">
            <v>SUKOMANUNGGAL_2</v>
          </cell>
        </row>
        <row r="185">
          <cell r="E185" t="str">
            <v>Fanny Zubiatmoko</v>
          </cell>
        </row>
        <row r="186">
          <cell r="C186" t="str">
            <v>TANDES_2</v>
          </cell>
        </row>
        <row r="186">
          <cell r="E186" t="str">
            <v>Bonifacius Edo Prasetio</v>
          </cell>
        </row>
        <row r="187">
          <cell r="C187" t="str">
            <v>ARIEF_RAHMAN_HAKIM</v>
          </cell>
        </row>
        <row r="187">
          <cell r="E187" t="str">
            <v>-</v>
          </cell>
        </row>
        <row r="188">
          <cell r="C188" t="str">
            <v>DC_SUKOLILO</v>
          </cell>
        </row>
        <row r="188">
          <cell r="E188" t="str">
            <v>Ahmad Syihab Taqiyulloh</v>
          </cell>
        </row>
        <row r="189">
          <cell r="C189" t="str">
            <v>KENJERAN_3</v>
          </cell>
        </row>
        <row r="189">
          <cell r="E189" t="str">
            <v>Mochammad Nor Cholis</v>
          </cell>
        </row>
        <row r="190">
          <cell r="C190" t="str">
            <v>KEPUTIH_2</v>
          </cell>
        </row>
        <row r="190">
          <cell r="E190" t="str">
            <v>-</v>
          </cell>
        </row>
        <row r="191">
          <cell r="C191" t="str">
            <v>MULYOREJO</v>
          </cell>
        </row>
        <row r="191">
          <cell r="E191" t="str">
            <v>Pradiska Julianda Vebyola</v>
          </cell>
        </row>
        <row r="192">
          <cell r="C192" t="str">
            <v>MULYOREJO_1</v>
          </cell>
        </row>
        <row r="192">
          <cell r="E192" t="str">
            <v>Indra Bayu</v>
          </cell>
        </row>
        <row r="193">
          <cell r="C193" t="str">
            <v>PANJANG_JIWO_2</v>
          </cell>
        </row>
        <row r="193">
          <cell r="E193" t="str">
            <v>Wahyu Sujatmiko</v>
          </cell>
        </row>
        <row r="194">
          <cell r="C194" t="str">
            <v>RAYA_TENGGILIS</v>
          </cell>
        </row>
        <row r="194">
          <cell r="E194" t="str">
            <v>Wahyu Sujatmiko</v>
          </cell>
        </row>
        <row r="195">
          <cell r="C195" t="str">
            <v>RUNGKUT_2</v>
          </cell>
        </row>
        <row r="195">
          <cell r="E195" t="str">
            <v>-</v>
          </cell>
        </row>
        <row r="196">
          <cell r="C196" t="str">
            <v>RUNGKUT_ALANG_ALANG</v>
          </cell>
        </row>
        <row r="196">
          <cell r="E196" t="str">
            <v>Bayu Dian Krisdianto</v>
          </cell>
        </row>
        <row r="197">
          <cell r="C197" t="str">
            <v>KALI_RUNGKUT_1</v>
          </cell>
        </row>
        <row r="197">
          <cell r="E197" t="str">
            <v>Enggar Ida Ariawan</v>
          </cell>
        </row>
        <row r="198">
          <cell r="C198" t="str">
            <v>TAMBAKSARI_2</v>
          </cell>
        </row>
        <row r="198">
          <cell r="E198" t="str">
            <v>Roqi Andrianus Duka Djuma</v>
          </cell>
        </row>
        <row r="199">
          <cell r="C199" t="str">
            <v>PABEAN_CANTIAN_4</v>
          </cell>
        </row>
        <row r="199">
          <cell r="E199" t="str">
            <v>Adha Mubarok</v>
          </cell>
        </row>
        <row r="200">
          <cell r="C200" t="str">
            <v>PABEAN_CANTIAN_5</v>
          </cell>
        </row>
        <row r="200">
          <cell r="E200" t="str">
            <v>Adha Mubarok</v>
          </cell>
        </row>
        <row r="201">
          <cell r="C201" t="str">
            <v>SIMOKERTO_2</v>
          </cell>
        </row>
        <row r="201">
          <cell r="E201" t="str">
            <v>Gilang Sabastian Vernando</v>
          </cell>
        </row>
        <row r="202">
          <cell r="C202" t="str">
            <v>SEMAMPIR_2</v>
          </cell>
        </row>
        <row r="202">
          <cell r="E202" t="str">
            <v>Legowo Herlambang</v>
          </cell>
        </row>
        <row r="203">
          <cell r="C203" t="str">
            <v>SEMAMPIR_3</v>
          </cell>
        </row>
        <row r="203">
          <cell r="E203" t="str">
            <v>Afid Mahardianto</v>
          </cell>
        </row>
        <row r="204">
          <cell r="C204" t="str">
            <v>AMBULU</v>
          </cell>
        </row>
        <row r="204">
          <cell r="E204" t="str">
            <v>Yusky Ali</v>
          </cell>
        </row>
        <row r="205">
          <cell r="C205" t="str">
            <v>TANGGUL</v>
          </cell>
        </row>
        <row r="205">
          <cell r="E205" t="str">
            <v>Rofi Firmansyah</v>
          </cell>
        </row>
        <row r="206">
          <cell r="C206" t="str">
            <v>RAMBIPUJI</v>
          </cell>
        </row>
        <row r="206">
          <cell r="E206" t="str">
            <v>Annur Rahman Hakim</v>
          </cell>
        </row>
        <row r="207">
          <cell r="C207" t="str">
            <v>PUGER_1</v>
          </cell>
        </row>
        <row r="207">
          <cell r="E207" t="str">
            <v>Rifki Maghrobi Putra Pamungkas</v>
          </cell>
        </row>
        <row r="208">
          <cell r="C208" t="str">
            <v>BALUNG</v>
          </cell>
        </row>
        <row r="208">
          <cell r="E208" t="str">
            <v>Rifki Maghrobi Putra Pamungkas</v>
          </cell>
        </row>
        <row r="209">
          <cell r="C209" t="str">
            <v>KENCONG</v>
          </cell>
        </row>
        <row r="209">
          <cell r="E209" t="str">
            <v>Fajar Fir Rizky</v>
          </cell>
        </row>
        <row r="210">
          <cell r="C210" t="str">
            <v>WULUHAN</v>
          </cell>
        </row>
        <row r="210">
          <cell r="E210" t="str">
            <v>Yusky Ali</v>
          </cell>
        </row>
        <row r="211">
          <cell r="C211" t="str">
            <v>SEMBORO</v>
          </cell>
        </row>
        <row r="211">
          <cell r="E211" t="str">
            <v>Annur Rahman Hakim</v>
          </cell>
        </row>
        <row r="212">
          <cell r="C212" t="str">
            <v>BANGSALSARI</v>
          </cell>
        </row>
        <row r="212">
          <cell r="E212" t="str">
            <v>Annur Rahman Hakim</v>
          </cell>
        </row>
        <row r="213">
          <cell r="C213" t="str">
            <v>GUMUKMAS_1</v>
          </cell>
        </row>
        <row r="213">
          <cell r="E213" t="str">
            <v>Fajar Fir Rizky</v>
          </cell>
        </row>
        <row r="214">
          <cell r="C214" t="str">
            <v>SUMBERBARU_1</v>
          </cell>
        </row>
        <row r="214">
          <cell r="E214" t="str">
            <v>Rofi Firmansyah</v>
          </cell>
        </row>
        <row r="215">
          <cell r="C215" t="str">
            <v>PASIRIAN</v>
          </cell>
        </row>
        <row r="215">
          <cell r="E215" t="str">
            <v>Aries Firman Widiansyah</v>
          </cell>
        </row>
        <row r="216">
          <cell r="C216" t="str">
            <v>JATIROTO</v>
          </cell>
        </row>
        <row r="216">
          <cell r="E216" t="str">
            <v>Moch Erfan</v>
          </cell>
        </row>
        <row r="217">
          <cell r="C217" t="str">
            <v>MAHAKAM</v>
          </cell>
        </row>
        <row r="217">
          <cell r="E217" t="str">
            <v>Olivia Sukma Rini Widyananda</v>
          </cell>
        </row>
        <row r="218">
          <cell r="C218" t="str">
            <v>SANDTOWN</v>
          </cell>
        </row>
        <row r="218">
          <cell r="E218" t="str">
            <v>Aries Firman Widiansyah</v>
          </cell>
        </row>
        <row r="219">
          <cell r="C219" t="str">
            <v>CENTRAL_LUMAJANG</v>
          </cell>
        </row>
        <row r="219">
          <cell r="E219" t="str">
            <v>Yusril Abdillah</v>
          </cell>
        </row>
        <row r="220">
          <cell r="C220" t="str">
            <v>SENDURO</v>
          </cell>
        </row>
        <row r="220">
          <cell r="E220" t="str">
            <v>Vidya Putri Ramadhanti</v>
          </cell>
        </row>
        <row r="221">
          <cell r="C221" t="str">
            <v>TEMPEH</v>
          </cell>
        </row>
        <row r="221">
          <cell r="E221" t="str">
            <v>Yusril Abdillah</v>
          </cell>
        </row>
        <row r="222">
          <cell r="C222" t="str">
            <v>YOSOWILANGUN_1</v>
          </cell>
        </row>
        <row r="222">
          <cell r="E222" t="str">
            <v>Olivia Sukma Rini Widyananda</v>
          </cell>
        </row>
        <row r="223">
          <cell r="C223" t="str">
            <v>KLAKAH_1</v>
          </cell>
        </row>
        <row r="223">
          <cell r="E223" t="str">
            <v>Moch Erfan</v>
          </cell>
        </row>
        <row r="224">
          <cell r="C224" t="str">
            <v>RANDUAGUNG_1</v>
          </cell>
        </row>
        <row r="224">
          <cell r="E224" t="str">
            <v>Moch Erfan</v>
          </cell>
        </row>
        <row r="225">
          <cell r="C225" t="str">
            <v>PRONOJIWO_1</v>
          </cell>
        </row>
        <row r="225">
          <cell r="E225" t="str">
            <v>Erwin Purwanto</v>
          </cell>
        </row>
        <row r="226">
          <cell r="C226" t="str">
            <v>CANDIPURO_1</v>
          </cell>
        </row>
        <row r="226">
          <cell r="E226" t="str">
            <v>Erwin Purwanto</v>
          </cell>
        </row>
        <row r="227">
          <cell r="C227" t="str">
            <v>MAYANGAN_1</v>
          </cell>
        </row>
        <row r="227">
          <cell r="E227" t="str">
            <v>Rendhy Bhaskara Putra</v>
          </cell>
        </row>
        <row r="228">
          <cell r="C228" t="str">
            <v>WONOASIH_2</v>
          </cell>
        </row>
        <row r="228">
          <cell r="E228" t="str">
            <v>Deby Alief Intan Permata</v>
          </cell>
        </row>
        <row r="229">
          <cell r="C229" t="str">
            <v>BANTARAN_1</v>
          </cell>
        </row>
        <row r="229">
          <cell r="E229" t="str">
            <v>Rizki Fajar Kurniawan</v>
          </cell>
        </row>
        <row r="230">
          <cell r="C230" t="str">
            <v>MARON</v>
          </cell>
        </row>
        <row r="230">
          <cell r="E230" t="str">
            <v>Imam Safiudin Mustaqim</v>
          </cell>
        </row>
        <row r="231">
          <cell r="C231" t="str">
            <v>GENDING</v>
          </cell>
        </row>
        <row r="231">
          <cell r="E231" t="str">
            <v>Imam Safiudin Mustaqim</v>
          </cell>
        </row>
        <row r="232">
          <cell r="C232" t="str">
            <v>KRAKSAAN_2</v>
          </cell>
        </row>
        <row r="232">
          <cell r="E232" t="str">
            <v>Muhammad Yasin</v>
          </cell>
        </row>
        <row r="233">
          <cell r="C233" t="str">
            <v>BESUK</v>
          </cell>
        </row>
        <row r="233">
          <cell r="E233" t="str">
            <v>Mohammad Sholehhuddin</v>
          </cell>
        </row>
        <row r="234">
          <cell r="C234" t="str">
            <v>TONGAS_1</v>
          </cell>
        </row>
        <row r="234">
          <cell r="E234" t="str">
            <v>Riki Yuhan Diantoro</v>
          </cell>
        </row>
        <row r="235">
          <cell r="C235" t="str">
            <v>KOTAANYAR_1</v>
          </cell>
        </row>
        <row r="235">
          <cell r="E235" t="str">
            <v>Mohammad Sholehhuddin</v>
          </cell>
        </row>
        <row r="236">
          <cell r="C236" t="str">
            <v>LECES_1</v>
          </cell>
        </row>
        <row r="236">
          <cell r="E236" t="str">
            <v>Deby Alief Intan Permata</v>
          </cell>
        </row>
        <row r="237">
          <cell r="C237" t="str">
            <v>SUMBERASIH_1</v>
          </cell>
        </row>
        <row r="237">
          <cell r="E237" t="str">
            <v>Riki Yuhan Diantoro</v>
          </cell>
        </row>
        <row r="238">
          <cell r="C238" t="str">
            <v>GADING_1</v>
          </cell>
        </row>
        <row r="238">
          <cell r="E238" t="str">
            <v>Muhammad Yasin</v>
          </cell>
        </row>
        <row r="239">
          <cell r="C239" t="str">
            <v>JEMBER</v>
          </cell>
        </row>
        <row r="239">
          <cell r="E239" t="str">
            <v>Miftahul Rahman</v>
          </cell>
        </row>
        <row r="240">
          <cell r="C240" t="str">
            <v>KALISAT</v>
          </cell>
        </row>
        <row r="240">
          <cell r="E240" t="str">
            <v>Dwi Rahman Saleh</v>
          </cell>
        </row>
        <row r="241">
          <cell r="C241" t="str">
            <v>PATRANG</v>
          </cell>
        </row>
        <row r="241">
          <cell r="E241" t="str">
            <v>Ilham Tri Cahyono</v>
          </cell>
        </row>
        <row r="242">
          <cell r="C242" t="str">
            <v>KALIWATES_2</v>
          </cell>
        </row>
        <row r="242">
          <cell r="E242" t="str">
            <v>Rizki Eki Prayoga</v>
          </cell>
        </row>
        <row r="243">
          <cell r="C243" t="str">
            <v>SUMBERSARI</v>
          </cell>
        </row>
        <row r="243">
          <cell r="E243" t="str">
            <v>Farid Amrullah</v>
          </cell>
        </row>
        <row r="244">
          <cell r="C244" t="str">
            <v>MUMBULSARI_1</v>
          </cell>
        </row>
        <row r="244">
          <cell r="E244" t="str">
            <v>Miftahul Rahman</v>
          </cell>
        </row>
        <row r="245">
          <cell r="C245" t="str">
            <v>MAYANG</v>
          </cell>
        </row>
        <row r="245">
          <cell r="E245" t="str">
            <v>Moh. Kusnadi</v>
          </cell>
        </row>
        <row r="246">
          <cell r="C246" t="str">
            <v>PAKUSARI</v>
          </cell>
        </row>
        <row r="246">
          <cell r="E246" t="str">
            <v>Moh. Kusnadi</v>
          </cell>
        </row>
        <row r="247">
          <cell r="C247" t="str">
            <v>JENGGAWAH</v>
          </cell>
        </row>
        <row r="247">
          <cell r="E247" t="str">
            <v>Imro'Atul Azizah</v>
          </cell>
        </row>
        <row r="248">
          <cell r="C248" t="str">
            <v>JEMBER_LINTAS_UTARA</v>
          </cell>
        </row>
        <row r="248">
          <cell r="E248" t="str">
            <v>Dwi Rahman Saleh</v>
          </cell>
        </row>
        <row r="249">
          <cell r="C249" t="str">
            <v>SILO_1</v>
          </cell>
        </row>
        <row r="249">
          <cell r="E249" t="str">
            <v>Muhammad Suhir</v>
          </cell>
        </row>
        <row r="250">
          <cell r="C250" t="str">
            <v>SUMBERSARI_1</v>
          </cell>
        </row>
        <row r="250">
          <cell r="E250" t="str">
            <v>Farid Amrullah</v>
          </cell>
        </row>
        <row r="251">
          <cell r="C251" t="str">
            <v>JBR_ARJASA_1</v>
          </cell>
        </row>
        <row r="251">
          <cell r="E251" t="str">
            <v>Vigil Setya Sembada</v>
          </cell>
        </row>
        <row r="252">
          <cell r="C252" t="str">
            <v>BONDOWOSO_2</v>
          </cell>
        </row>
        <row r="252">
          <cell r="E252" t="str">
            <v>Putra Pratama Iwan Wahyudi</v>
          </cell>
        </row>
        <row r="253">
          <cell r="C253" t="str">
            <v>PRAJEKAN</v>
          </cell>
        </row>
        <row r="253">
          <cell r="E253" t="str">
            <v>Putra Pratama Iwan Wahyudi</v>
          </cell>
        </row>
        <row r="254">
          <cell r="C254" t="str">
            <v>MAESAN_1</v>
          </cell>
        </row>
        <row r="254">
          <cell r="E254" t="str">
            <v>Akhmad Taufikqul Hakim</v>
          </cell>
        </row>
        <row r="255">
          <cell r="C255" t="str">
            <v>JAVA_IJEN</v>
          </cell>
        </row>
        <row r="255">
          <cell r="E255" t="str">
            <v>Putra Pratama Iwan Wahyudi</v>
          </cell>
        </row>
        <row r="256">
          <cell r="C256" t="str">
            <v>KAMPUNG_DURIAN</v>
          </cell>
        </row>
        <row r="256">
          <cell r="E256" t="str">
            <v>Akhmad Taufikqul Hakim</v>
          </cell>
        </row>
        <row r="257">
          <cell r="C257" t="str">
            <v>BONDOWOSO_3</v>
          </cell>
        </row>
        <row r="257">
          <cell r="E257" t="str">
            <v>Akhmad Taufikqul Hakim</v>
          </cell>
        </row>
        <row r="258">
          <cell r="C258" t="str">
            <v>WRINGIN</v>
          </cell>
        </row>
        <row r="258">
          <cell r="E258" t="str">
            <v>Akhmad Taufikqul Hakim</v>
          </cell>
        </row>
        <row r="259">
          <cell r="C259" t="str">
            <v>SUMBERWRINGIN_1</v>
          </cell>
        </row>
        <row r="259">
          <cell r="E259" t="str">
            <v>Putra Pratama Iwan Wahyudi</v>
          </cell>
        </row>
        <row r="260">
          <cell r="C260" t="str">
            <v>SITUBONDO</v>
          </cell>
        </row>
        <row r="260">
          <cell r="E260" t="str">
            <v>Hermanto</v>
          </cell>
        </row>
        <row r="261">
          <cell r="C261" t="str">
            <v>ASEMBAGUS</v>
          </cell>
        </row>
        <row r="261">
          <cell r="E261" t="str">
            <v>Satrio Aji Pamungkas</v>
          </cell>
        </row>
        <row r="262">
          <cell r="C262" t="str">
            <v>BESUKI_CITY</v>
          </cell>
        </row>
        <row r="262">
          <cell r="E262" t="str">
            <v>Hermanto</v>
          </cell>
        </row>
        <row r="263">
          <cell r="C263" t="str">
            <v>PANARUKAN</v>
          </cell>
        </row>
        <row r="263">
          <cell r="E263" t="str">
            <v>Moh. Ria Sholeh</v>
          </cell>
        </row>
        <row r="264">
          <cell r="C264" t="str">
            <v>ARJASA_SBD</v>
          </cell>
        </row>
        <row r="264">
          <cell r="E264" t="str">
            <v>Agung Permana</v>
          </cell>
        </row>
        <row r="265">
          <cell r="C265" t="str">
            <v>DC_PANJI</v>
          </cell>
        </row>
        <row r="265">
          <cell r="E265" t="str">
            <v>Agung Permana</v>
          </cell>
        </row>
        <row r="266">
          <cell r="C266" t="str">
            <v>MLANDINGAN_1</v>
          </cell>
        </row>
        <row r="266">
          <cell r="E266" t="str">
            <v>Moh. Ria Sholeh</v>
          </cell>
        </row>
        <row r="267">
          <cell r="C267" t="str">
            <v>BANYUPUTIH_1</v>
          </cell>
        </row>
        <row r="267">
          <cell r="E267" t="str">
            <v>Satrio Aji Pamungkas</v>
          </cell>
        </row>
        <row r="268">
          <cell r="C268" t="str">
            <v>PURWOHARJO</v>
          </cell>
        </row>
        <row r="268">
          <cell r="E268" t="str">
            <v>Mochammad Rifqi Riva</v>
          </cell>
        </row>
        <row r="269">
          <cell r="C269" t="str">
            <v>JAJAG</v>
          </cell>
        </row>
        <row r="269">
          <cell r="E269" t="str">
            <v>Bingar Restu Wiyana</v>
          </cell>
        </row>
        <row r="270">
          <cell r="C270" t="str">
            <v>MOJOPANGGUNG</v>
          </cell>
        </row>
        <row r="270">
          <cell r="E270" t="str">
            <v>Jefri Biantoro</v>
          </cell>
        </row>
        <row r="271">
          <cell r="C271" t="str">
            <v>GENTENG_2</v>
          </cell>
        </row>
        <row r="271">
          <cell r="E271" t="str">
            <v>Mohammad Rizky Adhe Nugraha</v>
          </cell>
        </row>
        <row r="272">
          <cell r="C272" t="str">
            <v>GLENMORE_1</v>
          </cell>
        </row>
        <row r="272">
          <cell r="E272" t="str">
            <v>Nor Dwi Prakoso</v>
          </cell>
        </row>
        <row r="273">
          <cell r="C273" t="str">
            <v>KALIBARU_1</v>
          </cell>
        </row>
        <row r="273">
          <cell r="E273" t="str">
            <v>Nor Dwi Prakoso</v>
          </cell>
        </row>
        <row r="274">
          <cell r="C274" t="str">
            <v>KALIPURO</v>
          </cell>
        </row>
        <row r="274">
          <cell r="E274" t="str">
            <v>Muhammad Robit</v>
          </cell>
        </row>
        <row r="275">
          <cell r="C275" t="str">
            <v>SUMBERAYU</v>
          </cell>
        </row>
        <row r="275">
          <cell r="E275" t="str">
            <v>Tri Ari Febriyanto</v>
          </cell>
        </row>
        <row r="276">
          <cell r="C276" t="str">
            <v>BWI_TEGALSARI_2</v>
          </cell>
        </row>
        <row r="276">
          <cell r="E276" t="str">
            <v>Mochammad Rifqi Riva</v>
          </cell>
        </row>
        <row r="277">
          <cell r="C277" t="str">
            <v>CLURING</v>
          </cell>
        </row>
        <row r="277">
          <cell r="E277" t="str">
            <v>Mochammad Rifqi Riva</v>
          </cell>
        </row>
        <row r="278">
          <cell r="C278" t="str">
            <v>SRONO</v>
          </cell>
        </row>
        <row r="278">
          <cell r="E278" t="str">
            <v>Lutfiyanto</v>
          </cell>
        </row>
        <row r="279">
          <cell r="C279" t="str">
            <v>GLAGAH</v>
          </cell>
        </row>
        <row r="279">
          <cell r="E279" t="str">
            <v>Jefri Biantoro</v>
          </cell>
        </row>
        <row r="280">
          <cell r="C280" t="str">
            <v>KABAT</v>
          </cell>
        </row>
        <row r="280">
          <cell r="E280" t="str">
            <v>Lutfiyanto</v>
          </cell>
        </row>
        <row r="281">
          <cell r="C281" t="str">
            <v>WONGSOREJO</v>
          </cell>
        </row>
        <row r="281">
          <cell r="E281" t="str">
            <v>Muhammad Robit</v>
          </cell>
        </row>
        <row r="282">
          <cell r="C282" t="str">
            <v>SEMPU_1</v>
          </cell>
        </row>
        <row r="282">
          <cell r="E282" t="str">
            <v>Mohammad Rizky Adhe Nugraha</v>
          </cell>
        </row>
        <row r="283">
          <cell r="C283" t="str">
            <v>BANGOREJO_1</v>
          </cell>
        </row>
        <row r="283">
          <cell r="E283" t="str">
            <v>Bingar Restu Wiyana</v>
          </cell>
        </row>
        <row r="284">
          <cell r="C284" t="str">
            <v>PESANGGARAN_1</v>
          </cell>
        </row>
        <row r="284">
          <cell r="E284" t="str">
            <v>Rizka Azizi</v>
          </cell>
        </row>
        <row r="285">
          <cell r="C285" t="str">
            <v>GENTENG_BWI_1</v>
          </cell>
        </row>
        <row r="285">
          <cell r="E285" t="str">
            <v>Nor Dwi Prakoso</v>
          </cell>
        </row>
        <row r="286">
          <cell r="C286" t="str">
            <v>BWI_GENTENG</v>
          </cell>
        </row>
        <row r="286">
          <cell r="E286" t="str">
            <v>Nor Dwi Prakoso</v>
          </cell>
        </row>
        <row r="287">
          <cell r="C287" t="str">
            <v>MALANG</v>
          </cell>
        </row>
        <row r="287">
          <cell r="E287" t="str">
            <v>Galih Christian Kusworo</v>
          </cell>
        </row>
        <row r="288">
          <cell r="C288" t="str">
            <v>BLIMBING</v>
          </cell>
        </row>
        <row r="288">
          <cell r="E288" t="str">
            <v>Yohanes Tri Agung Laksono</v>
          </cell>
        </row>
        <row r="289">
          <cell r="C289" t="str">
            <v>KLOJEN</v>
          </cell>
        </row>
        <row r="289">
          <cell r="E289" t="str">
            <v>Hafid Arie Prastyo</v>
          </cell>
        </row>
        <row r="290">
          <cell r="C290" t="str">
            <v>SOEHAT</v>
          </cell>
        </row>
        <row r="290">
          <cell r="E290" t="str">
            <v>Mochamad Rizky Maulana</v>
          </cell>
        </row>
        <row r="291">
          <cell r="C291" t="str">
            <v>KALPATARU</v>
          </cell>
        </row>
        <row r="291">
          <cell r="E291" t="str">
            <v>Hervin Samsul Bakhri</v>
          </cell>
        </row>
        <row r="292">
          <cell r="C292" t="str">
            <v>SUKUN_TANJUNG</v>
          </cell>
        </row>
        <row r="292">
          <cell r="E292" t="str">
            <v>Tedy Eko Saputra</v>
          </cell>
        </row>
        <row r="293">
          <cell r="C293" t="str">
            <v>MALANG_HITS</v>
          </cell>
        </row>
        <row r="293">
          <cell r="E293" t="str">
            <v>Frendy Satria Nugraha</v>
          </cell>
        </row>
        <row r="294">
          <cell r="C294" t="str">
            <v>DC_SUDARMO</v>
          </cell>
        </row>
        <row r="294">
          <cell r="E294" t="str">
            <v>Rizki Dio Reza Andriawan</v>
          </cell>
        </row>
        <row r="295">
          <cell r="C295" t="str">
            <v>OLD_CITY</v>
          </cell>
        </row>
        <row r="295">
          <cell r="E295" t="str">
            <v>Wahyu Doniansyah</v>
          </cell>
        </row>
        <row r="296">
          <cell r="C296" t="str">
            <v>PARANG_ARGO</v>
          </cell>
        </row>
        <row r="296">
          <cell r="E296" t="str">
            <v>Galih Christian Kusworo</v>
          </cell>
        </row>
        <row r="297">
          <cell r="C297" t="str">
            <v>KLOJEN_1</v>
          </cell>
        </row>
        <row r="297">
          <cell r="E297" t="str">
            <v>Wahyu Doniansyah</v>
          </cell>
        </row>
        <row r="298">
          <cell r="C298" t="str">
            <v>LAWANG_1</v>
          </cell>
        </row>
        <row r="298">
          <cell r="E298" t="str">
            <v>Irfan Wahyu Bahtiar</v>
          </cell>
        </row>
        <row r="299">
          <cell r="C299" t="str">
            <v>SINGOSARI_1</v>
          </cell>
        </row>
        <row r="299">
          <cell r="E299" t="str">
            <v>Irfan Wahyu Bahtiar</v>
          </cell>
        </row>
        <row r="300">
          <cell r="C300" t="str">
            <v>MLG_SALES</v>
          </cell>
        </row>
        <row r="300">
          <cell r="E300" t="str">
            <v>Umi Hanik</v>
          </cell>
        </row>
        <row r="301">
          <cell r="C301" t="str">
            <v>KARANG_PLOSO_1</v>
          </cell>
        </row>
        <row r="301">
          <cell r="E301" t="str">
            <v>Much Zainuri</v>
          </cell>
        </row>
        <row r="302">
          <cell r="C302" t="str">
            <v>BATU</v>
          </cell>
        </row>
        <row r="302">
          <cell r="E302" t="str">
            <v>Wisnu Mahesa Murti</v>
          </cell>
        </row>
        <row r="303">
          <cell r="C303" t="str">
            <v>PUJON</v>
          </cell>
        </row>
        <row r="303">
          <cell r="E303" t="str">
            <v>Muhammad Angga Saputra</v>
          </cell>
        </row>
        <row r="304">
          <cell r="C304" t="str">
            <v>NGANTANG</v>
          </cell>
        </row>
        <row r="304">
          <cell r="E304" t="str">
            <v>Muhammad Angga Saputra</v>
          </cell>
        </row>
        <row r="305">
          <cell r="C305" t="str">
            <v>BUMIAJI_1</v>
          </cell>
        </row>
        <row r="305">
          <cell r="E305" t="str">
            <v>Dading Tustiyan Pratama</v>
          </cell>
        </row>
        <row r="306">
          <cell r="C306" t="str">
            <v>JUNREJO_1</v>
          </cell>
        </row>
        <row r="306">
          <cell r="E306" t="str">
            <v>Wisnu Mahesa Murti</v>
          </cell>
        </row>
        <row r="307">
          <cell r="C307" t="str">
            <v>KASEMBON_1</v>
          </cell>
        </row>
        <row r="307">
          <cell r="E307" t="str">
            <v>Doni Hadi Prasetyo</v>
          </cell>
        </row>
        <row r="308">
          <cell r="C308" t="str">
            <v>DAU_1</v>
          </cell>
        </row>
        <row r="308">
          <cell r="E308" t="str">
            <v>Dading Tustiyan Pratama</v>
          </cell>
        </row>
        <row r="309">
          <cell r="C309" t="str">
            <v>BLITAR</v>
          </cell>
        </row>
        <row r="309">
          <cell r="E309" t="str">
            <v>Presma Havila Manggara</v>
          </cell>
        </row>
        <row r="310">
          <cell r="C310" t="str">
            <v>TALUN</v>
          </cell>
        </row>
        <row r="310">
          <cell r="E310" t="str">
            <v>Feri Ardiansyah</v>
          </cell>
        </row>
        <row r="311">
          <cell r="C311" t="str">
            <v>SRENGAT</v>
          </cell>
        </row>
        <row r="311">
          <cell r="E311" t="str">
            <v>Andrean Pradhana Putra Maulana</v>
          </cell>
        </row>
        <row r="312">
          <cell r="C312" t="str">
            <v>SUKOREJO_1</v>
          </cell>
        </row>
        <row r="312">
          <cell r="E312" t="str">
            <v>Gayuh Triasa</v>
          </cell>
        </row>
        <row r="313">
          <cell r="C313" t="str">
            <v>KADEMANGAN</v>
          </cell>
        </row>
        <row r="313">
          <cell r="E313" t="str">
            <v>Wahyu Kristanto</v>
          </cell>
        </row>
        <row r="314">
          <cell r="C314" t="str">
            <v>PONGGOK</v>
          </cell>
        </row>
        <row r="314">
          <cell r="E314" t="str">
            <v>Andrean Pradhana Putra Maulana</v>
          </cell>
        </row>
        <row r="315">
          <cell r="C315" t="str">
            <v>KESAMBEN</v>
          </cell>
        </row>
        <row r="315">
          <cell r="E315" t="str">
            <v>Bayu Indiarto Wisnu Barata</v>
          </cell>
        </row>
        <row r="316">
          <cell r="C316" t="str">
            <v>KEPANJEN</v>
          </cell>
        </row>
        <row r="316">
          <cell r="E316" t="str">
            <v>Roffik Ari Wibowo</v>
          </cell>
        </row>
        <row r="317">
          <cell r="C317" t="str">
            <v>TUREN</v>
          </cell>
        </row>
        <row r="317">
          <cell r="E317" t="str">
            <v>Catur Budi Cahyono</v>
          </cell>
        </row>
        <row r="318">
          <cell r="C318" t="str">
            <v>SUMBERPUCUNG</v>
          </cell>
        </row>
        <row r="318">
          <cell r="E318" t="str">
            <v>Andru Hindriyat Saputra</v>
          </cell>
        </row>
        <row r="319">
          <cell r="C319" t="str">
            <v>DAMPIT</v>
          </cell>
        </row>
        <row r="319">
          <cell r="E319" t="str">
            <v>Catur Budi Cahyono</v>
          </cell>
        </row>
        <row r="320">
          <cell r="C320" t="str">
            <v>PAKISAJI</v>
          </cell>
        </row>
        <row r="320">
          <cell r="E320" t="str">
            <v>Essa Abdiandiri</v>
          </cell>
        </row>
        <row r="321">
          <cell r="C321" t="str">
            <v>SUPER_HERO</v>
          </cell>
        </row>
        <row r="321">
          <cell r="E321" t="str">
            <v>Achmad Misbachul Munir</v>
          </cell>
        </row>
        <row r="322">
          <cell r="C322" t="str">
            <v>BULULAWANG</v>
          </cell>
        </row>
        <row r="322">
          <cell r="E322" t="str">
            <v>Achmad Misbachul Munir</v>
          </cell>
        </row>
        <row r="323">
          <cell r="C323" t="str">
            <v>BANTUR</v>
          </cell>
        </row>
        <row r="323">
          <cell r="E323" t="str">
            <v>Achmad Misbachul Munir</v>
          </cell>
        </row>
        <row r="324">
          <cell r="C324" t="str">
            <v>TALANGAGUNG_KPJ</v>
          </cell>
        </row>
        <row r="324">
          <cell r="E324" t="str">
            <v>Roffik Ari Wibowo</v>
          </cell>
        </row>
        <row r="325">
          <cell r="C325" t="str">
            <v>TIRTOYUDO</v>
          </cell>
        </row>
        <row r="325">
          <cell r="E325" t="str">
            <v>Catur Budi Cahyono</v>
          </cell>
        </row>
        <row r="326">
          <cell r="C326" t="str">
            <v>SUMBERMANJINGWETAN_1</v>
          </cell>
        </row>
        <row r="326">
          <cell r="E326" t="str">
            <v>Moh Abdul Rozaq</v>
          </cell>
        </row>
        <row r="327">
          <cell r="C327" t="str">
            <v>PAGAK_1</v>
          </cell>
        </row>
        <row r="327">
          <cell r="E327" t="str">
            <v>Andru Hindriyat Saputra</v>
          </cell>
        </row>
        <row r="328">
          <cell r="C328" t="str">
            <v>RED_DEER</v>
          </cell>
        </row>
        <row r="328">
          <cell r="E328" t="str">
            <v>Moh Abdul Rozaq</v>
          </cell>
        </row>
        <row r="329">
          <cell r="C329" t="str">
            <v>TAJINAN_1</v>
          </cell>
        </row>
        <row r="329">
          <cell r="E329" t="str">
            <v>Moh Abdul Rozaq</v>
          </cell>
        </row>
        <row r="330">
          <cell r="C330" t="str">
            <v>BEAUTIFUL_BROMO</v>
          </cell>
        </row>
        <row r="330">
          <cell r="E330" t="str">
            <v>Rifqi Auliaq Humaidi</v>
          </cell>
        </row>
        <row r="331">
          <cell r="C331" t="str">
            <v>KEDUNGKANDANG_1</v>
          </cell>
        </row>
        <row r="331">
          <cell r="E331" t="str">
            <v>Novan Yogmaputra</v>
          </cell>
        </row>
        <row r="332">
          <cell r="C332" t="str">
            <v>PAKIS_1</v>
          </cell>
        </row>
        <row r="332">
          <cell r="E332" t="str">
            <v>Rizky Kurniawan</v>
          </cell>
        </row>
        <row r="333">
          <cell r="C333" t="str">
            <v>PANDAAN</v>
          </cell>
        </row>
        <row r="333">
          <cell r="E333" t="str">
            <v>Nurul Hidayatullah</v>
          </cell>
        </row>
        <row r="334">
          <cell r="C334" t="str">
            <v>SUKOREJO_PND</v>
          </cell>
        </row>
        <row r="334">
          <cell r="E334" t="str">
            <v>Yudhy Indra Prasetya</v>
          </cell>
        </row>
        <row r="335">
          <cell r="C335" t="str">
            <v>PURWOSARI_PND</v>
          </cell>
        </row>
        <row r="335">
          <cell r="E335" t="str">
            <v>Ridwan Fatarudin</v>
          </cell>
        </row>
        <row r="336">
          <cell r="C336" t="str">
            <v>PURWODADI_1</v>
          </cell>
        </row>
        <row r="336">
          <cell r="E336" t="str">
            <v>Anang Prasetyo</v>
          </cell>
        </row>
        <row r="337">
          <cell r="C337" t="str">
            <v>TUTUR_1</v>
          </cell>
        </row>
        <row r="337">
          <cell r="E337" t="str">
            <v>Ridwan Fatarudin</v>
          </cell>
        </row>
        <row r="338">
          <cell r="C338" t="str">
            <v>PANDAAN_2</v>
          </cell>
        </row>
        <row r="338">
          <cell r="E338" t="str">
            <v>Nurul Hidayatullah</v>
          </cell>
        </row>
        <row r="339">
          <cell r="C339" t="str">
            <v>PASURUAN</v>
          </cell>
        </row>
        <row r="339">
          <cell r="E339" t="str">
            <v>Imam Nawawi</v>
          </cell>
        </row>
        <row r="340">
          <cell r="C340" t="str">
            <v>BANGIL</v>
          </cell>
        </row>
        <row r="340">
          <cell r="E340" t="str">
            <v>Fauzi Permana Putra</v>
          </cell>
        </row>
        <row r="341">
          <cell r="C341" t="str">
            <v>GEMPOL</v>
          </cell>
        </row>
        <row r="341">
          <cell r="E341" t="str">
            <v>Alif Septian Nur Alamsyah</v>
          </cell>
        </row>
        <row r="342">
          <cell r="C342" t="str">
            <v>BUGULKIDUL</v>
          </cell>
        </row>
        <row r="342">
          <cell r="E342" t="str">
            <v>Lasio Efendi</v>
          </cell>
        </row>
        <row r="343">
          <cell r="C343" t="str">
            <v>WONOREJO_PSR</v>
          </cell>
        </row>
        <row r="343">
          <cell r="E343" t="str">
            <v>Ilham Ramadhan</v>
          </cell>
        </row>
        <row r="344">
          <cell r="C344" t="str">
            <v>GONDANGWETAN</v>
          </cell>
        </row>
        <row r="344">
          <cell r="E344" t="str">
            <v>Muhammad Irsan Junud</v>
          </cell>
        </row>
        <row r="345">
          <cell r="C345" t="str">
            <v>BEJI_PSR</v>
          </cell>
        </row>
        <row r="345">
          <cell r="E345" t="str">
            <v>Imam Nawawi</v>
          </cell>
        </row>
        <row r="346">
          <cell r="C346" t="str">
            <v>GRATI</v>
          </cell>
        </row>
        <row r="346">
          <cell r="E346" t="str">
            <v>Muhammad Irsan Junud</v>
          </cell>
        </row>
        <row r="347">
          <cell r="C347" t="str">
            <v>PUSPO_2</v>
          </cell>
        </row>
        <row r="347">
          <cell r="E347" t="str">
            <v>Muhammad Irsan Junud</v>
          </cell>
        </row>
        <row r="348">
          <cell r="C348" t="str">
            <v>BANGIL_1</v>
          </cell>
        </row>
        <row r="348">
          <cell r="E348" t="str">
            <v>Leo Fajar Saputra</v>
          </cell>
        </row>
        <row r="349">
          <cell r="C349" t="str">
            <v>KRATON_1</v>
          </cell>
        </row>
        <row r="349">
          <cell r="E349" t="str">
            <v>Fauzi Permana Putra</v>
          </cell>
        </row>
        <row r="350">
          <cell r="C350" t="str">
            <v>DC_PORONG</v>
          </cell>
        </row>
        <row r="350">
          <cell r="E350" t="str">
            <v>Budi Achirianto</v>
          </cell>
        </row>
        <row r="351">
          <cell r="C351" t="str">
            <v>DC_TANGGULANGIN</v>
          </cell>
        </row>
        <row r="351">
          <cell r="E351" t="str">
            <v>Candra Robianto</v>
          </cell>
        </row>
        <row r="352">
          <cell r="C352" t="str">
            <v>WONOAYU_3</v>
          </cell>
        </row>
        <row r="352">
          <cell r="E352" t="str">
            <v>Moh. Sihabudin Zuhri, S.Pd</v>
          </cell>
        </row>
        <row r="353">
          <cell r="C353" t="str">
            <v>PRAMBON_1</v>
          </cell>
        </row>
        <row r="353">
          <cell r="E353" t="str">
            <v>Ahmad Luky Cahyono</v>
          </cell>
        </row>
        <row r="354">
          <cell r="C354" t="str">
            <v>BALONGBENDO_1</v>
          </cell>
        </row>
        <row r="354">
          <cell r="E354" t="str">
            <v>Achmad Subairi</v>
          </cell>
        </row>
        <row r="355">
          <cell r="C355" t="str">
            <v>TARIK_2</v>
          </cell>
        </row>
        <row r="355">
          <cell r="E355" t="str">
            <v>Joko Purnomo</v>
          </cell>
        </row>
        <row r="356">
          <cell r="C356" t="str">
            <v>TULANGAN_1</v>
          </cell>
        </row>
        <row r="356">
          <cell r="E356" t="str">
            <v>Mochamad Zaini</v>
          </cell>
        </row>
        <row r="357">
          <cell r="C357" t="str">
            <v>SUKODONO_1</v>
          </cell>
        </row>
        <row r="357">
          <cell r="E357" t="str">
            <v>Fery Hardianto Setiawan</v>
          </cell>
        </row>
        <row r="358">
          <cell r="C358" t="str">
            <v>DC_SAFELOCK</v>
          </cell>
        </row>
        <row r="358">
          <cell r="E358" t="str">
            <v>Alfi Abidin</v>
          </cell>
        </row>
        <row r="359">
          <cell r="C359" t="str">
            <v>GELAM</v>
          </cell>
        </row>
        <row r="359">
          <cell r="E359" t="str">
            <v>Vavan Aldi Zulkarnain</v>
          </cell>
        </row>
        <row r="360">
          <cell r="C360" t="str">
            <v>TAMAN</v>
          </cell>
        </row>
        <row r="360">
          <cell r="E360" t="str">
            <v>Aldo Irwansyah</v>
          </cell>
        </row>
        <row r="361">
          <cell r="C361" t="str">
            <v>TAMAN_3</v>
          </cell>
        </row>
        <row r="361">
          <cell r="E361" t="str">
            <v>Roni Nofendra Trimanto</v>
          </cell>
        </row>
        <row r="362">
          <cell r="C362" t="str">
            <v>DC_TAMAN</v>
          </cell>
        </row>
        <row r="362">
          <cell r="E362" t="str">
            <v>Tri Atmojo</v>
          </cell>
        </row>
        <row r="363">
          <cell r="C363" t="str">
            <v>SEDATI</v>
          </cell>
        </row>
        <row r="363">
          <cell r="E363" t="str">
            <v>Luhur Setya Budi</v>
          </cell>
        </row>
        <row r="364">
          <cell r="C364" t="str">
            <v>GEDANGAN</v>
          </cell>
        </row>
        <row r="364">
          <cell r="E364" t="str">
            <v>Rundi Atmoko</v>
          </cell>
        </row>
        <row r="365">
          <cell r="C365" t="str">
            <v>WARU_6</v>
          </cell>
        </row>
        <row r="365">
          <cell r="E365" t="str">
            <v>Rundi Atmoko</v>
          </cell>
        </row>
        <row r="366">
          <cell r="C366" t="str">
            <v>SEDATI_1</v>
          </cell>
        </row>
        <row r="366">
          <cell r="E366" t="str">
            <v>Luhur Setya Budi</v>
          </cell>
        </row>
        <row r="367">
          <cell r="C367" t="str">
            <v>BUDURAN_1</v>
          </cell>
        </row>
        <row r="367">
          <cell r="E367" t="str">
            <v>Alvin Aviandika Aksanah Pu</v>
          </cell>
        </row>
        <row r="368">
          <cell r="C368" t="str">
            <v>WARU_7</v>
          </cell>
        </row>
        <row r="368">
          <cell r="E368" t="str">
            <v>Muhammad Ikhwanul Masruri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C1" t="str">
            <v>NAMA DP</v>
          </cell>
        </row>
        <row r="1">
          <cell r="F1" t="str">
            <v>PIC BARU</v>
          </cell>
        </row>
        <row r="2">
          <cell r="C2" t="str">
            <v>KADIPATEN_2</v>
          </cell>
        </row>
        <row r="2">
          <cell r="F2" t="str">
            <v>Adang Suhara</v>
          </cell>
        </row>
        <row r="3">
          <cell r="C3" t="str">
            <v>MJA13C</v>
          </cell>
        </row>
        <row r="3">
          <cell r="F3" t="str">
            <v>Aries Yudie Ahmadi, S.Kesos</v>
          </cell>
        </row>
        <row r="4">
          <cell r="C4" t="str">
            <v>MJA20B</v>
          </cell>
        </row>
        <row r="4">
          <cell r="F4" t="str">
            <v>Budi Mulyana</v>
          </cell>
        </row>
        <row r="5">
          <cell r="C5" t="str">
            <v>JATIWANGI_2</v>
          </cell>
        </row>
        <row r="5">
          <cell r="F5" t="str">
            <v>Deni Fathurrohman</v>
          </cell>
        </row>
        <row r="6">
          <cell r="C6" t="str">
            <v>RAJAGALUH_2</v>
          </cell>
        </row>
        <row r="6">
          <cell r="F6" t="str">
            <v>Didi Supriadi</v>
          </cell>
        </row>
        <row r="7">
          <cell r="C7" t="str">
            <v>MJA22A</v>
          </cell>
        </row>
        <row r="7">
          <cell r="F7" t="str">
            <v>Dudin Joharudin</v>
          </cell>
        </row>
        <row r="8">
          <cell r="C8" t="str">
            <v>MJA19A</v>
          </cell>
        </row>
        <row r="8">
          <cell r="F8" t="str">
            <v>Hikmat Maulana</v>
          </cell>
        </row>
        <row r="9">
          <cell r="C9" t="str">
            <v>MJA07B</v>
          </cell>
        </row>
        <row r="9">
          <cell r="F9" t="str">
            <v>Iqbal Permana</v>
          </cell>
        </row>
        <row r="10">
          <cell r="C10" t="str">
            <v>TELAGA_2</v>
          </cell>
        </row>
        <row r="10">
          <cell r="F10" t="str">
            <v>Nana suryana</v>
          </cell>
        </row>
        <row r="11">
          <cell r="C11" t="str">
            <v>MAJALENGKA_2</v>
          </cell>
        </row>
        <row r="11">
          <cell r="F11" t="str">
            <v>Paryono</v>
          </cell>
        </row>
        <row r="12">
          <cell r="C12" t="str">
            <v>MJA02B</v>
          </cell>
        </row>
        <row r="12">
          <cell r="F12" t="str">
            <v>Vichi Ramadhan</v>
          </cell>
        </row>
        <row r="13">
          <cell r="C13" t="str">
            <v>JATITUJUH_2</v>
          </cell>
        </row>
        <row r="13">
          <cell r="F13" t="str">
            <v>Yandi Cahyadi, SE</v>
          </cell>
        </row>
        <row r="14">
          <cell r="C14" t="str">
            <v>MJA14A</v>
          </cell>
        </row>
        <row r="14">
          <cell r="F14" t="str">
            <v>-</v>
          </cell>
        </row>
        <row r="15">
          <cell r="C15" t="str">
            <v>SARIJADI</v>
          </cell>
        </row>
        <row r="15">
          <cell r="F15" t="str">
            <v>Bayu Triguna Putra</v>
          </cell>
        </row>
        <row r="16">
          <cell r="C16" t="str">
            <v>DC_CIMAHI_TENGAH</v>
          </cell>
        </row>
        <row r="16">
          <cell r="F16" t="str">
            <v>Dadan Maulana</v>
          </cell>
        </row>
        <row r="17">
          <cell r="C17" t="str">
            <v>DC_DUNGUS_CARIANG</v>
          </cell>
        </row>
        <row r="17">
          <cell r="F17" t="str">
            <v>Dandi Pardamean Nababan</v>
          </cell>
        </row>
        <row r="18">
          <cell r="C18" t="str">
            <v>DC_SARIWANGI</v>
          </cell>
        </row>
        <row r="18">
          <cell r="F18" t="str">
            <v>Danis</v>
          </cell>
        </row>
        <row r="19">
          <cell r="C19" t="str">
            <v>DC_CIMAHI_UTARA</v>
          </cell>
        </row>
        <row r="19">
          <cell r="F19" t="str">
            <v>Dicki Prayoga Irawan</v>
          </cell>
        </row>
        <row r="20">
          <cell r="C20" t="str">
            <v>DC_CIDADAP</v>
          </cell>
        </row>
        <row r="20">
          <cell r="F20" t="str">
            <v>Eka Setiawan</v>
          </cell>
        </row>
        <row r="21">
          <cell r="C21" t="str">
            <v>DC_CIMAHI_SELATAN</v>
          </cell>
        </row>
        <row r="21">
          <cell r="F21" t="str">
            <v>Luki Hardiyana</v>
          </cell>
        </row>
        <row r="22">
          <cell r="C22" t="str">
            <v>IDM11C</v>
          </cell>
        </row>
        <row r="22">
          <cell r="F22" t="str">
            <v>Ade Ahmad Sail</v>
          </cell>
        </row>
        <row r="23">
          <cell r="C23" t="str">
            <v>IDM20D</v>
          </cell>
        </row>
        <row r="23">
          <cell r="F23" t="str">
            <v>Dicki Setiawan</v>
          </cell>
        </row>
        <row r="24">
          <cell r="C24" t="str">
            <v>IDM07E</v>
          </cell>
        </row>
        <row r="24">
          <cell r="F24" t="str">
            <v>Elvan Ihdinansyah Setiawan</v>
          </cell>
        </row>
        <row r="25">
          <cell r="C25" t="str">
            <v>IDM18</v>
          </cell>
        </row>
        <row r="25">
          <cell r="F25" t="str">
            <v>Febri Maulana</v>
          </cell>
        </row>
        <row r="26">
          <cell r="C26" t="str">
            <v>IDM30B</v>
          </cell>
        </row>
        <row r="26">
          <cell r="F26" t="str">
            <v>Heri Kuswanto, S.Pd.</v>
          </cell>
        </row>
        <row r="27">
          <cell r="C27" t="str">
            <v>IDM13C</v>
          </cell>
        </row>
        <row r="27">
          <cell r="F27" t="str">
            <v>Iqbal Aulia Rachman</v>
          </cell>
        </row>
        <row r="28">
          <cell r="C28" t="str">
            <v>IDM28B</v>
          </cell>
        </row>
        <row r="28">
          <cell r="F28" t="str">
            <v>Muhamad Adit Nurcita</v>
          </cell>
        </row>
        <row r="29">
          <cell r="C29" t="str">
            <v>IDM06D</v>
          </cell>
        </row>
        <row r="29">
          <cell r="F29" t="str">
            <v>Nur Fajar Abiyanto</v>
          </cell>
        </row>
        <row r="30">
          <cell r="C30" t="str">
            <v>IDM19C</v>
          </cell>
        </row>
        <row r="30">
          <cell r="F30" t="str">
            <v>Romi Ajromi</v>
          </cell>
        </row>
        <row r="31">
          <cell r="C31" t="str">
            <v>IDM15E</v>
          </cell>
        </row>
        <row r="31">
          <cell r="F31" t="str">
            <v>Sigit Prastio</v>
          </cell>
        </row>
        <row r="32">
          <cell r="C32" t="str">
            <v>IDM10C</v>
          </cell>
        </row>
        <row r="32">
          <cell r="F32" t="str">
            <v>Yogi Faturahman</v>
          </cell>
        </row>
        <row r="33">
          <cell r="C33" t="str">
            <v>IDM04E</v>
          </cell>
        </row>
        <row r="33">
          <cell r="F33" t="str">
            <v>Zaini Miftah</v>
          </cell>
        </row>
        <row r="34">
          <cell r="C34" t="str">
            <v>BDO_SALES</v>
          </cell>
        </row>
        <row r="34">
          <cell r="F34" t="str">
            <v>Dian Wunandar</v>
          </cell>
        </row>
        <row r="35">
          <cell r="C35" t="str">
            <v>GRT40A</v>
          </cell>
        </row>
        <row r="35">
          <cell r="F35" t="str">
            <v>Adam Supriatna</v>
          </cell>
        </row>
        <row r="36">
          <cell r="C36" t="str">
            <v>GRT17B</v>
          </cell>
        </row>
        <row r="36">
          <cell r="F36" t="str">
            <v>Adi Firmansyah</v>
          </cell>
        </row>
        <row r="37">
          <cell r="C37" t="str">
            <v>GRT27B</v>
          </cell>
        </row>
        <row r="37">
          <cell r="F37" t="str">
            <v>Adi Firmansyah</v>
          </cell>
        </row>
        <row r="38">
          <cell r="C38" t="str">
            <v>GRT06C</v>
          </cell>
        </row>
        <row r="38">
          <cell r="F38" t="str">
            <v>Andri Henriyana</v>
          </cell>
        </row>
        <row r="39">
          <cell r="C39" t="str">
            <v>GRT10B</v>
          </cell>
        </row>
        <row r="39">
          <cell r="F39" t="str">
            <v>Dedi Martin</v>
          </cell>
        </row>
        <row r="40">
          <cell r="C40" t="str">
            <v>GRT24B</v>
          </cell>
        </row>
        <row r="40">
          <cell r="F40" t="str">
            <v>Deni Jaelani</v>
          </cell>
        </row>
        <row r="41">
          <cell r="C41" t="str">
            <v>GRT11A</v>
          </cell>
        </row>
        <row r="41">
          <cell r="F41" t="str">
            <v>Edwin Iskandar</v>
          </cell>
        </row>
        <row r="42">
          <cell r="C42" t="str">
            <v>GRT07C</v>
          </cell>
        </row>
        <row r="42">
          <cell r="F42" t="str">
            <v>Hasan Bisri</v>
          </cell>
        </row>
        <row r="43">
          <cell r="C43" t="str">
            <v>GRT19A</v>
          </cell>
        </row>
        <row r="43">
          <cell r="F43" t="str">
            <v>Ichsan Purnama</v>
          </cell>
        </row>
        <row r="44">
          <cell r="C44" t="str">
            <v>GRT42</v>
          </cell>
        </row>
        <row r="44">
          <cell r="F44" t="str">
            <v>Kemal Nurjaman</v>
          </cell>
        </row>
        <row r="45">
          <cell r="C45" t="str">
            <v>GRT05C</v>
          </cell>
        </row>
        <row r="45">
          <cell r="F45" t="str">
            <v>Lyusi Fathan Mubiena</v>
          </cell>
        </row>
        <row r="46">
          <cell r="C46" t="str">
            <v>GRT36A</v>
          </cell>
        </row>
        <row r="46">
          <cell r="F46" t="str">
            <v>Maulana Hisbulloh</v>
          </cell>
        </row>
        <row r="47">
          <cell r="C47" t="str">
            <v>GRT22C</v>
          </cell>
        </row>
        <row r="47">
          <cell r="F47" t="str">
            <v>Muhamad Ikhsan</v>
          </cell>
        </row>
        <row r="48">
          <cell r="C48" t="str">
            <v>GRT26C</v>
          </cell>
        </row>
        <row r="48">
          <cell r="F48" t="str">
            <v>Neri Hidayat</v>
          </cell>
        </row>
        <row r="49">
          <cell r="C49" t="str">
            <v>GRT41A</v>
          </cell>
        </row>
        <row r="49">
          <cell r="F49" t="str">
            <v>Regi Firmansyah</v>
          </cell>
        </row>
        <row r="50">
          <cell r="C50" t="str">
            <v>GRT16B</v>
          </cell>
        </row>
        <row r="50">
          <cell r="F50" t="str">
            <v>Rifki Shafik Fadillah</v>
          </cell>
        </row>
        <row r="51">
          <cell r="C51" t="str">
            <v>GRT31B</v>
          </cell>
        </row>
        <row r="51">
          <cell r="F51" t="str">
            <v>Rifki Shafik Fadillah</v>
          </cell>
        </row>
        <row r="52">
          <cell r="C52" t="str">
            <v>GRT03D</v>
          </cell>
        </row>
        <row r="52">
          <cell r="F52" t="str">
            <v>Robi Ta'dim Nurdiansyah</v>
          </cell>
        </row>
        <row r="53">
          <cell r="C53" t="str">
            <v>GRT02A</v>
          </cell>
        </row>
        <row r="53">
          <cell r="F53" t="str">
            <v>Rosi Riswanto</v>
          </cell>
        </row>
        <row r="54">
          <cell r="C54" t="str">
            <v>GRT37C</v>
          </cell>
        </row>
        <row r="54">
          <cell r="F54" t="str">
            <v>Sayu Mulhasyim</v>
          </cell>
        </row>
        <row r="55">
          <cell r="C55" t="str">
            <v>GRT41C</v>
          </cell>
        </row>
        <row r="55">
          <cell r="F55" t="str">
            <v>Syahrul Abu Bakar</v>
          </cell>
        </row>
        <row r="56">
          <cell r="C56" t="str">
            <v>GRT25B</v>
          </cell>
        </row>
        <row r="56">
          <cell r="F56" t="str">
            <v>Undang Ramdani</v>
          </cell>
        </row>
        <row r="57">
          <cell r="C57" t="str">
            <v>GRT32A</v>
          </cell>
        </row>
        <row r="57">
          <cell r="F57" t="str">
            <v>Undang Ramdani</v>
          </cell>
        </row>
        <row r="58">
          <cell r="C58" t="str">
            <v>GRT33C</v>
          </cell>
        </row>
        <row r="58">
          <cell r="F58" t="str">
            <v>Usep kamaludin</v>
          </cell>
        </row>
        <row r="59">
          <cell r="C59" t="str">
            <v>SOG26A</v>
          </cell>
        </row>
        <row r="59">
          <cell r="F59" t="str">
            <v>Ade Rahmat</v>
          </cell>
        </row>
        <row r="60">
          <cell r="C60" t="str">
            <v>BABAKAN_CIPARAY_2</v>
          </cell>
        </row>
        <row r="60">
          <cell r="F60" t="str">
            <v>Anas Nazal Huda</v>
          </cell>
        </row>
        <row r="61">
          <cell r="C61" t="str">
            <v>KUTAWARINGIN_2</v>
          </cell>
        </row>
        <row r="61">
          <cell r="F61" t="str">
            <v>Andi Herdiansyah</v>
          </cell>
        </row>
        <row r="62">
          <cell r="C62" t="str">
            <v>DC_HOLIS</v>
          </cell>
        </row>
        <row r="62">
          <cell r="F62" t="str">
            <v>Andi Saeful Rahman</v>
          </cell>
        </row>
        <row r="63">
          <cell r="C63" t="str">
            <v>WARGALUYU</v>
          </cell>
        </row>
        <row r="63">
          <cell r="F63" t="str">
            <v>Asep Romli</v>
          </cell>
        </row>
        <row r="64">
          <cell r="C64" t="str">
            <v>PENGALENGAN_CIPINANG</v>
          </cell>
        </row>
        <row r="64">
          <cell r="F64" t="str">
            <v>Dani Alvin</v>
          </cell>
        </row>
        <row r="65">
          <cell r="C65" t="str">
            <v>CILUNCAT</v>
          </cell>
        </row>
        <row r="65">
          <cell r="F65" t="str">
            <v>Denira Novalita</v>
          </cell>
        </row>
        <row r="66">
          <cell r="C66" t="str">
            <v>DC_BOJONGLOA_KALER</v>
          </cell>
        </row>
        <row r="66">
          <cell r="F66" t="str">
            <v>Dionofan Kurnia Pratama</v>
          </cell>
        </row>
        <row r="67">
          <cell r="C67" t="str">
            <v>DC_MARGAHAYU_SELATAN</v>
          </cell>
        </row>
        <row r="67">
          <cell r="F67" t="str">
            <v>Faisal Maisandi</v>
          </cell>
        </row>
        <row r="68">
          <cell r="C68" t="str">
            <v>DC_BANDUNG_SELATAN</v>
          </cell>
        </row>
        <row r="68">
          <cell r="F68" t="str">
            <v>Ilham Achmad Muhadzir</v>
          </cell>
        </row>
        <row r="69">
          <cell r="C69" t="str">
            <v>WARNASARI</v>
          </cell>
        </row>
        <row r="69">
          <cell r="F69" t="str">
            <v>Mario Aditya Firmansyah</v>
          </cell>
        </row>
        <row r="70">
          <cell r="C70" t="str">
            <v>DC_KATAPANG</v>
          </cell>
        </row>
        <row r="70">
          <cell r="F70" t="str">
            <v>Muhammad Salim Riyadul Gupron</v>
          </cell>
        </row>
        <row r="71">
          <cell r="C71" t="str">
            <v>DC_CIBADUYUT_RAYA</v>
          </cell>
        </row>
        <row r="71">
          <cell r="F71" t="str">
            <v>Novi Septriani</v>
          </cell>
        </row>
        <row r="72">
          <cell r="C72" t="str">
            <v>SOG25C</v>
          </cell>
        </row>
        <row r="72">
          <cell r="F72" t="str">
            <v>Rizky Zidan Haris Muharomi</v>
          </cell>
        </row>
        <row r="73">
          <cell r="C73" t="str">
            <v>CIWIDEY</v>
          </cell>
        </row>
        <row r="73">
          <cell r="F73" t="str">
            <v>Sendi Moh Rahayu</v>
          </cell>
        </row>
        <row r="74">
          <cell r="C74" t="str">
            <v>DC_MARGAASIH</v>
          </cell>
        </row>
        <row r="74">
          <cell r="F74" t="str">
            <v>Soni</v>
          </cell>
        </row>
        <row r="75">
          <cell r="C75" t="str">
            <v>SOG31E</v>
          </cell>
        </row>
        <row r="75">
          <cell r="F75" t="str">
            <v>Soni</v>
          </cell>
        </row>
        <row r="76">
          <cell r="C76" t="str">
            <v>CANGKUANG_3</v>
          </cell>
        </row>
        <row r="76">
          <cell r="F76" t="str">
            <v>Syifa Agustian</v>
          </cell>
        </row>
        <row r="77">
          <cell r="C77" t="str">
            <v>DC_KARAWANG_BARAT</v>
          </cell>
        </row>
        <row r="77">
          <cell r="F77" t="str">
            <v>Ansor Fauzi Fadillah</v>
          </cell>
        </row>
        <row r="78">
          <cell r="C78" t="str">
            <v>PANGKAL_PERJUANGAN</v>
          </cell>
        </row>
        <row r="78">
          <cell r="F78" t="str">
            <v>Ansor Fauzi Fadillah</v>
          </cell>
        </row>
        <row r="79">
          <cell r="C79" t="str">
            <v>TEMPURAN</v>
          </cell>
        </row>
        <row r="79">
          <cell r="F79" t="str">
            <v>Ari Budaeri Addawami</v>
          </cell>
        </row>
        <row r="80">
          <cell r="C80" t="str">
            <v>PULOJAYA</v>
          </cell>
        </row>
        <row r="80">
          <cell r="F80" t="str">
            <v>Aril Ardiansyah</v>
          </cell>
        </row>
        <row r="81">
          <cell r="C81" t="str">
            <v>KARAWANG_WETAN</v>
          </cell>
        </row>
        <row r="81">
          <cell r="F81" t="str">
            <v>Asep</v>
          </cell>
        </row>
        <row r="82">
          <cell r="C82" t="str">
            <v>CIBUAYA</v>
          </cell>
        </row>
        <row r="82">
          <cell r="F82" t="str">
            <v>Dede Asikin</v>
          </cell>
        </row>
        <row r="83">
          <cell r="C83" t="str">
            <v>LOJI_2</v>
          </cell>
        </row>
        <row r="83">
          <cell r="F83" t="str">
            <v>Fauzi Alimashyar</v>
          </cell>
        </row>
        <row r="84">
          <cell r="C84" t="str">
            <v>DC_KOSAMBI</v>
          </cell>
        </row>
        <row r="84">
          <cell r="F84" t="str">
            <v>Indra Rukmana</v>
          </cell>
        </row>
        <row r="85">
          <cell r="C85" t="str">
            <v>CIAMPEL</v>
          </cell>
        </row>
        <row r="85">
          <cell r="F85" t="str">
            <v>Indra Rukmana</v>
          </cell>
        </row>
        <row r="86">
          <cell r="C86" t="str">
            <v>NAGASARI_3</v>
          </cell>
        </row>
        <row r="86">
          <cell r="F86" t="str">
            <v>Januar Egy Panjayu</v>
          </cell>
        </row>
        <row r="87">
          <cell r="C87" t="str">
            <v>TELUK_JAMBE_BARAT</v>
          </cell>
        </row>
        <row r="87">
          <cell r="F87" t="str">
            <v>Khoeruman Sunjaya</v>
          </cell>
        </row>
        <row r="88">
          <cell r="C88" t="str">
            <v>DC_MAJA</v>
          </cell>
        </row>
        <row r="88">
          <cell r="F88" t="str">
            <v>Muhammad Agung Maulidia</v>
          </cell>
        </row>
        <row r="89">
          <cell r="C89" t="str">
            <v>KRW20F</v>
          </cell>
        </row>
        <row r="89">
          <cell r="F89" t="str">
            <v>Muhammad Bagus Rifa'i</v>
          </cell>
        </row>
        <row r="90">
          <cell r="C90" t="str">
            <v>DC_GALUH_MAS</v>
          </cell>
        </row>
        <row r="90">
          <cell r="F90" t="str">
            <v>Muhammad Rusdiyanto Dinata</v>
          </cell>
        </row>
        <row r="91">
          <cell r="C91" t="str">
            <v>SUKAHARJA_KRW</v>
          </cell>
        </row>
        <row r="91">
          <cell r="F91" t="str">
            <v>Nur Maulana Hasan</v>
          </cell>
        </row>
        <row r="92">
          <cell r="C92" t="str">
            <v>BATUJAYA</v>
          </cell>
        </row>
        <row r="92">
          <cell r="F92" t="str">
            <v>Reza Zaqiyuddin</v>
          </cell>
        </row>
        <row r="93">
          <cell r="C93" t="str">
            <v>KRW17A</v>
          </cell>
        </row>
        <row r="93">
          <cell r="F93" t="str">
            <v>Reza Zaqiyuddin</v>
          </cell>
        </row>
        <row r="94">
          <cell r="C94" t="str">
            <v>TELAGASARI</v>
          </cell>
        </row>
        <row r="94">
          <cell r="F94" t="str">
            <v>Toni Anwar</v>
          </cell>
        </row>
        <row r="95">
          <cell r="C95" t="str">
            <v>DAUWAN_T</v>
          </cell>
        </row>
        <row r="95">
          <cell r="F95" t="str">
            <v>Yandi Sutardi</v>
          </cell>
        </row>
        <row r="96">
          <cell r="C96" t="str">
            <v>CKM_CITY</v>
          </cell>
        </row>
        <row r="96">
          <cell r="F96" t="str">
            <v>Zezen Zaenul Arip</v>
          </cell>
        </row>
        <row r="97">
          <cell r="C97" t="str">
            <v>DC_BATULAYANG</v>
          </cell>
        </row>
        <row r="97">
          <cell r="F97" t="str">
            <v>Andriana Susanto</v>
          </cell>
        </row>
        <row r="98">
          <cell r="C98" t="str">
            <v>CIKAMUNING</v>
          </cell>
        </row>
        <row r="98">
          <cell r="F98" t="str">
            <v>Danil Sutiarso</v>
          </cell>
        </row>
        <row r="99">
          <cell r="C99" t="str">
            <v>NGP05B</v>
          </cell>
        </row>
        <row r="99">
          <cell r="F99" t="str">
            <v>Dindin Irawan</v>
          </cell>
        </row>
        <row r="100">
          <cell r="C100" t="str">
            <v>NGP09A</v>
          </cell>
        </row>
        <row r="100">
          <cell r="F100" t="str">
            <v>Faiz Achmad Yasin</v>
          </cell>
        </row>
        <row r="101">
          <cell r="C101" t="str">
            <v>CIPONGKOR</v>
          </cell>
        </row>
        <row r="101">
          <cell r="F101" t="str">
            <v>Faiz Achmad Yasin</v>
          </cell>
        </row>
        <row r="102">
          <cell r="C102" t="str">
            <v>SIRNAJAYA</v>
          </cell>
        </row>
        <row r="102">
          <cell r="F102" t="str">
            <v>Hari Pardian</v>
          </cell>
        </row>
        <row r="103">
          <cell r="C103" t="str">
            <v>DC_LEMBANG</v>
          </cell>
        </row>
        <row r="103">
          <cell r="F103" t="str">
            <v>Herdi Kurniawan</v>
          </cell>
        </row>
        <row r="104">
          <cell r="C104" t="str">
            <v>DC_PADALARANG</v>
          </cell>
        </row>
        <row r="104">
          <cell r="F104" t="str">
            <v>Ipan Pathurrahman</v>
          </cell>
        </row>
        <row r="105">
          <cell r="C105" t="str">
            <v>CISARUA</v>
          </cell>
        </row>
        <row r="105">
          <cell r="F105" t="str">
            <v>Jamjam ramdani</v>
          </cell>
        </row>
        <row r="106">
          <cell r="C106" t="str">
            <v>NGP02E</v>
          </cell>
        </row>
        <row r="106">
          <cell r="F106" t="str">
            <v>Muhammad Abdul Rozi</v>
          </cell>
        </row>
        <row r="107">
          <cell r="C107" t="str">
            <v>NGP07A</v>
          </cell>
        </row>
        <row r="107">
          <cell r="F107" t="str">
            <v>Muhammad Abdul Rozi</v>
          </cell>
        </row>
        <row r="108">
          <cell r="C108" t="str">
            <v>CIPATAT</v>
          </cell>
        </row>
        <row r="108">
          <cell r="F108" t="str">
            <v>Ridwan Ginanjar</v>
          </cell>
        </row>
        <row r="109">
          <cell r="C109" t="str">
            <v>CITAPEN</v>
          </cell>
        </row>
        <row r="109">
          <cell r="F109" t="str">
            <v>Sandi Mutakin</v>
          </cell>
        </row>
        <row r="110">
          <cell r="C110" t="str">
            <v>NGP16B</v>
          </cell>
        </row>
        <row r="110">
          <cell r="F110" t="str">
            <v>Sandra Cahya Permana</v>
          </cell>
        </row>
        <row r="111">
          <cell r="C111" t="str">
            <v>DC_NGAMPRAH</v>
          </cell>
        </row>
        <row r="111">
          <cell r="F111" t="str">
            <v>Tresha Oktariana</v>
          </cell>
        </row>
        <row r="112">
          <cell r="C112" t="str">
            <v>BANJAR_PATROMAN</v>
          </cell>
        </row>
        <row r="112">
          <cell r="F112" t="str">
            <v>Akbar Rizki Mulyana</v>
          </cell>
        </row>
        <row r="113">
          <cell r="C113" t="str">
            <v>PGR01C</v>
          </cell>
        </row>
        <row r="113">
          <cell r="F113" t="str">
            <v>Deni Purnama</v>
          </cell>
        </row>
        <row r="114">
          <cell r="C114" t="str">
            <v>LANGENSARI_3</v>
          </cell>
        </row>
        <row r="114">
          <cell r="F114" t="str">
            <v>Dicky Aditia</v>
          </cell>
        </row>
        <row r="115">
          <cell r="C115" t="str">
            <v>PGR04B</v>
          </cell>
        </row>
        <row r="115">
          <cell r="F115" t="str">
            <v>Fikri Nurhidayat</v>
          </cell>
        </row>
        <row r="116">
          <cell r="C116" t="str">
            <v>CIAMIS</v>
          </cell>
        </row>
        <row r="116">
          <cell r="F116" t="str">
            <v>Irfan Abdur Rochim</v>
          </cell>
        </row>
        <row r="117">
          <cell r="C117" t="str">
            <v>CMI01B</v>
          </cell>
        </row>
        <row r="117">
          <cell r="F117" t="str">
            <v>Irfan Abdur Rochim</v>
          </cell>
        </row>
        <row r="118">
          <cell r="C118" t="str">
            <v>PARUNGLESANG_3</v>
          </cell>
        </row>
        <row r="118">
          <cell r="F118" t="str">
            <v>Iyan Diana</v>
          </cell>
        </row>
        <row r="119">
          <cell r="C119" t="str">
            <v>PANUMBANGAN</v>
          </cell>
        </row>
        <row r="119">
          <cell r="F119" t="str">
            <v>Nunu Nugraha</v>
          </cell>
        </row>
        <row r="120">
          <cell r="C120" t="str">
            <v>SINDANGKASIH</v>
          </cell>
        </row>
        <row r="120">
          <cell r="F120" t="str">
            <v>Nuralamsah</v>
          </cell>
        </row>
        <row r="121">
          <cell r="C121" t="str">
            <v>WINDURAJA</v>
          </cell>
        </row>
        <row r="121">
          <cell r="F121" t="str">
            <v>Opie Gustriana</v>
          </cell>
        </row>
        <row r="122">
          <cell r="C122" t="str">
            <v>CMI13C</v>
          </cell>
        </row>
        <row r="122">
          <cell r="F122" t="str">
            <v>Opie Gustriana</v>
          </cell>
        </row>
        <row r="123">
          <cell r="C123" t="str">
            <v>BJA04A</v>
          </cell>
        </row>
        <row r="123">
          <cell r="F123" t="str">
            <v>Rachman Setyadi</v>
          </cell>
        </row>
        <row r="124">
          <cell r="C124" t="str">
            <v>RANCAH</v>
          </cell>
        </row>
        <row r="124">
          <cell r="F124" t="str">
            <v>Redi Heriadi</v>
          </cell>
        </row>
        <row r="125">
          <cell r="C125" t="str">
            <v>PGR05B</v>
          </cell>
        </row>
        <row r="125">
          <cell r="F125" t="str">
            <v>Rizki Kurniawan Akbar</v>
          </cell>
        </row>
        <row r="126">
          <cell r="C126" t="str">
            <v>PGR10B</v>
          </cell>
        </row>
        <row r="126">
          <cell r="F126" t="str">
            <v>Rizki Kurniawan Akbar</v>
          </cell>
        </row>
        <row r="127">
          <cell r="C127" t="str">
            <v>CMI02A</v>
          </cell>
        </row>
        <row r="127">
          <cell r="F127" t="str">
            <v>Septian Nuralamsyah</v>
          </cell>
        </row>
        <row r="128">
          <cell r="C128" t="str">
            <v>PGR08B</v>
          </cell>
        </row>
        <row r="128">
          <cell r="F128" t="str">
            <v>Widodo Iqbal Baharudin</v>
          </cell>
        </row>
        <row r="129">
          <cell r="C129" t="str">
            <v>SUM12C</v>
          </cell>
        </row>
        <row r="129">
          <cell r="F129" t="str">
            <v>Akhmad Wildan Heryanto</v>
          </cell>
        </row>
        <row r="130">
          <cell r="C130" t="str">
            <v>SUM17B</v>
          </cell>
        </row>
        <row r="130">
          <cell r="F130" t="str">
            <v>Akhmad Wildan Heryanto</v>
          </cell>
        </row>
        <row r="131">
          <cell r="C131" t="str">
            <v>SUM26B</v>
          </cell>
        </row>
        <row r="131">
          <cell r="F131" t="str">
            <v>Dwiyanto</v>
          </cell>
        </row>
        <row r="132">
          <cell r="C132" t="str">
            <v>SUM04D</v>
          </cell>
        </row>
        <row r="132">
          <cell r="F132" t="str">
            <v>Endang Rudi Rohana</v>
          </cell>
        </row>
        <row r="133">
          <cell r="C133" t="str">
            <v>SUM06D</v>
          </cell>
        </row>
        <row r="133">
          <cell r="F133" t="str">
            <v>Endang Rudi Rohana</v>
          </cell>
        </row>
        <row r="134">
          <cell r="C134" t="str">
            <v>SUM08D</v>
          </cell>
        </row>
        <row r="134">
          <cell r="F134" t="str">
            <v>Indra Nuryanto</v>
          </cell>
        </row>
        <row r="135">
          <cell r="C135" t="str">
            <v>SUM11D</v>
          </cell>
        </row>
        <row r="135">
          <cell r="F135" t="str">
            <v>Mochamad Taofik</v>
          </cell>
        </row>
        <row r="136">
          <cell r="C136" t="str">
            <v>SUM10E</v>
          </cell>
        </row>
        <row r="136">
          <cell r="F136" t="str">
            <v>Muhammad Iqbal</v>
          </cell>
        </row>
        <row r="137">
          <cell r="C137" t="str">
            <v>SUM01B</v>
          </cell>
        </row>
        <row r="137">
          <cell r="F137" t="str">
            <v>Muhammad Ramdhan</v>
          </cell>
        </row>
        <row r="138">
          <cell r="C138" t="str">
            <v>SUM02B</v>
          </cell>
        </row>
        <row r="138">
          <cell r="F138" t="str">
            <v>Muhammad Ramdhan</v>
          </cell>
        </row>
        <row r="139">
          <cell r="C139" t="str">
            <v>SUM22</v>
          </cell>
        </row>
        <row r="139">
          <cell r="F139" t="str">
            <v>Rudi Hermawan</v>
          </cell>
        </row>
        <row r="140">
          <cell r="C140" t="str">
            <v>SUM05C</v>
          </cell>
        </row>
        <row r="140">
          <cell r="F140" t="str">
            <v>Shevina Shevriyana</v>
          </cell>
        </row>
        <row r="141">
          <cell r="C141" t="str">
            <v>SUKARAJA</v>
          </cell>
        </row>
        <row r="141">
          <cell r="F141" t="str">
            <v>Abdul Azid</v>
          </cell>
        </row>
        <row r="142">
          <cell r="C142" t="str">
            <v>DC_CITAMIANG</v>
          </cell>
        </row>
        <row r="142">
          <cell r="F142" t="str">
            <v>Agung Problema Huda</v>
          </cell>
        </row>
        <row r="143">
          <cell r="C143" t="str">
            <v>DC_PONDOKASO_LANDEUH</v>
          </cell>
        </row>
        <row r="143">
          <cell r="F143" t="str">
            <v>Aris Sopiana</v>
          </cell>
        </row>
        <row r="144">
          <cell r="C144" t="str">
            <v>SMI17B</v>
          </cell>
        </row>
        <row r="144">
          <cell r="F144" t="str">
            <v>Bambang Hermanto</v>
          </cell>
        </row>
        <row r="145">
          <cell r="C145" t="str">
            <v>CICANTAYAN</v>
          </cell>
        </row>
        <row r="145">
          <cell r="F145" t="str">
            <v>Dani Mardani</v>
          </cell>
        </row>
        <row r="146">
          <cell r="C146" t="str">
            <v>SMI02A</v>
          </cell>
        </row>
        <row r="146">
          <cell r="F146" t="str">
            <v>Decky Verdian</v>
          </cell>
        </row>
        <row r="147">
          <cell r="C147" t="str">
            <v>CIBADAK</v>
          </cell>
        </row>
        <row r="147">
          <cell r="F147" t="str">
            <v>Dodi Rikiyandi</v>
          </cell>
        </row>
        <row r="148">
          <cell r="C148" t="str">
            <v>PER06C</v>
          </cell>
        </row>
        <row r="148">
          <cell r="F148" t="str">
            <v>Fadhlan Zazmi Hilman</v>
          </cell>
        </row>
        <row r="149">
          <cell r="C149" t="str">
            <v>SMI15A</v>
          </cell>
        </row>
        <row r="149">
          <cell r="F149" t="str">
            <v>Fadhlan Zazmi Hilman</v>
          </cell>
        </row>
        <row r="150">
          <cell r="C150" t="str">
            <v>SMI29B</v>
          </cell>
        </row>
        <row r="150">
          <cell r="F150" t="str">
            <v>Fadillah Pratama Putra</v>
          </cell>
        </row>
        <row r="151">
          <cell r="C151" t="str">
            <v>DC_BOJONG_KEMBAR</v>
          </cell>
        </row>
        <row r="151">
          <cell r="F151" t="str">
            <v>Herdiansyah</v>
          </cell>
        </row>
        <row r="152">
          <cell r="C152" t="str">
            <v>SMI09B</v>
          </cell>
        </row>
        <row r="152">
          <cell r="F152" t="str">
            <v>Heriyanto</v>
          </cell>
        </row>
        <row r="153">
          <cell r="C153" t="str">
            <v>DC_CIKOLE</v>
          </cell>
        </row>
        <row r="153">
          <cell r="F153" t="str">
            <v>Indra Gunawan</v>
          </cell>
        </row>
        <row r="154">
          <cell r="C154" t="str">
            <v>KALAPA_NUNGGAL</v>
          </cell>
        </row>
        <row r="154">
          <cell r="F154" t="str">
            <v>Jamaludin</v>
          </cell>
        </row>
        <row r="155">
          <cell r="C155" t="str">
            <v>SMI21A</v>
          </cell>
        </row>
        <row r="155">
          <cell r="F155" t="str">
            <v>Jamaludin</v>
          </cell>
        </row>
        <row r="156">
          <cell r="C156" t="str">
            <v>PER11</v>
          </cell>
        </row>
        <row r="156">
          <cell r="F156" t="str">
            <v>Muhammad Mahfudin</v>
          </cell>
        </row>
        <row r="157">
          <cell r="C157" t="str">
            <v>PER10A</v>
          </cell>
        </row>
        <row r="157">
          <cell r="F157" t="str">
            <v>Nondi Rismaya</v>
          </cell>
        </row>
        <row r="158">
          <cell r="C158" t="str">
            <v>SMI19A</v>
          </cell>
        </row>
        <row r="158">
          <cell r="F158" t="str">
            <v>Rahmat Fauzi</v>
          </cell>
        </row>
        <row r="159">
          <cell r="C159" t="str">
            <v>PER05B</v>
          </cell>
        </row>
        <row r="159">
          <cell r="F159" t="str">
            <v>Reja Suherlan</v>
          </cell>
        </row>
        <row r="160">
          <cell r="C160" t="str">
            <v>SMI16B</v>
          </cell>
        </row>
        <row r="160">
          <cell r="F160" t="str">
            <v>Reja Suherlan</v>
          </cell>
        </row>
        <row r="161">
          <cell r="C161" t="str">
            <v>PER17A</v>
          </cell>
        </row>
        <row r="161">
          <cell r="F161" t="str">
            <v>Rendi Muhamad</v>
          </cell>
        </row>
        <row r="162">
          <cell r="C162" t="str">
            <v>PER08A</v>
          </cell>
        </row>
        <row r="162">
          <cell r="F162" t="str">
            <v>Restu Sanjaya</v>
          </cell>
        </row>
        <row r="163">
          <cell r="C163" t="str">
            <v>PER04D</v>
          </cell>
        </row>
        <row r="163">
          <cell r="F163" t="str">
            <v>Saepul Bahri</v>
          </cell>
        </row>
        <row r="164">
          <cell r="C164" t="str">
            <v>PER15</v>
          </cell>
        </row>
        <row r="164">
          <cell r="F164" t="str">
            <v>Saepul Iman</v>
          </cell>
        </row>
        <row r="165">
          <cell r="C165" t="str">
            <v>SMI27B</v>
          </cell>
        </row>
        <row r="165">
          <cell r="F165" t="str">
            <v>Sandi Purnama</v>
          </cell>
        </row>
        <row r="166">
          <cell r="C166" t="str">
            <v>SMI22B</v>
          </cell>
        </row>
        <row r="166">
          <cell r="F166" t="str">
            <v>Yandi Ramdani</v>
          </cell>
        </row>
        <row r="167">
          <cell r="C167" t="str">
            <v>DC_CISAAT</v>
          </cell>
        </row>
        <row r="167">
          <cell r="F167" t="str">
            <v>Yogi Iskandar</v>
          </cell>
        </row>
        <row r="168">
          <cell r="C168" t="str">
            <v>SMI35A</v>
          </cell>
        </row>
        <row r="168">
          <cell r="F168" t="str">
            <v>Yogi Iskandar</v>
          </cell>
        </row>
        <row r="169">
          <cell r="C169" t="str">
            <v>SMI20A</v>
          </cell>
        </row>
        <row r="169">
          <cell r="F169" t="str">
            <v>Yunus Abdul Lyi Sadjidin</v>
          </cell>
        </row>
        <row r="170">
          <cell r="C170" t="str">
            <v>TANGGULUN_BARAT_2</v>
          </cell>
        </row>
        <row r="170">
          <cell r="F170" t="str">
            <v>Ardi Rahman Suwandi</v>
          </cell>
        </row>
        <row r="171">
          <cell r="C171" t="str">
            <v>SBG16A</v>
          </cell>
        </row>
        <row r="171">
          <cell r="F171" t="str">
            <v>Argam Maulana</v>
          </cell>
        </row>
        <row r="172">
          <cell r="C172" t="str">
            <v>GEMBOR_4</v>
          </cell>
        </row>
        <row r="172">
          <cell r="F172" t="str">
            <v>Ari Apriadi</v>
          </cell>
        </row>
        <row r="173">
          <cell r="C173" t="str">
            <v>SUKAMANDIJAYA_2</v>
          </cell>
        </row>
        <row r="173">
          <cell r="F173" t="str">
            <v>Ari Apriadi</v>
          </cell>
        </row>
        <row r="174">
          <cell r="C174" t="str">
            <v>PUSAKARATU_4</v>
          </cell>
        </row>
        <row r="174">
          <cell r="F174" t="str">
            <v>Caswin Aprianto</v>
          </cell>
        </row>
        <row r="175">
          <cell r="C175" t="str">
            <v>KALIANGSANA_2</v>
          </cell>
        </row>
        <row r="175">
          <cell r="F175" t="str">
            <v>Dede Rino Mailudin</v>
          </cell>
        </row>
        <row r="176">
          <cell r="C176" t="str">
            <v>SBG01B</v>
          </cell>
        </row>
        <row r="176">
          <cell r="F176" t="str">
            <v>Deden Maulana</v>
          </cell>
        </row>
        <row r="177">
          <cell r="C177" t="str">
            <v>LENGKONGJAYA_2</v>
          </cell>
        </row>
        <row r="177">
          <cell r="F177" t="str">
            <v>Deden Maulana</v>
          </cell>
        </row>
        <row r="178">
          <cell r="C178" t="str">
            <v>SBG21B</v>
          </cell>
        </row>
        <row r="178">
          <cell r="F178" t="str">
            <v>Deni Herdian</v>
          </cell>
        </row>
        <row r="179">
          <cell r="C179" t="str">
            <v>SBG29A</v>
          </cell>
        </row>
        <row r="179">
          <cell r="F179" t="str">
            <v>Fikri Hidayatuloh</v>
          </cell>
        </row>
        <row r="180">
          <cell r="C180" t="str">
            <v>SBG08C</v>
          </cell>
        </row>
        <row r="180">
          <cell r="F180" t="str">
            <v>Ilyas Roya</v>
          </cell>
        </row>
        <row r="181">
          <cell r="C181" t="str">
            <v>CIBOGO_SBG</v>
          </cell>
        </row>
        <row r="181">
          <cell r="F181" t="str">
            <v>Ilyas Roya</v>
          </cell>
        </row>
        <row r="182">
          <cell r="C182" t="str">
            <v>SOKLAT_4</v>
          </cell>
        </row>
        <row r="182">
          <cell r="F182" t="str">
            <v>Ilyas Roya</v>
          </cell>
        </row>
        <row r="183">
          <cell r="C183" t="str">
            <v>PATOKBEUSI_2</v>
          </cell>
        </row>
        <row r="183">
          <cell r="F183" t="str">
            <v>Muhamad Alimudin</v>
          </cell>
        </row>
        <row r="184">
          <cell r="C184" t="str">
            <v>CISALAK_4</v>
          </cell>
        </row>
        <row r="184">
          <cell r="F184" t="str">
            <v>Regy Permana</v>
          </cell>
        </row>
        <row r="185">
          <cell r="C185" t="str">
            <v>SUKARESMI_3</v>
          </cell>
        </row>
        <row r="185">
          <cell r="F185" t="str">
            <v>Regy Permana</v>
          </cell>
        </row>
        <row r="186">
          <cell r="C186" t="str">
            <v>SBG27A</v>
          </cell>
        </row>
        <row r="186">
          <cell r="F186" t="str">
            <v>Rijal</v>
          </cell>
        </row>
        <row r="187">
          <cell r="C187" t="str">
            <v>CIEUNDEUR</v>
          </cell>
        </row>
        <row r="187">
          <cell r="F187" t="str">
            <v>Agustian Sholeh</v>
          </cell>
        </row>
        <row r="188">
          <cell r="C188" t="str">
            <v>CJR22A</v>
          </cell>
        </row>
        <row r="188">
          <cell r="F188" t="str">
            <v>Billy Jenawi</v>
          </cell>
        </row>
        <row r="189">
          <cell r="C189" t="str">
            <v>CJR16B</v>
          </cell>
        </row>
        <row r="189">
          <cell r="F189" t="str">
            <v>Budi Sunandar</v>
          </cell>
        </row>
        <row r="190">
          <cell r="C190" t="str">
            <v>CIRANJANG</v>
          </cell>
        </row>
        <row r="190">
          <cell r="F190" t="str">
            <v>Dadan Darusman</v>
          </cell>
        </row>
        <row r="191">
          <cell r="C191" t="str">
            <v>CJR26B</v>
          </cell>
        </row>
        <row r="191">
          <cell r="F191" t="str">
            <v>Dede Kurnia</v>
          </cell>
        </row>
        <row r="192">
          <cell r="C192" t="str">
            <v>CJR09B</v>
          </cell>
        </row>
        <row r="192">
          <cell r="F192" t="str">
            <v>Faisal Malik</v>
          </cell>
        </row>
        <row r="193">
          <cell r="C193" t="str">
            <v>CJR13B</v>
          </cell>
        </row>
        <row r="193">
          <cell r="F193" t="str">
            <v>Gilang Maulana Yusuf</v>
          </cell>
        </row>
        <row r="194">
          <cell r="C194" t="str">
            <v>CILAKU</v>
          </cell>
        </row>
        <row r="194">
          <cell r="F194" t="str">
            <v>Harry Satria Rachman</v>
          </cell>
        </row>
        <row r="195">
          <cell r="C195" t="str">
            <v>CJR06A</v>
          </cell>
        </row>
        <row r="195">
          <cell r="F195" t="str">
            <v>Iman Sulaeman</v>
          </cell>
        </row>
        <row r="196">
          <cell r="C196" t="str">
            <v>CJR04A</v>
          </cell>
        </row>
        <row r="196">
          <cell r="F196" t="str">
            <v>Jamaludin Syah</v>
          </cell>
        </row>
        <row r="197">
          <cell r="C197" t="str">
            <v>DC_SOLOKPANDAN</v>
          </cell>
        </row>
        <row r="197">
          <cell r="F197" t="str">
            <v>Kamaludin</v>
          </cell>
        </row>
        <row r="198">
          <cell r="C198" t="str">
            <v>CJR17A</v>
          </cell>
        </row>
        <row r="198">
          <cell r="F198" t="str">
            <v>Muhamad Hendar Ali</v>
          </cell>
        </row>
        <row r="199">
          <cell r="C199" t="str">
            <v>CJR14B</v>
          </cell>
        </row>
        <row r="199">
          <cell r="F199" t="str">
            <v>Muhammad Nurani Kholis</v>
          </cell>
        </row>
        <row r="200">
          <cell r="C200" t="str">
            <v>SADAMAYA</v>
          </cell>
        </row>
        <row r="200">
          <cell r="F200" t="str">
            <v>Rahmat Efendi</v>
          </cell>
        </row>
        <row r="201">
          <cell r="C201" t="str">
            <v>MUKA</v>
          </cell>
        </row>
        <row r="201">
          <cell r="F201" t="str">
            <v>Ricky Nurdiansyah</v>
          </cell>
        </row>
        <row r="202">
          <cell r="C202" t="str">
            <v>CIPANAS</v>
          </cell>
        </row>
        <row r="202">
          <cell r="F202" t="str">
            <v>Tanto Taufik</v>
          </cell>
        </row>
        <row r="203">
          <cell r="C203" t="str">
            <v>PACET_CJR_2</v>
          </cell>
        </row>
        <row r="203">
          <cell r="F203" t="str">
            <v>Tanto Taufik</v>
          </cell>
        </row>
        <row r="204">
          <cell r="C204" t="str">
            <v>CJR18C</v>
          </cell>
        </row>
        <row r="204">
          <cell r="F204" t="str">
            <v>Ujang Andi</v>
          </cell>
        </row>
        <row r="205">
          <cell r="C205" t="str">
            <v>CJR07B</v>
          </cell>
        </row>
        <row r="205">
          <cell r="F205" t="str">
            <v>Zam zam Mugni fadil</v>
          </cell>
        </row>
        <row r="206">
          <cell r="C206" t="str">
            <v>PWK05B</v>
          </cell>
        </row>
        <row r="206">
          <cell r="F206" t="str">
            <v>Andy Risqi Pratama S</v>
          </cell>
        </row>
        <row r="207">
          <cell r="C207" t="str">
            <v>JATISARI_BARU</v>
          </cell>
        </row>
        <row r="207">
          <cell r="F207" t="str">
            <v>Darwanto</v>
          </cell>
        </row>
        <row r="208">
          <cell r="C208" t="str">
            <v>PWK01B</v>
          </cell>
        </row>
        <row r="208">
          <cell r="F208" t="str">
            <v>Deni Sukmana</v>
          </cell>
        </row>
        <row r="209">
          <cell r="C209" t="str">
            <v>PASAR_PERMAI</v>
          </cell>
        </row>
        <row r="209">
          <cell r="F209" t="str">
            <v>Hafiz Muhammad Siddiq</v>
          </cell>
        </row>
        <row r="210">
          <cell r="C210" t="str">
            <v>CILAMAYA</v>
          </cell>
        </row>
        <row r="210">
          <cell r="F210" t="str">
            <v>Haliman Apriyadi</v>
          </cell>
        </row>
        <row r="211">
          <cell r="C211" t="str">
            <v>PWK08A</v>
          </cell>
        </row>
        <row r="211">
          <cell r="F211" t="str">
            <v>Jejen Jaenudin</v>
          </cell>
        </row>
        <row r="212">
          <cell r="C212" t="str">
            <v>PWK03B</v>
          </cell>
        </row>
        <row r="212">
          <cell r="F212" t="str">
            <v>M. Sanusi</v>
          </cell>
        </row>
        <row r="213">
          <cell r="C213" t="str">
            <v>PWK12A</v>
          </cell>
        </row>
        <row r="213">
          <cell r="F213" t="str">
            <v>Muhamad Ali Assegap</v>
          </cell>
        </row>
        <row r="214">
          <cell r="C214" t="str">
            <v>PWK04B</v>
          </cell>
        </row>
        <row r="214">
          <cell r="F214" t="str">
            <v>Muhamad Basir Gusfian</v>
          </cell>
        </row>
        <row r="215">
          <cell r="C215" t="str">
            <v>PWK15K</v>
          </cell>
        </row>
        <row r="215">
          <cell r="F215" t="str">
            <v>Nanang Kosim</v>
          </cell>
        </row>
        <row r="216">
          <cell r="C216" t="str">
            <v>PWK10C</v>
          </cell>
        </row>
        <row r="216">
          <cell r="F216" t="str">
            <v>Rahayu Akbar Permana</v>
          </cell>
        </row>
        <row r="217">
          <cell r="C217" t="str">
            <v>PWK06B</v>
          </cell>
        </row>
        <row r="217">
          <cell r="F217" t="str">
            <v>Reza Cahya Jamaludin</v>
          </cell>
        </row>
        <row r="218">
          <cell r="C218" t="str">
            <v>PWK15L</v>
          </cell>
        </row>
        <row r="218">
          <cell r="F218" t="str">
            <v>Rifki Satria Nasution</v>
          </cell>
        </row>
        <row r="219">
          <cell r="C219" t="str">
            <v>PWK02D</v>
          </cell>
        </row>
        <row r="219">
          <cell r="F219" t="str">
            <v>Sarip Nurdin</v>
          </cell>
        </row>
        <row r="220">
          <cell r="C220" t="str">
            <v>DC_KOTABARU</v>
          </cell>
        </row>
        <row r="220">
          <cell r="F220" t="str">
            <v>Suheri</v>
          </cell>
        </row>
        <row r="221">
          <cell r="C221" t="str">
            <v>KRW28B</v>
          </cell>
        </row>
        <row r="221">
          <cell r="F221" t="str">
            <v>Yanuar Firmansyah</v>
          </cell>
        </row>
        <row r="222">
          <cell r="C222" t="str">
            <v>PWK07D</v>
          </cell>
        </row>
        <row r="222">
          <cell r="F222" t="str">
            <v>Deden Ahmad Saepudin</v>
          </cell>
        </row>
        <row r="223">
          <cell r="C223" t="str">
            <v>PWK15M</v>
          </cell>
        </row>
        <row r="223">
          <cell r="F223" t="str">
            <v>Raza Alfianzy</v>
          </cell>
        </row>
        <row r="224">
          <cell r="C224" t="str">
            <v>MANONJAYA</v>
          </cell>
        </row>
        <row r="224">
          <cell r="F224" t="str">
            <v>Adi Viki, S.E</v>
          </cell>
        </row>
        <row r="225">
          <cell r="C225" t="str">
            <v>SIN03A</v>
          </cell>
        </row>
        <row r="225">
          <cell r="F225" t="str">
            <v>Agung Maulana</v>
          </cell>
        </row>
        <row r="226">
          <cell r="C226" t="str">
            <v>SIN07A</v>
          </cell>
        </row>
        <row r="226">
          <cell r="F226" t="str">
            <v>Agung Maulana</v>
          </cell>
        </row>
        <row r="227">
          <cell r="C227" t="str">
            <v>TARAJU_2</v>
          </cell>
        </row>
        <row r="227">
          <cell r="F227" t="str">
            <v>Arief Firmansyah</v>
          </cell>
        </row>
        <row r="228">
          <cell r="C228" t="str">
            <v>TSK03E</v>
          </cell>
        </row>
        <row r="228">
          <cell r="F228" t="str">
            <v>Ervan Budi Nugraha, S.Kom</v>
          </cell>
        </row>
        <row r="229">
          <cell r="C229" t="str">
            <v>KAWALU</v>
          </cell>
        </row>
        <row r="229">
          <cell r="F229" t="str">
            <v>Ervan Budi Nugraha, S.Kom</v>
          </cell>
        </row>
        <row r="230">
          <cell r="C230" t="str">
            <v>DC_KAMASAN</v>
          </cell>
        </row>
        <row r="230">
          <cell r="F230" t="str">
            <v>Fahrul Rizal</v>
          </cell>
        </row>
        <row r="231">
          <cell r="C231" t="str">
            <v>TAMANSARI</v>
          </cell>
        </row>
        <row r="231">
          <cell r="F231" t="str">
            <v>Haggi Hermawan, S.Pd</v>
          </cell>
        </row>
        <row r="232">
          <cell r="C232" t="str">
            <v>CIKATOMAS</v>
          </cell>
        </row>
        <row r="232">
          <cell r="F232" t="str">
            <v>Irfan Anwar Musyadad, S.Pd</v>
          </cell>
        </row>
        <row r="233">
          <cell r="C233" t="str">
            <v>SINGAPARNA</v>
          </cell>
        </row>
        <row r="233">
          <cell r="F233" t="str">
            <v>Jenal Yusuf</v>
          </cell>
        </row>
        <row r="234">
          <cell r="C234" t="str">
            <v>SALAWU_2</v>
          </cell>
        </row>
        <row r="234">
          <cell r="F234" t="str">
            <v>Jujun Juandi</v>
          </cell>
        </row>
        <row r="235">
          <cell r="C235" t="str">
            <v>TASIKMALAYA</v>
          </cell>
        </row>
        <row r="235">
          <cell r="F235" t="str">
            <v>Mahrus Ali</v>
          </cell>
        </row>
        <row r="236">
          <cell r="C236" t="str">
            <v>INDIHIANG_2</v>
          </cell>
        </row>
        <row r="236">
          <cell r="F236" t="str">
            <v>Mochamad Alvin Viery Pratama</v>
          </cell>
        </row>
        <row r="237">
          <cell r="C237" t="str">
            <v>SINDANGRERET</v>
          </cell>
        </row>
        <row r="237">
          <cell r="F237" t="str">
            <v>Peri Rakasiwi, S.kom</v>
          </cell>
        </row>
        <row r="238">
          <cell r="C238" t="str">
            <v>CIPEDES_4</v>
          </cell>
        </row>
        <row r="238">
          <cell r="F238" t="str">
            <v>Ricki Wahyudi</v>
          </cell>
        </row>
        <row r="239">
          <cell r="C239" t="str">
            <v>SIN31</v>
          </cell>
        </row>
        <row r="239">
          <cell r="F239" t="str">
            <v>Ridwan Muhammad Abdul Baqi</v>
          </cell>
        </row>
        <row r="240">
          <cell r="C240" t="str">
            <v>SIN29B</v>
          </cell>
        </row>
        <row r="240">
          <cell r="F240" t="str">
            <v>Rio Gilang Prakasa</v>
          </cell>
        </row>
        <row r="241">
          <cell r="C241" t="str">
            <v>SIN20</v>
          </cell>
        </row>
        <row r="241">
          <cell r="F241" t="str">
            <v>Rizki Harmawan</v>
          </cell>
        </row>
        <row r="242">
          <cell r="C242" t="str">
            <v>CIBEUREUM_2</v>
          </cell>
        </row>
        <row r="242">
          <cell r="F242" t="str">
            <v>Sansan Riswandi</v>
          </cell>
        </row>
        <row r="243">
          <cell r="C243" t="str">
            <v>SUKAMANTRI_CIAWI</v>
          </cell>
        </row>
        <row r="243">
          <cell r="F243" t="str">
            <v>Soni Setiadi</v>
          </cell>
        </row>
        <row r="244">
          <cell r="C244" t="str">
            <v>DC_ARGASARI</v>
          </cell>
        </row>
        <row r="244">
          <cell r="F244" t="str">
            <v>Soni Solehhudin</v>
          </cell>
        </row>
        <row r="245">
          <cell r="C245" t="str">
            <v>SIN26A</v>
          </cell>
        </row>
        <row r="245">
          <cell r="F245" t="str">
            <v>Yopha Azizulindar</v>
          </cell>
        </row>
        <row r="246">
          <cell r="C246" t="str">
            <v>CIGANITRI</v>
          </cell>
        </row>
        <row r="246">
          <cell r="F246" t="str">
            <v>Adam Muhammad Ramdan</v>
          </cell>
        </row>
        <row r="247">
          <cell r="C247" t="str">
            <v>RANCAMANYAR_3</v>
          </cell>
        </row>
        <row r="247">
          <cell r="F247" t="str">
            <v>Adi Hapri Perdiansyah</v>
          </cell>
        </row>
        <row r="248">
          <cell r="C248" t="str">
            <v>DC_SAMOJA</v>
          </cell>
        </row>
        <row r="248">
          <cell r="F248" t="str">
            <v>Ahmad Misik Akyas Al-Kaesy</v>
          </cell>
        </row>
        <row r="249">
          <cell r="C249" t="str">
            <v>BEC</v>
          </cell>
        </row>
        <row r="249">
          <cell r="F249" t="str">
            <v>Ahmad Misik Akyas Al-Kaesy</v>
          </cell>
        </row>
        <row r="250">
          <cell r="C250" t="str">
            <v>DC_ANTAPANI_WETAN</v>
          </cell>
        </row>
        <row r="250">
          <cell r="F250" t="str">
            <v>Cecep Ramadhan Heryana</v>
          </cell>
        </row>
        <row r="251">
          <cell r="C251" t="str">
            <v>SOG07A</v>
          </cell>
        </row>
        <row r="251">
          <cell r="F251" t="str">
            <v>Cucun Iryanto</v>
          </cell>
        </row>
        <row r="252">
          <cell r="C252" t="str">
            <v>DC_BALEENDAH</v>
          </cell>
        </row>
        <row r="252">
          <cell r="F252" t="str">
            <v>J. Hilmy Malik</v>
          </cell>
        </row>
        <row r="253">
          <cell r="C253" t="str">
            <v>DC_MAJALAYA</v>
          </cell>
        </row>
        <row r="253">
          <cell r="F253" t="str">
            <v>Mochamad Wildan Fahddino</v>
          </cell>
        </row>
        <row r="254">
          <cell r="C254" t="str">
            <v>SOG05A</v>
          </cell>
        </row>
        <row r="254">
          <cell r="F254" t="str">
            <v>Muhammad Dwi Fawzi Hakim</v>
          </cell>
        </row>
        <row r="255">
          <cell r="C255" t="str">
            <v>PACET</v>
          </cell>
        </row>
        <row r="255">
          <cell r="F255" t="str">
            <v>Muhammad Dwi Fawzi Hakim</v>
          </cell>
        </row>
        <row r="256">
          <cell r="C256" t="str">
            <v>DC_BURANGRANG</v>
          </cell>
        </row>
        <row r="256">
          <cell r="F256" t="str">
            <v>Muhammad Fariz Arief Rachman</v>
          </cell>
        </row>
        <row r="257">
          <cell r="C257" t="str">
            <v>DC_CIJAGRA</v>
          </cell>
        </row>
        <row r="257">
          <cell r="F257" t="str">
            <v>Restu Fauzi</v>
          </cell>
        </row>
        <row r="258">
          <cell r="C258" t="str">
            <v>DC_BINONG</v>
          </cell>
        </row>
        <row r="258">
          <cell r="F258" t="str">
            <v>Rian Anjaswara</v>
          </cell>
        </row>
        <row r="259">
          <cell r="C259" t="str">
            <v>PARAKAN_SAAT</v>
          </cell>
        </row>
        <row r="259">
          <cell r="F259" t="str">
            <v>Rizki Gunawan</v>
          </cell>
        </row>
        <row r="260">
          <cell r="C260" t="str">
            <v>SERANGMEKAR_2</v>
          </cell>
        </row>
        <row r="260">
          <cell r="F260" t="str">
            <v>Toni</v>
          </cell>
        </row>
        <row r="261">
          <cell r="C261" t="str">
            <v>CIRENDANG</v>
          </cell>
        </row>
        <row r="261">
          <cell r="F261" t="str">
            <v>Adi Triandi</v>
          </cell>
        </row>
        <row r="262">
          <cell r="C262" t="str">
            <v>KOJENGKANG</v>
          </cell>
        </row>
        <row r="262">
          <cell r="F262" t="str">
            <v>Cahya Purnama</v>
          </cell>
        </row>
        <row r="263">
          <cell r="C263" t="str">
            <v>KADUGEDE</v>
          </cell>
        </row>
        <row r="263">
          <cell r="F263" t="str">
            <v>Fani Grahamulya Gandamiharja</v>
          </cell>
        </row>
        <row r="264">
          <cell r="C264" t="str">
            <v>KNG18</v>
          </cell>
        </row>
        <row r="264">
          <cell r="F264" t="str">
            <v>Muhamad Iqbal Firdaus</v>
          </cell>
        </row>
        <row r="265">
          <cell r="C265" t="str">
            <v>KNG03A</v>
          </cell>
        </row>
        <row r="265">
          <cell r="F265" t="str">
            <v>Muhamad Lukman Hakim</v>
          </cell>
        </row>
        <row r="266">
          <cell r="C266" t="str">
            <v>INDANGKERTA</v>
          </cell>
        </row>
        <row r="266">
          <cell r="F266" t="str">
            <v>Rachman Mulyawan</v>
          </cell>
        </row>
        <row r="267">
          <cell r="C267" t="str">
            <v>KNG26</v>
          </cell>
        </row>
        <row r="267">
          <cell r="F267" t="str">
            <v>Rizal Raetriansyah</v>
          </cell>
        </row>
        <row r="268">
          <cell r="C268" t="str">
            <v>DC_PANAWUAN</v>
          </cell>
        </row>
        <row r="268">
          <cell r="F268" t="str">
            <v>Rizki Ahmad Fauzi</v>
          </cell>
        </row>
        <row r="269">
          <cell r="C269" t="str">
            <v>SOG12E</v>
          </cell>
        </row>
        <row r="269">
          <cell r="F269" t="str">
            <v>Aly Irsyad Robani</v>
          </cell>
        </row>
        <row r="270">
          <cell r="C270" t="str">
            <v>DC_RANCASARI</v>
          </cell>
        </row>
        <row r="270">
          <cell r="F270" t="str">
            <v>Anggiardy Prayudha</v>
          </cell>
        </row>
        <row r="271">
          <cell r="C271" t="str">
            <v>DC_CIBIRU</v>
          </cell>
        </row>
        <row r="271">
          <cell r="F271" t="str">
            <v>Azka Nujjiya Fauzan</v>
          </cell>
        </row>
        <row r="272">
          <cell r="C272" t="str">
            <v>SOG02C</v>
          </cell>
        </row>
        <row r="272">
          <cell r="F272" t="str">
            <v>Dadan Firmansyah</v>
          </cell>
        </row>
        <row r="273">
          <cell r="C273" t="str">
            <v>SOG13C</v>
          </cell>
        </row>
        <row r="273">
          <cell r="F273" t="str">
            <v>Deni Mardiana Ruswandi</v>
          </cell>
        </row>
        <row r="274">
          <cell r="C274" t="str">
            <v>DC_MARGACINTA</v>
          </cell>
        </row>
        <row r="274">
          <cell r="F274" t="str">
            <v>Kiptiah</v>
          </cell>
        </row>
        <row r="275">
          <cell r="C275" t="str">
            <v>DC_PANYAWANGAN</v>
          </cell>
        </row>
        <row r="275">
          <cell r="F275" t="str">
            <v>Krisna Aditya Putra</v>
          </cell>
        </row>
        <row r="276">
          <cell r="C276" t="str">
            <v>SOG11E</v>
          </cell>
        </row>
        <row r="276">
          <cell r="F276" t="str">
            <v>Muchamad Yasir Komaeni</v>
          </cell>
        </row>
        <row r="277">
          <cell r="C277" t="str">
            <v>DC_PEUNDEUY</v>
          </cell>
        </row>
        <row r="277">
          <cell r="F277" t="str">
            <v>Muhammad Farlan Dzulfikar</v>
          </cell>
        </row>
        <row r="278">
          <cell r="C278" t="str">
            <v>DC_CINAMBO</v>
          </cell>
        </row>
        <row r="278">
          <cell r="F278" t="str">
            <v>Nezar Hikmatiar</v>
          </cell>
        </row>
        <row r="279">
          <cell r="C279" t="str">
            <v>SMB11B</v>
          </cell>
        </row>
        <row r="279">
          <cell r="F279" t="str">
            <v>Ade Setiawan</v>
          </cell>
        </row>
        <row r="280">
          <cell r="C280" t="str">
            <v>SMB08B</v>
          </cell>
        </row>
        <row r="280">
          <cell r="F280" t="str">
            <v>Adi Riyana</v>
          </cell>
        </row>
        <row r="281">
          <cell r="C281" t="str">
            <v>SMB02B</v>
          </cell>
        </row>
        <row r="281">
          <cell r="F281" t="str">
            <v>Dadan Ramdan</v>
          </cell>
        </row>
        <row r="282">
          <cell r="C282" t="str">
            <v>CRN03E</v>
          </cell>
        </row>
        <row r="282">
          <cell r="F282" t="str">
            <v>Dany Kurniawan</v>
          </cell>
        </row>
        <row r="283">
          <cell r="C283" t="str">
            <v>SMB13C</v>
          </cell>
        </row>
        <row r="283">
          <cell r="F283" t="str">
            <v>Kiki Nugraha</v>
          </cell>
        </row>
        <row r="284">
          <cell r="C284" t="str">
            <v>SMB10C</v>
          </cell>
        </row>
        <row r="284">
          <cell r="F284" t="str">
            <v>Kuswanto Hendriyana</v>
          </cell>
        </row>
        <row r="285">
          <cell r="C285" t="str">
            <v>SMB05D</v>
          </cell>
        </row>
        <row r="285">
          <cell r="F285" t="str">
            <v>Muhammad Akbar Cokro Pamungkas</v>
          </cell>
        </row>
        <row r="286">
          <cell r="C286" t="str">
            <v>SMB14C</v>
          </cell>
        </row>
        <row r="286">
          <cell r="F286" t="str">
            <v>Muhammad Rafi Febryawan</v>
          </cell>
        </row>
        <row r="287">
          <cell r="C287" t="str">
            <v>SMB29B</v>
          </cell>
        </row>
        <row r="287">
          <cell r="F287" t="str">
            <v>Muhandani Gifari Razoni</v>
          </cell>
        </row>
        <row r="288">
          <cell r="C288" t="str">
            <v>SMB37C</v>
          </cell>
        </row>
        <row r="288">
          <cell r="F288" t="str">
            <v>Nasruloh Abdul Zalil</v>
          </cell>
        </row>
        <row r="289">
          <cell r="C289" t="str">
            <v>CRN02C</v>
          </cell>
        </row>
        <row r="289">
          <cell r="F289" t="str">
            <v>Rama Dicky Montana</v>
          </cell>
        </row>
        <row r="290">
          <cell r="C290" t="str">
            <v>SMB40A</v>
          </cell>
        </row>
        <row r="290">
          <cell r="F290" t="str">
            <v>Rama Dicky Montana</v>
          </cell>
        </row>
        <row r="291">
          <cell r="C291" t="str">
            <v>DC_CIREBON_BARAT</v>
          </cell>
        </row>
        <row r="291">
          <cell r="F291" t="str">
            <v>Riduan</v>
          </cell>
        </row>
        <row r="292">
          <cell r="C292" t="str">
            <v>SMB03C</v>
          </cell>
        </row>
        <row r="292">
          <cell r="F292" t="str">
            <v>Rizal Adilla</v>
          </cell>
        </row>
        <row r="293">
          <cell r="C293" t="str">
            <v>SMB28C</v>
          </cell>
        </row>
        <row r="293">
          <cell r="F293" t="str">
            <v>Sugianto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DROP POINT BEKASI"/>
    </sheetNames>
    <sheetDataSet>
      <sheetData sheetId="0">
        <row r="1">
          <cell r="B1">
            <v>1</v>
          </cell>
        </row>
        <row r="1">
          <cell r="E1">
            <v>4</v>
          </cell>
        </row>
        <row r="2">
          <cell r="B2" t="str">
            <v>Nama Drop_point</v>
          </cell>
        </row>
        <row r="2">
          <cell r="E2" t="str">
            <v>SPV / PIC 1</v>
          </cell>
        </row>
        <row r="3">
          <cell r="B3" t="str">
            <v>BEKASI</v>
          </cell>
        </row>
        <row r="3">
          <cell r="E3" t="str">
            <v>ERLANGGA ISMADYA PUTRA</v>
          </cell>
        </row>
        <row r="4">
          <cell r="B4" t="str">
            <v>DC_BEKASI_UTARA_01</v>
          </cell>
        </row>
        <row r="4">
          <cell r="E4" t="str">
            <v>RICHSON FAHMI</v>
          </cell>
        </row>
        <row r="5">
          <cell r="B5" t="str">
            <v>KALIABANG_TENGAH_02</v>
          </cell>
        </row>
        <row r="5">
          <cell r="E5" t="str">
            <v>TITO ASWIN KARIM</v>
          </cell>
        </row>
        <row r="6">
          <cell r="B6" t="str">
            <v>HARAPAN_BARU</v>
          </cell>
        </row>
        <row r="6">
          <cell r="E6" t="str">
            <v>AHMAD RIQBAL</v>
          </cell>
        </row>
        <row r="7">
          <cell r="B7" t="str">
            <v>JATI_SAMPURNA</v>
          </cell>
        </row>
        <row r="7">
          <cell r="E7" t="str">
            <v>NURROHIM</v>
          </cell>
        </row>
        <row r="8">
          <cell r="B8" t="str">
            <v>PONDOK_GEDE_01</v>
          </cell>
        </row>
        <row r="8">
          <cell r="E8" t="str">
            <v>ACHMAD MAZIRI</v>
          </cell>
        </row>
        <row r="9">
          <cell r="B9" t="str">
            <v>JATIBENING_01</v>
          </cell>
        </row>
        <row r="9">
          <cell r="E9" t="str">
            <v>SUTISNA</v>
          </cell>
        </row>
        <row r="10">
          <cell r="B10" t="str">
            <v>JATIBENING_02</v>
          </cell>
        </row>
        <row r="10">
          <cell r="E10" t="str">
            <v>FAHMI AL JUFRY</v>
          </cell>
        </row>
        <row r="11">
          <cell r="B11" t="str">
            <v>BEKASI_BARAT_01</v>
          </cell>
        </row>
        <row r="11">
          <cell r="E11" t="str">
            <v>YOGA WARDANA</v>
          </cell>
        </row>
        <row r="12">
          <cell r="B12" t="str">
            <v>BINTARA_JAYA_01</v>
          </cell>
        </row>
        <row r="12">
          <cell r="E12" t="str">
            <v>ANGGA KUSUMA</v>
          </cell>
        </row>
        <row r="13">
          <cell r="B13" t="str">
            <v>BANTAR_GEBANG</v>
          </cell>
        </row>
        <row r="13">
          <cell r="E13" t="str">
            <v>ALI IBRAHIM</v>
          </cell>
        </row>
        <row r="14">
          <cell r="B14" t="str">
            <v>MANGUNJAYA_01</v>
          </cell>
        </row>
        <row r="14">
          <cell r="E14" t="str">
            <v>ACHMAD MAULANA PUTRA</v>
          </cell>
        </row>
        <row r="15">
          <cell r="B15" t="str">
            <v>TAMBUN_SELATAN_01</v>
          </cell>
        </row>
        <row r="15">
          <cell r="E15" t="str">
            <v>ANNISAA NURULHUDA WAHIDIN</v>
          </cell>
        </row>
        <row r="16">
          <cell r="B16" t="str">
            <v>DC_CIBITUNG_01</v>
          </cell>
        </row>
        <row r="16">
          <cell r="E16" t="str">
            <v>DIDIT JAMALUDIN</v>
          </cell>
        </row>
        <row r="17">
          <cell r="B17" t="str">
            <v>CIBUNTU_01</v>
          </cell>
        </row>
        <row r="17">
          <cell r="E17" t="str">
            <v>RENDY DIRGANTARA</v>
          </cell>
        </row>
        <row r="18">
          <cell r="B18" t="str">
            <v>DP_MUKTIWARI_01</v>
          </cell>
        </row>
        <row r="18">
          <cell r="E18" t="str">
            <v>FAUZI AKBAR</v>
          </cell>
        </row>
        <row r="19">
          <cell r="B19" t="str">
            <v>HARAPAN_INDAH</v>
          </cell>
        </row>
        <row r="19">
          <cell r="E19" t="str">
            <v>FACHRUDIN</v>
          </cell>
        </row>
        <row r="20">
          <cell r="B20" t="str">
            <v>TAMBUN_UTARA</v>
          </cell>
        </row>
        <row r="20">
          <cell r="E20" t="str">
            <v>FAJAR SAPUTRA NOVEBRYANTO</v>
          </cell>
        </row>
        <row r="21">
          <cell r="B21" t="str">
            <v>DP_BABELAN_KOTA_01</v>
          </cell>
        </row>
        <row r="21">
          <cell r="E21" t="str">
            <v>KHOIRUL ANWAR</v>
          </cell>
        </row>
        <row r="22">
          <cell r="B22" t="str">
            <v>BABELAN</v>
          </cell>
        </row>
        <row r="22">
          <cell r="E22" t="str">
            <v>DENI PERMANA</v>
          </cell>
        </row>
        <row r="23">
          <cell r="B23" t="str">
            <v>DC_TAMBUN</v>
          </cell>
        </row>
        <row r="23">
          <cell r="E23" t="str">
            <v>AROFIQ WALHIDAYAT</v>
          </cell>
        </row>
        <row r="24">
          <cell r="B24" t="str">
            <v>DC_JATIASIH</v>
          </cell>
        </row>
        <row r="24">
          <cell r="E24" t="str">
            <v>AAN SUPRATMAN</v>
          </cell>
        </row>
        <row r="25">
          <cell r="B25" t="str">
            <v>DC_MUSTIKA_JAYA</v>
          </cell>
        </row>
        <row r="25">
          <cell r="E25" t="str">
            <v>JHENIS ATHA NANDA</v>
          </cell>
        </row>
        <row r="26">
          <cell r="B26" t="str">
            <v>DC_PONDOK_MELATI</v>
          </cell>
        </row>
        <row r="26">
          <cell r="E26" t="str">
            <v>SELAMET DARSIYO</v>
          </cell>
        </row>
        <row r="27">
          <cell r="B27" t="str">
            <v>DC_BEKASI_TIMUR</v>
          </cell>
        </row>
        <row r="27">
          <cell r="E27" t="str">
            <v>NANDA ARIS WANDI</v>
          </cell>
        </row>
        <row r="28">
          <cell r="B28" t="str">
            <v>DC_MEDAN_SATRIA</v>
          </cell>
        </row>
        <row r="28">
          <cell r="E28" t="str">
            <v>IHWAN RAMADHAN</v>
          </cell>
        </row>
        <row r="29">
          <cell r="B29" t="str">
            <v>DC_BEKASI_SELATAN</v>
          </cell>
        </row>
        <row r="29">
          <cell r="E29" t="str">
            <v>APRIYANTO</v>
          </cell>
        </row>
        <row r="30">
          <cell r="B30" t="str">
            <v>TAMBUN_UTARA_02</v>
          </cell>
        </row>
        <row r="30">
          <cell r="E30" t="str">
            <v>ANDI RACHMANSYAH</v>
          </cell>
        </row>
        <row r="31">
          <cell r="B31" t="str">
            <v>TARUMAJAYA_02</v>
          </cell>
        </row>
        <row r="31">
          <cell r="E31" t="str">
            <v>SARYONO</v>
          </cell>
        </row>
        <row r="32">
          <cell r="B32" t="str">
            <v>BABELAN_02</v>
          </cell>
        </row>
        <row r="32">
          <cell r="E32" t="str">
            <v>ARI SABANDI</v>
          </cell>
        </row>
        <row r="33">
          <cell r="B33" t="str">
            <v>SETU_02</v>
          </cell>
        </row>
        <row r="33">
          <cell r="E33" t="str">
            <v>FAHMI</v>
          </cell>
        </row>
        <row r="34">
          <cell r="B34" t="str">
            <v>RAWALUMBU_02</v>
          </cell>
        </row>
        <row r="34">
          <cell r="E34" t="str">
            <v>NOVA ANDRIANTO</v>
          </cell>
        </row>
        <row r="35">
          <cell r="B35" t="str">
            <v>CIKARANG</v>
          </cell>
        </row>
        <row r="35">
          <cell r="E35" t="str">
            <v>AGUNG HARTANTO</v>
          </cell>
        </row>
        <row r="36">
          <cell r="B36" t="str">
            <v>DELTA_MAS</v>
          </cell>
        </row>
        <row r="36">
          <cell r="E36" t="str">
            <v>SAFRIN PRIGIYANTO</v>
          </cell>
        </row>
        <row r="37">
          <cell r="B37" t="str">
            <v>SUKATANI</v>
          </cell>
        </row>
        <row r="37">
          <cell r="E37" t="str">
            <v>KHAIRUL WILDAN UMAM</v>
          </cell>
        </row>
        <row r="38">
          <cell r="B38" t="str">
            <v>KEDUNG_WARINGIN</v>
          </cell>
        </row>
        <row r="38">
          <cell r="E38" t="str">
            <v>AEP BOIS</v>
          </cell>
        </row>
        <row r="39">
          <cell r="B39" t="str">
            <v>SERANG_BARU_01</v>
          </cell>
        </row>
        <row r="39">
          <cell r="E39" t="str">
            <v>FIRDAUS</v>
          </cell>
        </row>
        <row r="40">
          <cell r="B40" t="str">
            <v>CIBARUSAH_JAYA</v>
          </cell>
        </row>
        <row r="40">
          <cell r="E40" t="str">
            <v>ZAKI RACHMADI NASUTION</v>
          </cell>
        </row>
        <row r="41">
          <cell r="B41" t="str">
            <v>PASIR_GOMBONG</v>
          </cell>
        </row>
        <row r="41">
          <cell r="E41" t="str">
            <v>MUKHAMAD NOFANA ABDULLAH</v>
          </cell>
        </row>
        <row r="42">
          <cell r="B42" t="str">
            <v>TELAGA_MURNI</v>
          </cell>
        </row>
        <row r="42">
          <cell r="E42" t="str">
            <v>TIDAK ADA</v>
          </cell>
        </row>
        <row r="43">
          <cell r="B43" t="str">
            <v>KARANG_BAHAGIA</v>
          </cell>
        </row>
        <row r="43">
          <cell r="E43" t="str">
            <v>KIKIH RIJKI APNUR CAHYA</v>
          </cell>
        </row>
        <row r="44">
          <cell r="B44" t="str">
            <v>DC_CIKARANG_SELATAN</v>
          </cell>
        </row>
        <row r="44">
          <cell r="E44" t="str">
            <v>HARRI SWANDI NAINGGOLAN</v>
          </cell>
        </row>
        <row r="45">
          <cell r="B45" t="str">
            <v>DC_CIKARANG_BARAT</v>
          </cell>
        </row>
        <row r="45">
          <cell r="E45" t="str">
            <v>IRFAN FAUZI</v>
          </cell>
        </row>
        <row r="46">
          <cell r="B46" t="str">
            <v>DC_CIKARANG_UTARA</v>
          </cell>
        </row>
        <row r="46">
          <cell r="E46" t="str">
            <v>M DAFIT SUHERLI</v>
          </cell>
        </row>
        <row r="47">
          <cell r="B47" t="str">
            <v>DC_CIBARUSAH</v>
          </cell>
        </row>
        <row r="47">
          <cell r="E47" t="str">
            <v>DENI SETIAWAN</v>
          </cell>
        </row>
        <row r="48">
          <cell r="B48" t="str">
            <v>DC_CIKARANG_PUSAT</v>
          </cell>
        </row>
        <row r="48">
          <cell r="E48" t="str">
            <v>IRZAN EFRIANSYAH</v>
          </cell>
        </row>
        <row r="49">
          <cell r="B49" t="str">
            <v>JATI_WANGI</v>
          </cell>
        </row>
        <row r="49">
          <cell r="E49" t="str">
            <v>FITRAH TEGAR RAMADHAN</v>
          </cell>
        </row>
        <row r="50">
          <cell r="B50" t="str">
            <v>CABANG_BUNGIN</v>
          </cell>
        </row>
        <row r="50">
          <cell r="E50" t="str">
            <v>SARIFPUDIN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DP"/>
      <sheetName val="Raw"/>
      <sheetName val="Raw (Bulanan)"/>
    </sheetNames>
    <sheetDataSet>
      <sheetData sheetId="0">
        <row r="2">
          <cell r="E2" t="str">
            <v>SPV</v>
          </cell>
          <cell r="F2" t="str">
            <v>网点名称
Nama DP</v>
          </cell>
        </row>
        <row r="4">
          <cell r="F4" t="str">
            <v>AGENT40</v>
          </cell>
        </row>
        <row r="6">
          <cell r="E6" t="str">
            <v>RIZKY ADITYAWARMAN</v>
          </cell>
          <cell r="F6" t="str">
            <v>DC_SUNTER</v>
          </cell>
        </row>
        <row r="7">
          <cell r="E7" t="str">
            <v>HENLY KURNIAWAN</v>
          </cell>
          <cell r="F7" t="str">
            <v>ANCOL</v>
          </cell>
        </row>
        <row r="8">
          <cell r="E8" t="str">
            <v>APRI NUR YUSUP</v>
          </cell>
          <cell r="F8" t="str">
            <v>PLUIT_PERMAI</v>
          </cell>
        </row>
        <row r="9">
          <cell r="E9" t="str">
            <v>APRI NUR YUSUP</v>
          </cell>
          <cell r="F9" t="str">
            <v>CP_PLUIT_PERMAI</v>
          </cell>
        </row>
        <row r="10">
          <cell r="E10" t="str">
            <v>HENLY KURNIAWAN</v>
          </cell>
          <cell r="F10" t="str">
            <v>CP_PADEMANGAN_4</v>
          </cell>
        </row>
        <row r="11">
          <cell r="E11" t="str">
            <v>RIZKY ADITYAWARMAN</v>
          </cell>
          <cell r="F11" t="str">
            <v>CP_DANAUSUNTER_UTARA</v>
          </cell>
        </row>
        <row r="12">
          <cell r="E12" t="str">
            <v>ARDY KRISNANTO</v>
          </cell>
          <cell r="F12" t="str">
            <v>TELUK_GONG</v>
          </cell>
        </row>
        <row r="13">
          <cell r="E13" t="str">
            <v>RUBBY ROCHMAN</v>
          </cell>
          <cell r="F13" t="str">
            <v>KAMAL_MUARA</v>
          </cell>
        </row>
        <row r="14">
          <cell r="E14" t="str">
            <v>RIZKY ADITYAWARMAN</v>
          </cell>
          <cell r="F14" t="str">
            <v>CP_ANCOL_SELATAN_1</v>
          </cell>
        </row>
        <row r="15">
          <cell r="E15" t="str">
            <v>RUBBY ROCHMAN</v>
          </cell>
          <cell r="F15" t="str">
            <v>CP_TELUK_GONG_RAYA</v>
          </cell>
        </row>
        <row r="16">
          <cell r="E16" t="str">
            <v>RUBBY ROCHMAN</v>
          </cell>
          <cell r="F16" t="str">
            <v>KEPULAUAN_SERIBU</v>
          </cell>
        </row>
        <row r="17">
          <cell r="E17" t="str">
            <v>RENGGA SAPUTRA</v>
          </cell>
          <cell r="F17" t="str">
            <v>KOTA_TUA</v>
          </cell>
        </row>
        <row r="18">
          <cell r="E18" t="str">
            <v>ALFIN WARDANA</v>
          </cell>
          <cell r="F18" t="str">
            <v>TANAH_ABANG</v>
          </cell>
        </row>
        <row r="19">
          <cell r="E19" t="str">
            <v>RENGGA SAPUTRA</v>
          </cell>
          <cell r="F19" t="str">
            <v>CP_PINANGSIA_RAYA</v>
          </cell>
        </row>
        <row r="20">
          <cell r="E20" t="str">
            <v>RENGGA SAPUTRA</v>
          </cell>
          <cell r="F20" t="str">
            <v>CP_MANGGA_BESAR_2</v>
          </cell>
        </row>
        <row r="21">
          <cell r="E21" t="str">
            <v>PAZRI FIRDAUS</v>
          </cell>
          <cell r="F21" t="str">
            <v>JOHAR_BARU_01</v>
          </cell>
        </row>
        <row r="22">
          <cell r="E22" t="str">
            <v>EKA PRATAMA BAHARA</v>
          </cell>
          <cell r="F22" t="str">
            <v>SENEN</v>
          </cell>
        </row>
        <row r="23">
          <cell r="E23" t="str">
            <v>RENGGA SAPUTRA</v>
          </cell>
          <cell r="F23" t="str">
            <v>CP_ZAINUL_ARIFIN</v>
          </cell>
        </row>
        <row r="24">
          <cell r="E24" t="str">
            <v>NUGROHO HARI KUNCAHYO</v>
          </cell>
          <cell r="F24" t="str">
            <v>DC_CIPAYUNG</v>
          </cell>
        </row>
        <row r="25">
          <cell r="E25" t="str">
            <v>ARDY SASMOYO</v>
          </cell>
          <cell r="F25" t="str">
            <v>KELAPA_DUA_01</v>
          </cell>
        </row>
        <row r="26">
          <cell r="E26" t="str">
            <v>HENDRI ADITYA</v>
          </cell>
          <cell r="F26" t="str">
            <v>PONDOK_BAMBU</v>
          </cell>
        </row>
        <row r="27">
          <cell r="E27" t="str">
            <v>QORI SEKENAWAN OSADI</v>
          </cell>
          <cell r="F27" t="str">
            <v>DC_PEKAYON</v>
          </cell>
        </row>
        <row r="28">
          <cell r="E28" t="str">
            <v>NUGROHO HARI KUNCAHYO</v>
          </cell>
          <cell r="F28" t="str">
            <v>CP_CEGER</v>
          </cell>
        </row>
        <row r="29">
          <cell r="E29" t="str">
            <v>RIO PERMANNA WIJAYA</v>
          </cell>
          <cell r="F29" t="str">
            <v>DC_MAKASAR</v>
          </cell>
        </row>
        <row r="30">
          <cell r="E30" t="str">
            <v>AHMAD KAMAL</v>
          </cell>
          <cell r="F30" t="str">
            <v>KAMPUNG_TENGAH</v>
          </cell>
        </row>
        <row r="31">
          <cell r="E31" t="str">
            <v>QORI SEKENAWAN OSADI</v>
          </cell>
          <cell r="F31" t="str">
            <v>CP_CIJANTUNG</v>
          </cell>
        </row>
        <row r="32">
          <cell r="E32" t="str">
            <v>HENDRI ADITYA</v>
          </cell>
          <cell r="F32" t="str">
            <v>CP_PONDOK_BAMBU</v>
          </cell>
        </row>
        <row r="33">
          <cell r="E33" t="str">
            <v>ARDY SASMOYO</v>
          </cell>
          <cell r="F33" t="str">
            <v>CP_RAYA_KELAPA</v>
          </cell>
        </row>
        <row r="34">
          <cell r="E34" t="str">
            <v>PAMUJI RYAN ANDRIANTO</v>
          </cell>
          <cell r="F34" t="str">
            <v>DC_CIRACAS</v>
          </cell>
        </row>
        <row r="35">
          <cell r="E35" t="str">
            <v>HUSEIN AL IDRUS ANHAR</v>
          </cell>
          <cell r="F35" t="str">
            <v>CP_MENTENG_PULO</v>
          </cell>
        </row>
        <row r="36">
          <cell r="E36" t="str">
            <v>ROYMAN</v>
          </cell>
          <cell r="F36" t="str">
            <v>PONDOK_KELAPA_01</v>
          </cell>
        </row>
        <row r="37">
          <cell r="E37" t="str">
            <v>YODY EVANDER LODEWIJK N.</v>
          </cell>
          <cell r="F37" t="str">
            <v>CP_JATINEGARA</v>
          </cell>
        </row>
        <row r="38">
          <cell r="E38" t="str">
            <v>HUSEIN AL IDRUS ANHAR</v>
          </cell>
          <cell r="F38" t="str">
            <v>CP_DR_SATRIO</v>
          </cell>
        </row>
        <row r="39">
          <cell r="E39" t="str">
            <v>YODY EVANDER LODEWIJK N.</v>
          </cell>
          <cell r="F39" t="str">
            <v>DC_JATINEGARA</v>
          </cell>
        </row>
        <row r="40">
          <cell r="E40" t="str">
            <v>HUSEIN AL IDRUS ANHAR</v>
          </cell>
          <cell r="F40" t="str">
            <v>SETIABUDI</v>
          </cell>
        </row>
        <row r="41">
          <cell r="E41" t="str">
            <v>ROYMAN</v>
          </cell>
          <cell r="F41" t="str">
            <v>CP_HAJI_NAMAN_1</v>
          </cell>
        </row>
        <row r="42">
          <cell r="E42" t="str">
            <v>YODY EVANDER LODEWIJK N.</v>
          </cell>
          <cell r="F42" t="str">
            <v>CP_JATINEGARA_BARAT</v>
          </cell>
        </row>
        <row r="43">
          <cell r="E43" t="str">
            <v>MUHAMAD FAISAL</v>
          </cell>
          <cell r="F43" t="str">
            <v>TEBET</v>
          </cell>
        </row>
        <row r="44">
          <cell r="E44" t="str">
            <v>NOVENDRA ALDI MUHAMMAD</v>
          </cell>
          <cell r="F44" t="str">
            <v>KLENDER</v>
          </cell>
        </row>
        <row r="45">
          <cell r="E45" t="str">
            <v>MUHAMMAD IQBAL</v>
          </cell>
          <cell r="F45" t="str">
            <v>DC_MATRAMAN</v>
          </cell>
        </row>
        <row r="46">
          <cell r="E46" t="str">
            <v>MAHMUD H</v>
          </cell>
          <cell r="F46" t="str">
            <v>CP_UJUNG_MENTENG</v>
          </cell>
        </row>
        <row r="47">
          <cell r="E47" t="str">
            <v>ARMAN SURYADI</v>
          </cell>
          <cell r="F47" t="str">
            <v>CP_PISANGAN_TIMUR_2</v>
          </cell>
        </row>
        <row r="48">
          <cell r="E48" t="str">
            <v>LILIS INDRA WATI</v>
          </cell>
          <cell r="F48" t="str">
            <v>CP_KAYU_TINGGI_1</v>
          </cell>
        </row>
        <row r="49">
          <cell r="E49" t="str">
            <v>LILIS INDRA WATI</v>
          </cell>
          <cell r="F49" t="str">
            <v>CP_PENGGILINGAN_2</v>
          </cell>
        </row>
        <row r="50">
          <cell r="E50" t="str">
            <v>TADIN SAPUTRA</v>
          </cell>
          <cell r="F50" t="str">
            <v>CP_ANCOL_BARAT_2</v>
          </cell>
        </row>
        <row r="51">
          <cell r="E51" t="str">
            <v>MAHMUD H</v>
          </cell>
          <cell r="F51" t="str">
            <v>PULOGEBANG_01</v>
          </cell>
        </row>
        <row r="52">
          <cell r="E52" t="str">
            <v>ARMAN SURYADI</v>
          </cell>
          <cell r="F52" t="str">
            <v>DC_PULO_GADUNG</v>
          </cell>
        </row>
        <row r="53">
          <cell r="E53" t="str">
            <v>TADIN SAPUTRA</v>
          </cell>
          <cell r="F53" t="str">
            <v>ROROTAN</v>
          </cell>
        </row>
        <row r="54">
          <cell r="E54" t="str">
            <v>SATRIO KESIT WICAKSONO</v>
          </cell>
          <cell r="F54" t="str">
            <v>DC_UJUNG_MENTENG</v>
          </cell>
        </row>
        <row r="55">
          <cell r="E55" t="str">
            <v>MUHAMMAD IQBAL</v>
          </cell>
          <cell r="F55" t="str">
            <v>CP_UTAN_KAYU</v>
          </cell>
        </row>
        <row r="56">
          <cell r="E56" t="str">
            <v>PAZRIN HIDAYAT</v>
          </cell>
          <cell r="F56" t="str">
            <v>KALIBARU_01</v>
          </cell>
        </row>
        <row r="57">
          <cell r="E57" t="str">
            <v>LILIS INDRA WATI</v>
          </cell>
          <cell r="F57" t="str">
            <v>DC_CAKUNG</v>
          </cell>
        </row>
        <row r="58">
          <cell r="E58" t="str">
            <v>NUR KHUSJANANTO</v>
          </cell>
          <cell r="F58" t="str">
            <v>DC_SRENGSENG</v>
          </cell>
        </row>
        <row r="59">
          <cell r="E59" t="str">
            <v>SAMSU RIJAL</v>
          </cell>
          <cell r="F59" t="str">
            <v>DC_TAMBORA</v>
          </cell>
        </row>
        <row r="60">
          <cell r="E60" t="str">
            <v>LUKMAN NULHAKIM</v>
          </cell>
          <cell r="F60" t="str">
            <v>KEMBANGAN_SELATAN</v>
          </cell>
        </row>
        <row r="61">
          <cell r="E61" t="str">
            <v>RAKA FAHRIZKI</v>
          </cell>
          <cell r="F61" t="str">
            <v>MERUYA_UTARA</v>
          </cell>
        </row>
        <row r="62">
          <cell r="E62" t="str">
            <v>FIRMAN SYAHPUTRA</v>
          </cell>
          <cell r="F62" t="str">
            <v>CP_TAMAN_RATU</v>
          </cell>
        </row>
        <row r="63">
          <cell r="E63" t="str">
            <v>RIDWAN ALDIANSYAH</v>
          </cell>
          <cell r="F63" t="str">
            <v>DC_GAMBIR</v>
          </cell>
        </row>
        <row r="64">
          <cell r="E64" t="str">
            <v>NUR KHUSJANANTO</v>
          </cell>
          <cell r="F64" t="str">
            <v>CP_KEBON_JERUK_RAYA</v>
          </cell>
        </row>
        <row r="65">
          <cell r="E65" t="str">
            <v>FIRMAN SYAHPUTRA</v>
          </cell>
          <cell r="F65" t="str">
            <v>KEDOYA_UTARA</v>
          </cell>
        </row>
        <row r="66">
          <cell r="E66" t="str">
            <v>SAMSU RIJAL</v>
          </cell>
          <cell r="F66" t="str">
            <v>TAMBORA</v>
          </cell>
        </row>
        <row r="67">
          <cell r="E67" t="str">
            <v>LUKMAN NULHAKIM</v>
          </cell>
          <cell r="F67" t="str">
            <v>CP_KEMBANGAN</v>
          </cell>
        </row>
        <row r="68">
          <cell r="E68" t="str">
            <v>RAKA FAHRIZKI</v>
          </cell>
          <cell r="F68" t="str">
            <v>CP_ANGGREK_2</v>
          </cell>
        </row>
        <row r="69">
          <cell r="E69" t="str">
            <v>SAMSU RIJAL</v>
          </cell>
          <cell r="F69" t="str">
            <v>CP_ANGKE_INDAH</v>
          </cell>
        </row>
        <row r="70">
          <cell r="E70" t="str">
            <v>RAFLI FEBRIANSYAH</v>
          </cell>
          <cell r="F70" t="str">
            <v>DC_MAMPANG_PRAPATAN</v>
          </cell>
        </row>
        <row r="71">
          <cell r="E71" t="str">
            <v>DIRA CANA</v>
          </cell>
          <cell r="F71" t="str">
            <v>DC_JAGAKARSA</v>
          </cell>
        </row>
        <row r="72">
          <cell r="E72" t="str">
            <v>MUHAMMAD MUGHNIL LABIB</v>
          </cell>
          <cell r="F72" t="str">
            <v>CP_PASAR_MAYESTIK</v>
          </cell>
        </row>
        <row r="73">
          <cell r="E73" t="str">
            <v>RENDI ANDIRA</v>
          </cell>
          <cell r="F73" t="str">
            <v>KHAFI_01</v>
          </cell>
        </row>
        <row r="74">
          <cell r="E74" t="str">
            <v>MUHAMMAD MUGHNIL LABIB</v>
          </cell>
          <cell r="F74" t="str">
            <v>DC_KEBAYORAN_BARU</v>
          </cell>
        </row>
        <row r="75">
          <cell r="E75" t="str">
            <v>RAFLI FEBRIANSYAH</v>
          </cell>
          <cell r="F75" t="str">
            <v>CP_BANGKA</v>
          </cell>
        </row>
        <row r="76">
          <cell r="E76" t="str">
            <v>RANDI PRIHARTONO</v>
          </cell>
          <cell r="F76" t="str">
            <v>JATIPADANG_01</v>
          </cell>
        </row>
        <row r="77">
          <cell r="E77" t="str">
            <v>DIRA CANA</v>
          </cell>
          <cell r="F77" t="str">
            <v>CP_TANJUNG_BARAT</v>
          </cell>
        </row>
        <row r="78">
          <cell r="E78" t="str">
            <v>PRAMU SINTO</v>
          </cell>
          <cell r="F78" t="str">
            <v>DC_KALIBATA_UTARA</v>
          </cell>
        </row>
        <row r="79">
          <cell r="E79" t="str">
            <v>RENDI ANDIRA</v>
          </cell>
          <cell r="F79" t="str">
            <v>CP_CIGANJUR</v>
          </cell>
        </row>
        <row r="80">
          <cell r="E80" t="str">
            <v>DIRA CANA</v>
          </cell>
          <cell r="F80" t="str">
            <v>CP_SRENGSENG_SAWAH</v>
          </cell>
        </row>
        <row r="81">
          <cell r="E81" t="str">
            <v>NOTO IRAWAN</v>
          </cell>
          <cell r="F81" t="str">
            <v>DC_PASAR_MINGGU</v>
          </cell>
        </row>
        <row r="82">
          <cell r="E82" t="str">
            <v>RAFLI FEBRIANSYAH</v>
          </cell>
          <cell r="F82" t="str">
            <v>CP_TEGAL_PARANG</v>
          </cell>
        </row>
        <row r="83">
          <cell r="E83" t="str">
            <v>FAJAR NUR MAULANA</v>
          </cell>
          <cell r="F83" t="str">
            <v>DC_PONDOK_PINANG</v>
          </cell>
        </row>
        <row r="84">
          <cell r="E84" t="str">
            <v>MIRZA NURUL FAJAR AHMAD</v>
          </cell>
          <cell r="F84" t="str">
            <v>DC_KEBAYORAN_LAMA</v>
          </cell>
        </row>
        <row r="85">
          <cell r="E85" t="str">
            <v>DZULFIQAR SADDAM PRAKOSO</v>
          </cell>
          <cell r="F85" t="str">
            <v>CILANDAK_2</v>
          </cell>
        </row>
        <row r="86">
          <cell r="E86" t="str">
            <v>DAYU CANDRA ISHAK</v>
          </cell>
          <cell r="F86" t="str">
            <v>CP_PESANGGRAHAN_2</v>
          </cell>
        </row>
        <row r="87">
          <cell r="E87" t="str">
            <v>TRI ASMA INDRA SAPUTRA</v>
          </cell>
          <cell r="F87" t="str">
            <v>DC_GELORA</v>
          </cell>
        </row>
        <row r="88">
          <cell r="E88" t="str">
            <v>VINNY LESTARI</v>
          </cell>
          <cell r="F88" t="str">
            <v>DC_PALMERAH</v>
          </cell>
        </row>
        <row r="89">
          <cell r="E89" t="str">
            <v>MIRZA NURUL FAJAR AHMAD</v>
          </cell>
          <cell r="F89" t="str">
            <v>CP_KEBAYORAN_2</v>
          </cell>
        </row>
        <row r="90">
          <cell r="E90" t="str">
            <v>DZULFIQAR SADDAM PRAKOSO</v>
          </cell>
          <cell r="F90" t="str">
            <v>CP_LEBAK_BULUS</v>
          </cell>
        </row>
        <row r="91">
          <cell r="E91" t="str">
            <v>FAJAR NUR MAULANA</v>
          </cell>
          <cell r="F91" t="str">
            <v>CP_PONDOK_PINANG_2</v>
          </cell>
        </row>
        <row r="92">
          <cell r="E92" t="str">
            <v>DAYU CANDRA ISHAK</v>
          </cell>
          <cell r="F92" t="str">
            <v>DC_PESANGGRAHAN</v>
          </cell>
        </row>
        <row r="93">
          <cell r="E93" t="str">
            <v>REZA PRATAMA PUTRA</v>
          </cell>
          <cell r="F93" t="str">
            <v>DC_CILINCING</v>
          </cell>
        </row>
        <row r="94">
          <cell r="E94" t="str">
            <v>MOHAMAD IRVAN</v>
          </cell>
          <cell r="F94" t="str">
            <v>PLUMPANG_RAYA</v>
          </cell>
        </row>
        <row r="95">
          <cell r="E95" t="str">
            <v>DWI PUTRO WARDOYO WIDODO</v>
          </cell>
          <cell r="F95" t="str">
            <v>DC_GROGOL</v>
          </cell>
        </row>
        <row r="96">
          <cell r="E96" t="str">
            <v>ANJAR MAULANA</v>
          </cell>
          <cell r="F96" t="str">
            <v>SUSILO_01</v>
          </cell>
        </row>
        <row r="97">
          <cell r="E97" t="str">
            <v>BRIAN DANIEL</v>
          </cell>
          <cell r="F97" t="str">
            <v>CP_SAWAH_BESAR_2</v>
          </cell>
        </row>
        <row r="98">
          <cell r="E98" t="str">
            <v>REZA PRATAMA PUTRA</v>
          </cell>
          <cell r="F98" t="str">
            <v>GADING_GRIYA_L</v>
          </cell>
        </row>
        <row r="99">
          <cell r="E99" t="str">
            <v>BRIAN DANIEL</v>
          </cell>
          <cell r="F99" t="str">
            <v>GUNUNG_SAHARI_01</v>
          </cell>
        </row>
        <row r="100">
          <cell r="E100" t="str">
            <v>SALEH</v>
          </cell>
          <cell r="F100" t="str">
            <v>DC_KELAPA_GADING</v>
          </cell>
        </row>
        <row r="101">
          <cell r="E101" t="str">
            <v>MOHAMAD IRVAN</v>
          </cell>
          <cell r="F101" t="str">
            <v>CP_KOJA_1</v>
          </cell>
        </row>
        <row r="102">
          <cell r="E102" t="str">
            <v>ANJAR MAULANA</v>
          </cell>
          <cell r="F102" t="str">
            <v>CP_KEDOYA_RAYA_2</v>
          </cell>
        </row>
        <row r="103">
          <cell r="E103" t="str">
            <v>IKHSAN ALIF AL MI' ROJ</v>
          </cell>
          <cell r="F103" t="str">
            <v>DC_KEMAYORAN</v>
          </cell>
        </row>
        <row r="104">
          <cell r="E104" t="str">
            <v>DWI PUTRO WARDOYO WIDODO</v>
          </cell>
          <cell r="F104" t="str">
            <v>CP_TANJUNG_DUREN_2</v>
          </cell>
        </row>
        <row r="105">
          <cell r="E105" t="str">
            <v>KUAT PRAYITNO</v>
          </cell>
          <cell r="F105" t="str">
            <v>DC_RAWA_BUAYA</v>
          </cell>
        </row>
        <row r="106">
          <cell r="E106" t="str">
            <v>MUHAMMAD SALISGIA</v>
          </cell>
          <cell r="F106" t="str">
            <v>KALIDERES</v>
          </cell>
        </row>
        <row r="107">
          <cell r="E107" t="str">
            <v>OPI PAJAR IRAWAN</v>
          </cell>
          <cell r="F107" t="str">
            <v>CP_KOSAMBI_BARU_1</v>
          </cell>
        </row>
        <row r="108">
          <cell r="E108" t="str">
            <v>FADHILLAH NURRACHMAN S</v>
          </cell>
          <cell r="F108" t="str">
            <v>CP_NEW_KAPUK</v>
          </cell>
        </row>
        <row r="109">
          <cell r="E109" t="str">
            <v>KUAT PRAYITNO</v>
          </cell>
          <cell r="F109" t="str">
            <v>CP_RAWA_BUAYA_2</v>
          </cell>
        </row>
        <row r="110">
          <cell r="E110" t="str">
            <v>FADHILLAH NURRACHMAN S</v>
          </cell>
          <cell r="F110" t="str">
            <v>KAPUK_RAYA</v>
          </cell>
        </row>
        <row r="111">
          <cell r="E111" t="str">
            <v>AGUNG RESTU MUSTAQIM</v>
          </cell>
          <cell r="F111" t="str">
            <v>DC_PEGADUNGAN</v>
          </cell>
        </row>
        <row r="112">
          <cell r="E112" t="str">
            <v>AGUNG RESTU MUSTAQIM</v>
          </cell>
          <cell r="F112" t="str">
            <v>CP_PERMATA_PALEM_1</v>
          </cell>
        </row>
        <row r="113">
          <cell r="E113" t="str">
            <v>MUHAMMAD SALISGIA</v>
          </cell>
          <cell r="F113" t="str">
            <v>CP_KALIDERES</v>
          </cell>
        </row>
      </sheetData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ID DP</v>
          </cell>
        </row>
        <row r="1">
          <cell r="E1" t="str">
            <v>RM</v>
          </cell>
        </row>
        <row r="2">
          <cell r="B2" t="str">
            <v>CIB11A</v>
          </cell>
        </row>
        <row r="2">
          <cell r="E2" t="str">
            <v>AHMAD TOFIK YULFIKAR</v>
          </cell>
        </row>
        <row r="3">
          <cell r="B3" t="str">
            <v>CIBATOK</v>
          </cell>
        </row>
        <row r="3">
          <cell r="E3" t="str">
            <v>AHMAD TOFIK YULFIKAR</v>
          </cell>
        </row>
        <row r="4">
          <cell r="B4" t="str">
            <v>DC_CIGUDEG</v>
          </cell>
        </row>
        <row r="4">
          <cell r="E4" t="str">
            <v>AHMAD TOFIK YULFIKAR</v>
          </cell>
        </row>
        <row r="5">
          <cell r="B5" t="str">
            <v>DC_DRAMAGA</v>
          </cell>
        </row>
        <row r="5">
          <cell r="E5" t="str">
            <v>AHMAD TOFIK YULFIKAR</v>
          </cell>
        </row>
        <row r="6">
          <cell r="B6" t="str">
            <v>DC_JASINGA</v>
          </cell>
        </row>
        <row r="6">
          <cell r="E6" t="str">
            <v>AHMAD TOFIK YULFIKAR</v>
          </cell>
        </row>
        <row r="7">
          <cell r="B7" t="str">
            <v>CIAMPEA</v>
          </cell>
        </row>
        <row r="7">
          <cell r="E7" t="str">
            <v>AHMAD TOFIK YULFIKAR</v>
          </cell>
        </row>
        <row r="8">
          <cell r="B8" t="str">
            <v>DC_NANGGUNG</v>
          </cell>
        </row>
        <row r="8">
          <cell r="E8" t="str">
            <v>AHMAD TOFIK YULFIKAR</v>
          </cell>
        </row>
        <row r="9">
          <cell r="B9" t="str">
            <v>DRAMAGA_2</v>
          </cell>
        </row>
        <row r="9">
          <cell r="E9" t="str">
            <v>AHMAD TOFIK YULFIKAR</v>
          </cell>
        </row>
        <row r="10">
          <cell r="B10" t="str">
            <v>CIBATOK_RAYA</v>
          </cell>
        </row>
        <row r="10">
          <cell r="E10" t="str">
            <v>AHMAD TOFIK YULFIKAR</v>
          </cell>
        </row>
        <row r="11">
          <cell r="B11" t="str">
            <v>CIAMPEA</v>
          </cell>
        </row>
        <row r="11">
          <cell r="E11" t="str">
            <v>AHMAD TOFIK YULFIKAR</v>
          </cell>
        </row>
        <row r="12">
          <cell r="B12" t="str">
            <v>LEUWILIANG1</v>
          </cell>
        </row>
        <row r="12">
          <cell r="E12" t="str">
            <v>AHMAD TOFIK YULFIKAR</v>
          </cell>
        </row>
        <row r="13">
          <cell r="B13" t="str">
            <v>CP_PAMIJAHAN</v>
          </cell>
        </row>
        <row r="13">
          <cell r="E13" t="str">
            <v>AHMAD TOFIK YULFIKAR</v>
          </cell>
        </row>
        <row r="14">
          <cell r="B14" t="str">
            <v>DRAMAGA_CANTIK</v>
          </cell>
        </row>
        <row r="14">
          <cell r="E14" t="str">
            <v>AHMAD TOFIK YULFIKAR</v>
          </cell>
        </row>
        <row r="15">
          <cell r="B15" t="str">
            <v>LEUWISADENG</v>
          </cell>
        </row>
        <row r="15">
          <cell r="E15" t="str">
            <v>AHMAD TOFIK YULFIKAR</v>
          </cell>
        </row>
        <row r="16">
          <cell r="B16" t="str">
            <v>TENJOLAYA</v>
          </cell>
        </row>
        <row r="16">
          <cell r="E16" t="str">
            <v>AHMAD TOFIK YULFIKAR</v>
          </cell>
        </row>
        <row r="17">
          <cell r="B17" t="str">
            <v>BGR06D</v>
          </cell>
        </row>
        <row r="17">
          <cell r="E17" t="str">
            <v>FALDY FEDIANSYAH</v>
          </cell>
        </row>
        <row r="18">
          <cell r="B18" t="str">
            <v>DC_BOGOR_KOTA</v>
          </cell>
        </row>
        <row r="18">
          <cell r="E18" t="str">
            <v>FALDY FEDIANSYAH</v>
          </cell>
        </row>
        <row r="19">
          <cell r="B19" t="str">
            <v>BOGOR_UTARA</v>
          </cell>
        </row>
        <row r="19">
          <cell r="E19" t="str">
            <v>FALDY FEDIANSYAH</v>
          </cell>
        </row>
        <row r="20">
          <cell r="B20" t="str">
            <v>BOGOR</v>
          </cell>
        </row>
        <row r="20">
          <cell r="E20" t="str">
            <v>FALDY FEDIANSYAH</v>
          </cell>
        </row>
        <row r="21">
          <cell r="B21" t="str">
            <v>CILEBUT_RAYA</v>
          </cell>
        </row>
        <row r="21">
          <cell r="E21" t="str">
            <v>FALDY FEDIANSYAH</v>
          </cell>
        </row>
        <row r="22">
          <cell r="B22" t="str">
            <v>AIR_MANCUR</v>
          </cell>
        </row>
        <row r="22">
          <cell r="E22" t="str">
            <v>FALDY FEDIANSYAH</v>
          </cell>
        </row>
        <row r="23">
          <cell r="B23" t="str">
            <v>GUNUNG_BATU</v>
          </cell>
        </row>
        <row r="23">
          <cell r="E23" t="str">
            <v>FALDY FEDIANSYAH</v>
          </cell>
        </row>
        <row r="24">
          <cell r="B24" t="str">
            <v>SAWOJAJAR</v>
          </cell>
        </row>
        <row r="24">
          <cell r="E24" t="str">
            <v>FALDY FEDIANSYAH</v>
          </cell>
        </row>
        <row r="25">
          <cell r="B25" t="str">
            <v>SEMPLAK_RAYA</v>
          </cell>
        </row>
        <row r="25">
          <cell r="E25" t="str">
            <v>FALDY FEDIANSYAH</v>
          </cell>
        </row>
        <row r="26">
          <cell r="B26" t="str">
            <v>TAMAN_CIMANGGU</v>
          </cell>
        </row>
        <row r="26">
          <cell r="E26" t="str">
            <v>FALDY FEDIANSYAH</v>
          </cell>
        </row>
        <row r="27">
          <cell r="B27" t="str">
            <v>CP_BCC</v>
          </cell>
        </row>
        <row r="27">
          <cell r="E27" t="str">
            <v>FALDY FEDIANSYAH</v>
          </cell>
        </row>
        <row r="28">
          <cell r="B28" t="str">
            <v>MARGAJAYA</v>
          </cell>
        </row>
        <row r="28">
          <cell r="E28" t="str">
            <v>FALDY FEDIANSYAH</v>
          </cell>
        </row>
        <row r="29">
          <cell r="B29" t="str">
            <v>SINDANG_BARANG</v>
          </cell>
        </row>
        <row r="29">
          <cell r="E29" t="str">
            <v>FALDY FEDIANSYAH</v>
          </cell>
        </row>
        <row r="30">
          <cell r="B30" t="str">
            <v>YASMIN</v>
          </cell>
        </row>
        <row r="30">
          <cell r="E30" t="str">
            <v>FALDY FEDIANSYAH</v>
          </cell>
        </row>
        <row r="31">
          <cell r="B31" t="str">
            <v>CIOMAS</v>
          </cell>
        </row>
        <row r="31">
          <cell r="E31" t="str">
            <v>FALDY FEDIANSYAH</v>
          </cell>
        </row>
        <row r="32">
          <cell r="B32" t="str">
            <v>DC_CIOMAS</v>
          </cell>
        </row>
        <row r="32">
          <cell r="E32" t="str">
            <v>FALDY FEDIANSYAH</v>
          </cell>
        </row>
        <row r="33">
          <cell r="B33" t="str">
            <v>TAJUR_4</v>
          </cell>
        </row>
        <row r="33">
          <cell r="E33" t="str">
            <v>FALDY FEDIANSYAH</v>
          </cell>
        </row>
        <row r="34">
          <cell r="B34" t="str">
            <v>MUARASARI</v>
          </cell>
        </row>
        <row r="34">
          <cell r="E34" t="str">
            <v>FALDY FEDIANSYAH</v>
          </cell>
        </row>
        <row r="35">
          <cell r="B35" t="str">
            <v>CILEUNGSI_2</v>
          </cell>
        </row>
        <row r="35">
          <cell r="E35" t="str">
            <v>HERI SUSANTO</v>
          </cell>
        </row>
        <row r="36">
          <cell r="B36" t="str">
            <v>DC_CILEUNGSI</v>
          </cell>
        </row>
        <row r="36">
          <cell r="E36" t="str">
            <v>HERI SUSANTO</v>
          </cell>
        </row>
        <row r="37">
          <cell r="B37" t="str">
            <v>DC_JONGGOL</v>
          </cell>
        </row>
        <row r="37">
          <cell r="E37" t="str">
            <v>HERI SUSANTO</v>
          </cell>
        </row>
        <row r="38">
          <cell r="B38" t="str">
            <v>GUNUNG_PUTRI_4</v>
          </cell>
        </row>
        <row r="38">
          <cell r="E38" t="str">
            <v>HERI SUSANTO</v>
          </cell>
        </row>
        <row r="39">
          <cell r="B39" t="str">
            <v>PASAR_GANDOANG</v>
          </cell>
        </row>
        <row r="39">
          <cell r="E39" t="str">
            <v>HERI SUSANTO</v>
          </cell>
        </row>
        <row r="40">
          <cell r="B40" t="str">
            <v>CARIU_2</v>
          </cell>
        </row>
        <row r="40">
          <cell r="E40" t="str">
            <v>HERI SUSANTO</v>
          </cell>
        </row>
        <row r="41">
          <cell r="B41" t="str">
            <v>GUNUNG_PUTRI</v>
          </cell>
        </row>
        <row r="41">
          <cell r="E41" t="str">
            <v>HERI SUSANTO</v>
          </cell>
        </row>
        <row r="42">
          <cell r="B42" t="str">
            <v>BOJONG_KULUR</v>
          </cell>
        </row>
        <row r="42">
          <cell r="E42" t="str">
            <v>HERI SUSANTO</v>
          </cell>
        </row>
        <row r="43">
          <cell r="B43" t="str">
            <v>CILEUNGSI</v>
          </cell>
        </row>
        <row r="43">
          <cell r="E43" t="str">
            <v>HERI SUSANTO</v>
          </cell>
        </row>
        <row r="44">
          <cell r="B44" t="str">
            <v>JONGGOL</v>
          </cell>
        </row>
        <row r="44">
          <cell r="E44" t="str">
            <v>HERI SUSANTO</v>
          </cell>
        </row>
        <row r="45">
          <cell r="B45" t="str">
            <v>GUNUNG_PUTRI_RAYA</v>
          </cell>
        </row>
        <row r="45">
          <cell r="E45" t="str">
            <v>HERI SUSANTO</v>
          </cell>
        </row>
        <row r="46">
          <cell r="B46" t="str">
            <v>METLAND_TRANSYOGI</v>
          </cell>
        </row>
        <row r="46">
          <cell r="E46" t="str">
            <v>HERI SUSANTO</v>
          </cell>
        </row>
        <row r="47">
          <cell r="B47" t="str">
            <v>CITEUREUP</v>
          </cell>
        </row>
        <row r="47">
          <cell r="E47" t="str">
            <v>HERI SUSANTO</v>
          </cell>
        </row>
        <row r="48">
          <cell r="B48" t="str">
            <v>PAKANSARI_2</v>
          </cell>
        </row>
        <row r="48">
          <cell r="E48" t="str">
            <v>HERI SUSANTO</v>
          </cell>
        </row>
        <row r="49">
          <cell r="B49" t="str">
            <v>DC_GUNUNG_SINDUR</v>
          </cell>
        </row>
        <row r="49">
          <cell r="E49" t="str">
            <v>NOVIAN</v>
          </cell>
        </row>
        <row r="50">
          <cell r="B50" t="str">
            <v>DC_KEMANG</v>
          </cell>
        </row>
        <row r="50">
          <cell r="E50" t="str">
            <v>NOVIAN</v>
          </cell>
        </row>
        <row r="51">
          <cell r="B51" t="str">
            <v>DC_PARUNG</v>
          </cell>
        </row>
        <row r="51">
          <cell r="E51" t="str">
            <v>NOVIAN</v>
          </cell>
        </row>
        <row r="52">
          <cell r="B52" t="str">
            <v>KEMANG_2</v>
          </cell>
        </row>
        <row r="52">
          <cell r="E52" t="str">
            <v>NOVIAN</v>
          </cell>
        </row>
        <row r="53">
          <cell r="B53" t="str">
            <v>PARUNG_PANJANG</v>
          </cell>
        </row>
        <row r="53">
          <cell r="E53" t="str">
            <v>NOVIAN</v>
          </cell>
        </row>
        <row r="54">
          <cell r="B54" t="str">
            <v>SASAK_PANJANG</v>
          </cell>
        </row>
        <row r="54">
          <cell r="E54" t="str">
            <v>NOVIAN</v>
          </cell>
        </row>
        <row r="55">
          <cell r="B55" t="str">
            <v>PARUNG</v>
          </cell>
        </row>
        <row r="55">
          <cell r="E55" t="str">
            <v>NOVIAN</v>
          </cell>
        </row>
        <row r="56">
          <cell r="B56" t="str">
            <v>PARUNG_PANJANG</v>
          </cell>
        </row>
        <row r="56">
          <cell r="E56" t="str">
            <v>NOVIAN</v>
          </cell>
        </row>
        <row r="57">
          <cell r="B57" t="str">
            <v>CISEENG</v>
          </cell>
        </row>
        <row r="57">
          <cell r="E57" t="str">
            <v>NOVIAN</v>
          </cell>
        </row>
        <row r="58">
          <cell r="B58" t="str">
            <v>CP_PEMBANGUNAN</v>
          </cell>
        </row>
        <row r="58">
          <cell r="E58" t="str">
            <v>NOVIAN</v>
          </cell>
        </row>
        <row r="59">
          <cell r="B59" t="str">
            <v>JAMPANG</v>
          </cell>
        </row>
        <row r="59">
          <cell r="E59" t="str">
            <v>NOVIAN</v>
          </cell>
        </row>
        <row r="60">
          <cell r="B60" t="str">
            <v>KEMANG_TONJONG</v>
          </cell>
        </row>
        <row r="60">
          <cell r="E60" t="str">
            <v>NOVIAN</v>
          </cell>
        </row>
        <row r="61">
          <cell r="B61" t="str">
            <v>SALABENDA</v>
          </cell>
        </row>
        <row r="61">
          <cell r="E61" t="str">
            <v>NOVIAN</v>
          </cell>
        </row>
        <row r="62">
          <cell r="B62" t="str">
            <v>RUMPIN_1</v>
          </cell>
        </row>
        <row r="62">
          <cell r="E62" t="str">
            <v>NOVIAN</v>
          </cell>
        </row>
        <row r="63">
          <cell r="B63" t="str">
            <v>KEDUNG_HALANG</v>
          </cell>
        </row>
        <row r="63">
          <cell r="E63" t="str">
            <v>M PAREZA NOVIK</v>
          </cell>
        </row>
        <row r="64">
          <cell r="B64" t="str">
            <v>SUKARAJA_1</v>
          </cell>
        </row>
        <row r="64">
          <cell r="E64" t="str">
            <v>M PAREZA NOVIK</v>
          </cell>
        </row>
        <row r="65">
          <cell r="B65" t="str">
            <v>DC_PAKANSARI</v>
          </cell>
        </row>
        <row r="65">
          <cell r="E65" t="str">
            <v>M PAREZA NOVIK</v>
          </cell>
        </row>
        <row r="66">
          <cell r="B66" t="str">
            <v>GAPERI_BOJONG</v>
          </cell>
        </row>
        <row r="66">
          <cell r="E66" t="str">
            <v>M PAREZA NOVIK</v>
          </cell>
        </row>
        <row r="67">
          <cell r="B67" t="str">
            <v>KARADENAN_RAYA</v>
          </cell>
        </row>
        <row r="67">
          <cell r="E67" t="str">
            <v>M PAREZA NOVIK</v>
          </cell>
        </row>
        <row r="68">
          <cell r="B68" t="str">
            <v>CITAYAM_PABUARAN</v>
          </cell>
        </row>
        <row r="68">
          <cell r="E68" t="str">
            <v>M PAREZA NOVIK</v>
          </cell>
        </row>
        <row r="69">
          <cell r="B69" t="str">
            <v>CIB01F</v>
          </cell>
        </row>
        <row r="69">
          <cell r="E69" t="str">
            <v>M PAREZA NOVIK</v>
          </cell>
        </row>
        <row r="70">
          <cell r="B70" t="str">
            <v>RAGAJAYA</v>
          </cell>
        </row>
        <row r="70">
          <cell r="E70" t="str">
            <v>M PAREZA NOVIK</v>
          </cell>
        </row>
        <row r="71">
          <cell r="B71" t="str">
            <v>PABUARAN_ASRI</v>
          </cell>
        </row>
        <row r="71">
          <cell r="E71" t="str">
            <v>M PAREZA NOVIK</v>
          </cell>
        </row>
        <row r="72">
          <cell r="B72" t="str">
            <v>WON_CIMANDALA</v>
          </cell>
        </row>
        <row r="72">
          <cell r="E72" t="str">
            <v>M PAREZA NOVIK</v>
          </cell>
        </row>
        <row r="73">
          <cell r="B73" t="str">
            <v>PAKANSARI_3</v>
          </cell>
        </row>
        <row r="73">
          <cell r="E73" t="str">
            <v>M PAREZA NOVIK</v>
          </cell>
        </row>
        <row r="74">
          <cell r="B74" t="str">
            <v>BABAKAN_MANDANG</v>
          </cell>
        </row>
        <row r="74">
          <cell r="E74" t="str">
            <v>M PAREZA NOVIK</v>
          </cell>
        </row>
        <row r="75">
          <cell r="B75" t="str">
            <v>CP_MAYOR_OKING</v>
          </cell>
        </row>
        <row r="75">
          <cell r="E75" t="str">
            <v>M PAREZA NOVIK</v>
          </cell>
        </row>
        <row r="76">
          <cell r="B76" t="str">
            <v>PAKANSARI_4</v>
          </cell>
        </row>
        <row r="76">
          <cell r="E76" t="str">
            <v>M PAREZA NOVIK</v>
          </cell>
        </row>
        <row r="77">
          <cell r="B77" t="str">
            <v>DC_CISARUA</v>
          </cell>
        </row>
        <row r="77">
          <cell r="E77" t="str">
            <v>WIN KARYADI H P</v>
          </cell>
        </row>
        <row r="78">
          <cell r="B78" t="str">
            <v>DC_TAJUR</v>
          </cell>
        </row>
        <row r="78">
          <cell r="E78" t="str">
            <v>WIN KARYADI H P</v>
          </cell>
        </row>
        <row r="79">
          <cell r="B79" t="str">
            <v>DC_CIAWI</v>
          </cell>
        </row>
        <row r="79">
          <cell r="E79" t="str">
            <v>WIN KARYADI H P</v>
          </cell>
        </row>
        <row r="80">
          <cell r="B80" t="str">
            <v>DC_MEGAMENDUNG</v>
          </cell>
        </row>
        <row r="80">
          <cell r="E80" t="str">
            <v>WIN KARYADI H P</v>
          </cell>
        </row>
        <row r="81">
          <cell r="B81" t="str">
            <v>CIGOMBONG</v>
          </cell>
        </row>
        <row r="81">
          <cell r="E81" t="str">
            <v>WIN KARYADI H P</v>
          </cell>
        </row>
        <row r="82">
          <cell r="B82" t="str">
            <v>CP_CARINGIN_1</v>
          </cell>
        </row>
        <row r="82">
          <cell r="E82" t="str">
            <v>WIN KARYADI H P</v>
          </cell>
        </row>
        <row r="83">
          <cell r="B83" t="str">
            <v>MAYOR_KH</v>
          </cell>
        </row>
        <row r="83">
          <cell r="E83" t="str">
            <v>WIN KARYADI H P</v>
          </cell>
        </row>
        <row r="84">
          <cell r="B84" t="str">
            <v>PUNCAK_CISARUA</v>
          </cell>
        </row>
        <row r="84">
          <cell r="E84" t="str">
            <v>WIN KARYADI H P</v>
          </cell>
        </row>
        <row r="85">
          <cell r="B85" t="str">
            <v>CIBEDUG</v>
          </cell>
        </row>
        <row r="85">
          <cell r="E85" t="str">
            <v>WIN KARYADI H P</v>
          </cell>
        </row>
        <row r="86">
          <cell r="B86" t="str">
            <v>CIJERUK</v>
          </cell>
        </row>
        <row r="86">
          <cell r="E86" t="str">
            <v>WIN KARYADI H P</v>
          </cell>
        </row>
        <row r="87">
          <cell r="B87" t="str">
            <v>BOGOR_SELATAN</v>
          </cell>
        </row>
        <row r="87">
          <cell r="E87" t="str">
            <v>WIN KARYADI H P</v>
          </cell>
        </row>
        <row r="88">
          <cell r="B88" t="str">
            <v>CIAPUS_RAYA</v>
          </cell>
        </row>
        <row r="88">
          <cell r="E88" t="str">
            <v>WIN KARYADI H P</v>
          </cell>
        </row>
        <row r="89">
          <cell r="B89" t="str">
            <v>PAHLAWAN_SUKSES</v>
          </cell>
        </row>
        <row r="89">
          <cell r="E89" t="str">
            <v>WIN KARYADI H P</v>
          </cell>
        </row>
        <row r="90">
          <cell r="B90" t="str">
            <v>PAMOYANAN_BOGOR</v>
          </cell>
        </row>
        <row r="90">
          <cell r="E90" t="str">
            <v>WIN KARYADI H P</v>
          </cell>
        </row>
        <row r="91">
          <cell r="B91" t="str">
            <v>CP_BNR</v>
          </cell>
        </row>
        <row r="91">
          <cell r="E91" t="str">
            <v>WIN KARYADI H P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DROP POINT AKTIF"/>
    </sheetNames>
    <sheetDataSet>
      <sheetData sheetId="0">
        <row r="1">
          <cell r="B1" t="str">
            <v>NAMA DP</v>
          </cell>
        </row>
        <row r="1">
          <cell r="F1" t="str">
            <v>NAMA SPV</v>
          </cell>
        </row>
        <row r="2">
          <cell r="B2" t="str">
            <v>SERANG_JAYA</v>
          </cell>
        </row>
        <row r="2">
          <cell r="F2" t="str">
            <v>NIAMULLAH</v>
          </cell>
        </row>
        <row r="3">
          <cell r="B3" t="str">
            <v>KASEMEN_JAYA</v>
          </cell>
        </row>
        <row r="3">
          <cell r="F3" t="str">
            <v>TEGUH ISWANTO</v>
          </cell>
        </row>
        <row r="4">
          <cell r="B4" t="str">
            <v>KALODRAN_CIRUAS</v>
          </cell>
        </row>
        <row r="4">
          <cell r="F4" t="str">
            <v>RAMADANIALDI</v>
          </cell>
        </row>
        <row r="5">
          <cell r="B5" t="str">
            <v>CIPOCOK_JAYA</v>
          </cell>
        </row>
        <row r="5">
          <cell r="F5" t="str">
            <v>DEDE JUNA</v>
          </cell>
        </row>
        <row r="6">
          <cell r="B6" t="str">
            <v>PEJATEN_MAS</v>
          </cell>
        </row>
        <row r="6">
          <cell r="F6" t="str">
            <v>MOCH. JAJULI FAHMI</v>
          </cell>
        </row>
        <row r="7">
          <cell r="B7" t="str">
            <v>PELABUHAN_MERAK</v>
          </cell>
        </row>
        <row r="7">
          <cell r="F7" t="str">
            <v>ARIS HERMAWAN</v>
          </cell>
        </row>
        <row r="8">
          <cell r="B8" t="str">
            <v>PERUMNAS_RAYA</v>
          </cell>
        </row>
        <row r="8">
          <cell r="F8" t="str">
            <v>IBNU FADILLAH</v>
          </cell>
        </row>
        <row r="9">
          <cell r="B9" t="str">
            <v>PALKA_CIOMAS</v>
          </cell>
        </row>
        <row r="9">
          <cell r="F9" t="str">
            <v>MOHAMAD JUNAEDI FIRMANSYAH</v>
          </cell>
        </row>
        <row r="10">
          <cell r="B10" t="str">
            <v>CITANGKIL</v>
          </cell>
        </row>
        <row r="10">
          <cell r="F10" t="str">
            <v>MOCH. JAJULI FAHMI</v>
          </cell>
        </row>
        <row r="11">
          <cell r="B11" t="str">
            <v>DP_PANGGUNGRAWI</v>
          </cell>
        </row>
        <row r="11">
          <cell r="F11" t="str">
            <v>HANDOKO</v>
          </cell>
        </row>
        <row r="12">
          <cell r="B12" t="str">
            <v>PONTANG_RAYA</v>
          </cell>
        </row>
        <row r="12">
          <cell r="F12" t="str">
            <v>MOHAMAD KAHIS</v>
          </cell>
        </row>
        <row r="13">
          <cell r="B13" t="str">
            <v>CIL05B</v>
          </cell>
        </row>
        <row r="13">
          <cell r="F13" t="str">
            <v>CATUR MAY ANDRIAN</v>
          </cell>
        </row>
        <row r="14">
          <cell r="B14" t="str">
            <v>PANTAI_ANYER</v>
          </cell>
        </row>
        <row r="14">
          <cell r="F14" t="str">
            <v>NOVA ANDRIANTO</v>
          </cell>
        </row>
        <row r="15">
          <cell r="B15" t="str">
            <v>CIWANDAN</v>
          </cell>
        </row>
        <row r="15">
          <cell r="F15" t="str">
            <v>NOVA ANDRIANTO</v>
          </cell>
        </row>
        <row r="16">
          <cell r="B16" t="str">
            <v>TAKTAKAN_JAYA</v>
          </cell>
        </row>
        <row r="16">
          <cell r="F16" t="str">
            <v>MUHAMAD WILDAN</v>
          </cell>
        </row>
        <row r="17">
          <cell r="B17" t="str">
            <v>UNYUR_JAYA</v>
          </cell>
        </row>
        <row r="17">
          <cell r="F17" t="str">
            <v>MUHAMMAD LUTFI</v>
          </cell>
        </row>
        <row r="18">
          <cell r="B18" t="str">
            <v>SURADITA_CISAUK</v>
          </cell>
        </row>
        <row r="18">
          <cell r="F18" t="str">
            <v>DHIAS WIKRAMA ATMAJA</v>
          </cell>
        </row>
        <row r="19">
          <cell r="B19" t="str">
            <v>BAKTI_JAYA</v>
          </cell>
        </row>
        <row r="19">
          <cell r="F19" t="str">
            <v>ANDI WIDIARTO</v>
          </cell>
        </row>
        <row r="20">
          <cell r="B20" t="str">
            <v>RODA_HIAS</v>
          </cell>
        </row>
        <row r="20">
          <cell r="F20" t="str">
            <v>SARYONO</v>
          </cell>
        </row>
        <row r="21">
          <cell r="B21" t="str">
            <v>TERAS_KOTA</v>
          </cell>
        </row>
        <row r="21">
          <cell r="F21" t="str">
            <v>ANGGATIO</v>
          </cell>
        </row>
        <row r="22">
          <cell r="B22" t="str">
            <v>PONDOK_PUCUNG</v>
          </cell>
        </row>
        <row r="22">
          <cell r="F22" t="str">
            <v>MUHAMMAD RIFKI</v>
          </cell>
        </row>
        <row r="23">
          <cell r="B23" t="str">
            <v>PONDOKJAYA</v>
          </cell>
        </row>
        <row r="23">
          <cell r="F23" t="str">
            <v>SUPYAN SAURI</v>
          </cell>
        </row>
        <row r="24">
          <cell r="B24" t="str">
            <v>KUNCIRAN_RAYA</v>
          </cell>
        </row>
        <row r="24">
          <cell r="F24" t="str">
            <v>JAMALUDIN GUNAWAN</v>
          </cell>
        </row>
        <row r="25">
          <cell r="B25" t="str">
            <v>SENTRA_JATIUWUNG</v>
          </cell>
        </row>
        <row r="25">
          <cell r="F25" t="str">
            <v>YUSTRIZA ENDISYA</v>
          </cell>
        </row>
        <row r="26">
          <cell r="B26" t="str">
            <v>TGR54B</v>
          </cell>
        </row>
        <row r="26">
          <cell r="F26" t="str">
            <v>YUSTRIZA ENDISYA</v>
          </cell>
        </row>
        <row r="27">
          <cell r="B27" t="str">
            <v>CIMONE_RAYA</v>
          </cell>
        </row>
        <row r="27">
          <cell r="F27" t="str">
            <v>ARIF SETIANTO</v>
          </cell>
        </row>
        <row r="28">
          <cell r="B28" t="str">
            <v>CIBODAS_RAYA</v>
          </cell>
        </row>
        <row r="28">
          <cell r="F28" t="str">
            <v>ALFAN AZIZ</v>
          </cell>
        </row>
        <row r="29">
          <cell r="B29" t="str">
            <v>BUARAN_INDAH</v>
          </cell>
        </row>
        <row r="29">
          <cell r="F29" t="str">
            <v>NUZUL</v>
          </cell>
        </row>
        <row r="30">
          <cell r="B30" t="str">
            <v>MODERN_PARK</v>
          </cell>
        </row>
        <row r="30">
          <cell r="F30" t="str">
            <v>KOMARUDIN</v>
          </cell>
        </row>
        <row r="31">
          <cell r="B31" t="str">
            <v>KAVLING_KENANGA</v>
          </cell>
        </row>
        <row r="31">
          <cell r="F31" t="str">
            <v>TEGAR PRAKOSO</v>
          </cell>
        </row>
        <row r="32">
          <cell r="B32" t="str">
            <v>TANGCITY_MALL</v>
          </cell>
        </row>
        <row r="32">
          <cell r="F32" t="str">
            <v>KOMARUDIN</v>
          </cell>
        </row>
        <row r="33">
          <cell r="B33" t="str">
            <v>ARCADIA_BATUCEPER</v>
          </cell>
        </row>
        <row r="33">
          <cell r="F33" t="str">
            <v>ARIEF SOFYAN</v>
          </cell>
        </row>
        <row r="34">
          <cell r="B34" t="str">
            <v>BAL01C</v>
          </cell>
        </row>
        <row r="34">
          <cell r="F34" t="str">
            <v>YUSTRIZA ENDISYA</v>
          </cell>
        </row>
        <row r="35">
          <cell r="B35" t="str">
            <v>HUSEIN_SASTRANEGARA</v>
          </cell>
        </row>
        <row r="35">
          <cell r="F35" t="str">
            <v>SYAHRUL RAMDANI</v>
          </cell>
        </row>
        <row r="36">
          <cell r="B36" t="str">
            <v>SALEMBARAN</v>
          </cell>
        </row>
        <row r="36">
          <cell r="F36" t="str">
            <v>ANDRI ATMAJA</v>
          </cell>
        </row>
        <row r="37">
          <cell r="B37" t="str">
            <v>PINANG_CIPONDOH</v>
          </cell>
        </row>
        <row r="37">
          <cell r="F37" t="str">
            <v>MUCHTAR NUR RAMDAN (AAM)</v>
          </cell>
        </row>
        <row r="38">
          <cell r="B38" t="str">
            <v>RKS08B</v>
          </cell>
        </row>
        <row r="38">
          <cell r="F38" t="str">
            <v>MUHAMAD DEDENG</v>
          </cell>
        </row>
        <row r="39">
          <cell r="B39" t="str">
            <v>DC_LABUAN</v>
          </cell>
        </row>
        <row r="39">
          <cell r="F39" t="str">
            <v>DEDI KUMAEDI</v>
          </cell>
        </row>
        <row r="40">
          <cell r="B40" t="str">
            <v>BAYAH</v>
          </cell>
        </row>
        <row r="40">
          <cell r="F40" t="str">
            <v>AMDI MUBAROK</v>
          </cell>
        </row>
        <row r="41">
          <cell r="B41" t="str">
            <v>PANIMBANG</v>
          </cell>
        </row>
        <row r="41">
          <cell r="F41" t="str">
            <v>MOCH MATIN</v>
          </cell>
        </row>
        <row r="42">
          <cell r="B42" t="str">
            <v>CIBALIUNG</v>
          </cell>
        </row>
        <row r="42">
          <cell r="F42" t="str">
            <v>JUHANDI</v>
          </cell>
        </row>
        <row r="43">
          <cell r="B43" t="str">
            <v>CIKEUSIK</v>
          </cell>
        </row>
        <row r="43">
          <cell r="F43" t="str">
            <v>AZAT SUDRAJAT</v>
          </cell>
        </row>
        <row r="44">
          <cell r="B44" t="str">
            <v>CILANGKAHAN</v>
          </cell>
        </row>
        <row r="44">
          <cell r="F44" t="str">
            <v>ROHMAN</v>
          </cell>
        </row>
        <row r="45">
          <cell r="B45" t="str">
            <v>SUDIRMAN_LABUAN</v>
          </cell>
        </row>
        <row r="45">
          <cell r="F45" t="str">
            <v>DEDI KUMAEDI</v>
          </cell>
        </row>
        <row r="46">
          <cell r="B46" t="str">
            <v>GAJRUG</v>
          </cell>
        </row>
        <row r="46">
          <cell r="F46" t="str">
            <v>WAHYUDIN</v>
          </cell>
        </row>
        <row r="47">
          <cell r="B47" t="str">
            <v>LEUWIDAMAR</v>
          </cell>
        </row>
        <row r="47">
          <cell r="F47" t="str">
            <v>WAHYUDIN</v>
          </cell>
        </row>
        <row r="48">
          <cell r="B48" t="str">
            <v>SUKANAGARA_JAYA</v>
          </cell>
        </row>
        <row r="48">
          <cell r="F48" t="str">
            <v>IRIYANTO</v>
          </cell>
        </row>
        <row r="49">
          <cell r="B49" t="str">
            <v>MAJASARI_PANDEGLANG</v>
          </cell>
        </row>
        <row r="49">
          <cell r="F49" t="str">
            <v>ADIT PURNADILATA</v>
          </cell>
        </row>
        <row r="50">
          <cell r="B50" t="str">
            <v>BANJAR_KENCANA</v>
          </cell>
        </row>
        <row r="50">
          <cell r="F50" t="str">
            <v>ROBI FARLI</v>
          </cell>
        </row>
        <row r="51">
          <cell r="B51" t="str">
            <v>CIKULUR</v>
          </cell>
        </row>
        <row r="51">
          <cell r="F51" t="str">
            <v>WAHYUDIN</v>
          </cell>
        </row>
        <row r="52">
          <cell r="B52" t="str">
            <v>CITRA_MAJA</v>
          </cell>
        </row>
        <row r="52">
          <cell r="F52" t="str">
            <v>ROBI FARLI</v>
          </cell>
        </row>
        <row r="53">
          <cell r="B53" t="str">
            <v>CILELES_KENCANA</v>
          </cell>
        </row>
        <row r="53">
          <cell r="F53" t="str">
            <v>ROBI FARLI</v>
          </cell>
        </row>
        <row r="54">
          <cell r="B54" t="str">
            <v>WARUNG_BANTEN</v>
          </cell>
        </row>
        <row r="54">
          <cell r="F54" t="str">
            <v>AMDI MUBAROK</v>
          </cell>
        </row>
        <row r="55">
          <cell r="B55" t="str">
            <v>MUNJUL_FLAMBOYANT</v>
          </cell>
        </row>
        <row r="55">
          <cell r="F55" t="str">
            <v>MOCH MATIN</v>
          </cell>
        </row>
        <row r="56">
          <cell r="B56" t="str">
            <v>CIGADUNG_INOVASI</v>
          </cell>
        </row>
        <row r="56">
          <cell r="F56" t="str">
            <v>FAHRI PRATAMA</v>
          </cell>
        </row>
        <row r="57">
          <cell r="B57" t="str">
            <v>MANDALA_RANGKAS</v>
          </cell>
        </row>
        <row r="57">
          <cell r="F57" t="str">
            <v>MUHAMAD DEDENG</v>
          </cell>
        </row>
        <row r="58">
          <cell r="B58" t="str">
            <v>CIMANUK</v>
          </cell>
        </row>
        <row r="58">
          <cell r="F58" t="str">
            <v>ADIT PURNADILATA</v>
          </cell>
        </row>
        <row r="59">
          <cell r="B59" t="str">
            <v>WANASALAM</v>
          </cell>
        </row>
        <row r="59">
          <cell r="F59" t="str">
            <v>ROHMAN</v>
          </cell>
        </row>
        <row r="60">
          <cell r="B60" t="str">
            <v>MENES</v>
          </cell>
        </row>
        <row r="60">
          <cell r="F60" t="str">
            <v>DEDI KUMAEDI</v>
          </cell>
        </row>
        <row r="61">
          <cell r="B61" t="str">
            <v>INFINITY_BIZPARK</v>
          </cell>
        </row>
        <row r="61">
          <cell r="F61" t="str">
            <v>HENDRA SAPUTRA</v>
          </cell>
        </row>
        <row r="62">
          <cell r="B62" t="str">
            <v>WANAKERTA_SINJAY</v>
          </cell>
        </row>
        <row r="62">
          <cell r="F62" t="str">
            <v>AHMAD SUHENDI</v>
          </cell>
        </row>
        <row r="63">
          <cell r="B63" t="str">
            <v>PANGKALAN_TELUKNAGA</v>
          </cell>
        </row>
        <row r="63">
          <cell r="F63" t="str">
            <v>MUHAMMAD USUP</v>
          </cell>
        </row>
        <row r="64">
          <cell r="B64" t="str">
            <v>DC_SEPATAN</v>
          </cell>
        </row>
        <row r="64">
          <cell r="F64" t="str">
            <v>ZAKARIA MAHMUD</v>
          </cell>
        </row>
        <row r="65">
          <cell r="B65" t="str">
            <v>RAJEG</v>
          </cell>
        </row>
        <row r="65">
          <cell r="F65" t="str">
            <v>ADE MUKLIS</v>
          </cell>
        </row>
        <row r="66">
          <cell r="B66" t="str">
            <v>KUKUN_SUKATANI</v>
          </cell>
        </row>
        <row r="66">
          <cell r="F66" t="str">
            <v>MUHAMAD RAFLY</v>
          </cell>
        </row>
        <row r="67">
          <cell r="B67" t="str">
            <v>MAUK_2</v>
          </cell>
        </row>
        <row r="67">
          <cell r="F67" t="str">
            <v>WIDODO</v>
          </cell>
        </row>
        <row r="68">
          <cell r="B68" t="str">
            <v>PAKUHAJI</v>
          </cell>
        </row>
        <row r="68">
          <cell r="F68" t="str">
            <v>MUHAMAD HAMDAN</v>
          </cell>
        </row>
        <row r="69">
          <cell r="B69" t="str">
            <v>BAL15E</v>
          </cell>
        </row>
        <row r="69">
          <cell r="F69" t="str">
            <v>MUHAMAD LUTFI SUHENDAR</v>
          </cell>
        </row>
        <row r="70">
          <cell r="B70" t="str">
            <v>BAL15D</v>
          </cell>
        </row>
        <row r="70">
          <cell r="F70" t="str">
            <v>MELI ROMLI</v>
          </cell>
        </row>
        <row r="71">
          <cell r="B71" t="str">
            <v>SEPATAN</v>
          </cell>
        </row>
        <row r="71">
          <cell r="F71" t="str">
            <v>RIKIYANSAH</v>
          </cell>
        </row>
        <row r="72">
          <cell r="B72" t="str">
            <v>TGR05D</v>
          </cell>
        </row>
        <row r="72">
          <cell r="F72" t="str">
            <v>SUHENDRIK</v>
          </cell>
        </row>
        <row r="73">
          <cell r="B73" t="str">
            <v>PIK_2_RIVERSIDE</v>
          </cell>
        </row>
        <row r="73">
          <cell r="F73" t="str">
            <v>MUHAMAD FICQIH</v>
          </cell>
        </row>
        <row r="74">
          <cell r="B74" t="str">
            <v>PERIUK</v>
          </cell>
        </row>
        <row r="74">
          <cell r="F74" t="str">
            <v>RIKIYANSAH</v>
          </cell>
        </row>
        <row r="75">
          <cell r="B75" t="str">
            <v>KUTABUMI_RAYA</v>
          </cell>
        </row>
        <row r="75">
          <cell r="F75" t="str">
            <v>AGUS MULYADI</v>
          </cell>
        </row>
        <row r="76">
          <cell r="B76" t="str">
            <v>CANGKUDU</v>
          </cell>
        </row>
        <row r="76">
          <cell r="F76" t="str">
            <v>MOHAMAD TOPAN BERI FIRMAN</v>
          </cell>
        </row>
        <row r="77">
          <cell r="B77" t="str">
            <v>CISOKA</v>
          </cell>
        </row>
        <row r="77">
          <cell r="F77" t="str">
            <v>DIRGAHAYU</v>
          </cell>
        </row>
        <row r="78">
          <cell r="B78" t="str">
            <v>CIKUPA_RAYA</v>
          </cell>
        </row>
        <row r="78">
          <cell r="F78" t="str">
            <v>MUHAMMAD BAGUS PRATAMA</v>
          </cell>
        </row>
        <row r="79">
          <cell r="B79" t="str">
            <v>KATOMAS_RAYA</v>
          </cell>
        </row>
        <row r="79">
          <cell r="F79" t="str">
            <v>SYAMSURI</v>
          </cell>
        </row>
        <row r="80">
          <cell r="B80" t="str">
            <v>KIBIN_RAYA</v>
          </cell>
        </row>
        <row r="80">
          <cell r="F80" t="str">
            <v>FAUZUL HUSNAN</v>
          </cell>
        </row>
        <row r="81">
          <cell r="B81" t="str">
            <v>CIKANDE_RAYA</v>
          </cell>
        </row>
        <row r="81">
          <cell r="F81" t="str">
            <v>NUR YOYO GUNARA</v>
          </cell>
        </row>
        <row r="82">
          <cell r="B82" t="str">
            <v>HARENDONG</v>
          </cell>
        </row>
        <row r="82">
          <cell r="F82" t="str">
            <v>SANDI IRAWAN</v>
          </cell>
        </row>
        <row r="83">
          <cell r="B83" t="str">
            <v>JAMBE_RAYA</v>
          </cell>
        </row>
        <row r="83">
          <cell r="F83" t="str">
            <v>AHMAD NURYAMAN</v>
          </cell>
        </row>
        <row r="84">
          <cell r="B84" t="str">
            <v>DP_PETIR</v>
          </cell>
        </row>
        <row r="84">
          <cell r="F84" t="str">
            <v>AHMAD RONI SAFRONI</v>
          </cell>
        </row>
        <row r="85">
          <cell r="B85" t="str">
            <v>KRAGILAN</v>
          </cell>
        </row>
        <row r="85">
          <cell r="F85" t="str">
            <v>DWI ADI SUTRISNO</v>
          </cell>
        </row>
        <row r="86">
          <cell r="B86" t="str">
            <v>DUKUH_RAYA</v>
          </cell>
        </row>
        <row r="86">
          <cell r="F86" t="str">
            <v>SAEPI</v>
          </cell>
        </row>
        <row r="87">
          <cell r="B87" t="str">
            <v>TALAGA_PASGAD</v>
          </cell>
        </row>
        <row r="87">
          <cell r="F87" t="str">
            <v>EKO PURNAWAN SUHERI</v>
          </cell>
        </row>
        <row r="88">
          <cell r="B88" t="str">
            <v>PANONGAN_RAYA</v>
          </cell>
        </row>
        <row r="88">
          <cell r="F88" t="str">
            <v>AZIS BACHTIAR</v>
          </cell>
        </row>
        <row r="89">
          <cell r="B89" t="str">
            <v>TUNJUNG_TEJA</v>
          </cell>
        </row>
        <row r="89">
          <cell r="F89" t="str">
            <v>AHMAD RONI SAFRONI</v>
          </cell>
        </row>
        <row r="90">
          <cell r="B90" t="str">
            <v>JAYANTI</v>
          </cell>
        </row>
        <row r="90">
          <cell r="F90" t="str">
            <v>NURDIN</v>
          </cell>
        </row>
        <row r="91">
          <cell r="B91" t="str">
            <v>MATAGARA</v>
          </cell>
        </row>
        <row r="91">
          <cell r="F91" t="str">
            <v>SYAMSURI</v>
          </cell>
        </row>
        <row r="92">
          <cell r="B92" t="str">
            <v>TANAH_TINGAL</v>
          </cell>
        </row>
        <row r="92">
          <cell r="F92" t="str">
            <v>MULYADI</v>
          </cell>
        </row>
        <row r="93">
          <cell r="B93" t="str">
            <v>ALAM_SEGAR</v>
          </cell>
        </row>
        <row r="93">
          <cell r="F93" t="str">
            <v>ISHAK DISTANSYAH</v>
          </cell>
        </row>
        <row r="94">
          <cell r="B94" t="str">
            <v>CIPUTAT_TIMUR</v>
          </cell>
        </row>
        <row r="94">
          <cell r="F94" t="str">
            <v>SOFYAN DWI SAPUTRA</v>
          </cell>
        </row>
        <row r="95">
          <cell r="B95" t="str">
            <v>GAPLEK</v>
          </cell>
        </row>
        <row r="95">
          <cell r="F95" t="str">
            <v>ADITYA</v>
          </cell>
        </row>
        <row r="96">
          <cell r="B96" t="str">
            <v>DIAN_MANSION</v>
          </cell>
        </row>
        <row r="96">
          <cell r="F96" t="str">
            <v>ERIK</v>
          </cell>
        </row>
        <row r="97">
          <cell r="B97" t="str">
            <v>LARANGAN_2</v>
          </cell>
        </row>
        <row r="97">
          <cell r="F97" t="str">
            <v>DONI ANGGARA</v>
          </cell>
        </row>
        <row r="98">
          <cell r="B98" t="str">
            <v>RADEN_SALEH</v>
          </cell>
        </row>
        <row r="98">
          <cell r="F98" t="str">
            <v>IQBAL PURWANDI</v>
          </cell>
        </row>
        <row r="99">
          <cell r="B99" t="str">
            <v>SERUA_INDAH_CIPUTAT</v>
          </cell>
        </row>
        <row r="99">
          <cell r="F99" t="str">
            <v>ALIZHAR</v>
          </cell>
        </row>
        <row r="100">
          <cell r="B100" t="str">
            <v>PONDOK_BETUNG</v>
          </cell>
        </row>
        <row r="100">
          <cell r="F100" t="str">
            <v>HERI LISTIANTO</v>
          </cell>
        </row>
        <row r="101">
          <cell r="B101" t="str">
            <v>CURUG_RAYA</v>
          </cell>
        </row>
        <row r="101">
          <cell r="F101" t="str">
            <v>DEDEN</v>
          </cell>
        </row>
        <row r="102">
          <cell r="B102" t="str">
            <v>GRAHA_SUTERA</v>
          </cell>
        </row>
        <row r="102">
          <cell r="F102" t="str">
            <v>JIDAN ALFARIZQI</v>
          </cell>
        </row>
        <row r="103">
          <cell r="B103" t="str">
            <v>GADING_SERPONG</v>
          </cell>
        </row>
        <row r="103">
          <cell r="F103" t="str">
            <v>LUKMANUL HAKIM</v>
          </cell>
        </row>
        <row r="104">
          <cell r="B104" t="str">
            <v>EDISON</v>
          </cell>
        </row>
        <row r="104">
          <cell r="F104" t="str">
            <v>ADI IKUN</v>
          </cell>
        </row>
        <row r="105">
          <cell r="B105" t="str">
            <v>EAST_FORESTA</v>
          </cell>
        </row>
        <row r="105">
          <cell r="F105" t="str">
            <v>LEGIYONO</v>
          </cell>
        </row>
        <row r="106">
          <cell r="B106" t="str">
            <v>PRIMA_JAYA</v>
          </cell>
        </row>
        <row r="106">
          <cell r="F106" t="str">
            <v>JALALUDIN</v>
          </cell>
        </row>
        <row r="107">
          <cell r="B107" t="str">
            <v>KADU_JAYA</v>
          </cell>
        </row>
        <row r="107">
          <cell r="F107" t="str">
            <v>SEPTIAN</v>
          </cell>
        </row>
        <row r="108">
          <cell r="B108" t="str">
            <v>TUGU_LEGOK</v>
          </cell>
        </row>
        <row r="108">
          <cell r="F108" t="str">
            <v>MUHAMMAD PRASETYA</v>
          </cell>
        </row>
        <row r="109">
          <cell r="B109" t="str">
            <v>GADING_CARTENZ</v>
          </cell>
        </row>
        <row r="109">
          <cell r="F109" t="str">
            <v>SANUSI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1688"/>
  <sheetViews>
    <sheetView tabSelected="1" zoomScale="70" zoomScaleNormal="70" topLeftCell="D1" workbookViewId="0">
      <selection activeCell="H6" sqref="H6:H8"/>
    </sheetView>
  </sheetViews>
  <sheetFormatPr defaultColWidth="9.78181818181818" defaultRowHeight="14"/>
  <cols>
    <col min="1" max="2" width="1.89090909090909" style="86" customWidth="1"/>
    <col min="3" max="3" width="23.6636363636364" style="87" customWidth="1"/>
    <col min="4" max="5" width="29.7818181818182" style="87" customWidth="1"/>
    <col min="6" max="6" width="30.3363636363636" style="87" customWidth="1"/>
    <col min="7" max="7" width="31.8909090909091" style="87" customWidth="1"/>
    <col min="8" max="8" width="30.7818181818182" style="86" customWidth="1"/>
    <col min="9" max="9" width="13.2181818181818" style="86" customWidth="1"/>
    <col min="10" max="10" width="18" style="86" customWidth="1"/>
    <col min="11" max="13" width="15.4454545454545" style="86" customWidth="1"/>
    <col min="14" max="14" width="13.2181818181818" style="86" customWidth="1"/>
    <col min="15" max="15" width="18.3363636363636" style="86" customWidth="1"/>
    <col min="16" max="16" width="17.3363636363636" style="86" customWidth="1"/>
    <col min="17" max="17" width="21.3363636363636" style="86" customWidth="1"/>
    <col min="18" max="18" width="16.1090909090909" style="86" customWidth="1"/>
    <col min="19" max="19" width="13.2181818181818" style="86" customWidth="1"/>
    <col min="20" max="20" width="17.5545454545455" style="86" customWidth="1"/>
    <col min="21" max="21" width="19.1090909090909" style="86" customWidth="1"/>
    <col min="22" max="23" width="16.1090909090909" style="86" customWidth="1"/>
    <col min="24" max="24" width="13.2181818181818" style="86" customWidth="1"/>
    <col min="25" max="25" width="15.3363636363636" style="86" customWidth="1"/>
    <col min="26" max="26" width="14.7818181818182" style="86" customWidth="1"/>
    <col min="27" max="27" width="14.3363636363636" style="86" customWidth="1"/>
    <col min="28" max="28" width="15" style="86" customWidth="1"/>
    <col min="29" max="29" width="13.2181818181818" style="86" customWidth="1"/>
    <col min="30" max="30" width="13.6636363636364" style="86" customWidth="1"/>
    <col min="31" max="31" width="15.1090909090909" style="86" customWidth="1"/>
    <col min="32" max="32" width="15" style="86" customWidth="1"/>
    <col min="33" max="33" width="14.4454545454545" style="86" customWidth="1"/>
    <col min="34" max="34" width="13.2181818181818" style="86" customWidth="1"/>
    <col min="35" max="35" width="16.5545454545455" style="86" customWidth="1"/>
    <col min="36" max="36" width="15.4454545454545" style="86" customWidth="1"/>
    <col min="37" max="37" width="14.3363636363636" style="86" customWidth="1"/>
    <col min="38" max="38" width="14.4454545454545" style="86" customWidth="1"/>
    <col min="39" max="39" width="13" style="86" customWidth="1"/>
    <col min="40" max="40" width="14.6636363636364" style="86" customWidth="1"/>
    <col min="41" max="43" width="16.1090909090909" style="86" customWidth="1"/>
    <col min="44" max="44" width="13.2181818181818" style="86" customWidth="1"/>
    <col min="45" max="45" width="14.2181818181818" style="86" customWidth="1"/>
    <col min="46" max="46" width="15.1090909090909" style="86" customWidth="1"/>
    <col min="47" max="47" width="15.7818181818182" style="86" customWidth="1"/>
    <col min="48" max="48" width="16.1090909090909" style="86" customWidth="1"/>
    <col min="49" max="49" width="10" style="86" customWidth="1"/>
    <col min="50" max="50" width="2.33636363636364" style="88" customWidth="1"/>
    <col min="51" max="52" width="13.7818181818182" style="86" customWidth="1"/>
    <col min="53" max="53" width="15" style="86" customWidth="1"/>
    <col min="54" max="16384" width="9.78181818181818" style="86"/>
  </cols>
  <sheetData>
    <row r="1" ht="12" customHeight="1" spans="1:59">
      <c r="A1" s="89"/>
      <c r="B1" s="90" t="str">
        <f>"网管-雅加达网点质量达成 "&amp;TEXT(AZ2,"YYYY-MM-DD")&amp;"
"&amp;"NM - Pencapaian Kualitas DropPoint Jakarta "&amp;TEXT(AZ2,"YYYY-MM-DD")</f>
        <v>网管-雅加达网点质量达成 2026-08-12
NM - Pencapaian Kualitas DropPoint Jakarta 2026-08-12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1"/>
      <c r="AZ1" s="86" t="s">
        <v>0</v>
      </c>
    </row>
    <row r="2" ht="61.5" customHeight="1" spans="1:59">
      <c r="A2" s="89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1"/>
      <c r="AZ2" s="92">
        <f>'06.30, 07.30, &amp; 12.00'!F4</f>
        <v>46246</v>
      </c>
      <c r="BA2" s="92">
        <f>EOMONTH(AZ2,-1)+1</f>
        <v>46235</v>
      </c>
      <c r="BB2" s="86" t="s">
        <v>1</v>
      </c>
      <c r="BE2" s="86">
        <f>COUNTIFS('[1]Raw Abnsensi (2)'!P:P,H:H,'[1]Raw Abnsensi (2)'!Q:Q,1,'[1]Raw Abnsensi (2)'!O:O,"&lt;="&amp;#REF!)</f>
        <v>0</v>
      </c>
      <c r="BF2" s="86">
        <f>COUNTIFS('[1]Raw Abnsensi (2)'!P:P,H:H,'[1]Raw Abnsensi (2)'!Q:Q,1)</f>
        <v>0</v>
      </c>
      <c r="BG2" s="86" t="e">
        <f>BE2/BF2</f>
        <v>#DIV/0!</v>
      </c>
    </row>
    <row r="3" ht="36" customHeight="1" spans="1:59">
      <c r="A3" s="89"/>
      <c r="B3" s="93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3"/>
      <c r="AX3" s="91"/>
      <c r="AZ3" s="92">
        <f>AZ2-2</f>
        <v>46244</v>
      </c>
      <c r="BA3" s="92">
        <f>EOMONTH(AZ3,-1)+1</f>
        <v>46235</v>
      </c>
      <c r="BB3" s="86" t="s">
        <v>2</v>
      </c>
    </row>
    <row r="4" ht="249" hidden="1" customHeight="1" spans="1:59">
      <c r="A4" s="89"/>
      <c r="B4" s="93"/>
      <c r="C4" s="95" t="s">
        <v>3</v>
      </c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7"/>
      <c r="S4" s="96"/>
      <c r="T4" s="96" t="s">
        <v>4</v>
      </c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7"/>
      <c r="AW4" s="93"/>
      <c r="AX4" s="91"/>
    </row>
    <row r="5" ht="9" customHeight="1" spans="1:59">
      <c r="A5" s="89"/>
      <c r="B5" s="93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3"/>
      <c r="AX5" s="91"/>
    </row>
    <row r="6" ht="57" customHeight="1" spans="1:59">
      <c r="A6" s="89"/>
      <c r="B6" s="93"/>
      <c r="C6" s="98" t="s">
        <v>5</v>
      </c>
      <c r="D6" s="7" t="s">
        <v>6</v>
      </c>
      <c r="E6" s="98" t="s">
        <v>7</v>
      </c>
      <c r="F6" s="99" t="s">
        <v>8</v>
      </c>
      <c r="G6" s="100"/>
      <c r="H6" s="101" t="s">
        <v>6</v>
      </c>
      <c r="I6" s="102" t="s">
        <v>9</v>
      </c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3"/>
      <c r="U6" s="103"/>
      <c r="V6" s="102"/>
      <c r="W6" s="104"/>
      <c r="X6" s="105" t="s">
        <v>10</v>
      </c>
      <c r="Y6" s="105"/>
      <c r="Z6" s="105"/>
      <c r="AA6" s="105"/>
      <c r="AB6" s="106"/>
      <c r="AC6" s="107" t="s">
        <v>11</v>
      </c>
      <c r="AD6" s="102"/>
      <c r="AE6" s="102"/>
      <c r="AF6" s="102"/>
      <c r="AG6" s="102"/>
      <c r="AH6" s="102"/>
      <c r="AI6" s="102"/>
      <c r="AJ6" s="102"/>
      <c r="AK6" s="102"/>
      <c r="AL6" s="104"/>
      <c r="AM6" s="108"/>
      <c r="AN6" s="108"/>
      <c r="AO6" s="108"/>
      <c r="AP6" s="108"/>
      <c r="AQ6" s="108"/>
      <c r="AR6" s="108"/>
      <c r="AS6" s="108"/>
      <c r="AT6" s="108"/>
      <c r="AU6" s="108"/>
      <c r="AV6" s="109"/>
      <c r="AW6" s="93"/>
      <c r="AX6" s="91"/>
    </row>
    <row r="7" ht="54.45" customHeight="1" spans="1:59">
      <c r="A7" s="89"/>
      <c r="B7" s="93"/>
      <c r="C7" s="8"/>
      <c r="D7" s="7"/>
      <c r="E7" s="8"/>
      <c r="F7" s="9"/>
      <c r="G7" s="102"/>
      <c r="H7" s="110"/>
      <c r="I7" s="111" t="s">
        <v>12</v>
      </c>
      <c r="J7" s="108"/>
      <c r="K7" s="108"/>
      <c r="L7" s="108"/>
      <c r="M7" s="109"/>
      <c r="N7" s="111" t="s">
        <v>13</v>
      </c>
      <c r="O7" s="108"/>
      <c r="P7" s="108"/>
      <c r="Q7" s="108"/>
      <c r="R7" s="109"/>
      <c r="S7" s="112" t="s">
        <v>14</v>
      </c>
      <c r="T7" s="113"/>
      <c r="U7" s="113"/>
      <c r="V7" s="113"/>
      <c r="W7" s="114"/>
      <c r="X7" s="115" t="s">
        <v>15</v>
      </c>
      <c r="Y7" s="115"/>
      <c r="Z7" s="115"/>
      <c r="AA7" s="115"/>
      <c r="AB7" s="115"/>
      <c r="AC7" s="116" t="s">
        <v>16</v>
      </c>
      <c r="AD7" s="116"/>
      <c r="AE7" s="116"/>
      <c r="AF7" s="116"/>
      <c r="AG7" s="116"/>
      <c r="AH7" s="116" t="s">
        <v>17</v>
      </c>
      <c r="AI7" s="116"/>
      <c r="AJ7" s="116"/>
      <c r="AK7" s="116"/>
      <c r="AL7" s="116"/>
      <c r="AM7" s="108" t="s">
        <v>18</v>
      </c>
      <c r="AN7" s="108"/>
      <c r="AO7" s="108"/>
      <c r="AP7" s="108"/>
      <c r="AQ7" s="109"/>
      <c r="AR7" s="111" t="s">
        <v>19</v>
      </c>
      <c r="AS7" s="108"/>
      <c r="AT7" s="108"/>
      <c r="AU7" s="108"/>
      <c r="AV7" s="109"/>
      <c r="AW7" s="93"/>
      <c r="AX7" s="91"/>
      <c r="AZ7" s="117">
        <f>AZ2-1</f>
        <v>46245</v>
      </c>
    </row>
    <row r="8" ht="56.25" customHeight="1" spans="1:59">
      <c r="A8" s="89"/>
      <c r="B8" s="93"/>
      <c r="C8" s="118"/>
      <c r="D8" s="10"/>
      <c r="E8" s="118"/>
      <c r="F8" s="119"/>
      <c r="G8" s="120"/>
      <c r="H8" s="121"/>
      <c r="I8" s="98" t="s">
        <v>20</v>
      </c>
      <c r="J8" s="122">
        <f>$AZ$2</f>
        <v>46246</v>
      </c>
      <c r="K8" s="123">
        <f>AZ7</f>
        <v>46245</v>
      </c>
      <c r="L8" s="123">
        <f>AZ3</f>
        <v>46244</v>
      </c>
      <c r="M8" s="98" t="s">
        <v>21</v>
      </c>
      <c r="N8" s="98" t="s">
        <v>20</v>
      </c>
      <c r="O8" s="122">
        <f>$AZ$2</f>
        <v>46246</v>
      </c>
      <c r="P8" s="123">
        <f>AZ7</f>
        <v>46245</v>
      </c>
      <c r="Q8" s="123">
        <f>AZ3</f>
        <v>46244</v>
      </c>
      <c r="R8" s="98" t="s">
        <v>21</v>
      </c>
      <c r="S8" s="98" t="s">
        <v>20</v>
      </c>
      <c r="T8" s="122">
        <f>$AZ$2</f>
        <v>46246</v>
      </c>
      <c r="U8" s="123">
        <f>AZ7</f>
        <v>46245</v>
      </c>
      <c r="V8" s="123">
        <f>AZ3</f>
        <v>46244</v>
      </c>
      <c r="W8" s="98" t="s">
        <v>21</v>
      </c>
      <c r="X8" s="98" t="s">
        <v>20</v>
      </c>
      <c r="Y8" s="122">
        <f>$AZ$2</f>
        <v>46246</v>
      </c>
      <c r="Z8" s="123">
        <f>AZ7</f>
        <v>46245</v>
      </c>
      <c r="AA8" s="123">
        <f>AZ3</f>
        <v>46244</v>
      </c>
      <c r="AB8" s="98" t="s">
        <v>21</v>
      </c>
      <c r="AC8" s="98" t="s">
        <v>20</v>
      </c>
      <c r="AD8" s="122">
        <f>$AZ$2</f>
        <v>46246</v>
      </c>
      <c r="AE8" s="123">
        <f>AZ7</f>
        <v>46245</v>
      </c>
      <c r="AF8" s="123">
        <f>AZ3</f>
        <v>46244</v>
      </c>
      <c r="AG8" s="98" t="s">
        <v>21</v>
      </c>
      <c r="AH8" s="98" t="s">
        <v>20</v>
      </c>
      <c r="AI8" s="122">
        <f>$AZ$2</f>
        <v>46246</v>
      </c>
      <c r="AJ8" s="123">
        <f>AZ7</f>
        <v>46245</v>
      </c>
      <c r="AK8" s="123">
        <f>AZ3</f>
        <v>46244</v>
      </c>
      <c r="AL8" s="98" t="s">
        <v>21</v>
      </c>
      <c r="AM8" s="124" t="s">
        <v>20</v>
      </c>
      <c r="AN8" s="122">
        <f>$AZ$2</f>
        <v>46246</v>
      </c>
      <c r="AO8" s="123">
        <f>AZ7</f>
        <v>46245</v>
      </c>
      <c r="AP8" s="123">
        <f>AZ3</f>
        <v>46244</v>
      </c>
      <c r="AQ8" s="98" t="s">
        <v>21</v>
      </c>
      <c r="AR8" s="98" t="s">
        <v>22</v>
      </c>
      <c r="AS8" s="122">
        <f>$AZ$2</f>
        <v>46246</v>
      </c>
      <c r="AT8" s="123">
        <f>AZ7</f>
        <v>46245</v>
      </c>
      <c r="AU8" s="123">
        <f>AZ3</f>
        <v>46244</v>
      </c>
      <c r="AV8" s="98" t="s">
        <v>21</v>
      </c>
      <c r="AW8" s="93"/>
      <c r="AX8" s="91"/>
    </row>
    <row r="9" ht="14.5" spans="1:59">
      <c r="A9" s="89"/>
      <c r="B9" s="93"/>
      <c r="C9" s="125" t="s">
        <v>23</v>
      </c>
      <c r="D9" s="126" t="s">
        <v>24</v>
      </c>
      <c r="E9" s="127" t="s">
        <v>25</v>
      </c>
      <c r="F9" s="127" t="s">
        <v>25</v>
      </c>
      <c r="G9" s="127" t="s">
        <v>25</v>
      </c>
      <c r="H9" s="127" t="s">
        <v>25</v>
      </c>
      <c r="I9" s="128">
        <v>0.9</v>
      </c>
      <c r="J9" s="129">
        <v>0.885714285714286</v>
      </c>
      <c r="K9" s="129">
        <v>0.875</v>
      </c>
      <c r="L9" s="130">
        <v>0.888888888888889</v>
      </c>
      <c r="M9" s="130">
        <v>0.871794871794872</v>
      </c>
      <c r="N9" s="131">
        <v>0.9</v>
      </c>
      <c r="O9" s="132">
        <v>0.982271831910703</v>
      </c>
      <c r="P9" s="129">
        <v>0.786009778112072</v>
      </c>
      <c r="Q9" s="129">
        <v>0.992633818955639</v>
      </c>
      <c r="R9" s="129">
        <v>0.912717754309956</v>
      </c>
      <c r="S9" s="131">
        <v>0.9</v>
      </c>
      <c r="T9" s="129">
        <v>0.659881812212738</v>
      </c>
      <c r="U9" s="129">
        <v>0.696502444528018</v>
      </c>
      <c r="V9" s="129">
        <v>0.7354722540514</v>
      </c>
      <c r="W9" s="129">
        <v>0.652901886451846</v>
      </c>
      <c r="X9" s="131">
        <v>0.92</v>
      </c>
      <c r="Y9" s="131">
        <v>0.928464659406363</v>
      </c>
      <c r="Z9" s="131">
        <v>0.942383313386904</v>
      </c>
      <c r="AA9" s="131">
        <v>0.941294196130754</v>
      </c>
      <c r="AB9" s="131">
        <v>0.931558586803073</v>
      </c>
      <c r="AC9" s="131">
        <v>0.92</v>
      </c>
      <c r="AD9" s="129">
        <v>0.98314546043865</v>
      </c>
      <c r="AE9" s="129">
        <v>0.991415340931707</v>
      </c>
      <c r="AF9" s="129">
        <v>0.985372800044241</v>
      </c>
      <c r="AG9" s="129">
        <v>0.981222007124938</v>
      </c>
      <c r="AH9" s="131">
        <v>0.92</v>
      </c>
      <c r="AI9" s="129">
        <v>0.943220400202268</v>
      </c>
      <c r="AJ9" s="129">
        <v>0.956056663775658</v>
      </c>
      <c r="AK9" s="129">
        <v>0.957775828032463</v>
      </c>
      <c r="AL9" s="129">
        <v>0.948245295661399</v>
      </c>
      <c r="AM9" s="128">
        <v>0.99</v>
      </c>
      <c r="AN9" s="133">
        <v>1</v>
      </c>
      <c r="AO9" s="133">
        <v>1</v>
      </c>
      <c r="AP9" s="133">
        <v>1</v>
      </c>
      <c r="AQ9" s="134">
        <v>1</v>
      </c>
      <c r="AR9" s="135">
        <v>0.0872182100128262</v>
      </c>
      <c r="AS9" s="136">
        <v>0</v>
      </c>
      <c r="AT9" s="137">
        <v>0.181818181818182</v>
      </c>
      <c r="AU9" s="137">
        <v>0.222222222222222</v>
      </c>
      <c r="AV9" s="137">
        <v>0.0616113744075829</v>
      </c>
      <c r="AW9" s="93"/>
      <c r="AX9" s="91"/>
    </row>
    <row r="10" ht="14.5" spans="1:59">
      <c r="A10" s="89"/>
      <c r="B10" s="93"/>
      <c r="C10" s="125" t="s">
        <v>23</v>
      </c>
      <c r="D10" s="126" t="s">
        <v>24</v>
      </c>
      <c r="E10" s="127" t="s">
        <v>26</v>
      </c>
      <c r="F10" s="127" t="s">
        <v>26</v>
      </c>
      <c r="G10" s="127" t="s">
        <v>26</v>
      </c>
      <c r="H10" s="127" t="s">
        <v>26</v>
      </c>
      <c r="I10" s="128">
        <v>0.9</v>
      </c>
      <c r="J10" s="129">
        <v>0.793103448275862</v>
      </c>
      <c r="K10" s="129">
        <v>0.823529411764706</v>
      </c>
      <c r="L10" s="130">
        <v>0.777777777777778</v>
      </c>
      <c r="M10" s="129">
        <v>0.812785388127854</v>
      </c>
      <c r="N10" s="131">
        <v>0.9</v>
      </c>
      <c r="O10" s="129">
        <v>0.981280520889854</v>
      </c>
      <c r="P10" s="129">
        <v>0.987090255949708</v>
      </c>
      <c r="Q10" s="129">
        <v>0.988789237668161</v>
      </c>
      <c r="R10" s="129">
        <v>0.980711161539447</v>
      </c>
      <c r="S10" s="131">
        <v>0.9</v>
      </c>
      <c r="T10" s="129">
        <v>0.761891843009586</v>
      </c>
      <c r="U10" s="129">
        <v>0.793780871127077</v>
      </c>
      <c r="V10" s="129">
        <v>0.803086256924294</v>
      </c>
      <c r="W10" s="129">
        <v>0.759374485295463</v>
      </c>
      <c r="X10" s="131">
        <v>0.92</v>
      </c>
      <c r="Y10" s="131">
        <v>0.926568551510457</v>
      </c>
      <c r="Z10" s="131">
        <v>0.947429065245571</v>
      </c>
      <c r="AA10" s="131">
        <v>0.937202902176632</v>
      </c>
      <c r="AB10" s="131">
        <v>0.948355368561836</v>
      </c>
      <c r="AC10" s="131">
        <v>0.92</v>
      </c>
      <c r="AD10" s="129">
        <v>0.992637801740654</v>
      </c>
      <c r="AE10" s="129">
        <v>0.989644615199904</v>
      </c>
      <c r="AF10" s="129">
        <v>0.892450223118219</v>
      </c>
      <c r="AG10" s="129">
        <v>0.96269501991304</v>
      </c>
      <c r="AH10" s="131">
        <v>0.92</v>
      </c>
      <c r="AI10" s="129">
        <v>0.942713682528814</v>
      </c>
      <c r="AJ10" s="129">
        <v>0.957105910553208</v>
      </c>
      <c r="AK10" s="129">
        <v>0.951743784530387</v>
      </c>
      <c r="AL10" s="129">
        <v>0.957332626627356</v>
      </c>
      <c r="AM10" s="128">
        <v>0.99</v>
      </c>
      <c r="AN10" s="133">
        <v>1</v>
      </c>
      <c r="AO10" s="133">
        <v>1</v>
      </c>
      <c r="AP10" s="133">
        <v>1</v>
      </c>
      <c r="AQ10" s="134">
        <v>1</v>
      </c>
      <c r="AR10" s="135">
        <v>0.0872182100128262</v>
      </c>
      <c r="AS10" s="136">
        <v>0.152542372881356</v>
      </c>
      <c r="AT10" s="137">
        <v>0.166666666666667</v>
      </c>
      <c r="AU10" s="137">
        <v>0.0317460317460317</v>
      </c>
      <c r="AV10" s="137">
        <v>0.0839064649243466</v>
      </c>
      <c r="AW10" s="93"/>
      <c r="AX10" s="91"/>
    </row>
    <row r="11" ht="14.5" spans="1:59">
      <c r="A11" s="89"/>
      <c r="B11" s="93"/>
      <c r="C11" s="125" t="s">
        <v>23</v>
      </c>
      <c r="D11" s="126" t="s">
        <v>24</v>
      </c>
      <c r="E11" s="127" t="s">
        <v>27</v>
      </c>
      <c r="F11" s="127" t="s">
        <v>27</v>
      </c>
      <c r="G11" s="127" t="s">
        <v>27</v>
      </c>
      <c r="H11" s="127" t="s">
        <v>27</v>
      </c>
      <c r="I11" s="128">
        <v>0.9</v>
      </c>
      <c r="J11" s="129">
        <v>0.967741935483871</v>
      </c>
      <c r="K11" s="129">
        <v>0.9375</v>
      </c>
      <c r="L11" s="130">
        <v>0.9</v>
      </c>
      <c r="M11" s="129">
        <v>0.959349593495935</v>
      </c>
      <c r="N11" s="131">
        <v>0.9</v>
      </c>
      <c r="O11" s="129">
        <v>0.989450549450549</v>
      </c>
      <c r="P11" s="129">
        <v>0.970140158439976</v>
      </c>
      <c r="Q11" s="129">
        <v>0.988439306358382</v>
      </c>
      <c r="R11" s="129">
        <v>0.983843855061636</v>
      </c>
      <c r="S11" s="131">
        <v>0.9</v>
      </c>
      <c r="T11" s="129">
        <v>0.872527472527473</v>
      </c>
      <c r="U11" s="129">
        <v>0.875076173065204</v>
      </c>
      <c r="V11" s="129">
        <v>0.86022070415134</v>
      </c>
      <c r="W11" s="129">
        <v>0.890128875607023</v>
      </c>
      <c r="X11" s="131">
        <v>0.92</v>
      </c>
      <c r="Y11" s="131">
        <v>0.952265372168285</v>
      </c>
      <c r="Z11" s="131">
        <v>0.952314165497896</v>
      </c>
      <c r="AA11" s="131">
        <v>0.963235294117647</v>
      </c>
      <c r="AB11" s="131">
        <v>0.962994898325789</v>
      </c>
      <c r="AC11" s="131">
        <v>0.92</v>
      </c>
      <c r="AD11" s="129">
        <v>0.80330929147221</v>
      </c>
      <c r="AE11" s="129">
        <v>0.860461937952713</v>
      </c>
      <c r="AF11" s="129">
        <v>0.697879538452244</v>
      </c>
      <c r="AG11" s="129">
        <v>0.845331737927377</v>
      </c>
      <c r="AH11" s="131">
        <v>0.92</v>
      </c>
      <c r="AI11" s="129">
        <v>0.96183423526061</v>
      </c>
      <c r="AJ11" s="129">
        <v>0.962178024127812</v>
      </c>
      <c r="AK11" s="129">
        <v>0.970201238390093</v>
      </c>
      <c r="AL11" s="129">
        <v>0.971476272673251</v>
      </c>
      <c r="AM11" s="128">
        <v>0.99</v>
      </c>
      <c r="AN11" s="133">
        <v>1</v>
      </c>
      <c r="AO11" s="133">
        <v>1</v>
      </c>
      <c r="AP11" s="133">
        <v>1</v>
      </c>
      <c r="AQ11" s="133">
        <v>1</v>
      </c>
      <c r="AR11" s="135">
        <v>0.0872182100128262</v>
      </c>
      <c r="AS11" s="137">
        <v>0.0909090909090909</v>
      </c>
      <c r="AT11" s="137">
        <v>0.142857142857143</v>
      </c>
      <c r="AU11" s="137">
        <v>0</v>
      </c>
      <c r="AV11" s="137">
        <v>0.0551181102362205</v>
      </c>
      <c r="AW11" s="93"/>
      <c r="AX11" s="91"/>
    </row>
    <row r="12" ht="14.5" spans="1:59">
      <c r="A12" s="89"/>
      <c r="B12" s="93"/>
      <c r="C12" s="125" t="s">
        <v>23</v>
      </c>
      <c r="D12" s="126" t="s">
        <v>24</v>
      </c>
      <c r="E12" s="127" t="s">
        <v>28</v>
      </c>
      <c r="F12" s="127" t="s">
        <v>28</v>
      </c>
      <c r="G12" s="127" t="s">
        <v>28</v>
      </c>
      <c r="H12" s="127" t="s">
        <v>28</v>
      </c>
      <c r="I12" s="128">
        <v>0.9</v>
      </c>
      <c r="J12" s="129">
        <v>0.885964912280702</v>
      </c>
      <c r="K12" s="129">
        <v>0.923076923076923</v>
      </c>
      <c r="L12" s="130">
        <v>0.948453608247423</v>
      </c>
      <c r="M12" s="129">
        <v>0.907421576128539</v>
      </c>
      <c r="N12" s="131">
        <v>0.9</v>
      </c>
      <c r="O12" s="129">
        <v>0.911091549295775</v>
      </c>
      <c r="P12" s="129">
        <v>0.885277682746037</v>
      </c>
      <c r="Q12" s="129">
        <v>0.881541924592009</v>
      </c>
      <c r="R12" s="129">
        <v>0.894433281238372</v>
      </c>
      <c r="S12" s="131">
        <v>0.9</v>
      </c>
      <c r="T12" s="129">
        <v>0.700792253521127</v>
      </c>
      <c r="U12" s="129">
        <v>0.780134564944692</v>
      </c>
      <c r="V12" s="129">
        <v>0.751828925154755</v>
      </c>
      <c r="W12" s="129">
        <v>0.760195728213143</v>
      </c>
      <c r="X12" s="131">
        <v>0.92</v>
      </c>
      <c r="Y12" s="131">
        <v>0.93461277173913</v>
      </c>
      <c r="Z12" s="131">
        <v>0.968693474328649</v>
      </c>
      <c r="AA12" s="131">
        <v>0.928482587064677</v>
      </c>
      <c r="AB12" s="131">
        <v>0.964031718679265</v>
      </c>
      <c r="AC12" s="131">
        <v>0.92</v>
      </c>
      <c r="AD12" s="129">
        <v>0.797687861271676</v>
      </c>
      <c r="AE12" s="129">
        <v>0.795031055900621</v>
      </c>
      <c r="AF12" s="129">
        <v>0.84018691588785</v>
      </c>
      <c r="AG12" s="129">
        <v>0.839762382348403</v>
      </c>
      <c r="AH12" s="131">
        <v>0.92</v>
      </c>
      <c r="AI12" s="129">
        <v>0.933101449275362</v>
      </c>
      <c r="AJ12" s="129">
        <v>0.966911073510058</v>
      </c>
      <c r="AK12" s="129">
        <v>0.958252615265401</v>
      </c>
      <c r="AL12" s="129">
        <v>0.969442834577666</v>
      </c>
      <c r="AM12" s="128">
        <v>0.99</v>
      </c>
      <c r="AN12" s="133">
        <v>1</v>
      </c>
      <c r="AO12" s="133">
        <v>1</v>
      </c>
      <c r="AP12" s="133">
        <v>1</v>
      </c>
      <c r="AQ12" s="133">
        <v>1</v>
      </c>
      <c r="AR12" s="135">
        <v>0.0872182100128262</v>
      </c>
      <c r="AS12" s="137">
        <v>0.183673469387755</v>
      </c>
      <c r="AT12" s="137">
        <v>0.137254901960784</v>
      </c>
      <c r="AU12" s="137">
        <v>0.0727272727272727</v>
      </c>
      <c r="AV12" s="137">
        <v>0.0743670886075949</v>
      </c>
      <c r="AW12" s="93"/>
      <c r="AX12" s="91"/>
    </row>
    <row r="13" ht="14.5" spans="1:59">
      <c r="A13" s="89"/>
      <c r="B13" s="93"/>
      <c r="C13" s="125" t="s">
        <v>23</v>
      </c>
      <c r="D13" s="126" t="s">
        <v>24</v>
      </c>
      <c r="E13" s="127" t="s">
        <v>29</v>
      </c>
      <c r="F13" s="127" t="s">
        <v>29</v>
      </c>
      <c r="G13" s="127" t="s">
        <v>29</v>
      </c>
      <c r="H13" s="127" t="s">
        <v>29</v>
      </c>
      <c r="I13" s="128">
        <v>0.9</v>
      </c>
      <c r="J13" s="129">
        <v>0.890909090909091</v>
      </c>
      <c r="K13" s="129">
        <v>0.803571428571429</v>
      </c>
      <c r="L13" s="130">
        <v>0.888888888888889</v>
      </c>
      <c r="M13" s="129">
        <v>0.853858784893268</v>
      </c>
      <c r="N13" s="131">
        <v>0.9</v>
      </c>
      <c r="O13" s="129">
        <v>0.874115797746922</v>
      </c>
      <c r="P13" s="129">
        <v>0.935857918684867</v>
      </c>
      <c r="Q13" s="129">
        <v>0.802202776101388</v>
      </c>
      <c r="R13" s="129">
        <v>0.888702630641095</v>
      </c>
      <c r="S13" s="131">
        <v>0.9</v>
      </c>
      <c r="T13" s="129">
        <v>0.896646581084621</v>
      </c>
      <c r="U13" s="129">
        <v>0.928519007779246</v>
      </c>
      <c r="V13" s="129">
        <v>0.86949305974653</v>
      </c>
      <c r="W13" s="129">
        <v>0.901162867438392</v>
      </c>
      <c r="X13" s="131">
        <v>0.92</v>
      </c>
      <c r="Y13" s="131">
        <v>0.933077345035656</v>
      </c>
      <c r="Z13" s="131">
        <v>0.955077308817384</v>
      </c>
      <c r="AA13" s="131">
        <v>0.966970387243736</v>
      </c>
      <c r="AB13" s="131">
        <v>0.939000090571506</v>
      </c>
      <c r="AC13" s="131">
        <v>0.92</v>
      </c>
      <c r="AD13" s="129">
        <v>0.990289704866252</v>
      </c>
      <c r="AE13" s="129">
        <v>0.943276045103721</v>
      </c>
      <c r="AF13" s="129">
        <v>0.988469958647531</v>
      </c>
      <c r="AG13" s="129">
        <v>0.963524005156207</v>
      </c>
      <c r="AH13" s="131">
        <v>0.92</v>
      </c>
      <c r="AI13" s="129">
        <v>0.959042553191489</v>
      </c>
      <c r="AJ13" s="129">
        <v>0.972588569950866</v>
      </c>
      <c r="AK13" s="129">
        <v>0.970743819496923</v>
      </c>
      <c r="AL13" s="129">
        <v>0.960946617318529</v>
      </c>
      <c r="AM13" s="128">
        <v>0.99</v>
      </c>
      <c r="AN13" s="133">
        <v>1</v>
      </c>
      <c r="AO13" s="133">
        <v>1</v>
      </c>
      <c r="AP13" s="133">
        <v>1</v>
      </c>
      <c r="AQ13" s="133">
        <v>1</v>
      </c>
      <c r="AR13" s="135">
        <v>0.0872182100128262</v>
      </c>
      <c r="AS13" s="137">
        <v>0.0526315789473684</v>
      </c>
      <c r="AT13" s="137">
        <v>0.25</v>
      </c>
      <c r="AU13" s="137">
        <v>0.153846153846154</v>
      </c>
      <c r="AV13" s="137">
        <v>0.0721649484536082</v>
      </c>
      <c r="AW13" s="93"/>
      <c r="AX13" s="91"/>
    </row>
    <row r="14" ht="14.5" spans="1:59">
      <c r="A14" s="89"/>
      <c r="B14" s="93"/>
      <c r="C14" s="125" t="s">
        <v>23</v>
      </c>
      <c r="D14" s="126" t="s">
        <v>24</v>
      </c>
      <c r="E14" s="127" t="s">
        <v>30</v>
      </c>
      <c r="F14" s="127" t="s">
        <v>30</v>
      </c>
      <c r="G14" s="127" t="s">
        <v>30</v>
      </c>
      <c r="H14" s="127" t="s">
        <v>30</v>
      </c>
      <c r="I14" s="128">
        <v>0.9</v>
      </c>
      <c r="J14" s="129">
        <v>0.924050632911392</v>
      </c>
      <c r="K14" s="129">
        <v>0.911392405063291</v>
      </c>
      <c r="L14" s="130">
        <v>0.894736842105263</v>
      </c>
      <c r="M14" s="129">
        <v>0.890590809628009</v>
      </c>
      <c r="N14" s="131">
        <v>0.9</v>
      </c>
      <c r="O14" s="129">
        <v>0.873059360730594</v>
      </c>
      <c r="P14" s="129">
        <v>0.86184452904335</v>
      </c>
      <c r="Q14" s="129">
        <v>0.843256225508785</v>
      </c>
      <c r="R14" s="129">
        <v>0.840646526593103</v>
      </c>
      <c r="S14" s="131">
        <v>0.9</v>
      </c>
      <c r="T14" s="129">
        <v>0.745611364789447</v>
      </c>
      <c r="U14" s="129">
        <v>0.8060911212084</v>
      </c>
      <c r="V14" s="129">
        <v>0.777651371508027</v>
      </c>
      <c r="W14" s="129">
        <v>0.769763976764776</v>
      </c>
      <c r="X14" s="131">
        <v>0.92</v>
      </c>
      <c r="Y14" s="131">
        <v>0.965906473162866</v>
      </c>
      <c r="Z14" s="131">
        <v>0.983016429758169</v>
      </c>
      <c r="AA14" s="131">
        <v>0.984973166368515</v>
      </c>
      <c r="AB14" s="131">
        <v>0.973259426204544</v>
      </c>
      <c r="AC14" s="131">
        <v>0.92</v>
      </c>
      <c r="AD14" s="129">
        <v>0.934627236155097</v>
      </c>
      <c r="AE14" s="129">
        <v>0.903480214590307</v>
      </c>
      <c r="AF14" s="129">
        <v>0.802649116961013</v>
      </c>
      <c r="AG14" s="129">
        <v>0.910480634290669</v>
      </c>
      <c r="AH14" s="131">
        <v>0.92</v>
      </c>
      <c r="AI14" s="129">
        <v>0.963805365819309</v>
      </c>
      <c r="AJ14" s="129">
        <v>0.976113240931878</v>
      </c>
      <c r="AK14" s="129">
        <v>0.982818190307218</v>
      </c>
      <c r="AL14" s="129">
        <v>0.975478797615524</v>
      </c>
      <c r="AM14" s="128">
        <v>0.99</v>
      </c>
      <c r="AN14" s="133">
        <v>1</v>
      </c>
      <c r="AO14" s="133">
        <v>1</v>
      </c>
      <c r="AP14" s="133">
        <v>1</v>
      </c>
      <c r="AQ14" s="133">
        <v>1</v>
      </c>
      <c r="AR14" s="135">
        <v>0.0872182100128262</v>
      </c>
      <c r="AS14" s="137">
        <v>0.0204081632653061</v>
      </c>
      <c r="AT14" s="137">
        <v>0.05</v>
      </c>
      <c r="AU14" s="137">
        <v>0.1</v>
      </c>
      <c r="AV14" s="137">
        <v>0.0640138408304498</v>
      </c>
      <c r="AW14" s="93"/>
      <c r="AX14" s="91"/>
    </row>
    <row r="15" ht="14.5" spans="1:59">
      <c r="A15" s="89"/>
      <c r="B15" s="93"/>
      <c r="C15" s="125" t="s">
        <v>23</v>
      </c>
      <c r="D15" s="126" t="s">
        <v>24</v>
      </c>
      <c r="E15" s="138" t="s">
        <v>31</v>
      </c>
      <c r="F15" s="138" t="s">
        <v>31</v>
      </c>
      <c r="G15" s="138" t="s">
        <v>31</v>
      </c>
      <c r="H15" s="138" t="s">
        <v>31</v>
      </c>
      <c r="I15" s="128">
        <v>0.9</v>
      </c>
      <c r="J15" s="129">
        <v>0.977777777777778</v>
      </c>
      <c r="K15" s="129">
        <v>0.992307692307692</v>
      </c>
      <c r="L15" s="130">
        <v>0.974358974358974</v>
      </c>
      <c r="M15" s="129">
        <v>0.986495611073599</v>
      </c>
      <c r="N15" s="131">
        <v>0.9</v>
      </c>
      <c r="O15" s="129">
        <v>0.827409782386247</v>
      </c>
      <c r="P15" s="129">
        <v>0.972767155036835</v>
      </c>
      <c r="Q15" s="129">
        <v>0.992535054978311</v>
      </c>
      <c r="R15" s="129">
        <v>0.950330332868473</v>
      </c>
      <c r="S15" s="131">
        <v>0.9</v>
      </c>
      <c r="T15" s="129">
        <v>0.895490824749301</v>
      </c>
      <c r="U15" s="129">
        <v>0.94230610048837</v>
      </c>
      <c r="V15" s="129">
        <v>0.933521638252799</v>
      </c>
      <c r="W15" s="129">
        <v>0.91157785008945</v>
      </c>
      <c r="X15" s="131">
        <v>0.92</v>
      </c>
      <c r="Y15" s="131">
        <v>0.952516496312589</v>
      </c>
      <c r="Z15" s="131">
        <v>0.968428630193336</v>
      </c>
      <c r="AA15" s="131">
        <v>0.969857779664615</v>
      </c>
      <c r="AB15" s="131">
        <v>0.964166730805177</v>
      </c>
      <c r="AC15" s="131">
        <v>0.92</v>
      </c>
      <c r="AD15" s="129">
        <v>0.997578413284133</v>
      </c>
      <c r="AE15" s="129">
        <v>0.996368341346507</v>
      </c>
      <c r="AF15" s="129">
        <v>0.99630481836086</v>
      </c>
      <c r="AG15" s="129">
        <v>0.996539947909361</v>
      </c>
      <c r="AH15" s="131">
        <v>0.92</v>
      </c>
      <c r="AI15" s="129">
        <v>0.964228295819936</v>
      </c>
      <c r="AJ15" s="129">
        <v>0.976657800605338</v>
      </c>
      <c r="AK15" s="129">
        <v>0.978599753862984</v>
      </c>
      <c r="AL15" s="129">
        <v>0.976326103100572</v>
      </c>
      <c r="AM15" s="128">
        <v>0.99</v>
      </c>
      <c r="AN15" s="133">
        <v>1</v>
      </c>
      <c r="AO15" s="133">
        <v>1</v>
      </c>
      <c r="AP15" s="133">
        <v>1</v>
      </c>
      <c r="AQ15" s="133">
        <v>1</v>
      </c>
      <c r="AR15" s="135">
        <v>0.0872182100128262</v>
      </c>
      <c r="AS15" s="137">
        <v>0.016304347826087</v>
      </c>
      <c r="AT15" s="137">
        <v>0.0283687943262411</v>
      </c>
      <c r="AU15" s="137">
        <v>0.0647482014388489</v>
      </c>
      <c r="AV15" s="137">
        <v>0.0203426124197002</v>
      </c>
      <c r="AW15" s="93"/>
      <c r="AX15" s="91"/>
    </row>
    <row r="16" ht="14.5" spans="1:59">
      <c r="A16" s="89"/>
      <c r="B16" s="93"/>
      <c r="C16" s="125" t="s">
        <v>23</v>
      </c>
      <c r="D16" s="126" t="s">
        <v>24</v>
      </c>
      <c r="E16" s="138" t="s">
        <v>32</v>
      </c>
      <c r="F16" s="138" t="s">
        <v>32</v>
      </c>
      <c r="G16" s="138" t="s">
        <v>32</v>
      </c>
      <c r="H16" s="138" t="s">
        <v>32</v>
      </c>
      <c r="I16" s="128">
        <v>0.9</v>
      </c>
      <c r="J16" s="129">
        <v>0.9375</v>
      </c>
      <c r="K16" s="129">
        <v>1</v>
      </c>
      <c r="L16" s="130">
        <v>1</v>
      </c>
      <c r="M16" s="129">
        <v>0.96</v>
      </c>
      <c r="N16" s="131">
        <v>0.9</v>
      </c>
      <c r="O16" s="129">
        <v>0.992503259452412</v>
      </c>
      <c r="P16" s="129">
        <v>0.990597512890507</v>
      </c>
      <c r="Q16" s="129">
        <v>0.987768496420048</v>
      </c>
      <c r="R16" s="129">
        <v>0.989658360911038</v>
      </c>
      <c r="S16" s="131">
        <v>0.9</v>
      </c>
      <c r="T16" s="129">
        <v>0.972294654498044</v>
      </c>
      <c r="U16" s="129">
        <v>0.978768577494692</v>
      </c>
      <c r="V16" s="129">
        <v>0.984785202863962</v>
      </c>
      <c r="W16" s="129">
        <v>0.988636363636364</v>
      </c>
      <c r="X16" s="131">
        <v>0.92</v>
      </c>
      <c r="Y16" s="131" t="s">
        <v>33</v>
      </c>
      <c r="Z16" s="131" t="s">
        <v>33</v>
      </c>
      <c r="AA16" s="131" t="s">
        <v>33</v>
      </c>
      <c r="AB16" s="131" t="s">
        <v>33</v>
      </c>
      <c r="AC16" s="131">
        <v>0.92</v>
      </c>
      <c r="AD16" s="129">
        <v>0.222222222222222</v>
      </c>
      <c r="AE16" s="129">
        <v>0</v>
      </c>
      <c r="AF16" s="129">
        <v>0.125</v>
      </c>
      <c r="AG16" s="129">
        <v>0.393939393939394</v>
      </c>
      <c r="AH16" s="131">
        <v>0.92</v>
      </c>
      <c r="AI16" s="129">
        <v>0.977183833116037</v>
      </c>
      <c r="AJ16" s="129">
        <v>0.984834698210494</v>
      </c>
      <c r="AK16" s="129">
        <v>0.992243436754177</v>
      </c>
      <c r="AL16" s="129">
        <v>0.994379014989293</v>
      </c>
      <c r="AM16" s="128">
        <v>0.99</v>
      </c>
      <c r="AN16" s="133">
        <v>1</v>
      </c>
      <c r="AO16" s="133">
        <v>1</v>
      </c>
      <c r="AP16" s="133">
        <v>1</v>
      </c>
      <c r="AQ16" s="133">
        <v>1</v>
      </c>
      <c r="AR16" s="135">
        <v>0.0872182100128262</v>
      </c>
      <c r="AS16" s="137">
        <v>0.1875</v>
      </c>
      <c r="AT16" s="137">
        <v>0</v>
      </c>
      <c r="AU16" s="137">
        <v>0</v>
      </c>
      <c r="AV16" s="137">
        <v>0.0793650793650794</v>
      </c>
      <c r="AW16" s="93"/>
      <c r="AX16" s="91"/>
    </row>
    <row r="17" ht="14.5" spans="1:50">
      <c r="A17" s="89"/>
      <c r="B17" s="93"/>
      <c r="C17" s="125" t="s">
        <v>23</v>
      </c>
      <c r="D17" s="126" t="s">
        <v>24</v>
      </c>
      <c r="E17" s="138" t="s">
        <v>34</v>
      </c>
      <c r="F17" s="138" t="s">
        <v>34</v>
      </c>
      <c r="G17" s="138" t="s">
        <v>34</v>
      </c>
      <c r="H17" s="138" t="s">
        <v>34</v>
      </c>
      <c r="I17" s="128">
        <v>0.9</v>
      </c>
      <c r="J17" s="129">
        <v>0.884615384615385</v>
      </c>
      <c r="K17" s="129">
        <v>0.862745098039216</v>
      </c>
      <c r="L17" s="130">
        <v>0.825242718446602</v>
      </c>
      <c r="M17" s="129">
        <v>0.818568994889267</v>
      </c>
      <c r="N17" s="131">
        <v>0.9</v>
      </c>
      <c r="O17" s="129">
        <v>0.992147160068847</v>
      </c>
      <c r="P17" s="129">
        <v>0.994107405919379</v>
      </c>
      <c r="Q17" s="129">
        <v>0.995283018867924</v>
      </c>
      <c r="R17" s="129">
        <v>0.983507896148732</v>
      </c>
      <c r="S17" s="131">
        <v>0.9</v>
      </c>
      <c r="T17" s="129">
        <v>0.68868330464716</v>
      </c>
      <c r="U17" s="129">
        <v>0.751707513057453</v>
      </c>
      <c r="V17" s="129">
        <v>0.729988564894225</v>
      </c>
      <c r="W17" s="129">
        <v>0.665690825538268</v>
      </c>
      <c r="X17" s="131">
        <v>0.92</v>
      </c>
      <c r="Y17" s="131">
        <v>0.862583431488025</v>
      </c>
      <c r="Z17" s="131">
        <v>0.866096397433788</v>
      </c>
      <c r="AA17" s="131">
        <v>0.889226100151745</v>
      </c>
      <c r="AB17" s="131">
        <v>0.83449122747994</v>
      </c>
      <c r="AC17" s="131">
        <v>0.92</v>
      </c>
      <c r="AD17" s="129">
        <v>0.996742671009772</v>
      </c>
      <c r="AE17" s="129">
        <v>0.990357345433919</v>
      </c>
      <c r="AF17" s="129">
        <v>0.716817118020729</v>
      </c>
      <c r="AG17" s="129">
        <v>0.833493220314715</v>
      </c>
      <c r="AH17" s="131">
        <v>0.92</v>
      </c>
      <c r="AI17" s="129">
        <v>0.894934333958724</v>
      </c>
      <c r="AJ17" s="129">
        <v>0.897328018895778</v>
      </c>
      <c r="AK17" s="129">
        <v>0.927236869420801</v>
      </c>
      <c r="AL17" s="129">
        <v>0.87684053938651</v>
      </c>
      <c r="AM17" s="128">
        <v>0.99</v>
      </c>
      <c r="AN17" s="133">
        <v>1</v>
      </c>
      <c r="AO17" s="133">
        <v>1</v>
      </c>
      <c r="AP17" s="133">
        <v>1</v>
      </c>
      <c r="AQ17" s="133">
        <v>1</v>
      </c>
      <c r="AR17" s="135">
        <v>0.0872182100128262</v>
      </c>
      <c r="AS17" s="137">
        <v>0.104166666666667</v>
      </c>
      <c r="AT17" s="137">
        <v>0.111111111111111</v>
      </c>
      <c r="AU17" s="137">
        <v>0.0740740740740741</v>
      </c>
      <c r="AV17" s="137">
        <v>0.0682128240109141</v>
      </c>
      <c r="AW17" s="93"/>
      <c r="AX17" s="91"/>
    </row>
    <row r="18" ht="14.5" spans="1:50">
      <c r="A18" s="89"/>
      <c r="B18" s="93"/>
      <c r="C18" s="125" t="s">
        <v>23</v>
      </c>
      <c r="D18" s="126" t="s">
        <v>24</v>
      </c>
      <c r="E18" s="138" t="s">
        <v>35</v>
      </c>
      <c r="F18" s="138" t="s">
        <v>35</v>
      </c>
      <c r="G18" s="138" t="s">
        <v>35</v>
      </c>
      <c r="H18" s="138" t="s">
        <v>35</v>
      </c>
      <c r="I18" s="128">
        <v>0.9</v>
      </c>
      <c r="J18" s="129">
        <v>0.983606557377049</v>
      </c>
      <c r="K18" s="129">
        <v>0.984251968503937</v>
      </c>
      <c r="L18" s="130">
        <v>0.982456140350877</v>
      </c>
      <c r="M18" s="129">
        <v>0.97444996451384</v>
      </c>
      <c r="N18" s="131">
        <v>0.9</v>
      </c>
      <c r="O18" s="129">
        <v>0.98397379139366</v>
      </c>
      <c r="P18" s="129">
        <v>0.969530907496712</v>
      </c>
      <c r="Q18" s="129">
        <v>0.985855728429986</v>
      </c>
      <c r="R18" s="129">
        <v>0.97996802407599</v>
      </c>
      <c r="S18" s="131">
        <v>0.9</v>
      </c>
      <c r="T18" s="129">
        <v>0.855852665131928</v>
      </c>
      <c r="U18" s="129">
        <v>0.868917141604559</v>
      </c>
      <c r="V18" s="129">
        <v>0.855256954266855</v>
      </c>
      <c r="W18" s="129">
        <v>0.841324179441362</v>
      </c>
      <c r="X18" s="131">
        <v>0.92</v>
      </c>
      <c r="Y18" s="131">
        <v>0.91352836592856</v>
      </c>
      <c r="Z18" s="131">
        <v>0.938274896680443</v>
      </c>
      <c r="AA18" s="131">
        <v>0.926507313592579</v>
      </c>
      <c r="AB18" s="131">
        <v>0.920252552544012</v>
      </c>
      <c r="AC18" s="131">
        <v>0.92</v>
      </c>
      <c r="AD18" s="129">
        <v>0.974005305039788</v>
      </c>
      <c r="AE18" s="129">
        <v>0.981382978723404</v>
      </c>
      <c r="AF18" s="129">
        <v>0.980246913580247</v>
      </c>
      <c r="AG18" s="129">
        <v>0.97720207253886</v>
      </c>
      <c r="AH18" s="131">
        <v>0.92</v>
      </c>
      <c r="AI18" s="129">
        <v>0.933592632843333</v>
      </c>
      <c r="AJ18" s="129">
        <v>0.949476723204619</v>
      </c>
      <c r="AK18" s="129">
        <v>0.949923630809513</v>
      </c>
      <c r="AL18" s="129">
        <v>0.940277471174583</v>
      </c>
      <c r="AM18" s="128">
        <v>0.99</v>
      </c>
      <c r="AN18" s="133">
        <v>1</v>
      </c>
      <c r="AO18" s="133">
        <v>1</v>
      </c>
      <c r="AP18" s="133">
        <v>1</v>
      </c>
      <c r="AQ18" s="133">
        <v>1</v>
      </c>
      <c r="AR18" s="135">
        <v>0.0872182100128262</v>
      </c>
      <c r="AS18" s="137">
        <v>0.111111111111111</v>
      </c>
      <c r="AT18" s="137">
        <v>0.0694444444444444</v>
      </c>
      <c r="AU18" s="137">
        <v>0.0821917808219178</v>
      </c>
      <c r="AV18" s="137">
        <v>0.0479825517993457</v>
      </c>
      <c r="AW18" s="93"/>
      <c r="AX18" s="91"/>
    </row>
    <row r="19" ht="14.5" spans="1:50">
      <c r="A19" s="89"/>
      <c r="B19" s="93"/>
      <c r="C19" s="125" t="s">
        <v>23</v>
      </c>
      <c r="D19" s="126" t="s">
        <v>24</v>
      </c>
      <c r="E19" s="138" t="s">
        <v>36</v>
      </c>
      <c r="F19" s="138" t="s">
        <v>36</v>
      </c>
      <c r="G19" s="138" t="s">
        <v>36</v>
      </c>
      <c r="H19" s="138" t="s">
        <v>36</v>
      </c>
      <c r="I19" s="128">
        <v>0.9</v>
      </c>
      <c r="J19" s="129">
        <v>0.80952380952381</v>
      </c>
      <c r="K19" s="129">
        <v>0.7</v>
      </c>
      <c r="L19" s="130">
        <v>0.761904761904762</v>
      </c>
      <c r="M19" s="129">
        <v>0.824884792626728</v>
      </c>
      <c r="N19" s="131">
        <v>0.9</v>
      </c>
      <c r="O19" s="129">
        <v>0.959844054580897</v>
      </c>
      <c r="P19" s="129">
        <v>0.981253083374445</v>
      </c>
      <c r="Q19" s="129">
        <v>0.974984365228268</v>
      </c>
      <c r="R19" s="129">
        <v>0.872909444169302</v>
      </c>
      <c r="S19" s="131">
        <v>0.9</v>
      </c>
      <c r="T19" s="129">
        <v>0.68187134502924</v>
      </c>
      <c r="U19" s="129">
        <v>0.744943265910212</v>
      </c>
      <c r="V19" s="129">
        <v>0.585365853658537</v>
      </c>
      <c r="W19" s="129">
        <v>0.638348127547716</v>
      </c>
      <c r="X19" s="131">
        <v>0.92</v>
      </c>
      <c r="Y19" s="131">
        <v>0.947963800904977</v>
      </c>
      <c r="Z19" s="131">
        <v>0.924213230571612</v>
      </c>
      <c r="AA19" s="131">
        <v>0.816983894582723</v>
      </c>
      <c r="AB19" s="131">
        <v>0.810210953068096</v>
      </c>
      <c r="AC19" s="131">
        <v>0.92</v>
      </c>
      <c r="AD19" s="129">
        <v>0.994895246198022</v>
      </c>
      <c r="AE19" s="129">
        <v>0.993347716648687</v>
      </c>
      <c r="AF19" s="129">
        <v>0.993560849967804</v>
      </c>
      <c r="AG19" s="129">
        <v>0.990011337425232</v>
      </c>
      <c r="AH19" s="131">
        <v>0.92</v>
      </c>
      <c r="AI19" s="129">
        <v>0.949370341814444</v>
      </c>
      <c r="AJ19" s="129">
        <v>0.94976276862964</v>
      </c>
      <c r="AK19" s="129">
        <v>0.897896581945662</v>
      </c>
      <c r="AL19" s="129">
        <v>0.864379365273863</v>
      </c>
      <c r="AM19" s="128">
        <v>0.99</v>
      </c>
      <c r="AN19" s="133">
        <v>1</v>
      </c>
      <c r="AO19" s="133">
        <v>1</v>
      </c>
      <c r="AP19" s="133">
        <v>1</v>
      </c>
      <c r="AQ19" s="133">
        <v>1</v>
      </c>
      <c r="AR19" s="135">
        <v>0.0872182100128262</v>
      </c>
      <c r="AS19" s="137">
        <v>0</v>
      </c>
      <c r="AT19" s="137">
        <v>0</v>
      </c>
      <c r="AU19" s="137">
        <v>0.0769230769230769</v>
      </c>
      <c r="AV19" s="137">
        <v>0.0769230769230769</v>
      </c>
      <c r="AW19" s="93"/>
      <c r="AX19" s="91"/>
    </row>
    <row r="20" ht="14.5" spans="1:50">
      <c r="A20" s="89"/>
      <c r="B20" s="93"/>
      <c r="C20" s="125" t="s">
        <v>23</v>
      </c>
      <c r="D20" s="126" t="s">
        <v>24</v>
      </c>
      <c r="E20" s="138" t="s">
        <v>37</v>
      </c>
      <c r="F20" s="138" t="s">
        <v>37</v>
      </c>
      <c r="G20" s="138" t="s">
        <v>37</v>
      </c>
      <c r="H20" s="138" t="s">
        <v>37</v>
      </c>
      <c r="I20" s="128">
        <v>0.9</v>
      </c>
      <c r="J20" s="129">
        <v>0.917355371900826</v>
      </c>
      <c r="K20" s="129">
        <v>0.901639344262295</v>
      </c>
      <c r="L20" s="130">
        <v>0.921052631578947</v>
      </c>
      <c r="M20" s="129">
        <v>0.891801075268817</v>
      </c>
      <c r="N20" s="131">
        <v>0.9</v>
      </c>
      <c r="O20" s="129">
        <v>0.991021470396877</v>
      </c>
      <c r="P20" s="129">
        <v>0.988265971316819</v>
      </c>
      <c r="Q20" s="129">
        <v>0.994892747701736</v>
      </c>
      <c r="R20" s="129">
        <v>0.97136503006935</v>
      </c>
      <c r="S20" s="131">
        <v>0.9</v>
      </c>
      <c r="T20" s="129">
        <v>0.811190631099545</v>
      </c>
      <c r="U20" s="129">
        <v>0.797099087353325</v>
      </c>
      <c r="V20" s="129">
        <v>0.844739530132789</v>
      </c>
      <c r="W20" s="129">
        <v>0.811056572488847</v>
      </c>
      <c r="X20" s="131">
        <v>0.92</v>
      </c>
      <c r="Y20" s="131">
        <v>0.935844098970878</v>
      </c>
      <c r="Z20" s="131">
        <v>0.929157345264728</v>
      </c>
      <c r="AA20" s="131">
        <v>0.937111517367459</v>
      </c>
      <c r="AB20" s="131">
        <v>0.931860107609531</v>
      </c>
      <c r="AC20" s="131">
        <v>0.92</v>
      </c>
      <c r="AD20" s="129">
        <v>0.993029490616622</v>
      </c>
      <c r="AE20" s="129">
        <v>0.997847610848041</v>
      </c>
      <c r="AF20" s="129">
        <v>0.97859778597786</v>
      </c>
      <c r="AG20" s="129">
        <v>0.993086809260892</v>
      </c>
      <c r="AH20" s="131">
        <v>0.92</v>
      </c>
      <c r="AI20" s="129">
        <v>0.950624336897086</v>
      </c>
      <c r="AJ20" s="129">
        <v>0.941826086956522</v>
      </c>
      <c r="AK20" s="129">
        <v>0.958715596330275</v>
      </c>
      <c r="AL20" s="129">
        <v>0.953305843212595</v>
      </c>
      <c r="AM20" s="128">
        <v>0.99</v>
      </c>
      <c r="AN20" s="133">
        <v>1</v>
      </c>
      <c r="AO20" s="133">
        <v>1</v>
      </c>
      <c r="AP20" s="133">
        <v>1</v>
      </c>
      <c r="AQ20" s="133">
        <v>1</v>
      </c>
      <c r="AR20" s="135">
        <v>0.0872182100128262</v>
      </c>
      <c r="AS20" s="137">
        <v>0.0597014925373134</v>
      </c>
      <c r="AT20" s="137">
        <v>0.166666666666667</v>
      </c>
      <c r="AU20" s="137">
        <v>0.06</v>
      </c>
      <c r="AV20" s="137">
        <v>0.0598179453836151</v>
      </c>
      <c r="AW20" s="93"/>
      <c r="AX20" s="91"/>
    </row>
    <row r="21" ht="14.5" spans="1:50">
      <c r="A21" s="89"/>
      <c r="B21" s="93"/>
      <c r="C21" s="125" t="s">
        <v>23</v>
      </c>
      <c r="D21" s="126" t="s">
        <v>24</v>
      </c>
      <c r="E21" s="138" t="s">
        <v>38</v>
      </c>
      <c r="F21" s="138" t="s">
        <v>38</v>
      </c>
      <c r="G21" s="138" t="s">
        <v>38</v>
      </c>
      <c r="H21" s="138" t="s">
        <v>38</v>
      </c>
      <c r="I21" s="128">
        <v>0.9</v>
      </c>
      <c r="J21" s="129">
        <v>1</v>
      </c>
      <c r="K21" s="129">
        <v>0.947368421052632</v>
      </c>
      <c r="L21" s="130">
        <v>0.941176470588235</v>
      </c>
      <c r="M21" s="129">
        <v>0.90990990990991</v>
      </c>
      <c r="N21" s="131">
        <v>0.9</v>
      </c>
      <c r="O21" s="129">
        <v>0.993687532877433</v>
      </c>
      <c r="P21" s="129">
        <v>0.915532879818594</v>
      </c>
      <c r="Q21" s="129">
        <v>0.994782608695652</v>
      </c>
      <c r="R21" s="129">
        <v>0.976724591890469</v>
      </c>
      <c r="S21" s="131">
        <v>0.9</v>
      </c>
      <c r="T21" s="129">
        <v>0.871646501841136</v>
      </c>
      <c r="U21" s="129">
        <v>0.937641723356009</v>
      </c>
      <c r="V21" s="129">
        <v>0.872173913043478</v>
      </c>
      <c r="W21" s="129">
        <v>0.879094260136914</v>
      </c>
      <c r="X21" s="131">
        <v>0.92</v>
      </c>
      <c r="Y21" s="131">
        <v>0.942723004694836</v>
      </c>
      <c r="Z21" s="131">
        <v>0.964067278287462</v>
      </c>
      <c r="AA21" s="131">
        <v>0.963872832369942</v>
      </c>
      <c r="AB21" s="131">
        <v>0.939483881606068</v>
      </c>
      <c r="AC21" s="131">
        <v>0.92</v>
      </c>
      <c r="AD21" s="129">
        <v>0.987379265936896</v>
      </c>
      <c r="AE21" s="129">
        <v>0.992068502880593</v>
      </c>
      <c r="AF21" s="129">
        <v>0.967422271770098</v>
      </c>
      <c r="AG21" s="129">
        <v>0.97085640004727</v>
      </c>
      <c r="AH21" s="131">
        <v>0.92</v>
      </c>
      <c r="AI21" s="129">
        <v>0.960552933243425</v>
      </c>
      <c r="AJ21" s="129">
        <v>0.978190104166667</v>
      </c>
      <c r="AK21" s="129">
        <v>0.96742671009772</v>
      </c>
      <c r="AL21" s="129">
        <v>0.958664955070603</v>
      </c>
      <c r="AM21" s="128">
        <v>0.99</v>
      </c>
      <c r="AN21" s="133">
        <v>1</v>
      </c>
      <c r="AO21" s="133">
        <v>1</v>
      </c>
      <c r="AP21" s="133">
        <v>1</v>
      </c>
      <c r="AQ21" s="133">
        <v>1</v>
      </c>
      <c r="AR21" s="135">
        <v>0.0872182100128262</v>
      </c>
      <c r="AS21" s="137">
        <v>0</v>
      </c>
      <c r="AT21" s="137">
        <v>0.111111111111111</v>
      </c>
      <c r="AU21" s="137">
        <v>0.2</v>
      </c>
      <c r="AV21" s="137">
        <v>0.0769230769230769</v>
      </c>
      <c r="AW21" s="93"/>
      <c r="AX21" s="91"/>
    </row>
    <row r="22" ht="14.5" spans="1:50">
      <c r="A22" s="89"/>
      <c r="B22" s="93"/>
      <c r="C22" s="125" t="s">
        <v>23</v>
      </c>
      <c r="D22" s="126" t="s">
        <v>24</v>
      </c>
      <c r="E22" s="138" t="s">
        <v>39</v>
      </c>
      <c r="F22" s="138" t="s">
        <v>39</v>
      </c>
      <c r="G22" s="138" t="s">
        <v>39</v>
      </c>
      <c r="H22" s="138" t="s">
        <v>39</v>
      </c>
      <c r="I22" s="128">
        <v>0.9</v>
      </c>
      <c r="J22" s="129">
        <v>0.9375</v>
      </c>
      <c r="K22" s="129">
        <v>0.916666666666667</v>
      </c>
      <c r="L22" s="130">
        <v>0.897959183673469</v>
      </c>
      <c r="M22" s="129">
        <v>0.913284132841328</v>
      </c>
      <c r="N22" s="131">
        <v>0.9</v>
      </c>
      <c r="O22" s="129">
        <v>0.985570209464701</v>
      </c>
      <c r="P22" s="129">
        <v>0.972972972972973</v>
      </c>
      <c r="Q22" s="129">
        <v>0.866885625965997</v>
      </c>
      <c r="R22" s="129">
        <v>0.956495040151157</v>
      </c>
      <c r="S22" s="131">
        <v>0.9</v>
      </c>
      <c r="T22" s="129">
        <v>0.775174553917766</v>
      </c>
      <c r="U22" s="129">
        <v>0.83539668700959</v>
      </c>
      <c r="V22" s="129">
        <v>0.797913446676971</v>
      </c>
      <c r="W22" s="129">
        <v>0.7796410014171</v>
      </c>
      <c r="X22" s="131">
        <v>0.92</v>
      </c>
      <c r="Y22" s="131">
        <v>0.950227531285552</v>
      </c>
      <c r="Z22" s="131">
        <v>0.957486568558748</v>
      </c>
      <c r="AA22" s="131">
        <v>0.983118172790467</v>
      </c>
      <c r="AB22" s="131">
        <v>0.960140282984641</v>
      </c>
      <c r="AC22" s="131">
        <v>0.92</v>
      </c>
      <c r="AD22" s="129">
        <v>0.997265396751198</v>
      </c>
      <c r="AE22" s="129">
        <v>0.979936981544595</v>
      </c>
      <c r="AF22" s="129">
        <v>0.972376894877638</v>
      </c>
      <c r="AG22" s="129">
        <v>0.982480148089199</v>
      </c>
      <c r="AH22" s="131">
        <v>0.92</v>
      </c>
      <c r="AI22" s="129">
        <v>0.963762296727565</v>
      </c>
      <c r="AJ22" s="129">
        <v>0.972050309443003</v>
      </c>
      <c r="AK22" s="129">
        <v>0.991240266963293</v>
      </c>
      <c r="AL22" s="129">
        <v>0.974521807120926</v>
      </c>
      <c r="AM22" s="128">
        <v>0.99</v>
      </c>
      <c r="AN22" s="133">
        <v>1</v>
      </c>
      <c r="AO22" s="133">
        <v>1</v>
      </c>
      <c r="AP22" s="133">
        <v>1</v>
      </c>
      <c r="AQ22" s="133">
        <v>1</v>
      </c>
      <c r="AR22" s="135">
        <v>0.0872182100128262</v>
      </c>
      <c r="AS22" s="137">
        <v>0.0714285714285714</v>
      </c>
      <c r="AT22" s="137">
        <v>0.0625</v>
      </c>
      <c r="AU22" s="137">
        <v>0.25</v>
      </c>
      <c r="AV22" s="137">
        <v>0.0792452830188679</v>
      </c>
      <c r="AW22" s="93"/>
      <c r="AX22" s="91"/>
    </row>
    <row r="23" ht="14.5" spans="1:50">
      <c r="A23" s="89"/>
      <c r="B23" s="93"/>
      <c r="C23" s="125" t="s">
        <v>23</v>
      </c>
      <c r="D23" s="126" t="s">
        <v>24</v>
      </c>
      <c r="E23" s="138" t="s">
        <v>40</v>
      </c>
      <c r="F23" s="138" t="s">
        <v>40</v>
      </c>
      <c r="G23" s="138" t="s">
        <v>40</v>
      </c>
      <c r="H23" s="138" t="s">
        <v>40</v>
      </c>
      <c r="I23" s="128">
        <v>0.9</v>
      </c>
      <c r="J23" s="129">
        <v>0.91875</v>
      </c>
      <c r="K23" s="129">
        <v>0.866666666666667</v>
      </c>
      <c r="L23" s="130">
        <v>0.815384615384615</v>
      </c>
      <c r="M23" s="129">
        <v>0.834298957126304</v>
      </c>
      <c r="N23" s="131">
        <v>0.9</v>
      </c>
      <c r="O23" s="129">
        <v>0.962796319924787</v>
      </c>
      <c r="P23" s="129">
        <v>0.895295165600454</v>
      </c>
      <c r="Q23" s="129">
        <v>0.794716659565403</v>
      </c>
      <c r="R23" s="129">
        <v>0.896969852502454</v>
      </c>
      <c r="S23" s="131">
        <v>0.9</v>
      </c>
      <c r="T23" s="129">
        <v>0.675844469813982</v>
      </c>
      <c r="U23" s="129">
        <v>0.703133856992469</v>
      </c>
      <c r="V23" s="129">
        <v>0.572645930975714</v>
      </c>
      <c r="W23" s="129">
        <v>0.636568356355098</v>
      </c>
      <c r="X23" s="131">
        <v>0.92</v>
      </c>
      <c r="Y23" s="131">
        <v>0.939532884367388</v>
      </c>
      <c r="Z23" s="131">
        <v>0.962328767123288</v>
      </c>
      <c r="AA23" s="131">
        <v>0.962183592558707</v>
      </c>
      <c r="AB23" s="131">
        <v>0.958193493829444</v>
      </c>
      <c r="AC23" s="131">
        <v>0.92</v>
      </c>
      <c r="AD23" s="129">
        <v>0.983059782799705</v>
      </c>
      <c r="AE23" s="129">
        <v>0.836110303491155</v>
      </c>
      <c r="AF23" s="129">
        <v>0.813438683557529</v>
      </c>
      <c r="AG23" s="129">
        <v>0.767891755996789</v>
      </c>
      <c r="AH23" s="131">
        <v>0.92</v>
      </c>
      <c r="AI23" s="129">
        <v>0.95615398683248</v>
      </c>
      <c r="AJ23" s="129">
        <v>0.970024151157835</v>
      </c>
      <c r="AK23" s="129">
        <v>0.958988015978695</v>
      </c>
      <c r="AL23" s="129">
        <v>0.966862229590009</v>
      </c>
      <c r="AM23" s="128">
        <v>0.99</v>
      </c>
      <c r="AN23" s="133">
        <v>1</v>
      </c>
      <c r="AO23" s="133">
        <v>1</v>
      </c>
      <c r="AP23" s="133">
        <v>1</v>
      </c>
      <c r="AQ23" s="133">
        <v>0.995981001096091</v>
      </c>
      <c r="AR23" s="135">
        <v>0.0872182100128262</v>
      </c>
      <c r="AS23" s="137">
        <v>0.112676056338028</v>
      </c>
      <c r="AT23" s="137">
        <v>0.0731707317073171</v>
      </c>
      <c r="AU23" s="137">
        <v>0.296875</v>
      </c>
      <c r="AV23" s="137">
        <v>0.0503919372900336</v>
      </c>
      <c r="AW23" s="93"/>
      <c r="AX23" s="91"/>
    </row>
    <row r="24" ht="14.5" spans="1:50">
      <c r="A24" s="89"/>
      <c r="B24" s="93"/>
      <c r="C24" s="125" t="s">
        <v>23</v>
      </c>
      <c r="D24" s="126" t="s">
        <v>24</v>
      </c>
      <c r="E24" s="138" t="s">
        <v>41</v>
      </c>
      <c r="F24" s="138" t="s">
        <v>41</v>
      </c>
      <c r="G24" s="138" t="s">
        <v>41</v>
      </c>
      <c r="H24" s="138" t="s">
        <v>41</v>
      </c>
      <c r="I24" s="128">
        <v>0.9</v>
      </c>
      <c r="J24" s="129">
        <v>0.88125</v>
      </c>
      <c r="K24" s="129">
        <v>0.841059602649007</v>
      </c>
      <c r="L24" s="130">
        <v>0.864</v>
      </c>
      <c r="M24" s="129">
        <v>0.825960419091967</v>
      </c>
      <c r="N24" s="131">
        <v>0.9</v>
      </c>
      <c r="O24" s="129">
        <v>0.954687945283557</v>
      </c>
      <c r="P24" s="129">
        <v>0.950466430166864</v>
      </c>
      <c r="Q24" s="129">
        <v>0.964465408805031</v>
      </c>
      <c r="R24" s="129">
        <v>0.96084100427305</v>
      </c>
      <c r="S24" s="131">
        <v>0.9</v>
      </c>
      <c r="T24" s="129">
        <v>0.658972166809157</v>
      </c>
      <c r="U24" s="129">
        <v>0.710024963868086</v>
      </c>
      <c r="V24" s="129">
        <v>0.668238993710692</v>
      </c>
      <c r="W24" s="129">
        <v>0.679733837879207</v>
      </c>
      <c r="X24" s="131">
        <v>0.92</v>
      </c>
      <c r="Y24" s="131">
        <v>0.891859874767304</v>
      </c>
      <c r="Z24" s="131">
        <v>0.908876886857776</v>
      </c>
      <c r="AA24" s="131">
        <v>0.86870328241794</v>
      </c>
      <c r="AB24" s="131">
        <v>0.898659589780497</v>
      </c>
      <c r="AC24" s="131">
        <v>0.92</v>
      </c>
      <c r="AD24" s="129">
        <v>0.928571428571429</v>
      </c>
      <c r="AE24" s="129">
        <v>0.96</v>
      </c>
      <c r="AF24" s="129">
        <v>0.9375</v>
      </c>
      <c r="AG24" s="129">
        <v>0.794019933554817</v>
      </c>
      <c r="AH24" s="131">
        <v>0.92</v>
      </c>
      <c r="AI24" s="129">
        <v>0.918238228494951</v>
      </c>
      <c r="AJ24" s="129">
        <v>0.929500572892094</v>
      </c>
      <c r="AK24" s="129">
        <v>0.91162445692487</v>
      </c>
      <c r="AL24" s="129">
        <v>0.925432077267045</v>
      </c>
      <c r="AM24" s="128">
        <v>0.99</v>
      </c>
      <c r="AN24" s="133">
        <v>1</v>
      </c>
      <c r="AO24" s="133">
        <v>1</v>
      </c>
      <c r="AP24" s="133">
        <v>1</v>
      </c>
      <c r="AQ24" s="133">
        <v>1</v>
      </c>
      <c r="AR24" s="135">
        <v>0.0872182100128262</v>
      </c>
      <c r="AS24" s="137">
        <v>0.051948051948052</v>
      </c>
      <c r="AT24" s="137">
        <v>0.117647058823529</v>
      </c>
      <c r="AU24" s="137">
        <v>0.19047619047619</v>
      </c>
      <c r="AV24" s="137">
        <v>0.0714285714285714</v>
      </c>
      <c r="AW24" s="93"/>
      <c r="AX24" s="91"/>
    </row>
    <row r="25" ht="14.5" spans="1:50">
      <c r="A25" s="89"/>
      <c r="B25" s="93"/>
      <c r="C25" s="125" t="s">
        <v>23</v>
      </c>
      <c r="D25" s="126" t="s">
        <v>24</v>
      </c>
      <c r="E25" s="138" t="s">
        <v>42</v>
      </c>
      <c r="F25" s="138" t="s">
        <v>42</v>
      </c>
      <c r="G25" s="138" t="s">
        <v>42</v>
      </c>
      <c r="H25" s="138" t="s">
        <v>42</v>
      </c>
      <c r="I25" s="128">
        <v>0.9</v>
      </c>
      <c r="J25" s="129">
        <v>0.946428571428571</v>
      </c>
      <c r="K25" s="129">
        <v>0.946428571428571</v>
      </c>
      <c r="L25" s="130">
        <v>0.94047619047619</v>
      </c>
      <c r="M25" s="129">
        <v>0.958471760797342</v>
      </c>
      <c r="N25" s="131">
        <v>0.9</v>
      </c>
      <c r="O25" s="129">
        <v>0.841600901916573</v>
      </c>
      <c r="P25" s="129">
        <v>0.977045075125209</v>
      </c>
      <c r="Q25" s="129">
        <v>0.989008792965627</v>
      </c>
      <c r="R25" s="129">
        <v>0.966903742018912</v>
      </c>
      <c r="S25" s="131">
        <v>0.9</v>
      </c>
      <c r="T25" s="129">
        <v>0.811612175873732</v>
      </c>
      <c r="U25" s="129">
        <v>0.806135225375626</v>
      </c>
      <c r="V25" s="129">
        <v>0.769384492406075</v>
      </c>
      <c r="W25" s="129">
        <v>0.785487216789245</v>
      </c>
      <c r="X25" s="131">
        <v>0.92</v>
      </c>
      <c r="Y25" s="131">
        <v>0.896296296296296</v>
      </c>
      <c r="Z25" s="131">
        <v>0.904910223525101</v>
      </c>
      <c r="AA25" s="131">
        <v>0.888171174808236</v>
      </c>
      <c r="AB25" s="131">
        <v>0.91006033394135</v>
      </c>
      <c r="AC25" s="131">
        <v>0.92</v>
      </c>
      <c r="AD25" s="129">
        <v>0.998138792874236</v>
      </c>
      <c r="AE25" s="129">
        <v>0.996844936381504</v>
      </c>
      <c r="AF25" s="129">
        <v>0.89946949602122</v>
      </c>
      <c r="AG25" s="129">
        <v>0.989007757582547</v>
      </c>
      <c r="AH25" s="131">
        <v>0.92</v>
      </c>
      <c r="AI25" s="129">
        <v>0.930786142066561</v>
      </c>
      <c r="AJ25" s="129">
        <v>0.924112368318377</v>
      </c>
      <c r="AK25" s="129">
        <v>0.922737601924876</v>
      </c>
      <c r="AL25" s="129">
        <v>0.937383192627441</v>
      </c>
      <c r="AM25" s="128">
        <v>0.99</v>
      </c>
      <c r="AN25" s="133">
        <v>1</v>
      </c>
      <c r="AO25" s="133">
        <v>1</v>
      </c>
      <c r="AP25" s="133">
        <v>1</v>
      </c>
      <c r="AQ25" s="133">
        <v>1</v>
      </c>
      <c r="AR25" s="135">
        <v>0.0872182100128262</v>
      </c>
      <c r="AS25" s="137">
        <v>0.0975609756097561</v>
      </c>
      <c r="AT25" s="137">
        <v>0.0759493670886076</v>
      </c>
      <c r="AU25" s="137">
        <v>0.15</v>
      </c>
      <c r="AV25" s="137">
        <v>0.0581527936145952</v>
      </c>
      <c r="AW25" s="93"/>
      <c r="AX25" s="91"/>
    </row>
    <row r="26" ht="14.5" spans="1:50">
      <c r="A26" s="89"/>
      <c r="B26" s="93"/>
      <c r="C26" s="125" t="s">
        <v>23</v>
      </c>
      <c r="D26" s="126" t="s">
        <v>24</v>
      </c>
      <c r="E26" s="138" t="s">
        <v>43</v>
      </c>
      <c r="F26" s="138" t="s">
        <v>43</v>
      </c>
      <c r="G26" s="138" t="s">
        <v>43</v>
      </c>
      <c r="H26" s="138" t="s">
        <v>43</v>
      </c>
      <c r="I26" s="128">
        <v>0.9</v>
      </c>
      <c r="J26" s="129">
        <v>0.893805309734513</v>
      </c>
      <c r="K26" s="129">
        <v>0.880733944954128</v>
      </c>
      <c r="L26" s="130">
        <v>0.896907216494845</v>
      </c>
      <c r="M26" s="129">
        <v>0.888713496448303</v>
      </c>
      <c r="N26" s="131">
        <v>0.9</v>
      </c>
      <c r="O26" s="129">
        <v>0.930974978429681</v>
      </c>
      <c r="P26" s="129">
        <v>0.945826771653543</v>
      </c>
      <c r="Q26" s="129">
        <v>0.927828618968386</v>
      </c>
      <c r="R26" s="129">
        <v>0.936232938090105</v>
      </c>
      <c r="S26" s="131">
        <v>0.9</v>
      </c>
      <c r="T26" s="129">
        <v>0.625169481079749</v>
      </c>
      <c r="U26" s="129">
        <v>0.665984251968504</v>
      </c>
      <c r="V26" s="129">
        <v>0.701747088186356</v>
      </c>
      <c r="W26" s="129">
        <v>0.656956583851738</v>
      </c>
      <c r="X26" s="131">
        <v>0.92</v>
      </c>
      <c r="Y26" s="131">
        <v>0.913560484793048</v>
      </c>
      <c r="Z26" s="131">
        <v>0.918446601941748</v>
      </c>
      <c r="AA26" s="131">
        <v>0.902071563088512</v>
      </c>
      <c r="AB26" s="131">
        <v>0.913372664700098</v>
      </c>
      <c r="AC26" s="131">
        <v>0.92</v>
      </c>
      <c r="AD26" s="129">
        <v>0.997912317327766</v>
      </c>
      <c r="AE26" s="129">
        <v>0.998200359928014</v>
      </c>
      <c r="AF26" s="129">
        <v>0.977735670298437</v>
      </c>
      <c r="AG26" s="129">
        <v>0.990314713193565</v>
      </c>
      <c r="AH26" s="131">
        <v>0.92</v>
      </c>
      <c r="AI26" s="129">
        <v>0.931769039801393</v>
      </c>
      <c r="AJ26" s="129">
        <v>0.93766125676238</v>
      </c>
      <c r="AK26" s="129">
        <v>0.939852877542189</v>
      </c>
      <c r="AL26" s="129">
        <v>0.939448450624912</v>
      </c>
      <c r="AM26" s="128">
        <v>0.99</v>
      </c>
      <c r="AN26" s="133">
        <v>1</v>
      </c>
      <c r="AO26" s="133">
        <v>1</v>
      </c>
      <c r="AP26" s="133">
        <v>1</v>
      </c>
      <c r="AQ26" s="133">
        <v>1</v>
      </c>
      <c r="AR26" s="135">
        <v>0.0872182100128262</v>
      </c>
      <c r="AS26" s="137">
        <v>0.0298507462686567</v>
      </c>
      <c r="AT26" s="137">
        <v>0.09375</v>
      </c>
      <c r="AU26" s="137">
        <v>0.0384615384615385</v>
      </c>
      <c r="AV26" s="137">
        <v>0.0294478527607362</v>
      </c>
      <c r="AW26" s="93"/>
      <c r="AX26" s="91"/>
    </row>
    <row r="27" ht="14.5" spans="1:50">
      <c r="A27" s="89"/>
      <c r="B27" s="93"/>
      <c r="C27" s="125" t="s">
        <v>23</v>
      </c>
      <c r="D27" s="126" t="s">
        <v>24</v>
      </c>
      <c r="E27" s="138" t="s">
        <v>44</v>
      </c>
      <c r="F27" s="138" t="s">
        <v>44</v>
      </c>
      <c r="G27" s="138" t="s">
        <v>44</v>
      </c>
      <c r="H27" s="138" t="s">
        <v>44</v>
      </c>
      <c r="I27" s="128">
        <v>0.9</v>
      </c>
      <c r="J27" s="129">
        <v>0.954545454545455</v>
      </c>
      <c r="K27" s="129">
        <v>0.929824561403509</v>
      </c>
      <c r="L27" s="130">
        <v>0.934065934065934</v>
      </c>
      <c r="M27" s="129">
        <v>0.95320197044335</v>
      </c>
      <c r="N27" s="131">
        <v>0.9</v>
      </c>
      <c r="O27" s="129">
        <v>0.981883466623143</v>
      </c>
      <c r="P27" s="129">
        <v>0.981168414294886</v>
      </c>
      <c r="Q27" s="129">
        <v>0.966529226291535</v>
      </c>
      <c r="R27" s="129">
        <v>0.949895615866388</v>
      </c>
      <c r="S27" s="131">
        <v>0.9</v>
      </c>
      <c r="T27" s="129">
        <v>0.885098743267504</v>
      </c>
      <c r="U27" s="129">
        <v>0.90241814680077</v>
      </c>
      <c r="V27" s="129">
        <v>0.882124666504972</v>
      </c>
      <c r="W27" s="129">
        <v>0.893408398644717</v>
      </c>
      <c r="X27" s="131">
        <v>0.92</v>
      </c>
      <c r="Y27" s="131">
        <v>0.941404090657822</v>
      </c>
      <c r="Z27" s="131">
        <v>0.959161388949552</v>
      </c>
      <c r="AA27" s="131">
        <v>0.939249867934495</v>
      </c>
      <c r="AB27" s="131">
        <v>0.950567004023899</v>
      </c>
      <c r="AC27" s="131">
        <v>0.92</v>
      </c>
      <c r="AD27" s="129">
        <v>1</v>
      </c>
      <c r="AE27" s="129">
        <v>1</v>
      </c>
      <c r="AF27" s="129">
        <v>0.958333333333333</v>
      </c>
      <c r="AG27" s="129">
        <v>0.897196261682243</v>
      </c>
      <c r="AH27" s="131">
        <v>0.92</v>
      </c>
      <c r="AI27" s="129">
        <v>0.961723961005644</v>
      </c>
      <c r="AJ27" s="129">
        <v>0.970171836161245</v>
      </c>
      <c r="AK27" s="129">
        <v>0.96376329787234</v>
      </c>
      <c r="AL27" s="129">
        <v>0.968184057839854</v>
      </c>
      <c r="AM27" s="128">
        <v>0.99</v>
      </c>
      <c r="AN27" s="133">
        <v>1</v>
      </c>
      <c r="AO27" s="133">
        <v>1</v>
      </c>
      <c r="AP27" s="133">
        <v>1</v>
      </c>
      <c r="AQ27" s="133">
        <v>1</v>
      </c>
      <c r="AR27" s="135">
        <v>0.0872182100128262</v>
      </c>
      <c r="AS27" s="137">
        <v>0.0833333333333333</v>
      </c>
      <c r="AT27" s="137">
        <v>0.111111111111111</v>
      </c>
      <c r="AU27" s="137">
        <v>0.16</v>
      </c>
      <c r="AV27" s="137">
        <v>0.0686619718309859</v>
      </c>
      <c r="AW27" s="93"/>
      <c r="AX27" s="91"/>
    </row>
    <row r="28" ht="14.5" spans="1:50">
      <c r="A28" s="89"/>
      <c r="B28" s="93"/>
      <c r="C28" s="125" t="s">
        <v>23</v>
      </c>
      <c r="D28" s="126" t="s">
        <v>24</v>
      </c>
      <c r="E28" s="138" t="s">
        <v>45</v>
      </c>
      <c r="F28" s="138" t="s">
        <v>45</v>
      </c>
      <c r="G28" s="138" t="s">
        <v>45</v>
      </c>
      <c r="H28" s="138" t="s">
        <v>45</v>
      </c>
      <c r="I28" s="128">
        <v>0.9</v>
      </c>
      <c r="J28" s="129">
        <v>0.982758620689655</v>
      </c>
      <c r="K28" s="129">
        <v>0.983050847457627</v>
      </c>
      <c r="L28" s="130">
        <v>1</v>
      </c>
      <c r="M28" s="129">
        <v>0.976923076923077</v>
      </c>
      <c r="N28" s="131">
        <v>0.9</v>
      </c>
      <c r="O28" s="129">
        <v>0.988256965231407</v>
      </c>
      <c r="P28" s="129">
        <v>0.98729531338227</v>
      </c>
      <c r="Q28" s="129">
        <v>0.992534891269068</v>
      </c>
      <c r="R28" s="129">
        <v>0.98390299745345</v>
      </c>
      <c r="S28" s="131">
        <v>0.9</v>
      </c>
      <c r="T28" s="129">
        <v>0.819940133548239</v>
      </c>
      <c r="U28" s="129">
        <v>0.900903444381705</v>
      </c>
      <c r="V28" s="129">
        <v>0.891593638429081</v>
      </c>
      <c r="W28" s="129">
        <v>0.867299021096652</v>
      </c>
      <c r="X28" s="131">
        <v>0.92</v>
      </c>
      <c r="Y28" s="131">
        <v>0.958204334365325</v>
      </c>
      <c r="Z28" s="131">
        <v>0.959822840873141</v>
      </c>
      <c r="AA28" s="131">
        <v>0.950235373234701</v>
      </c>
      <c r="AB28" s="131">
        <v>0.960573597071565</v>
      </c>
      <c r="AC28" s="131">
        <v>0.92</v>
      </c>
      <c r="AD28" s="129">
        <v>0.993055555555556</v>
      </c>
      <c r="AE28" s="129">
        <v>0.997560662472718</v>
      </c>
      <c r="AF28" s="129">
        <v>0.985041136873598</v>
      </c>
      <c r="AG28" s="129">
        <v>0.992848910673869</v>
      </c>
      <c r="AH28" s="131">
        <v>0.92</v>
      </c>
      <c r="AI28" s="129">
        <v>0.96723913984702</v>
      </c>
      <c r="AJ28" s="129">
        <v>0.971364653243848</v>
      </c>
      <c r="AK28" s="129">
        <v>0.966068301225919</v>
      </c>
      <c r="AL28" s="129">
        <v>0.973124130425799</v>
      </c>
      <c r="AM28" s="128">
        <v>0.99</v>
      </c>
      <c r="AN28" s="133">
        <v>1</v>
      </c>
      <c r="AO28" s="133">
        <v>1</v>
      </c>
      <c r="AP28" s="133">
        <v>1</v>
      </c>
      <c r="AQ28" s="133">
        <v>1</v>
      </c>
      <c r="AR28" s="135">
        <v>0.0872182100128262</v>
      </c>
      <c r="AS28" s="137">
        <v>0.0740740740740741</v>
      </c>
      <c r="AT28" s="137">
        <v>0.111111111111111</v>
      </c>
      <c r="AU28" s="137">
        <v>0.208333333333333</v>
      </c>
      <c r="AV28" s="137">
        <v>0.0658227848101266</v>
      </c>
      <c r="AW28" s="93"/>
      <c r="AX28" s="91"/>
    </row>
    <row r="29" ht="14.5" spans="1:50">
      <c r="A29" s="89"/>
      <c r="B29" s="93"/>
      <c r="C29" s="125" t="s">
        <v>23</v>
      </c>
      <c r="D29" s="126" t="s">
        <v>24</v>
      </c>
      <c r="E29" s="138" t="s">
        <v>46</v>
      </c>
      <c r="F29" s="138" t="s">
        <v>46</v>
      </c>
      <c r="G29" s="138" t="s">
        <v>46</v>
      </c>
      <c r="H29" s="138" t="s">
        <v>46</v>
      </c>
      <c r="I29" s="128">
        <v>0.9</v>
      </c>
      <c r="J29" s="129">
        <v>0.940298507462687</v>
      </c>
      <c r="K29" s="129">
        <v>0.96875</v>
      </c>
      <c r="L29" s="130">
        <v>0.836363636363636</v>
      </c>
      <c r="M29" s="129">
        <v>0.857908847184987</v>
      </c>
      <c r="N29" s="131">
        <v>0.9</v>
      </c>
      <c r="O29" s="129">
        <v>0.98636073932441</v>
      </c>
      <c r="P29" s="129">
        <v>0.991142333536958</v>
      </c>
      <c r="Q29" s="129">
        <v>0.994642857142857</v>
      </c>
      <c r="R29" s="129">
        <v>0.991695694210826</v>
      </c>
      <c r="S29" s="131">
        <v>0.9</v>
      </c>
      <c r="T29" s="129">
        <v>0.745188017845762</v>
      </c>
      <c r="U29" s="129">
        <v>0.87202199144777</v>
      </c>
      <c r="V29" s="129">
        <v>0.869285714285714</v>
      </c>
      <c r="W29" s="129">
        <v>0.81858998980173</v>
      </c>
      <c r="X29" s="131">
        <v>0.92</v>
      </c>
      <c r="Y29" s="131">
        <v>0.96436581111388</v>
      </c>
      <c r="Z29" s="131">
        <v>0.96950111088669</v>
      </c>
      <c r="AA29" s="131">
        <v>0.963939511438542</v>
      </c>
      <c r="AB29" s="131">
        <v>0.965322419200569</v>
      </c>
      <c r="AC29" s="131">
        <v>0.92</v>
      </c>
      <c r="AD29" s="129">
        <v>0.998382417130973</v>
      </c>
      <c r="AE29" s="129">
        <v>0.968200816946898</v>
      </c>
      <c r="AF29" s="129">
        <v>0.951927932846516</v>
      </c>
      <c r="AG29" s="129">
        <v>0.948253368802134</v>
      </c>
      <c r="AH29" s="131">
        <v>0.92</v>
      </c>
      <c r="AI29" s="129">
        <v>0.970585756426464</v>
      </c>
      <c r="AJ29" s="129">
        <v>0.978436657681941</v>
      </c>
      <c r="AK29" s="129">
        <v>0.974092631064402</v>
      </c>
      <c r="AL29" s="129">
        <v>0.976473224288595</v>
      </c>
      <c r="AM29" s="128">
        <v>0.99</v>
      </c>
      <c r="AN29" s="133">
        <v>1</v>
      </c>
      <c r="AO29" s="133">
        <v>1</v>
      </c>
      <c r="AP29" s="133">
        <v>1</v>
      </c>
      <c r="AQ29" s="133">
        <v>1</v>
      </c>
      <c r="AR29" s="135">
        <v>0.0872182100128262</v>
      </c>
      <c r="AS29" s="137">
        <v>0.0387596899224806</v>
      </c>
      <c r="AT29" s="137">
        <v>0.0564516129032258</v>
      </c>
      <c r="AU29" s="137">
        <v>0.00833333333333333</v>
      </c>
      <c r="AV29" s="137">
        <v>0.0392156862745098</v>
      </c>
      <c r="AW29" s="93"/>
      <c r="AX29" s="91"/>
    </row>
    <row r="30" ht="14.5" spans="1:50">
      <c r="A30" s="89"/>
      <c r="B30" s="93"/>
      <c r="C30" s="125" t="s">
        <v>23</v>
      </c>
      <c r="D30" s="126" t="s">
        <v>24</v>
      </c>
      <c r="E30" s="138" t="s">
        <v>47</v>
      </c>
      <c r="F30" s="138" t="s">
        <v>47</v>
      </c>
      <c r="G30" s="138" t="s">
        <v>47</v>
      </c>
      <c r="H30" s="138" t="s">
        <v>47</v>
      </c>
      <c r="I30" s="128">
        <v>0.9</v>
      </c>
      <c r="J30" s="129">
        <v>0.972602739726027</v>
      </c>
      <c r="K30" s="129">
        <v>0.905405405405405</v>
      </c>
      <c r="L30" s="130">
        <v>0.823529411764706</v>
      </c>
      <c r="M30" s="129">
        <v>0.898929845422117</v>
      </c>
      <c r="N30" s="131">
        <v>0.9</v>
      </c>
      <c r="O30" s="129">
        <v>0.948582995951417</v>
      </c>
      <c r="P30" s="129">
        <v>0.975679916317992</v>
      </c>
      <c r="Q30" s="129">
        <v>0.961261570106274</v>
      </c>
      <c r="R30" s="129">
        <v>0.963359575288699</v>
      </c>
      <c r="S30" s="131">
        <v>0.9</v>
      </c>
      <c r="T30" s="129">
        <v>0.793724696356275</v>
      </c>
      <c r="U30" s="129">
        <v>0.818514644351464</v>
      </c>
      <c r="V30" s="129">
        <v>0.828591018169352</v>
      </c>
      <c r="W30" s="129">
        <v>0.814279556231141</v>
      </c>
      <c r="X30" s="131">
        <v>0.92</v>
      </c>
      <c r="Y30" s="131">
        <v>0.906167234203557</v>
      </c>
      <c r="Z30" s="131">
        <v>0.911056207535516</v>
      </c>
      <c r="AA30" s="131">
        <v>0.902439024390244</v>
      </c>
      <c r="AB30" s="131">
        <v>0.923320058157911</v>
      </c>
      <c r="AC30" s="131">
        <v>0.92</v>
      </c>
      <c r="AD30" s="129">
        <v>0</v>
      </c>
      <c r="AE30" s="129">
        <v>0.5</v>
      </c>
      <c r="AF30" s="129">
        <v>0</v>
      </c>
      <c r="AG30" s="129">
        <v>0.579545454545455</v>
      </c>
      <c r="AH30" s="131">
        <v>0.92</v>
      </c>
      <c r="AI30" s="129">
        <v>0.933667413952262</v>
      </c>
      <c r="AJ30" s="129">
        <v>0.933314455613762</v>
      </c>
      <c r="AK30" s="129">
        <v>0.929946648109487</v>
      </c>
      <c r="AL30" s="129">
        <v>0.944907034744857</v>
      </c>
      <c r="AM30" s="128">
        <v>0.99</v>
      </c>
      <c r="AN30" s="133">
        <v>1</v>
      </c>
      <c r="AO30" s="133">
        <v>1</v>
      </c>
      <c r="AP30" s="133">
        <v>1</v>
      </c>
      <c r="AQ30" s="133">
        <v>1</v>
      </c>
      <c r="AR30" s="135">
        <v>0.0872182100128262</v>
      </c>
      <c r="AS30" s="137">
        <v>0.0434782608695652</v>
      </c>
      <c r="AT30" s="137">
        <v>0.0263157894736842</v>
      </c>
      <c r="AU30" s="137">
        <v>0.037037037037037</v>
      </c>
      <c r="AV30" s="137">
        <v>0.0476190476190476</v>
      </c>
      <c r="AW30" s="93"/>
      <c r="AX30" s="91"/>
    </row>
    <row r="31" ht="14.5" spans="1:50">
      <c r="A31" s="89"/>
      <c r="B31" s="93"/>
      <c r="C31" s="125" t="s">
        <v>23</v>
      </c>
      <c r="D31" s="126" t="s">
        <v>24</v>
      </c>
      <c r="E31" s="138" t="s">
        <v>48</v>
      </c>
      <c r="F31" s="138" t="s">
        <v>48</v>
      </c>
      <c r="G31" s="138" t="s">
        <v>48</v>
      </c>
      <c r="H31" s="138" t="s">
        <v>48</v>
      </c>
      <c r="I31" s="128">
        <v>0.9</v>
      </c>
      <c r="J31" s="129">
        <v>0.957446808510638</v>
      </c>
      <c r="K31" s="129">
        <v>0.925531914893617</v>
      </c>
      <c r="L31" s="130">
        <v>0.954545454545455</v>
      </c>
      <c r="M31" s="129">
        <v>0.931137724550898</v>
      </c>
      <c r="N31" s="131">
        <v>0.9</v>
      </c>
      <c r="O31" s="129">
        <v>0.971375921375921</v>
      </c>
      <c r="P31" s="129">
        <v>0.904983922829582</v>
      </c>
      <c r="Q31" s="129">
        <v>0.990002040399918</v>
      </c>
      <c r="R31" s="129">
        <v>0.937828951643296</v>
      </c>
      <c r="S31" s="131">
        <v>0.9</v>
      </c>
      <c r="T31" s="129">
        <v>0.805159705159705</v>
      </c>
      <c r="U31" s="129">
        <v>0.865434083601286</v>
      </c>
      <c r="V31" s="129">
        <v>0.726382370944705</v>
      </c>
      <c r="W31" s="129">
        <v>0.748144875177065</v>
      </c>
      <c r="X31" s="131">
        <v>0.92</v>
      </c>
      <c r="Y31" s="131">
        <v>0.909627182633318</v>
      </c>
      <c r="Z31" s="131">
        <v>0.932083480721613</v>
      </c>
      <c r="AA31" s="131">
        <v>0.918569582076691</v>
      </c>
      <c r="AB31" s="131">
        <v>0.876998694729972</v>
      </c>
      <c r="AC31" s="131">
        <v>0.92</v>
      </c>
      <c r="AD31" s="129">
        <v>0.998666962897134</v>
      </c>
      <c r="AE31" s="129">
        <v>0.997283992530979</v>
      </c>
      <c r="AF31" s="129">
        <v>0.98804347826087</v>
      </c>
      <c r="AG31" s="129">
        <v>0.995342978203611</v>
      </c>
      <c r="AH31" s="131">
        <v>0.92</v>
      </c>
      <c r="AI31" s="129">
        <v>0.938848049115437</v>
      </c>
      <c r="AJ31" s="129">
        <v>0.953263157894737</v>
      </c>
      <c r="AK31" s="129">
        <v>0.94793685959568</v>
      </c>
      <c r="AL31" s="129">
        <v>0.902200741252192</v>
      </c>
      <c r="AM31" s="128">
        <v>0.99</v>
      </c>
      <c r="AN31" s="133">
        <v>1</v>
      </c>
      <c r="AO31" s="133">
        <v>1</v>
      </c>
      <c r="AP31" s="133">
        <v>1</v>
      </c>
      <c r="AQ31" s="133">
        <v>1</v>
      </c>
      <c r="AR31" s="135">
        <v>0.0872182100128262</v>
      </c>
      <c r="AS31" s="137">
        <v>0.0612244897959184</v>
      </c>
      <c r="AT31" s="137">
        <v>0.0892857142857143</v>
      </c>
      <c r="AU31" s="137">
        <v>0.0533333333333333</v>
      </c>
      <c r="AV31" s="137">
        <v>0.0766773162939297</v>
      </c>
      <c r="AW31" s="93"/>
      <c r="AX31" s="91"/>
    </row>
    <row r="32" ht="14.5" spans="1:50">
      <c r="A32" s="89"/>
      <c r="B32" s="93"/>
      <c r="C32" s="125" t="s">
        <v>23</v>
      </c>
      <c r="D32" s="126" t="s">
        <v>24</v>
      </c>
      <c r="E32" s="138" t="s">
        <v>49</v>
      </c>
      <c r="F32" s="138" t="s">
        <v>49</v>
      </c>
      <c r="G32" s="138" t="s">
        <v>49</v>
      </c>
      <c r="H32" s="138" t="s">
        <v>49</v>
      </c>
      <c r="I32" s="128">
        <v>0.9</v>
      </c>
      <c r="J32" s="129">
        <v>0.987012987012987</v>
      </c>
      <c r="K32" s="129">
        <v>0.96</v>
      </c>
      <c r="L32" s="130">
        <v>0.9375</v>
      </c>
      <c r="M32" s="129">
        <v>0.941805225653207</v>
      </c>
      <c r="N32" s="131">
        <v>0.9</v>
      </c>
      <c r="O32" s="129">
        <v>0.980166821130677</v>
      </c>
      <c r="P32" s="129">
        <v>0.984484096198604</v>
      </c>
      <c r="Q32" s="129">
        <v>0.989805670595731</v>
      </c>
      <c r="R32" s="129">
        <v>0.953365471892208</v>
      </c>
      <c r="S32" s="131">
        <v>0.9</v>
      </c>
      <c r="T32" s="129">
        <v>0.868211306765524</v>
      </c>
      <c r="U32" s="129">
        <v>0.855960693043703</v>
      </c>
      <c r="V32" s="129">
        <v>0.879898056705957</v>
      </c>
      <c r="W32" s="129">
        <v>0.875244569054199</v>
      </c>
      <c r="X32" s="131">
        <v>0.92</v>
      </c>
      <c r="Y32" s="131">
        <v>0.942794279427943</v>
      </c>
      <c r="Z32" s="131">
        <v>0.954189270644967</v>
      </c>
      <c r="AA32" s="131">
        <v>0.950932964754665</v>
      </c>
      <c r="AB32" s="131">
        <v>0.954546889302737</v>
      </c>
      <c r="AC32" s="131">
        <v>0.92</v>
      </c>
      <c r="AD32" s="129">
        <v>0.997780244173141</v>
      </c>
      <c r="AE32" s="129">
        <v>0.995352954193406</v>
      </c>
      <c r="AF32" s="129">
        <v>0.99749373433584</v>
      </c>
      <c r="AG32" s="129">
        <v>0.99706574193079</v>
      </c>
      <c r="AH32" s="131">
        <v>0.92</v>
      </c>
      <c r="AI32" s="129">
        <v>0.957892144791923</v>
      </c>
      <c r="AJ32" s="129">
        <v>0.963535142658316</v>
      </c>
      <c r="AK32" s="129">
        <v>0.967734902986702</v>
      </c>
      <c r="AL32" s="129">
        <v>0.967869360832862</v>
      </c>
      <c r="AM32" s="128">
        <v>0.99</v>
      </c>
      <c r="AN32" s="133">
        <v>1</v>
      </c>
      <c r="AO32" s="133">
        <v>1</v>
      </c>
      <c r="AP32" s="133">
        <v>1</v>
      </c>
      <c r="AQ32" s="133">
        <v>1</v>
      </c>
      <c r="AR32" s="135">
        <v>0.0872182100128262</v>
      </c>
      <c r="AS32" s="137">
        <v>0.0588235294117647</v>
      </c>
      <c r="AT32" s="137">
        <v>0.114285714285714</v>
      </c>
      <c r="AU32" s="137">
        <v>0.027027027027027</v>
      </c>
      <c r="AV32" s="137">
        <v>0.051685393258427</v>
      </c>
      <c r="AW32" s="93"/>
      <c r="AX32" s="91"/>
    </row>
    <row r="33" ht="14.5" spans="1:50">
      <c r="A33" s="89"/>
      <c r="B33" s="93"/>
      <c r="C33" s="125" t="s">
        <v>23</v>
      </c>
      <c r="D33" s="126" t="s">
        <v>24</v>
      </c>
      <c r="E33" s="138" t="s">
        <v>50</v>
      </c>
      <c r="F33" s="138" t="s">
        <v>50</v>
      </c>
      <c r="G33" s="138" t="s">
        <v>50</v>
      </c>
      <c r="H33" s="138" t="s">
        <v>50</v>
      </c>
      <c r="I33" s="128">
        <v>0.9</v>
      </c>
      <c r="J33" s="129">
        <v>0.92</v>
      </c>
      <c r="K33" s="129">
        <v>0.945205479452055</v>
      </c>
      <c r="L33" s="130">
        <v>0.919354838709677</v>
      </c>
      <c r="M33" s="129">
        <v>0.905521472392638</v>
      </c>
      <c r="N33" s="131">
        <v>0.9</v>
      </c>
      <c r="O33" s="129">
        <v>0.856839872746554</v>
      </c>
      <c r="P33" s="129">
        <v>0.878094523630908</v>
      </c>
      <c r="Q33" s="129">
        <v>0.769179004037685</v>
      </c>
      <c r="R33" s="129">
        <v>0.857284612572463</v>
      </c>
      <c r="S33" s="131">
        <v>0.9</v>
      </c>
      <c r="T33" s="129">
        <v>0.803817603393425</v>
      </c>
      <c r="U33" s="129">
        <v>0.831582895723931</v>
      </c>
      <c r="V33" s="129">
        <v>0.782862270076267</v>
      </c>
      <c r="W33" s="129">
        <v>0.780251727799732</v>
      </c>
      <c r="X33" s="131">
        <v>0.92</v>
      </c>
      <c r="Y33" s="131">
        <v>0.951855331141381</v>
      </c>
      <c r="Z33" s="131">
        <v>0.958351992834751</v>
      </c>
      <c r="AA33" s="131">
        <v>0.951080050825921</v>
      </c>
      <c r="AB33" s="131">
        <v>0.949208323615538</v>
      </c>
      <c r="AC33" s="131">
        <v>0.92</v>
      </c>
      <c r="AD33" s="129">
        <v>0.99777378534604</v>
      </c>
      <c r="AE33" s="129">
        <v>0.982343795293436</v>
      </c>
      <c r="AF33" s="129">
        <v>0.954768544339097</v>
      </c>
      <c r="AG33" s="129">
        <v>0.96725665299504</v>
      </c>
      <c r="AH33" s="131">
        <v>0.92</v>
      </c>
      <c r="AI33" s="129">
        <v>0.952817824377457</v>
      </c>
      <c r="AJ33" s="129">
        <v>0.966761827079935</v>
      </c>
      <c r="AK33" s="129">
        <v>0.957898226421349</v>
      </c>
      <c r="AL33" s="129">
        <v>0.959902984375488</v>
      </c>
      <c r="AM33" s="128">
        <v>0.99</v>
      </c>
      <c r="AN33" s="133">
        <v>1</v>
      </c>
      <c r="AO33" s="133">
        <v>1</v>
      </c>
      <c r="AP33" s="133">
        <v>1</v>
      </c>
      <c r="AQ33" s="133">
        <v>1</v>
      </c>
      <c r="AR33" s="135">
        <v>0.0872182100128262</v>
      </c>
      <c r="AS33" s="137">
        <v>0.075</v>
      </c>
      <c r="AT33" s="137">
        <v>0.0882352941176471</v>
      </c>
      <c r="AU33" s="137">
        <v>0.142857142857143</v>
      </c>
      <c r="AV33" s="137">
        <v>0.0709939148073022</v>
      </c>
      <c r="AW33" s="93"/>
      <c r="AX33" s="91"/>
    </row>
    <row r="34" ht="14.5" spans="1:50">
      <c r="A34" s="89"/>
      <c r="B34" s="93"/>
      <c r="C34" s="125" t="s">
        <v>23</v>
      </c>
      <c r="D34" s="126" t="s">
        <v>24</v>
      </c>
      <c r="E34" s="138" t="s">
        <v>51</v>
      </c>
      <c r="F34" s="138" t="s">
        <v>51</v>
      </c>
      <c r="G34" s="138" t="s">
        <v>51</v>
      </c>
      <c r="H34" s="138" t="s">
        <v>51</v>
      </c>
      <c r="I34" s="128">
        <v>0.9</v>
      </c>
      <c r="J34" s="129">
        <v>0.9921875</v>
      </c>
      <c r="K34" s="129">
        <v>0.984126984126984</v>
      </c>
      <c r="L34" s="130">
        <v>0.980582524271845</v>
      </c>
      <c r="M34" s="129">
        <v>0.977304964539007</v>
      </c>
      <c r="N34" s="131">
        <v>0.9</v>
      </c>
      <c r="O34" s="129">
        <v>0.992623225662233</v>
      </c>
      <c r="P34" s="129">
        <v>0.992838640865458</v>
      </c>
      <c r="Q34" s="129">
        <v>0.991653726708075</v>
      </c>
      <c r="R34" s="129">
        <v>0.992730075901328</v>
      </c>
      <c r="S34" s="131">
        <v>0.9</v>
      </c>
      <c r="T34" s="129">
        <v>0.867106292612049</v>
      </c>
      <c r="U34" s="129">
        <v>0.883894560414445</v>
      </c>
      <c r="V34" s="129">
        <v>0.841420807453416</v>
      </c>
      <c r="W34" s="129">
        <v>0.869342979127135</v>
      </c>
      <c r="X34" s="131">
        <v>0.92</v>
      </c>
      <c r="Y34" s="131">
        <v>0.934204886412345</v>
      </c>
      <c r="Z34" s="131">
        <v>0.94217299234403</v>
      </c>
      <c r="AA34" s="131">
        <v>0.939818631492168</v>
      </c>
      <c r="AB34" s="131">
        <v>0.935024763539488</v>
      </c>
      <c r="AC34" s="131">
        <v>0.92</v>
      </c>
      <c r="AD34" s="129">
        <v>0.996057818659658</v>
      </c>
      <c r="AE34" s="129">
        <v>0.989444444444444</v>
      </c>
      <c r="AF34" s="129">
        <v>0.960609911054638</v>
      </c>
      <c r="AG34" s="129">
        <v>0.985324212126528</v>
      </c>
      <c r="AH34" s="131">
        <v>0.92</v>
      </c>
      <c r="AI34" s="129">
        <v>0.95805480055829</v>
      </c>
      <c r="AJ34" s="129">
        <v>0.956627833753149</v>
      </c>
      <c r="AK34" s="129">
        <v>0.963842702560042</v>
      </c>
      <c r="AL34" s="129">
        <v>0.956072867277459</v>
      </c>
      <c r="AM34" s="128">
        <v>0.99</v>
      </c>
      <c r="AN34" s="133">
        <v>1</v>
      </c>
      <c r="AO34" s="133">
        <v>1</v>
      </c>
      <c r="AP34" s="133">
        <v>1</v>
      </c>
      <c r="AQ34" s="133">
        <v>1</v>
      </c>
      <c r="AR34" s="135">
        <v>0.0872182100128262</v>
      </c>
      <c r="AS34" s="137">
        <v>0.0609756097560976</v>
      </c>
      <c r="AT34" s="137">
        <v>0.132352941176471</v>
      </c>
      <c r="AU34" s="137">
        <v>0.0704225352112676</v>
      </c>
      <c r="AV34" s="137">
        <v>0.0473372781065089</v>
      </c>
      <c r="AW34" s="93"/>
      <c r="AX34" s="91"/>
    </row>
    <row r="35" ht="14.5" spans="1:50">
      <c r="A35" s="89"/>
      <c r="B35" s="93"/>
      <c r="C35" s="125" t="s">
        <v>23</v>
      </c>
      <c r="D35" s="126" t="s">
        <v>24</v>
      </c>
      <c r="E35" s="138" t="s">
        <v>52</v>
      </c>
      <c r="F35" s="138" t="s">
        <v>52</v>
      </c>
      <c r="G35" s="138" t="s">
        <v>52</v>
      </c>
      <c r="H35" s="138" t="s">
        <v>52</v>
      </c>
      <c r="I35" s="128">
        <v>0.9</v>
      </c>
      <c r="J35" s="129">
        <v>0.905263157894737</v>
      </c>
      <c r="K35" s="129">
        <v>0.936170212765957</v>
      </c>
      <c r="L35" s="130">
        <v>0.876543209876543</v>
      </c>
      <c r="M35" s="129">
        <v>0.884473197781885</v>
      </c>
      <c r="N35" s="131">
        <v>0.9</v>
      </c>
      <c r="O35" s="129">
        <v>0.969549330085262</v>
      </c>
      <c r="P35" s="129">
        <v>0.982084968435421</v>
      </c>
      <c r="Q35" s="129">
        <v>0.8961449336423</v>
      </c>
      <c r="R35" s="129">
        <v>0.945987297921478</v>
      </c>
      <c r="S35" s="131">
        <v>0.9</v>
      </c>
      <c r="T35" s="129">
        <v>0.802814995263229</v>
      </c>
      <c r="U35" s="129">
        <v>0.838252857874083</v>
      </c>
      <c r="V35" s="129">
        <v>0.809353275753107</v>
      </c>
      <c r="W35" s="129">
        <v>0.802641454965358</v>
      </c>
      <c r="X35" s="131">
        <v>0.92</v>
      </c>
      <c r="Y35" s="131">
        <v>0.928075534573729</v>
      </c>
      <c r="Z35" s="131">
        <v>0.927824267782427</v>
      </c>
      <c r="AA35" s="131">
        <v>0.920155373327579</v>
      </c>
      <c r="AB35" s="131">
        <v>0.937349005761011</v>
      </c>
      <c r="AC35" s="131">
        <v>0.92</v>
      </c>
      <c r="AD35" s="129">
        <v>0.995440950140837</v>
      </c>
      <c r="AE35" s="129">
        <v>0.981671529664286</v>
      </c>
      <c r="AF35" s="129">
        <v>0.92551978537894</v>
      </c>
      <c r="AG35" s="129">
        <v>0.94442089112309</v>
      </c>
      <c r="AH35" s="131">
        <v>0.92</v>
      </c>
      <c r="AI35" s="129">
        <v>0.955790048212499</v>
      </c>
      <c r="AJ35" s="129">
        <v>0.953857720139085</v>
      </c>
      <c r="AK35" s="129">
        <v>0.954564755838641</v>
      </c>
      <c r="AL35" s="129">
        <v>0.958933736816341</v>
      </c>
      <c r="AM35" s="128">
        <v>0.99</v>
      </c>
      <c r="AN35" s="133">
        <v>1</v>
      </c>
      <c r="AO35" s="133">
        <v>1</v>
      </c>
      <c r="AP35" s="133">
        <v>1</v>
      </c>
      <c r="AQ35" s="133">
        <v>0.999167360532889</v>
      </c>
      <c r="AR35" s="135">
        <v>0.0872182100128262</v>
      </c>
      <c r="AS35" s="137">
        <v>0.115384615384615</v>
      </c>
      <c r="AT35" s="137">
        <v>0.0612244897959184</v>
      </c>
      <c r="AU35" s="137">
        <v>0.127659574468085</v>
      </c>
      <c r="AV35" s="137">
        <v>0.0871632329635499</v>
      </c>
      <c r="AW35" s="93"/>
      <c r="AX35" s="91"/>
    </row>
    <row r="36" ht="14.5" spans="1:50">
      <c r="A36" s="89"/>
      <c r="B36" s="93"/>
      <c r="C36" s="125" t="s">
        <v>23</v>
      </c>
      <c r="D36" s="126" t="s">
        <v>24</v>
      </c>
      <c r="E36" s="138" t="s">
        <v>53</v>
      </c>
      <c r="F36" s="138" t="s">
        <v>53</v>
      </c>
      <c r="G36" s="138" t="s">
        <v>53</v>
      </c>
      <c r="H36" s="138" t="s">
        <v>53</v>
      </c>
      <c r="I36" s="128">
        <v>0.9</v>
      </c>
      <c r="J36" s="129">
        <v>0.958083832335329</v>
      </c>
      <c r="K36" s="129">
        <v>0.8875</v>
      </c>
      <c r="L36" s="130">
        <v>0.917241379310345</v>
      </c>
      <c r="M36" s="129">
        <v>0.903960933260987</v>
      </c>
      <c r="N36" s="131">
        <v>0.9</v>
      </c>
      <c r="O36" s="129">
        <v>0.96820011047108</v>
      </c>
      <c r="P36" s="129">
        <v>0.945180786767045</v>
      </c>
      <c r="Q36" s="129">
        <v>0.931978549252046</v>
      </c>
      <c r="R36" s="129">
        <v>0.93501774186653</v>
      </c>
      <c r="S36" s="131">
        <v>0.9</v>
      </c>
      <c r="T36" s="129">
        <v>0.768563086877614</v>
      </c>
      <c r="U36" s="129">
        <v>0.771498250450641</v>
      </c>
      <c r="V36" s="129">
        <v>0.724527236804968</v>
      </c>
      <c r="W36" s="129">
        <v>0.746227181394553</v>
      </c>
      <c r="X36" s="131">
        <v>0.92</v>
      </c>
      <c r="Y36" s="131">
        <v>0.899796142386702</v>
      </c>
      <c r="Z36" s="131">
        <v>0.914885397888231</v>
      </c>
      <c r="AA36" s="131">
        <v>0.881069452980947</v>
      </c>
      <c r="AB36" s="131">
        <v>0.909770300005367</v>
      </c>
      <c r="AC36" s="131">
        <v>0.92</v>
      </c>
      <c r="AD36" s="129">
        <v>0.973354231974922</v>
      </c>
      <c r="AE36" s="129">
        <v>0.986975397973951</v>
      </c>
      <c r="AF36" s="129">
        <v>0.962732919254658</v>
      </c>
      <c r="AG36" s="129">
        <v>0.967824448034464</v>
      </c>
      <c r="AH36" s="131">
        <v>0.92</v>
      </c>
      <c r="AI36" s="129">
        <v>0.930446194225722</v>
      </c>
      <c r="AJ36" s="129">
        <v>0.939295266891499</v>
      </c>
      <c r="AK36" s="129">
        <v>0.926892950391645</v>
      </c>
      <c r="AL36" s="129">
        <v>0.935759120199689</v>
      </c>
      <c r="AM36" s="128">
        <v>0.99</v>
      </c>
      <c r="AN36" s="133">
        <v>1</v>
      </c>
      <c r="AO36" s="133">
        <v>1</v>
      </c>
      <c r="AP36" s="133">
        <v>1</v>
      </c>
      <c r="AQ36" s="133">
        <v>1</v>
      </c>
      <c r="AR36" s="135">
        <v>0.0872182100128262</v>
      </c>
      <c r="AS36" s="137">
        <v>0.140845070422535</v>
      </c>
      <c r="AT36" s="137">
        <v>0.126582278481013</v>
      </c>
      <c r="AU36" s="137">
        <v>0.1</v>
      </c>
      <c r="AV36" s="137">
        <v>0.0692640692640693</v>
      </c>
      <c r="AW36" s="93"/>
      <c r="AX36" s="91"/>
    </row>
    <row r="37" ht="14.5" spans="1:50">
      <c r="A37" s="89"/>
      <c r="B37" s="93"/>
      <c r="C37" s="125" t="s">
        <v>23</v>
      </c>
      <c r="D37" s="126" t="s">
        <v>24</v>
      </c>
      <c r="E37" s="138" t="s">
        <v>54</v>
      </c>
      <c r="F37" s="138" t="s">
        <v>54</v>
      </c>
      <c r="G37" s="138" t="s">
        <v>54</v>
      </c>
      <c r="H37" s="138" t="s">
        <v>54</v>
      </c>
      <c r="I37" s="128">
        <v>0.9</v>
      </c>
      <c r="J37" s="129" t="s">
        <v>33</v>
      </c>
      <c r="K37" s="129" t="s">
        <v>33</v>
      </c>
      <c r="L37" s="130" t="s">
        <v>33</v>
      </c>
      <c r="M37" s="129" t="s">
        <v>33</v>
      </c>
      <c r="N37" s="131">
        <v>0.9</v>
      </c>
      <c r="O37" s="129">
        <v>0</v>
      </c>
      <c r="P37" s="129" t="s">
        <v>33</v>
      </c>
      <c r="Q37" s="129">
        <v>0</v>
      </c>
      <c r="R37" s="129">
        <v>0.991532599491956</v>
      </c>
      <c r="S37" s="131">
        <v>0.9</v>
      </c>
      <c r="T37" s="129">
        <v>0</v>
      </c>
      <c r="U37" s="129" t="s">
        <v>33</v>
      </c>
      <c r="V37" s="129">
        <v>0</v>
      </c>
      <c r="W37" s="129">
        <v>0.995201806378775</v>
      </c>
      <c r="X37" s="131">
        <v>0.92</v>
      </c>
      <c r="Y37" s="131" t="s">
        <v>33</v>
      </c>
      <c r="Z37" s="131" t="s">
        <v>33</v>
      </c>
      <c r="AA37" s="131" t="s">
        <v>33</v>
      </c>
      <c r="AB37" s="131">
        <v>0.997645673925839</v>
      </c>
      <c r="AC37" s="131">
        <v>0.92</v>
      </c>
      <c r="AD37" s="129" t="s">
        <v>33</v>
      </c>
      <c r="AE37" s="129" t="s">
        <v>33</v>
      </c>
      <c r="AF37" s="129" t="s">
        <v>33</v>
      </c>
      <c r="AG37" s="129">
        <v>0.999397729905027</v>
      </c>
      <c r="AH37" s="131">
        <v>0.92</v>
      </c>
      <c r="AI37" s="129">
        <v>0</v>
      </c>
      <c r="AJ37" s="129" t="s">
        <v>33</v>
      </c>
      <c r="AK37" s="129">
        <v>0.5</v>
      </c>
      <c r="AL37" s="129">
        <v>0.996951219512195</v>
      </c>
      <c r="AM37" s="128">
        <v>0.99</v>
      </c>
      <c r="AN37" s="133" t="s">
        <v>33</v>
      </c>
      <c r="AO37" s="133" t="s">
        <v>33</v>
      </c>
      <c r="AP37" s="133" t="s">
        <v>33</v>
      </c>
      <c r="AQ37" s="133">
        <v>1</v>
      </c>
      <c r="AR37" s="135">
        <v>0.0872182100128262</v>
      </c>
      <c r="AS37" s="137" t="s">
        <v>33</v>
      </c>
      <c r="AT37" s="137" t="s">
        <v>33</v>
      </c>
      <c r="AU37" s="137" t="s">
        <v>33</v>
      </c>
      <c r="AV37" s="137" t="s">
        <v>33</v>
      </c>
      <c r="AW37" s="93"/>
      <c r="AX37" s="91"/>
    </row>
    <row r="38" ht="14.5" spans="1:50">
      <c r="A38" s="89"/>
      <c r="B38" s="93"/>
      <c r="C38" s="125" t="s">
        <v>23</v>
      </c>
      <c r="D38" s="126" t="s">
        <v>24</v>
      </c>
      <c r="E38" s="138" t="s">
        <v>55</v>
      </c>
      <c r="F38" s="138" t="s">
        <v>55</v>
      </c>
      <c r="G38" s="138" t="s">
        <v>55</v>
      </c>
      <c r="H38" s="138" t="s">
        <v>55</v>
      </c>
      <c r="I38" s="128">
        <v>0.9</v>
      </c>
      <c r="J38" s="129">
        <v>1</v>
      </c>
      <c r="K38" s="129">
        <v>0.96969696969697</v>
      </c>
      <c r="L38" s="130">
        <v>0.982142857142857</v>
      </c>
      <c r="M38" s="129">
        <v>0.985</v>
      </c>
      <c r="N38" s="131">
        <v>0.9</v>
      </c>
      <c r="O38" s="129">
        <v>0.97611845247572</v>
      </c>
      <c r="P38" s="129">
        <v>0.982949876746097</v>
      </c>
      <c r="Q38" s="129">
        <v>0.973300970873786</v>
      </c>
      <c r="R38" s="129">
        <v>0.977448496566438</v>
      </c>
      <c r="S38" s="131">
        <v>0.9</v>
      </c>
      <c r="T38" s="129">
        <v>0.825983123706416</v>
      </c>
      <c r="U38" s="129">
        <v>0.82518488085456</v>
      </c>
      <c r="V38" s="129">
        <v>0.748112189859763</v>
      </c>
      <c r="W38" s="129">
        <v>0.827355157010467</v>
      </c>
      <c r="X38" s="131">
        <v>0.92</v>
      </c>
      <c r="Y38" s="131">
        <v>0.926815323041738</v>
      </c>
      <c r="Z38" s="131">
        <v>0.935643564356436</v>
      </c>
      <c r="AA38" s="131">
        <v>0.919422730006013</v>
      </c>
      <c r="AB38" s="131">
        <v>0.93443802247414</v>
      </c>
      <c r="AC38" s="131">
        <v>0.92</v>
      </c>
      <c r="AD38" s="129">
        <v>0.996579847408577</v>
      </c>
      <c r="AE38" s="129">
        <v>0.936312784057802</v>
      </c>
      <c r="AF38" s="129">
        <v>0.996153846153846</v>
      </c>
      <c r="AG38" s="129">
        <v>0.954990633319092</v>
      </c>
      <c r="AH38" s="131">
        <v>0.92</v>
      </c>
      <c r="AI38" s="129">
        <v>0.946927088659372</v>
      </c>
      <c r="AJ38" s="129">
        <v>0.953467954345917</v>
      </c>
      <c r="AK38" s="129">
        <v>0.940070723990322</v>
      </c>
      <c r="AL38" s="129">
        <v>0.954439438641257</v>
      </c>
      <c r="AM38" s="128">
        <v>0.99</v>
      </c>
      <c r="AN38" s="133">
        <v>1</v>
      </c>
      <c r="AO38" s="133">
        <v>1</v>
      </c>
      <c r="AP38" s="133">
        <v>1</v>
      </c>
      <c r="AQ38" s="133">
        <v>1</v>
      </c>
      <c r="AR38" s="135">
        <v>0.0872182100128262</v>
      </c>
      <c r="AS38" s="137">
        <v>0.0833333333333333</v>
      </c>
      <c r="AT38" s="137">
        <v>0.05</v>
      </c>
      <c r="AU38" s="137">
        <v>0.35</v>
      </c>
      <c r="AV38" s="137">
        <v>0.0588235294117647</v>
      </c>
      <c r="AW38" s="93"/>
      <c r="AX38" s="91"/>
    </row>
    <row r="39" ht="14.5" spans="1:50">
      <c r="A39" s="89"/>
      <c r="B39" s="93"/>
      <c r="C39" s="125" t="s">
        <v>23</v>
      </c>
      <c r="D39" s="126" t="s">
        <v>24</v>
      </c>
      <c r="E39" s="138" t="s">
        <v>56</v>
      </c>
      <c r="F39" s="138" t="s">
        <v>56</v>
      </c>
      <c r="G39" s="138" t="s">
        <v>56</v>
      </c>
      <c r="H39" s="138" t="s">
        <v>56</v>
      </c>
      <c r="I39" s="128">
        <v>0.9</v>
      </c>
      <c r="J39" s="129">
        <v>0.917808219178082</v>
      </c>
      <c r="K39" s="129">
        <v>0.958333333333333</v>
      </c>
      <c r="L39" s="130">
        <v>0.939393939393939</v>
      </c>
      <c r="M39" s="129">
        <v>0.948130277442702</v>
      </c>
      <c r="N39" s="131">
        <v>0.9</v>
      </c>
      <c r="O39" s="129">
        <v>0.992195522694598</v>
      </c>
      <c r="P39" s="129">
        <v>0.985698866702644</v>
      </c>
      <c r="Q39" s="129">
        <v>0.99552071668533</v>
      </c>
      <c r="R39" s="129">
        <v>0.995349047232006</v>
      </c>
      <c r="S39" s="131">
        <v>0.9</v>
      </c>
      <c r="T39" s="129">
        <v>0.825836927500513</v>
      </c>
      <c r="U39" s="129">
        <v>0.882083108472747</v>
      </c>
      <c r="V39" s="129">
        <v>0.862635311683464</v>
      </c>
      <c r="W39" s="129">
        <v>0.838322947710648</v>
      </c>
      <c r="X39" s="131">
        <v>0.92</v>
      </c>
      <c r="Y39" s="131">
        <v>0.936034115138593</v>
      </c>
      <c r="Z39" s="131">
        <v>0.9463639355051</v>
      </c>
      <c r="AA39" s="131">
        <v>0.940562248995984</v>
      </c>
      <c r="AB39" s="131">
        <v>0.94037979218918</v>
      </c>
      <c r="AC39" s="131">
        <v>0.92</v>
      </c>
      <c r="AD39" s="129">
        <v>0.788029925187032</v>
      </c>
      <c r="AE39" s="129">
        <v>0.993204983012458</v>
      </c>
      <c r="AF39" s="129">
        <v>0.949640287769784</v>
      </c>
      <c r="AG39" s="129">
        <v>0.955021112539012</v>
      </c>
      <c r="AH39" s="131">
        <v>0.92</v>
      </c>
      <c r="AI39" s="129">
        <v>0.953021064301552</v>
      </c>
      <c r="AJ39" s="129">
        <v>0.957752742365846</v>
      </c>
      <c r="AK39" s="129">
        <v>0.961783439490446</v>
      </c>
      <c r="AL39" s="129">
        <v>0.957969810275585</v>
      </c>
      <c r="AM39" s="128">
        <v>0.99</v>
      </c>
      <c r="AN39" s="133">
        <v>1</v>
      </c>
      <c r="AO39" s="133">
        <v>1</v>
      </c>
      <c r="AP39" s="133">
        <v>1</v>
      </c>
      <c r="AQ39" s="133">
        <v>1</v>
      </c>
      <c r="AR39" s="135">
        <v>0.0872182100128262</v>
      </c>
      <c r="AS39" s="137">
        <v>0.0882352941176471</v>
      </c>
      <c r="AT39" s="137">
        <v>0.0869565217391304</v>
      </c>
      <c r="AU39" s="137">
        <v>0.0833333333333333</v>
      </c>
      <c r="AV39" s="137">
        <v>0.0593220338983051</v>
      </c>
      <c r="AW39" s="93"/>
      <c r="AX39" s="91"/>
    </row>
    <row r="40" ht="14.5" spans="1:50">
      <c r="A40" s="89"/>
      <c r="B40" s="93"/>
      <c r="C40" s="125" t="s">
        <v>23</v>
      </c>
      <c r="D40" s="126" t="s">
        <v>24</v>
      </c>
      <c r="E40" s="138" t="s">
        <v>57</v>
      </c>
      <c r="F40" s="138" t="s">
        <v>57</v>
      </c>
      <c r="G40" s="138" t="s">
        <v>57</v>
      </c>
      <c r="H40" s="138" t="s">
        <v>57</v>
      </c>
      <c r="I40" s="128">
        <v>0.9</v>
      </c>
      <c r="J40" s="129">
        <v>0.956043956043956</v>
      </c>
      <c r="K40" s="129">
        <v>0.988636363636364</v>
      </c>
      <c r="L40" s="130">
        <v>0.9125</v>
      </c>
      <c r="M40" s="129">
        <v>0.947154471544715</v>
      </c>
      <c r="N40" s="131">
        <v>0.9</v>
      </c>
      <c r="O40" s="129">
        <v>0.974654705966111</v>
      </c>
      <c r="P40" s="129">
        <v>0.976666077426198</v>
      </c>
      <c r="Q40" s="129">
        <v>0.986325157369221</v>
      </c>
      <c r="R40" s="129">
        <v>0.971203493346709</v>
      </c>
      <c r="S40" s="131">
        <v>0.9</v>
      </c>
      <c r="T40" s="129">
        <v>0.784849779296597</v>
      </c>
      <c r="U40" s="129">
        <v>0.829238112073537</v>
      </c>
      <c r="V40" s="129">
        <v>0.850662036032125</v>
      </c>
      <c r="W40" s="129">
        <v>0.812630926740035</v>
      </c>
      <c r="X40" s="131">
        <v>0.92</v>
      </c>
      <c r="Y40" s="131">
        <v>0.947799385875128</v>
      </c>
      <c r="Z40" s="131">
        <v>0.94196157735086</v>
      </c>
      <c r="AA40" s="131">
        <v>0.945049739459972</v>
      </c>
      <c r="AB40" s="131">
        <v>0.937745422457534</v>
      </c>
      <c r="AC40" s="131">
        <v>0.92</v>
      </c>
      <c r="AD40" s="129">
        <v>0.981641863869236</v>
      </c>
      <c r="AE40" s="129">
        <v>0.984197505932246</v>
      </c>
      <c r="AF40" s="129">
        <v>0.970369252439883</v>
      </c>
      <c r="AG40" s="129">
        <v>0.947846808685851</v>
      </c>
      <c r="AH40" s="131">
        <v>0.92</v>
      </c>
      <c r="AI40" s="129">
        <v>0.955085986095865</v>
      </c>
      <c r="AJ40" s="129">
        <v>0.953687983399359</v>
      </c>
      <c r="AK40" s="129">
        <v>0.959505731725473</v>
      </c>
      <c r="AL40" s="129">
        <v>0.952429355560073</v>
      </c>
      <c r="AM40" s="128">
        <v>0.99</v>
      </c>
      <c r="AN40" s="133">
        <v>1</v>
      </c>
      <c r="AO40" s="133">
        <v>1</v>
      </c>
      <c r="AP40" s="133">
        <v>1</v>
      </c>
      <c r="AQ40" s="133">
        <v>1</v>
      </c>
      <c r="AR40" s="135">
        <v>0.0872182100128262</v>
      </c>
      <c r="AS40" s="137">
        <v>0.0476190476190476</v>
      </c>
      <c r="AT40" s="137">
        <v>0.285714285714286</v>
      </c>
      <c r="AU40" s="137">
        <v>0.115384615384615</v>
      </c>
      <c r="AV40" s="137">
        <v>0.0612691466083151</v>
      </c>
      <c r="AW40" s="93"/>
      <c r="AX40" s="91"/>
    </row>
    <row r="41" ht="14.5" spans="1:50">
      <c r="A41" s="89"/>
      <c r="B41" s="93"/>
      <c r="C41" s="125" t="s">
        <v>23</v>
      </c>
      <c r="D41" s="126" t="s">
        <v>24</v>
      </c>
      <c r="E41" s="138" t="s">
        <v>58</v>
      </c>
      <c r="F41" s="138" t="s">
        <v>58</v>
      </c>
      <c r="G41" s="138" t="s">
        <v>58</v>
      </c>
      <c r="H41" s="138" t="s">
        <v>58</v>
      </c>
      <c r="I41" s="128">
        <v>0.9</v>
      </c>
      <c r="J41" s="129">
        <v>0.940740740740741</v>
      </c>
      <c r="K41" s="129">
        <v>0.958333333333333</v>
      </c>
      <c r="L41" s="130">
        <v>0.93</v>
      </c>
      <c r="M41" s="129">
        <v>0.960227272727273</v>
      </c>
      <c r="N41" s="131">
        <v>0.9</v>
      </c>
      <c r="O41" s="129">
        <v>0.986932447397564</v>
      </c>
      <c r="P41" s="129">
        <v>0.988842196783075</v>
      </c>
      <c r="Q41" s="129">
        <v>0.99386738213875</v>
      </c>
      <c r="R41" s="129">
        <v>0.990078850923629</v>
      </c>
      <c r="S41" s="131">
        <v>0.9</v>
      </c>
      <c r="T41" s="129">
        <v>0.880398671096346</v>
      </c>
      <c r="U41" s="129">
        <v>0.896246920736125</v>
      </c>
      <c r="V41" s="129">
        <v>0.891337677270985</v>
      </c>
      <c r="W41" s="129">
        <v>0.892372808154099</v>
      </c>
      <c r="X41" s="131">
        <v>0.92</v>
      </c>
      <c r="Y41" s="131">
        <v>0.936803726959692</v>
      </c>
      <c r="Z41" s="131">
        <v>0.953543681623593</v>
      </c>
      <c r="AA41" s="131">
        <v>0.943056124539123</v>
      </c>
      <c r="AB41" s="131">
        <v>0.956365461522271</v>
      </c>
      <c r="AC41" s="131">
        <v>0.92</v>
      </c>
      <c r="AD41" s="129">
        <v>0.993248610007943</v>
      </c>
      <c r="AE41" s="129">
        <v>0.997287032013022</v>
      </c>
      <c r="AF41" s="129">
        <v>0.994409503843466</v>
      </c>
      <c r="AG41" s="129">
        <v>0.98246537487252</v>
      </c>
      <c r="AH41" s="131">
        <v>0.92</v>
      </c>
      <c r="AI41" s="129">
        <v>0.957265569076593</v>
      </c>
      <c r="AJ41" s="129">
        <v>0.966159436747672</v>
      </c>
      <c r="AK41" s="129">
        <v>0.964225094659877</v>
      </c>
      <c r="AL41" s="129">
        <v>0.970086966263812</v>
      </c>
      <c r="AM41" s="128">
        <v>0.99</v>
      </c>
      <c r="AN41" s="133">
        <v>1</v>
      </c>
      <c r="AO41" s="133">
        <v>1</v>
      </c>
      <c r="AP41" s="133">
        <v>1</v>
      </c>
      <c r="AQ41" s="133">
        <v>1</v>
      </c>
      <c r="AR41" s="135">
        <v>0.0872182100128262</v>
      </c>
      <c r="AS41" s="137">
        <v>0.102564102564103</v>
      </c>
      <c r="AT41" s="137">
        <v>0.1</v>
      </c>
      <c r="AU41" s="137">
        <v>0.0731707317073171</v>
      </c>
      <c r="AV41" s="137">
        <v>0.060077519379845</v>
      </c>
      <c r="AW41" s="93"/>
      <c r="AX41" s="91"/>
    </row>
    <row r="42" ht="14.5" spans="1:50">
      <c r="A42" s="89"/>
      <c r="B42" s="93"/>
      <c r="C42" s="125" t="s">
        <v>23</v>
      </c>
      <c r="D42" s="126" t="s">
        <v>24</v>
      </c>
      <c r="E42" s="138" t="s">
        <v>59</v>
      </c>
      <c r="F42" s="138" t="s">
        <v>59</v>
      </c>
      <c r="G42" s="138" t="s">
        <v>59</v>
      </c>
      <c r="H42" s="138" t="s">
        <v>59</v>
      </c>
      <c r="I42" s="128">
        <v>0.9</v>
      </c>
      <c r="J42" s="129">
        <v>0.993377483443709</v>
      </c>
      <c r="K42" s="129">
        <v>0.986013986013986</v>
      </c>
      <c r="L42" s="130">
        <v>0.992063492063492</v>
      </c>
      <c r="M42" s="129">
        <v>0.974628712871287</v>
      </c>
      <c r="N42" s="131">
        <v>0.9</v>
      </c>
      <c r="O42" s="129">
        <v>0.99735424737787</v>
      </c>
      <c r="P42" s="129">
        <v>0.996147919876733</v>
      </c>
      <c r="Q42" s="129">
        <v>0.995695592286501</v>
      </c>
      <c r="R42" s="129">
        <v>0.997613041756134</v>
      </c>
      <c r="S42" s="131">
        <v>0.9</v>
      </c>
      <c r="T42" s="129">
        <v>0.905981290749315</v>
      </c>
      <c r="U42" s="129">
        <v>0.925398048279404</v>
      </c>
      <c r="V42" s="129">
        <v>0.899621212121212</v>
      </c>
      <c r="W42" s="129">
        <v>0.89854906293648</v>
      </c>
      <c r="X42" s="131">
        <v>0.92</v>
      </c>
      <c r="Y42" s="131">
        <v>0.945679912504557</v>
      </c>
      <c r="Z42" s="131">
        <v>0.950606196677144</v>
      </c>
      <c r="AA42" s="131">
        <v>0.951456310679612</v>
      </c>
      <c r="AB42" s="131">
        <v>0.950869079891564</v>
      </c>
      <c r="AC42" s="131">
        <v>0.92</v>
      </c>
      <c r="AD42" s="129">
        <v>0.998334401024984</v>
      </c>
      <c r="AE42" s="129">
        <v>0.996902226524685</v>
      </c>
      <c r="AF42" s="129">
        <v>0.993646759847522</v>
      </c>
      <c r="AG42" s="129">
        <v>0.974312118206025</v>
      </c>
      <c r="AH42" s="131">
        <v>0.92</v>
      </c>
      <c r="AI42" s="129">
        <v>0.956878850102669</v>
      </c>
      <c r="AJ42" s="129">
        <v>0.962962962962963</v>
      </c>
      <c r="AK42" s="129">
        <v>0.966942148760331</v>
      </c>
      <c r="AL42" s="129">
        <v>0.966645867604515</v>
      </c>
      <c r="AM42" s="128">
        <v>0.99</v>
      </c>
      <c r="AN42" s="133">
        <v>1</v>
      </c>
      <c r="AO42" s="133">
        <v>1</v>
      </c>
      <c r="AP42" s="133">
        <v>1</v>
      </c>
      <c r="AQ42" s="133">
        <v>1</v>
      </c>
      <c r="AR42" s="135">
        <v>0.0872182100128262</v>
      </c>
      <c r="AS42" s="137">
        <v>0.0655737704918033</v>
      </c>
      <c r="AT42" s="137">
        <v>0.0545454545454545</v>
      </c>
      <c r="AU42" s="137">
        <v>0.125</v>
      </c>
      <c r="AV42" s="137">
        <v>0.0495049504950495</v>
      </c>
      <c r="AW42" s="93"/>
      <c r="AX42" s="91"/>
    </row>
    <row r="43" ht="14.5" spans="1:50">
      <c r="A43" s="89"/>
      <c r="B43" s="93"/>
      <c r="C43" s="125" t="s">
        <v>23</v>
      </c>
      <c r="D43" s="126" t="s">
        <v>24</v>
      </c>
      <c r="E43" s="138" t="s">
        <v>60</v>
      </c>
      <c r="F43" s="138" t="s">
        <v>60</v>
      </c>
      <c r="G43" s="138" t="s">
        <v>60</v>
      </c>
      <c r="H43" s="138" t="s">
        <v>60</v>
      </c>
      <c r="I43" s="128">
        <v>0.9</v>
      </c>
      <c r="J43" s="129" t="s">
        <v>33</v>
      </c>
      <c r="K43" s="129" t="s">
        <v>33</v>
      </c>
      <c r="L43" s="130" t="s">
        <v>33</v>
      </c>
      <c r="M43" s="129" t="s">
        <v>33</v>
      </c>
      <c r="N43" s="131">
        <v>0.9</v>
      </c>
      <c r="O43" s="129" t="s">
        <v>33</v>
      </c>
      <c r="P43" s="129" t="s">
        <v>33</v>
      </c>
      <c r="Q43" s="129" t="s">
        <v>33</v>
      </c>
      <c r="R43" s="129">
        <v>0.625</v>
      </c>
      <c r="S43" s="131">
        <v>0.9</v>
      </c>
      <c r="T43" s="129" t="s">
        <v>33</v>
      </c>
      <c r="U43" s="129" t="s">
        <v>33</v>
      </c>
      <c r="V43" s="129" t="s">
        <v>33</v>
      </c>
      <c r="W43" s="129">
        <v>0.875</v>
      </c>
      <c r="X43" s="131">
        <v>0.92</v>
      </c>
      <c r="Y43" s="131" t="s">
        <v>33</v>
      </c>
      <c r="Z43" s="131" t="s">
        <v>33</v>
      </c>
      <c r="AA43" s="131" t="s">
        <v>33</v>
      </c>
      <c r="AB43" s="131">
        <v>1</v>
      </c>
      <c r="AC43" s="131">
        <v>0.92</v>
      </c>
      <c r="AD43" s="129" t="s">
        <v>33</v>
      </c>
      <c r="AE43" s="129" t="s">
        <v>33</v>
      </c>
      <c r="AF43" s="129" t="s">
        <v>33</v>
      </c>
      <c r="AG43" s="129">
        <v>0.947368421052632</v>
      </c>
      <c r="AH43" s="131">
        <v>0.92</v>
      </c>
      <c r="AI43" s="129" t="s">
        <v>33</v>
      </c>
      <c r="AJ43" s="129" t="s">
        <v>33</v>
      </c>
      <c r="AK43" s="129" t="s">
        <v>33</v>
      </c>
      <c r="AL43" s="129">
        <v>0.857142857142857</v>
      </c>
      <c r="AM43" s="128">
        <v>0.99</v>
      </c>
      <c r="AN43" s="133" t="s">
        <v>33</v>
      </c>
      <c r="AO43" s="133" t="s">
        <v>33</v>
      </c>
      <c r="AP43" s="133" t="s">
        <v>33</v>
      </c>
      <c r="AQ43" s="133">
        <v>1</v>
      </c>
      <c r="AR43" s="135">
        <v>0.0872182100128262</v>
      </c>
      <c r="AS43" s="137" t="s">
        <v>33</v>
      </c>
      <c r="AT43" s="137" t="s">
        <v>33</v>
      </c>
      <c r="AU43" s="137" t="s">
        <v>33</v>
      </c>
      <c r="AV43" s="137" t="s">
        <v>33</v>
      </c>
      <c r="AW43" s="93"/>
      <c r="AX43" s="91"/>
    </row>
    <row r="44" ht="14.5" spans="1:50">
      <c r="A44" s="89"/>
      <c r="B44" s="93"/>
      <c r="C44" s="125" t="s">
        <v>23</v>
      </c>
      <c r="D44" s="126" t="s">
        <v>24</v>
      </c>
      <c r="E44" s="138" t="s">
        <v>61</v>
      </c>
      <c r="F44" s="138" t="s">
        <v>61</v>
      </c>
      <c r="G44" s="138" t="s">
        <v>61</v>
      </c>
      <c r="H44" s="138" t="s">
        <v>61</v>
      </c>
      <c r="I44" s="128">
        <v>0.9</v>
      </c>
      <c r="J44" s="129">
        <v>0.880597014925373</v>
      </c>
      <c r="K44" s="129">
        <v>0.876923076923077</v>
      </c>
      <c r="L44" s="130">
        <v>0.852941176470588</v>
      </c>
      <c r="M44" s="129">
        <v>0.822888283378747</v>
      </c>
      <c r="N44" s="131">
        <v>0.9</v>
      </c>
      <c r="O44" s="129">
        <v>0.970139565076274</v>
      </c>
      <c r="P44" s="129">
        <v>0.90061295971979</v>
      </c>
      <c r="Q44" s="129">
        <v>0.965779467680608</v>
      </c>
      <c r="R44" s="129">
        <v>0.95069923421321</v>
      </c>
      <c r="S44" s="131">
        <v>0.9</v>
      </c>
      <c r="T44" s="129">
        <v>0.589419019798767</v>
      </c>
      <c r="U44" s="129">
        <v>0.645140105078809</v>
      </c>
      <c r="V44" s="129">
        <v>0.508998732572877</v>
      </c>
      <c r="W44" s="129">
        <v>0.534477691922073</v>
      </c>
      <c r="X44" s="131">
        <v>0.92</v>
      </c>
      <c r="Y44" s="131">
        <v>0.848420305289315</v>
      </c>
      <c r="Z44" s="131">
        <v>0.886199308393587</v>
      </c>
      <c r="AA44" s="131">
        <v>0.936095505617977</v>
      </c>
      <c r="AB44" s="131">
        <v>0.856245733788396</v>
      </c>
      <c r="AC44" s="131">
        <v>0.92</v>
      </c>
      <c r="AD44" s="129">
        <v>0.75</v>
      </c>
      <c r="AE44" s="129">
        <v>0.85</v>
      </c>
      <c r="AF44" s="129">
        <v>0</v>
      </c>
      <c r="AG44" s="129">
        <v>0.592233009708738</v>
      </c>
      <c r="AH44" s="131">
        <v>0.92</v>
      </c>
      <c r="AI44" s="129">
        <v>0.896102449888641</v>
      </c>
      <c r="AJ44" s="129">
        <v>0.912633888243644</v>
      </c>
      <c r="AK44" s="129">
        <v>0.919180633147114</v>
      </c>
      <c r="AL44" s="129">
        <v>0.881167102666483</v>
      </c>
      <c r="AM44" s="128">
        <v>0.99</v>
      </c>
      <c r="AN44" s="133">
        <v>1</v>
      </c>
      <c r="AO44" s="133">
        <v>1</v>
      </c>
      <c r="AP44" s="133">
        <v>1</v>
      </c>
      <c r="AQ44" s="133">
        <v>1</v>
      </c>
      <c r="AR44" s="135">
        <v>0.0872182100128262</v>
      </c>
      <c r="AS44" s="137">
        <v>0.0697674418604651</v>
      </c>
      <c r="AT44" s="137">
        <v>0.0740740740740741</v>
      </c>
      <c r="AU44" s="137">
        <v>0.0681818181818182</v>
      </c>
      <c r="AV44" s="137">
        <v>0.0503246753246753</v>
      </c>
      <c r="AW44" s="93"/>
      <c r="AX44" s="91"/>
    </row>
    <row r="45" ht="14.5" spans="1:50">
      <c r="A45" s="89"/>
      <c r="B45" s="93"/>
      <c r="C45" s="125" t="s">
        <v>23</v>
      </c>
      <c r="D45" s="126" t="s">
        <v>24</v>
      </c>
      <c r="E45" s="138" t="s">
        <v>62</v>
      </c>
      <c r="F45" s="138" t="s">
        <v>62</v>
      </c>
      <c r="G45" s="138" t="s">
        <v>62</v>
      </c>
      <c r="H45" s="138" t="s">
        <v>62</v>
      </c>
      <c r="I45" s="128">
        <v>0.9</v>
      </c>
      <c r="J45" s="129">
        <v>0.95</v>
      </c>
      <c r="K45" s="129">
        <v>0.95</v>
      </c>
      <c r="L45" s="130">
        <v>0.892307692307692</v>
      </c>
      <c r="M45" s="129">
        <v>0.902275769745649</v>
      </c>
      <c r="N45" s="131">
        <v>0.9</v>
      </c>
      <c r="O45" s="129">
        <v>0.856346522891346</v>
      </c>
      <c r="P45" s="129">
        <v>0.922772712292651</v>
      </c>
      <c r="Q45" s="129">
        <v>0.768220078012728</v>
      </c>
      <c r="R45" s="129">
        <v>0.886752201563085</v>
      </c>
      <c r="S45" s="131">
        <v>0.9</v>
      </c>
      <c r="T45" s="129">
        <v>0.760120625057114</v>
      </c>
      <c r="U45" s="129">
        <v>0.87498626826321</v>
      </c>
      <c r="V45" s="129">
        <v>0.838944775200164</v>
      </c>
      <c r="W45" s="129">
        <v>0.834339328864489</v>
      </c>
      <c r="X45" s="131">
        <v>0.92</v>
      </c>
      <c r="Y45" s="131">
        <v>0.8604055916519</v>
      </c>
      <c r="Z45" s="131">
        <v>0.980175831753146</v>
      </c>
      <c r="AA45" s="131">
        <v>0.988026939386381</v>
      </c>
      <c r="AB45" s="131">
        <v>0.968349299926308</v>
      </c>
      <c r="AC45" s="131">
        <v>0.92</v>
      </c>
      <c r="AD45" s="129">
        <v>0.99891248640608</v>
      </c>
      <c r="AE45" s="129">
        <v>0.998632959162062</v>
      </c>
      <c r="AF45" s="129">
        <v>0.997938190917872</v>
      </c>
      <c r="AG45" s="129">
        <v>0.997472728792208</v>
      </c>
      <c r="AH45" s="131">
        <v>0.92</v>
      </c>
      <c r="AI45" s="129">
        <v>0.880084851509858</v>
      </c>
      <c r="AJ45" s="129">
        <v>0.979073043128312</v>
      </c>
      <c r="AK45" s="129">
        <v>0.986769409712126</v>
      </c>
      <c r="AL45" s="129">
        <v>0.972532491257373</v>
      </c>
      <c r="AM45" s="128">
        <v>0.99</v>
      </c>
      <c r="AN45" s="133">
        <v>1</v>
      </c>
      <c r="AO45" s="133">
        <v>1</v>
      </c>
      <c r="AP45" s="133">
        <v>1</v>
      </c>
      <c r="AQ45" s="133">
        <v>1</v>
      </c>
      <c r="AR45" s="135">
        <v>0.0872182100128262</v>
      </c>
      <c r="AS45" s="137">
        <v>0.032258064516129</v>
      </c>
      <c r="AT45" s="137">
        <v>0.133333333333333</v>
      </c>
      <c r="AU45" s="137">
        <v>0.0476190476190476</v>
      </c>
      <c r="AV45" s="137">
        <v>0.065625</v>
      </c>
      <c r="AW45" s="93"/>
      <c r="AX45" s="91"/>
    </row>
    <row r="46" ht="14.5" spans="1:50">
      <c r="A46" s="89"/>
      <c r="B46" s="93"/>
      <c r="C46" s="125" t="s">
        <v>23</v>
      </c>
      <c r="D46" s="126" t="s">
        <v>24</v>
      </c>
      <c r="E46" s="138" t="s">
        <v>63</v>
      </c>
      <c r="F46" s="138" t="s">
        <v>63</v>
      </c>
      <c r="G46" s="138" t="s">
        <v>63</v>
      </c>
      <c r="H46" s="138" t="s">
        <v>63</v>
      </c>
      <c r="I46" s="128">
        <v>0.9</v>
      </c>
      <c r="J46" s="129">
        <v>0.966666666666667</v>
      </c>
      <c r="K46" s="129">
        <v>0.950819672131147</v>
      </c>
      <c r="L46" s="130">
        <v>0.836363636363636</v>
      </c>
      <c r="M46" s="129">
        <v>0.923652694610778</v>
      </c>
      <c r="N46" s="131">
        <v>0.9</v>
      </c>
      <c r="O46" s="129">
        <v>0.942478565861263</v>
      </c>
      <c r="P46" s="129">
        <v>0.968632866443085</v>
      </c>
      <c r="Q46" s="129">
        <v>0.942312515675947</v>
      </c>
      <c r="R46" s="129">
        <v>0.946501530129941</v>
      </c>
      <c r="S46" s="131">
        <v>0.9</v>
      </c>
      <c r="T46" s="129">
        <v>0.78269680436477</v>
      </c>
      <c r="U46" s="129">
        <v>0.854211876109686</v>
      </c>
      <c r="V46" s="129">
        <v>0.82242287434161</v>
      </c>
      <c r="W46" s="129">
        <v>0.782256901607037</v>
      </c>
      <c r="X46" s="131">
        <v>0.92</v>
      </c>
      <c r="Y46" s="131">
        <v>0.921259842519685</v>
      </c>
      <c r="Z46" s="131">
        <v>0.92309540975727</v>
      </c>
      <c r="AA46" s="131">
        <v>0.91557420031463</v>
      </c>
      <c r="AB46" s="131">
        <v>0.900285395210324</v>
      </c>
      <c r="AC46" s="131">
        <v>0.92</v>
      </c>
      <c r="AD46" s="129">
        <v>0.996181471042822</v>
      </c>
      <c r="AE46" s="129">
        <v>0.987948993413985</v>
      </c>
      <c r="AF46" s="129">
        <v>0.984200207588513</v>
      </c>
      <c r="AG46" s="129">
        <v>0.972414113925523</v>
      </c>
      <c r="AH46" s="131">
        <v>0.92</v>
      </c>
      <c r="AI46" s="129">
        <v>0.94125313283208</v>
      </c>
      <c r="AJ46" s="129">
        <v>0.947271546123863</v>
      </c>
      <c r="AK46" s="129">
        <v>0.954861700322416</v>
      </c>
      <c r="AL46" s="129">
        <v>0.936651936067904</v>
      </c>
      <c r="AM46" s="128">
        <v>0.99</v>
      </c>
      <c r="AN46" s="133">
        <v>1</v>
      </c>
      <c r="AO46" s="133">
        <v>1</v>
      </c>
      <c r="AP46" s="133">
        <v>1</v>
      </c>
      <c r="AQ46" s="133">
        <v>0.99929873772791</v>
      </c>
      <c r="AR46" s="135">
        <v>0.0872182100128262</v>
      </c>
      <c r="AS46" s="137">
        <v>0.0645161290322581</v>
      </c>
      <c r="AT46" s="137">
        <v>0.103448275862069</v>
      </c>
      <c r="AU46" s="137">
        <v>0.137931034482759</v>
      </c>
      <c r="AV46" s="137">
        <v>0.0721649484536082</v>
      </c>
      <c r="AW46" s="93"/>
      <c r="AX46" s="91"/>
    </row>
    <row r="47" ht="14.5" spans="1:50">
      <c r="A47" s="89"/>
      <c r="B47" s="93"/>
      <c r="C47" s="125" t="s">
        <v>23</v>
      </c>
      <c r="D47" s="126" t="s">
        <v>24</v>
      </c>
      <c r="E47" s="138" t="s">
        <v>64</v>
      </c>
      <c r="F47" s="138" t="s">
        <v>64</v>
      </c>
      <c r="G47" s="138" t="s">
        <v>64</v>
      </c>
      <c r="H47" s="138" t="s">
        <v>64</v>
      </c>
      <c r="I47" s="128">
        <v>0.9</v>
      </c>
      <c r="J47" s="129">
        <v>0.909090909090909</v>
      </c>
      <c r="K47" s="129">
        <v>0.935483870967742</v>
      </c>
      <c r="L47" s="130">
        <v>0.894230769230769</v>
      </c>
      <c r="M47" s="129">
        <v>0.8984375</v>
      </c>
      <c r="N47" s="131">
        <v>0.9</v>
      </c>
      <c r="O47" s="129">
        <v>0.954271735039518</v>
      </c>
      <c r="P47" s="129">
        <v>0.954337334488306</v>
      </c>
      <c r="Q47" s="129">
        <v>0.965942364000616</v>
      </c>
      <c r="R47" s="129">
        <v>0.934809174182211</v>
      </c>
      <c r="S47" s="131">
        <v>0.9</v>
      </c>
      <c r="T47" s="129">
        <v>0.761479111780203</v>
      </c>
      <c r="U47" s="129">
        <v>0.830095285236976</v>
      </c>
      <c r="V47" s="129">
        <v>0.802434889813531</v>
      </c>
      <c r="W47" s="129">
        <v>0.790126947897836</v>
      </c>
      <c r="X47" s="131">
        <v>0.92</v>
      </c>
      <c r="Y47" s="131">
        <v>0.937975646879756</v>
      </c>
      <c r="Z47" s="131">
        <v>0.955969133000454</v>
      </c>
      <c r="AA47" s="131">
        <v>0.946308724832215</v>
      </c>
      <c r="AB47" s="131">
        <v>0.945892974761836</v>
      </c>
      <c r="AC47" s="131">
        <v>0.92</v>
      </c>
      <c r="AD47" s="129">
        <v>0.996181672025723</v>
      </c>
      <c r="AE47" s="129">
        <v>0.976923076923077</v>
      </c>
      <c r="AF47" s="129">
        <v>0.945046216060081</v>
      </c>
      <c r="AG47" s="129">
        <v>0.980940750733663</v>
      </c>
      <c r="AH47" s="131">
        <v>0.92</v>
      </c>
      <c r="AI47" s="129">
        <v>0.94894875991439</v>
      </c>
      <c r="AJ47" s="129">
        <v>0.965899809420093</v>
      </c>
      <c r="AK47" s="129">
        <v>0.965772532188841</v>
      </c>
      <c r="AL47" s="129">
        <v>0.959187975892259</v>
      </c>
      <c r="AM47" s="128">
        <v>0.99</v>
      </c>
      <c r="AN47" s="133">
        <v>1</v>
      </c>
      <c r="AO47" s="133">
        <v>1</v>
      </c>
      <c r="AP47" s="133">
        <v>1</v>
      </c>
      <c r="AQ47" s="133">
        <v>1</v>
      </c>
      <c r="AR47" s="135">
        <v>0.0872182100128262</v>
      </c>
      <c r="AS47" s="137">
        <v>0.0930232558139535</v>
      </c>
      <c r="AT47" s="137">
        <v>0.181818181818182</v>
      </c>
      <c r="AU47" s="137">
        <v>0.025</v>
      </c>
      <c r="AV47" s="137">
        <v>0.0697674418604651</v>
      </c>
      <c r="AW47" s="93"/>
      <c r="AX47" s="91"/>
    </row>
    <row r="48" ht="14.5" spans="1:50">
      <c r="A48" s="89"/>
      <c r="B48" s="93"/>
      <c r="C48" s="125" t="s">
        <v>23</v>
      </c>
      <c r="D48" s="126" t="s">
        <v>24</v>
      </c>
      <c r="E48" s="138" t="s">
        <v>65</v>
      </c>
      <c r="F48" s="138" t="s">
        <v>65</v>
      </c>
      <c r="G48" s="138" t="s">
        <v>65</v>
      </c>
      <c r="H48" s="138" t="s">
        <v>65</v>
      </c>
      <c r="I48" s="128">
        <v>0.9</v>
      </c>
      <c r="J48" s="129">
        <v>0.973333333333333</v>
      </c>
      <c r="K48" s="129">
        <v>0.972972972972973</v>
      </c>
      <c r="L48" s="130">
        <v>0.985294117647059</v>
      </c>
      <c r="M48" s="129">
        <v>0.975581395348837</v>
      </c>
      <c r="N48" s="131">
        <v>0.9</v>
      </c>
      <c r="O48" s="129">
        <v>0.984182776801406</v>
      </c>
      <c r="P48" s="129">
        <v>0.983327662470228</v>
      </c>
      <c r="Q48" s="129">
        <v>0.965010632128359</v>
      </c>
      <c r="R48" s="129">
        <v>0.950836157258176</v>
      </c>
      <c r="S48" s="131">
        <v>0.9</v>
      </c>
      <c r="T48" s="129">
        <v>0.836284980397458</v>
      </c>
      <c r="U48" s="129">
        <v>0.907111262334127</v>
      </c>
      <c r="V48" s="129">
        <v>0.890779045041562</v>
      </c>
      <c r="W48" s="129">
        <v>0.850345758602639</v>
      </c>
      <c r="X48" s="131">
        <v>0.92</v>
      </c>
      <c r="Y48" s="131">
        <v>0.934998787290808</v>
      </c>
      <c r="Z48" s="131">
        <v>0.963304817649707</v>
      </c>
      <c r="AA48" s="131">
        <v>0.962310528471938</v>
      </c>
      <c r="AB48" s="131">
        <v>0.958801744351675</v>
      </c>
      <c r="AC48" s="131">
        <v>0.92</v>
      </c>
      <c r="AD48" s="129">
        <v>0.99688962530159</v>
      </c>
      <c r="AE48" s="129">
        <v>0.98490528012898</v>
      </c>
      <c r="AF48" s="129">
        <v>0.972126943954178</v>
      </c>
      <c r="AG48" s="129">
        <v>0.979493992879399</v>
      </c>
      <c r="AH48" s="131">
        <v>0.92</v>
      </c>
      <c r="AI48" s="129">
        <v>0.952695078552209</v>
      </c>
      <c r="AJ48" s="129">
        <v>0.972970354582445</v>
      </c>
      <c r="AK48" s="129">
        <v>0.972550564749146</v>
      </c>
      <c r="AL48" s="129">
        <v>0.971128231583042</v>
      </c>
      <c r="AM48" s="128">
        <v>0.99</v>
      </c>
      <c r="AN48" s="133">
        <v>1</v>
      </c>
      <c r="AO48" s="133">
        <v>1</v>
      </c>
      <c r="AP48" s="133">
        <v>1</v>
      </c>
      <c r="AQ48" s="133">
        <v>1</v>
      </c>
      <c r="AR48" s="135">
        <v>0.0872182100128262</v>
      </c>
      <c r="AS48" s="137">
        <v>0.0212765957446809</v>
      </c>
      <c r="AT48" s="137">
        <v>0.122448979591837</v>
      </c>
      <c r="AU48" s="137">
        <v>0.0204081632653061</v>
      </c>
      <c r="AV48" s="137">
        <v>0.0456273764258555</v>
      </c>
      <c r="AW48" s="93"/>
      <c r="AX48" s="91"/>
    </row>
    <row r="49" ht="14.5" spans="1:50">
      <c r="A49" s="89"/>
      <c r="B49" s="93"/>
      <c r="C49" s="125" t="s">
        <v>23</v>
      </c>
      <c r="D49" s="126" t="s">
        <v>24</v>
      </c>
      <c r="E49" s="138" t="s">
        <v>66</v>
      </c>
      <c r="F49" s="138" t="s">
        <v>66</v>
      </c>
      <c r="G49" s="138" t="s">
        <v>66</v>
      </c>
      <c r="H49" s="138" t="s">
        <v>66</v>
      </c>
      <c r="I49" s="128">
        <v>0.9</v>
      </c>
      <c r="J49" s="129">
        <v>0.982142857142857</v>
      </c>
      <c r="K49" s="129">
        <v>0.943396226415094</v>
      </c>
      <c r="L49" s="130">
        <v>0.911111111111111</v>
      </c>
      <c r="M49" s="129">
        <v>0.94205298013245</v>
      </c>
      <c r="N49" s="131">
        <v>0.9</v>
      </c>
      <c r="O49" s="129">
        <v>0.972031857751435</v>
      </c>
      <c r="P49" s="129">
        <v>0.984028851107676</v>
      </c>
      <c r="Q49" s="129">
        <v>0.990408673894912</v>
      </c>
      <c r="R49" s="129">
        <v>0.948989340776681</v>
      </c>
      <c r="S49" s="131">
        <v>0.9</v>
      </c>
      <c r="T49" s="129">
        <v>0.910446378959067</v>
      </c>
      <c r="U49" s="129">
        <v>0.935394126738794</v>
      </c>
      <c r="V49" s="129">
        <v>0.926918265221018</v>
      </c>
      <c r="W49" s="129">
        <v>0.91852906464847</v>
      </c>
      <c r="X49" s="131">
        <v>0.92</v>
      </c>
      <c r="Y49" s="131">
        <v>0.948205036613681</v>
      </c>
      <c r="Z49" s="131">
        <v>0.976210350584307</v>
      </c>
      <c r="AA49" s="131">
        <v>0.983427922814983</v>
      </c>
      <c r="AB49" s="131">
        <v>0.974922557245373</v>
      </c>
      <c r="AC49" s="131">
        <v>0.92</v>
      </c>
      <c r="AD49" s="129">
        <v>0.994029949024105</v>
      </c>
      <c r="AE49" s="129">
        <v>0.980554390799089</v>
      </c>
      <c r="AF49" s="129">
        <v>0.971511485326576</v>
      </c>
      <c r="AG49" s="129">
        <v>0.980109983065039</v>
      </c>
      <c r="AH49" s="131">
        <v>0.92</v>
      </c>
      <c r="AI49" s="129">
        <v>0.963179712265301</v>
      </c>
      <c r="AJ49" s="129">
        <v>0.978991596638655</v>
      </c>
      <c r="AK49" s="129">
        <v>0.97028359168512</v>
      </c>
      <c r="AL49" s="129">
        <v>0.981585623925828</v>
      </c>
      <c r="AM49" s="128">
        <v>0.99</v>
      </c>
      <c r="AN49" s="133">
        <v>1</v>
      </c>
      <c r="AO49" s="133">
        <v>1</v>
      </c>
      <c r="AP49" s="133">
        <v>1</v>
      </c>
      <c r="AQ49" s="133">
        <v>1</v>
      </c>
      <c r="AR49" s="135">
        <v>0.0872182100128262</v>
      </c>
      <c r="AS49" s="137">
        <v>0.0909090909090909</v>
      </c>
      <c r="AT49" s="137">
        <v>0.1</v>
      </c>
      <c r="AU49" s="137">
        <v>0.222222222222222</v>
      </c>
      <c r="AV49" s="137">
        <v>0.0894941634241245</v>
      </c>
      <c r="AW49" s="93"/>
      <c r="AX49" s="91"/>
    </row>
    <row r="50" ht="14.5" spans="1:50">
      <c r="A50" s="89"/>
      <c r="B50" s="93"/>
      <c r="C50" s="125" t="s">
        <v>23</v>
      </c>
      <c r="D50" s="126" t="s">
        <v>24</v>
      </c>
      <c r="E50" s="138" t="s">
        <v>67</v>
      </c>
      <c r="F50" s="138" t="s">
        <v>67</v>
      </c>
      <c r="G50" s="138" t="s">
        <v>67</v>
      </c>
      <c r="H50" s="138" t="s">
        <v>67</v>
      </c>
      <c r="I50" s="128">
        <v>0.9</v>
      </c>
      <c r="J50" s="129">
        <v>0.931297709923664</v>
      </c>
      <c r="K50" s="129">
        <v>0.886178861788618</v>
      </c>
      <c r="L50" s="130">
        <v>0.926605504587156</v>
      </c>
      <c r="M50" s="129">
        <v>0.930215827338129</v>
      </c>
      <c r="N50" s="131">
        <v>0.9</v>
      </c>
      <c r="O50" s="129">
        <v>0.915802007144072</v>
      </c>
      <c r="P50" s="129">
        <v>0.697723253757736</v>
      </c>
      <c r="Q50" s="129">
        <v>0.942729083665339</v>
      </c>
      <c r="R50" s="129">
        <v>0.888771836611306</v>
      </c>
      <c r="S50" s="131">
        <v>0.9</v>
      </c>
      <c r="T50" s="129">
        <v>0.636502806599762</v>
      </c>
      <c r="U50" s="129">
        <v>0.616710875331565</v>
      </c>
      <c r="V50" s="129">
        <v>0.654382470119522</v>
      </c>
      <c r="W50" s="129">
        <v>0.626036294348818</v>
      </c>
      <c r="X50" s="131">
        <v>0.92</v>
      </c>
      <c r="Y50" s="131">
        <v>0.907810928595374</v>
      </c>
      <c r="Z50" s="131">
        <v>0.92031605731887</v>
      </c>
      <c r="AA50" s="131">
        <v>0.872485632183908</v>
      </c>
      <c r="AB50" s="131">
        <v>0.886375538228791</v>
      </c>
      <c r="AC50" s="131">
        <v>0.92</v>
      </c>
      <c r="AD50" s="129">
        <v>0.901408450704225</v>
      </c>
      <c r="AE50" s="129">
        <v>0.97799511002445</v>
      </c>
      <c r="AF50" s="129">
        <v>0.902654867256637</v>
      </c>
      <c r="AG50" s="129">
        <v>0.958069234519746</v>
      </c>
      <c r="AH50" s="131">
        <v>0.92</v>
      </c>
      <c r="AI50" s="129">
        <v>0.944146685472496</v>
      </c>
      <c r="AJ50" s="129">
        <v>0.944296439815936</v>
      </c>
      <c r="AK50" s="129">
        <v>0.927338782924614</v>
      </c>
      <c r="AL50" s="129">
        <v>0.922772978411282</v>
      </c>
      <c r="AM50" s="128">
        <v>0.99</v>
      </c>
      <c r="AN50" s="133">
        <v>1</v>
      </c>
      <c r="AO50" s="133">
        <v>1</v>
      </c>
      <c r="AP50" s="133">
        <v>1</v>
      </c>
      <c r="AQ50" s="133">
        <v>1</v>
      </c>
      <c r="AR50" s="135">
        <v>0.0872182100128262</v>
      </c>
      <c r="AS50" s="137">
        <v>0.025</v>
      </c>
      <c r="AT50" s="137">
        <v>0.0727272727272727</v>
      </c>
      <c r="AU50" s="137">
        <v>0.114285714285714</v>
      </c>
      <c r="AV50" s="137">
        <v>0.0634146341463415</v>
      </c>
      <c r="AW50" s="93"/>
      <c r="AX50" s="91"/>
    </row>
    <row r="51" ht="14.5" spans="1:50">
      <c r="A51" s="89"/>
      <c r="B51" s="93"/>
      <c r="C51" s="125" t="s">
        <v>23</v>
      </c>
      <c r="D51" s="126" t="s">
        <v>24</v>
      </c>
      <c r="E51" s="138" t="s">
        <v>68</v>
      </c>
      <c r="F51" s="138" t="s">
        <v>68</v>
      </c>
      <c r="G51" s="138" t="s">
        <v>68</v>
      </c>
      <c r="H51" s="138" t="s">
        <v>68</v>
      </c>
      <c r="I51" s="128">
        <v>0.9</v>
      </c>
      <c r="J51" s="129">
        <v>0.98019801980198</v>
      </c>
      <c r="K51" s="129">
        <v>0.970588235294118</v>
      </c>
      <c r="L51" s="130">
        <v>0.857142857142857</v>
      </c>
      <c r="M51" s="129">
        <v>0.918478260869565</v>
      </c>
      <c r="N51" s="131">
        <v>0.9</v>
      </c>
      <c r="O51" s="129">
        <v>0.970982658959538</v>
      </c>
      <c r="P51" s="129">
        <v>0.812537048014226</v>
      </c>
      <c r="Q51" s="129">
        <v>0.963598759048604</v>
      </c>
      <c r="R51" s="129">
        <v>0.925300793998734</v>
      </c>
      <c r="S51" s="131">
        <v>0.9</v>
      </c>
      <c r="T51" s="129">
        <v>0.779537572254335</v>
      </c>
      <c r="U51" s="129">
        <v>0.758446947243628</v>
      </c>
      <c r="V51" s="129">
        <v>0.835573940020683</v>
      </c>
      <c r="W51" s="129">
        <v>0.796811827171319</v>
      </c>
      <c r="X51" s="131">
        <v>0.92</v>
      </c>
      <c r="Y51" s="131">
        <v>0.921047076208571</v>
      </c>
      <c r="Z51" s="131">
        <v>0.939661016949152</v>
      </c>
      <c r="AA51" s="131">
        <v>0.93468667255075</v>
      </c>
      <c r="AB51" s="131">
        <v>0.936868965010831</v>
      </c>
      <c r="AC51" s="131">
        <v>0.92</v>
      </c>
      <c r="AD51" s="129">
        <v>0.666666666666667</v>
      </c>
      <c r="AE51" s="129">
        <v>0.833333333333333</v>
      </c>
      <c r="AF51" s="129">
        <v>1</v>
      </c>
      <c r="AG51" s="129">
        <v>0.633333333333333</v>
      </c>
      <c r="AH51" s="131">
        <v>0.92</v>
      </c>
      <c r="AI51" s="129">
        <v>0.948308060058266</v>
      </c>
      <c r="AJ51" s="129">
        <v>0.955648667878884</v>
      </c>
      <c r="AK51" s="129">
        <v>0.961132234896493</v>
      </c>
      <c r="AL51" s="129">
        <v>0.958849152604415</v>
      </c>
      <c r="AM51" s="128">
        <v>0.99</v>
      </c>
      <c r="AN51" s="133">
        <v>1</v>
      </c>
      <c r="AO51" s="133">
        <v>1</v>
      </c>
      <c r="AP51" s="133">
        <v>1</v>
      </c>
      <c r="AQ51" s="133">
        <v>1</v>
      </c>
      <c r="AR51" s="135">
        <v>0.0872182100128262</v>
      </c>
      <c r="AS51" s="137">
        <v>0.0196078431372549</v>
      </c>
      <c r="AT51" s="137">
        <v>0.0227272727272727</v>
      </c>
      <c r="AU51" s="137">
        <v>0.125</v>
      </c>
      <c r="AV51" s="137">
        <v>0.054726368159204</v>
      </c>
      <c r="AW51" s="93"/>
      <c r="AX51" s="91"/>
    </row>
    <row r="52" ht="14.5" spans="1:50">
      <c r="A52" s="89"/>
      <c r="B52" s="93"/>
      <c r="C52" s="125" t="s">
        <v>23</v>
      </c>
      <c r="D52" s="126" t="s">
        <v>24</v>
      </c>
      <c r="E52" s="138" t="s">
        <v>69</v>
      </c>
      <c r="F52" s="138" t="s">
        <v>69</v>
      </c>
      <c r="G52" s="138" t="s">
        <v>69</v>
      </c>
      <c r="H52" s="138" t="s">
        <v>69</v>
      </c>
      <c r="I52" s="128">
        <v>0.9</v>
      </c>
      <c r="J52" s="129">
        <v>0.989247311827957</v>
      </c>
      <c r="K52" s="129">
        <v>1</v>
      </c>
      <c r="L52" s="130">
        <v>1</v>
      </c>
      <c r="M52" s="129">
        <v>0.975562072336266</v>
      </c>
      <c r="N52" s="131">
        <v>0.9</v>
      </c>
      <c r="O52" s="129">
        <v>0.987690079652426</v>
      </c>
      <c r="P52" s="129">
        <v>0.992845038599134</v>
      </c>
      <c r="Q52" s="129">
        <v>0.992743445692884</v>
      </c>
      <c r="R52" s="129">
        <v>0.99210732778911</v>
      </c>
      <c r="S52" s="131">
        <v>0.9</v>
      </c>
      <c r="T52" s="129">
        <v>0.902099927588704</v>
      </c>
      <c r="U52" s="129">
        <v>0.930521559028432</v>
      </c>
      <c r="V52" s="129">
        <v>0.908707865168539</v>
      </c>
      <c r="W52" s="129">
        <v>0.914781107798525</v>
      </c>
      <c r="X52" s="131">
        <v>0.92</v>
      </c>
      <c r="Y52" s="131">
        <v>0.942769402568398</v>
      </c>
      <c r="Z52" s="131">
        <v>0.95155121121972</v>
      </c>
      <c r="AA52" s="131">
        <v>0.95308516063233</v>
      </c>
      <c r="AB52" s="131">
        <v>0.953464179207989</v>
      </c>
      <c r="AC52" s="131">
        <v>0.92</v>
      </c>
      <c r="AD52" s="129">
        <v>0.997520661157025</v>
      </c>
      <c r="AE52" s="129">
        <v>0.995465587044534</v>
      </c>
      <c r="AF52" s="129">
        <v>0.989622641509434</v>
      </c>
      <c r="AG52" s="129">
        <v>0.971750588149472</v>
      </c>
      <c r="AH52" s="131">
        <v>0.92</v>
      </c>
      <c r="AI52" s="129">
        <v>0.953661327231121</v>
      </c>
      <c r="AJ52" s="129">
        <v>0.96506637388961</v>
      </c>
      <c r="AK52" s="129">
        <v>0.969687249398557</v>
      </c>
      <c r="AL52" s="129">
        <v>0.967298759801493</v>
      </c>
      <c r="AM52" s="128">
        <v>0.99</v>
      </c>
      <c r="AN52" s="133">
        <v>1</v>
      </c>
      <c r="AO52" s="133">
        <v>1</v>
      </c>
      <c r="AP52" s="133">
        <v>1</v>
      </c>
      <c r="AQ52" s="133">
        <v>1</v>
      </c>
      <c r="AR52" s="135">
        <v>0.0872182100128262</v>
      </c>
      <c r="AS52" s="137">
        <v>0.0677966101694915</v>
      </c>
      <c r="AT52" s="137">
        <v>0.0952380952380952</v>
      </c>
      <c r="AU52" s="137">
        <v>0.13953488372093</v>
      </c>
      <c r="AV52" s="137">
        <v>0.0674157303370786</v>
      </c>
      <c r="AW52" s="93"/>
      <c r="AX52" s="91"/>
    </row>
    <row r="53" ht="14.5" spans="1:50">
      <c r="A53" s="89"/>
      <c r="B53" s="93"/>
      <c r="C53" s="125" t="s">
        <v>23</v>
      </c>
      <c r="D53" s="126" t="s">
        <v>24</v>
      </c>
      <c r="E53" s="138" t="s">
        <v>70</v>
      </c>
      <c r="F53" s="138" t="s">
        <v>70</v>
      </c>
      <c r="G53" s="138" t="s">
        <v>70</v>
      </c>
      <c r="H53" s="138" t="s">
        <v>70</v>
      </c>
      <c r="I53" s="128">
        <v>0.9</v>
      </c>
      <c r="J53" s="129">
        <v>0.982758620689655</v>
      </c>
      <c r="K53" s="129">
        <v>0.966101694915254</v>
      </c>
      <c r="L53" s="130">
        <v>0.91304347826087</v>
      </c>
      <c r="M53" s="129">
        <v>0.959481361426256</v>
      </c>
      <c r="N53" s="131">
        <v>0.9</v>
      </c>
      <c r="O53" s="129">
        <v>0.901497384088039</v>
      </c>
      <c r="P53" s="129">
        <v>0.950808625336927</v>
      </c>
      <c r="Q53" s="129">
        <v>0.987592219986586</v>
      </c>
      <c r="R53" s="129">
        <v>0.956563273741056</v>
      </c>
      <c r="S53" s="131">
        <v>0.9</v>
      </c>
      <c r="T53" s="129">
        <v>0.818509832220819</v>
      </c>
      <c r="U53" s="129">
        <v>0.866576819407008</v>
      </c>
      <c r="V53" s="129">
        <v>0.837692823608317</v>
      </c>
      <c r="W53" s="129">
        <v>0.813249371259236</v>
      </c>
      <c r="X53" s="131">
        <v>0.92</v>
      </c>
      <c r="Y53" s="131">
        <v>0.936834878132509</v>
      </c>
      <c r="Z53" s="131">
        <v>0.955880160977791</v>
      </c>
      <c r="AA53" s="131">
        <v>0.916666666666667</v>
      </c>
      <c r="AB53" s="131">
        <v>0.937177011014251</v>
      </c>
      <c r="AC53" s="131">
        <v>0.92</v>
      </c>
      <c r="AD53" s="129">
        <v>0.946385830540929</v>
      </c>
      <c r="AE53" s="129">
        <v>0.986878727634195</v>
      </c>
      <c r="AF53" s="129">
        <v>0.945081967213115</v>
      </c>
      <c r="AG53" s="129">
        <v>0.955516416023122</v>
      </c>
      <c r="AH53" s="131">
        <v>0.92</v>
      </c>
      <c r="AI53" s="129">
        <v>0.957071901608325</v>
      </c>
      <c r="AJ53" s="129">
        <v>0.959604588723456</v>
      </c>
      <c r="AK53" s="129">
        <v>0.951006711409396</v>
      </c>
      <c r="AL53" s="129">
        <v>0.955043517072082</v>
      </c>
      <c r="AM53" s="128">
        <v>0.99</v>
      </c>
      <c r="AN53" s="133">
        <v>1</v>
      </c>
      <c r="AO53" s="133">
        <v>1</v>
      </c>
      <c r="AP53" s="133">
        <v>1</v>
      </c>
      <c r="AQ53" s="133">
        <v>1</v>
      </c>
      <c r="AR53" s="135">
        <v>0.0872182100128262</v>
      </c>
      <c r="AS53" s="137">
        <v>0.027027027027027</v>
      </c>
      <c r="AT53" s="137">
        <v>0.0740740740740741</v>
      </c>
      <c r="AU53" s="137">
        <v>0.12</v>
      </c>
      <c r="AV53" s="137">
        <v>0.050251256281407</v>
      </c>
      <c r="AW53" s="93"/>
      <c r="AX53" s="91"/>
    </row>
    <row r="54" ht="14.5" spans="1:50">
      <c r="A54" s="89"/>
      <c r="B54" s="93"/>
      <c r="C54" s="125" t="s">
        <v>23</v>
      </c>
      <c r="D54" s="126" t="s">
        <v>24</v>
      </c>
      <c r="E54" s="138" t="s">
        <v>71</v>
      </c>
      <c r="F54" s="138" t="s">
        <v>71</v>
      </c>
      <c r="G54" s="138" t="s">
        <v>71</v>
      </c>
      <c r="H54" s="138" t="s">
        <v>71</v>
      </c>
      <c r="I54" s="128">
        <v>0.9</v>
      </c>
      <c r="J54" s="129">
        <v>0.958333333333333</v>
      </c>
      <c r="K54" s="129">
        <v>0.958333333333333</v>
      </c>
      <c r="L54" s="130">
        <v>0.909090909090909</v>
      </c>
      <c r="M54" s="129">
        <v>0.944649446494465</v>
      </c>
      <c r="N54" s="131">
        <v>0.9</v>
      </c>
      <c r="O54" s="129">
        <v>0.968040759610931</v>
      </c>
      <c r="P54" s="129">
        <v>0.827769714562167</v>
      </c>
      <c r="Q54" s="129">
        <v>0.980815347721823</v>
      </c>
      <c r="R54" s="129">
        <v>0.945340991976659</v>
      </c>
      <c r="S54" s="131">
        <v>0.9</v>
      </c>
      <c r="T54" s="129">
        <v>0.889300602130616</v>
      </c>
      <c r="U54" s="129">
        <v>0.913401064344461</v>
      </c>
      <c r="V54" s="129">
        <v>0.93445243804956</v>
      </c>
      <c r="W54" s="129">
        <v>0.894602479941648</v>
      </c>
      <c r="X54" s="131">
        <v>0.92</v>
      </c>
      <c r="Y54" s="131">
        <v>0.933734939759036</v>
      </c>
      <c r="Z54" s="131">
        <v>0.939047619047619</v>
      </c>
      <c r="AA54" s="131">
        <v>0.953703703703704</v>
      </c>
      <c r="AB54" s="131">
        <v>0.946213484701648</v>
      </c>
      <c r="AC54" s="131">
        <v>0.92</v>
      </c>
      <c r="AD54" s="129">
        <v>1</v>
      </c>
      <c r="AE54" s="129">
        <v>0.69172151021822</v>
      </c>
      <c r="AF54" s="129">
        <v>0.75</v>
      </c>
      <c r="AG54" s="129">
        <v>0.796263132760267</v>
      </c>
      <c r="AH54" s="131">
        <v>0.92</v>
      </c>
      <c r="AI54" s="129">
        <v>0.960554049984944</v>
      </c>
      <c r="AJ54" s="129">
        <v>0.958276146033489</v>
      </c>
      <c r="AK54" s="129">
        <v>0.968931016324381</v>
      </c>
      <c r="AL54" s="129">
        <v>0.967242848113441</v>
      </c>
      <c r="AM54" s="128">
        <v>0.99</v>
      </c>
      <c r="AN54" s="133">
        <v>1</v>
      </c>
      <c r="AO54" s="133">
        <v>1</v>
      </c>
      <c r="AP54" s="133">
        <v>1</v>
      </c>
      <c r="AQ54" s="133">
        <v>1</v>
      </c>
      <c r="AR54" s="135">
        <v>0.0872182100128262</v>
      </c>
      <c r="AS54" s="137">
        <v>0.0625</v>
      </c>
      <c r="AT54" s="137">
        <v>0.05</v>
      </c>
      <c r="AU54" s="137">
        <v>0.0833333333333333</v>
      </c>
      <c r="AV54" s="137">
        <v>0.0579710144927536</v>
      </c>
      <c r="AW54" s="93"/>
      <c r="AX54" s="91"/>
    </row>
    <row r="55" ht="14.5" spans="1:50">
      <c r="A55" s="89"/>
      <c r="B55" s="93"/>
      <c r="C55" s="125" t="s">
        <v>23</v>
      </c>
      <c r="D55" s="126" t="s">
        <v>24</v>
      </c>
      <c r="E55" s="138" t="s">
        <v>72</v>
      </c>
      <c r="F55" s="138" t="s">
        <v>72</v>
      </c>
      <c r="G55" s="138" t="s">
        <v>72</v>
      </c>
      <c r="H55" s="138" t="s">
        <v>72</v>
      </c>
      <c r="I55" s="128">
        <v>0.9</v>
      </c>
      <c r="J55" s="129">
        <v>0.97029702970297</v>
      </c>
      <c r="K55" s="129">
        <v>0.939393939393939</v>
      </c>
      <c r="L55" s="130">
        <v>0.855263157894737</v>
      </c>
      <c r="M55" s="129">
        <v>0.920222634508349</v>
      </c>
      <c r="N55" s="131">
        <v>0.9</v>
      </c>
      <c r="O55" s="129">
        <v>0.921605603448276</v>
      </c>
      <c r="P55" s="129">
        <v>0.790982336535482</v>
      </c>
      <c r="Q55" s="129">
        <v>0.979381443298969</v>
      </c>
      <c r="R55" s="129">
        <v>0.936766185843677</v>
      </c>
      <c r="S55" s="131">
        <v>0.9</v>
      </c>
      <c r="T55" s="129">
        <v>0.897225215517241</v>
      </c>
      <c r="U55" s="129">
        <v>0.937403160830493</v>
      </c>
      <c r="V55" s="129">
        <v>0.894616265750286</v>
      </c>
      <c r="W55" s="129">
        <v>0.891157888851616</v>
      </c>
      <c r="X55" s="131">
        <v>0.92</v>
      </c>
      <c r="Y55" s="131">
        <v>0.948556175685513</v>
      </c>
      <c r="Z55" s="131">
        <v>0.954707278481013</v>
      </c>
      <c r="AA55" s="131">
        <v>0.9438149197356</v>
      </c>
      <c r="AB55" s="131">
        <v>0.945496469820022</v>
      </c>
      <c r="AC55" s="131">
        <v>0.92</v>
      </c>
      <c r="AD55" s="129">
        <v>0.813253012048193</v>
      </c>
      <c r="AE55" s="129">
        <v>0.883025027203482</v>
      </c>
      <c r="AF55" s="129">
        <v>0.943040881947634</v>
      </c>
      <c r="AG55" s="129">
        <v>0.920081492799926</v>
      </c>
      <c r="AH55" s="131">
        <v>0.92</v>
      </c>
      <c r="AI55" s="129">
        <v>0.965872672152447</v>
      </c>
      <c r="AJ55" s="129">
        <v>0.969167969428522</v>
      </c>
      <c r="AK55" s="129">
        <v>0.964522597562857</v>
      </c>
      <c r="AL55" s="129">
        <v>0.963470471134705</v>
      </c>
      <c r="AM55" s="128">
        <v>0.99</v>
      </c>
      <c r="AN55" s="133">
        <v>1</v>
      </c>
      <c r="AO55" s="133">
        <v>1</v>
      </c>
      <c r="AP55" s="133">
        <v>1</v>
      </c>
      <c r="AQ55" s="133">
        <v>1</v>
      </c>
      <c r="AR55" s="135">
        <v>0.0872182100128262</v>
      </c>
      <c r="AS55" s="137">
        <v>0.0526315789473684</v>
      </c>
      <c r="AT55" s="137">
        <v>0.0384615384615385</v>
      </c>
      <c r="AU55" s="137">
        <v>0.0625</v>
      </c>
      <c r="AV55" s="137">
        <v>0.0471512770137525</v>
      </c>
      <c r="AW55" s="93"/>
      <c r="AX55" s="91"/>
    </row>
    <row r="56" ht="14.5" spans="1:50">
      <c r="A56" s="89"/>
      <c r="B56" s="93"/>
      <c r="C56" s="125" t="s">
        <v>23</v>
      </c>
      <c r="D56" s="126" t="s">
        <v>24</v>
      </c>
      <c r="E56" s="138" t="s">
        <v>73</v>
      </c>
      <c r="F56" s="138" t="s">
        <v>73</v>
      </c>
      <c r="G56" s="138" t="s">
        <v>73</v>
      </c>
      <c r="H56" s="138" t="s">
        <v>73</v>
      </c>
      <c r="I56" s="128">
        <v>0.9</v>
      </c>
      <c r="J56" s="129">
        <v>0.989010989010989</v>
      </c>
      <c r="K56" s="129">
        <v>1</v>
      </c>
      <c r="L56" s="130">
        <v>1</v>
      </c>
      <c r="M56" s="129">
        <v>0.993677555321391</v>
      </c>
      <c r="N56" s="131">
        <v>0.9</v>
      </c>
      <c r="O56" s="129">
        <v>0.978592872993082</v>
      </c>
      <c r="P56" s="129">
        <v>0.98106941215543</v>
      </c>
      <c r="Q56" s="129">
        <v>0.982142857142857</v>
      </c>
      <c r="R56" s="129">
        <v>0.976391593366011</v>
      </c>
      <c r="S56" s="131">
        <v>0.9</v>
      </c>
      <c r="T56" s="129">
        <v>0.904581647304529</v>
      </c>
      <c r="U56" s="129">
        <v>0.928927266688808</v>
      </c>
      <c r="V56" s="129">
        <v>0.896616541353383</v>
      </c>
      <c r="W56" s="129">
        <v>0.904424897602901</v>
      </c>
      <c r="X56" s="131">
        <v>0.92</v>
      </c>
      <c r="Y56" s="131">
        <v>0.941524621212121</v>
      </c>
      <c r="Z56" s="131">
        <v>0.95529090199141</v>
      </c>
      <c r="AA56" s="131">
        <v>0.922610015174507</v>
      </c>
      <c r="AB56" s="131">
        <v>0.938782469160566</v>
      </c>
      <c r="AC56" s="131">
        <v>0.92</v>
      </c>
      <c r="AD56" s="129">
        <v>0.998224326723883</v>
      </c>
      <c r="AE56" s="129">
        <v>0.996168582375479</v>
      </c>
      <c r="AF56" s="129">
        <v>0.998376623376623</v>
      </c>
      <c r="AG56" s="129">
        <v>0.96351262349067</v>
      </c>
      <c r="AH56" s="131">
        <v>0.92</v>
      </c>
      <c r="AI56" s="129">
        <v>0.964156499789651</v>
      </c>
      <c r="AJ56" s="129">
        <v>0.96985465637897</v>
      </c>
      <c r="AK56" s="129">
        <v>0.963420503770255</v>
      </c>
      <c r="AL56" s="129">
        <v>0.958344057653948</v>
      </c>
      <c r="AM56" s="128">
        <v>0.99</v>
      </c>
      <c r="AN56" s="133">
        <v>1</v>
      </c>
      <c r="AO56" s="133">
        <v>1</v>
      </c>
      <c r="AP56" s="133">
        <v>1</v>
      </c>
      <c r="AQ56" s="133">
        <v>1</v>
      </c>
      <c r="AR56" s="135">
        <v>0.0872182100128262</v>
      </c>
      <c r="AS56" s="137">
        <v>0.103448275862069</v>
      </c>
      <c r="AT56" s="137">
        <v>0</v>
      </c>
      <c r="AU56" s="137">
        <v>0.157894736842105</v>
      </c>
      <c r="AV56" s="137">
        <v>0.0613718411552347</v>
      </c>
      <c r="AW56" s="93"/>
      <c r="AX56" s="91"/>
    </row>
    <row r="57" ht="14.5" spans="1:50">
      <c r="A57" s="89"/>
      <c r="B57" s="93"/>
      <c r="C57" s="125" t="s">
        <v>23</v>
      </c>
      <c r="D57" s="126" t="s">
        <v>24</v>
      </c>
      <c r="E57" s="138" t="s">
        <v>74</v>
      </c>
      <c r="F57" s="138" t="s">
        <v>74</v>
      </c>
      <c r="G57" s="138" t="s">
        <v>74</v>
      </c>
      <c r="H57" s="138" t="s">
        <v>74</v>
      </c>
      <c r="I57" s="128">
        <v>0.9</v>
      </c>
      <c r="J57" s="129">
        <v>1</v>
      </c>
      <c r="K57" s="129">
        <v>1</v>
      </c>
      <c r="L57" s="130">
        <v>0.982758620689655</v>
      </c>
      <c r="M57" s="129">
        <v>0.9625</v>
      </c>
      <c r="N57" s="131">
        <v>0.9</v>
      </c>
      <c r="O57" s="129">
        <v>0.973433348960775</v>
      </c>
      <c r="P57" s="129">
        <v>0.978947368421053</v>
      </c>
      <c r="Q57" s="129">
        <v>0.982034474386987</v>
      </c>
      <c r="R57" s="129">
        <v>0.972746331236897</v>
      </c>
      <c r="S57" s="131">
        <v>0.9</v>
      </c>
      <c r="T57" s="129">
        <v>0.927644944522582</v>
      </c>
      <c r="U57" s="129">
        <v>0.931291866028708</v>
      </c>
      <c r="V57" s="129">
        <v>0.922311240592377</v>
      </c>
      <c r="W57" s="129">
        <v>0.918664585993285</v>
      </c>
      <c r="X57" s="131">
        <v>0.92</v>
      </c>
      <c r="Y57" s="131">
        <v>0.950829211521676</v>
      </c>
      <c r="Z57" s="131">
        <v>0.960156609857209</v>
      </c>
      <c r="AA57" s="131">
        <v>0.95493670886076</v>
      </c>
      <c r="AB57" s="131">
        <v>0.95293630697312</v>
      </c>
      <c r="AC57" s="131">
        <v>0.92</v>
      </c>
      <c r="AD57" s="129">
        <v>0.985631765448279</v>
      </c>
      <c r="AE57" s="129">
        <v>0.973497967173618</v>
      </c>
      <c r="AF57" s="129">
        <v>0.964141022325662</v>
      </c>
      <c r="AG57" s="129">
        <v>0.975607843137255</v>
      </c>
      <c r="AH57" s="131">
        <v>0.92</v>
      </c>
      <c r="AI57" s="129">
        <v>0.967771451809679</v>
      </c>
      <c r="AJ57" s="129">
        <v>0.971888389591389</v>
      </c>
      <c r="AK57" s="129">
        <v>0.973416475221529</v>
      </c>
      <c r="AL57" s="129">
        <v>0.970580919214726</v>
      </c>
      <c r="AM57" s="128">
        <v>0.99</v>
      </c>
      <c r="AN57" s="133">
        <v>1</v>
      </c>
      <c r="AO57" s="133">
        <v>1</v>
      </c>
      <c r="AP57" s="133">
        <v>1</v>
      </c>
      <c r="AQ57" s="133">
        <v>1</v>
      </c>
      <c r="AR57" s="135">
        <v>0.0872182100128262</v>
      </c>
      <c r="AS57" s="137">
        <v>0</v>
      </c>
      <c r="AT57" s="137">
        <v>0.0810810810810811</v>
      </c>
      <c r="AU57" s="137">
        <v>0</v>
      </c>
      <c r="AV57" s="137">
        <v>0.0347490347490347</v>
      </c>
      <c r="AW57" s="93"/>
      <c r="AX57" s="91"/>
    </row>
    <row r="58" ht="14.5" spans="1:50">
      <c r="A58" s="89"/>
      <c r="B58" s="93"/>
      <c r="C58" s="125" t="s">
        <v>23</v>
      </c>
      <c r="D58" s="126" t="s">
        <v>24</v>
      </c>
      <c r="E58" s="138" t="s">
        <v>75</v>
      </c>
      <c r="F58" s="138" t="s">
        <v>75</v>
      </c>
      <c r="G58" s="138" t="s">
        <v>75</v>
      </c>
      <c r="H58" s="138" t="s">
        <v>75</v>
      </c>
      <c r="I58" s="128">
        <v>0.9</v>
      </c>
      <c r="J58" s="129">
        <v>1</v>
      </c>
      <c r="K58" s="129">
        <v>1</v>
      </c>
      <c r="L58" s="130">
        <v>0.9375</v>
      </c>
      <c r="M58" s="129">
        <v>0.961636828644501</v>
      </c>
      <c r="N58" s="131">
        <v>0.9</v>
      </c>
      <c r="O58" s="129">
        <v>0.936537276648182</v>
      </c>
      <c r="P58" s="129">
        <v>0.967637540453074</v>
      </c>
      <c r="Q58" s="129">
        <v>0.969174503657262</v>
      </c>
      <c r="R58" s="129">
        <v>0.957373385480001</v>
      </c>
      <c r="S58" s="131">
        <v>0.9</v>
      </c>
      <c r="T58" s="129">
        <v>0.904805914972274</v>
      </c>
      <c r="U58" s="129">
        <v>0.951456310679612</v>
      </c>
      <c r="V58" s="129">
        <v>0.950365726227795</v>
      </c>
      <c r="W58" s="129">
        <v>0.923324678739278</v>
      </c>
      <c r="X58" s="131">
        <v>0.92</v>
      </c>
      <c r="Y58" s="131">
        <v>0.966515323496027</v>
      </c>
      <c r="Z58" s="131">
        <v>0.974433893352812</v>
      </c>
      <c r="AA58" s="131">
        <v>0.974712643678161</v>
      </c>
      <c r="AB58" s="131">
        <v>0.968801527380023</v>
      </c>
      <c r="AC58" s="131">
        <v>0.92</v>
      </c>
      <c r="AD58" s="129">
        <v>0.996845425867508</v>
      </c>
      <c r="AE58" s="129">
        <v>0.983614457831325</v>
      </c>
      <c r="AF58" s="129">
        <v>0.980868285504047</v>
      </c>
      <c r="AG58" s="129">
        <v>0.983647351581941</v>
      </c>
      <c r="AH58" s="131">
        <v>0.92</v>
      </c>
      <c r="AI58" s="129">
        <v>0.972466081404629</v>
      </c>
      <c r="AJ58" s="129">
        <v>0.975387058356491</v>
      </c>
      <c r="AK58" s="129">
        <v>0.98132183908046</v>
      </c>
      <c r="AL58" s="129">
        <v>0.97581037125659</v>
      </c>
      <c r="AM58" s="128">
        <v>0.99</v>
      </c>
      <c r="AN58" s="133">
        <v>1</v>
      </c>
      <c r="AO58" s="133">
        <v>1</v>
      </c>
      <c r="AP58" s="133">
        <v>1</v>
      </c>
      <c r="AQ58" s="133">
        <v>1</v>
      </c>
      <c r="AR58" s="135">
        <v>0.0872182100128262</v>
      </c>
      <c r="AS58" s="137">
        <v>0</v>
      </c>
      <c r="AT58" s="137">
        <v>0.0909090909090909</v>
      </c>
      <c r="AU58" s="137">
        <v>0</v>
      </c>
      <c r="AV58" s="137">
        <v>0.0691489361702128</v>
      </c>
      <c r="AW58" s="93"/>
      <c r="AX58" s="91"/>
    </row>
    <row r="59" ht="14.5" spans="1:50">
      <c r="A59" s="89"/>
      <c r="B59" s="93"/>
      <c r="C59" s="125" t="s">
        <v>23</v>
      </c>
      <c r="D59" s="126" t="s">
        <v>24</v>
      </c>
      <c r="E59" s="138" t="s">
        <v>76</v>
      </c>
      <c r="F59" s="138" t="s">
        <v>76</v>
      </c>
      <c r="G59" s="138" t="s">
        <v>76</v>
      </c>
      <c r="H59" s="138" t="s">
        <v>76</v>
      </c>
      <c r="I59" s="128">
        <v>0.9</v>
      </c>
      <c r="J59" s="129">
        <v>0.945454545454545</v>
      </c>
      <c r="K59" s="129">
        <v>0.942857142857143</v>
      </c>
      <c r="L59" s="130">
        <v>0.951807228915663</v>
      </c>
      <c r="M59" s="129">
        <v>0.886792452830189</v>
      </c>
      <c r="N59" s="131">
        <v>0.9</v>
      </c>
      <c r="O59" s="129">
        <v>0.972456929660924</v>
      </c>
      <c r="P59" s="129">
        <v>0.869030996928232</v>
      </c>
      <c r="Q59" s="129">
        <v>0.985549697324741</v>
      </c>
      <c r="R59" s="129">
        <v>0.944497052626595</v>
      </c>
      <c r="S59" s="131">
        <v>0.9</v>
      </c>
      <c r="T59" s="129">
        <v>0.663557555141007</v>
      </c>
      <c r="U59" s="129">
        <v>0.70943870427255</v>
      </c>
      <c r="V59" s="129">
        <v>0.684631907830502</v>
      </c>
      <c r="W59" s="129">
        <v>0.653961790677304</v>
      </c>
      <c r="X59" s="131">
        <v>0.92</v>
      </c>
      <c r="Y59" s="131">
        <v>0.925287356321839</v>
      </c>
      <c r="Z59" s="131">
        <v>0.932138069705094</v>
      </c>
      <c r="AA59" s="131">
        <v>0.910640066500416</v>
      </c>
      <c r="AB59" s="131">
        <v>0.920110946880531</v>
      </c>
      <c r="AC59" s="131">
        <v>0.92</v>
      </c>
      <c r="AD59" s="129">
        <v>0.997645673925839</v>
      </c>
      <c r="AE59" s="129">
        <v>0.989957777017003</v>
      </c>
      <c r="AF59" s="129">
        <v>0.994892747701736</v>
      </c>
      <c r="AG59" s="129">
        <v>0.996321222219818</v>
      </c>
      <c r="AH59" s="131">
        <v>0.92</v>
      </c>
      <c r="AI59" s="129">
        <v>0.94620230251249</v>
      </c>
      <c r="AJ59" s="129">
        <v>0.951949436491014</v>
      </c>
      <c r="AK59" s="129">
        <v>0.940613790354723</v>
      </c>
      <c r="AL59" s="129">
        <v>0.943326058239044</v>
      </c>
      <c r="AM59" s="128">
        <v>0.99</v>
      </c>
      <c r="AN59" s="133">
        <v>1</v>
      </c>
      <c r="AO59" s="133">
        <v>1</v>
      </c>
      <c r="AP59" s="133">
        <v>1</v>
      </c>
      <c r="AQ59" s="133">
        <v>1</v>
      </c>
      <c r="AR59" s="135">
        <v>0.0872182100128262</v>
      </c>
      <c r="AS59" s="137">
        <v>0.0731707317073171</v>
      </c>
      <c r="AT59" s="137">
        <v>0.0697674418604651</v>
      </c>
      <c r="AU59" s="137">
        <v>0.2</v>
      </c>
      <c r="AV59" s="137">
        <v>0.0679245283018868</v>
      </c>
      <c r="AW59" s="93"/>
      <c r="AX59" s="91"/>
    </row>
    <row r="60" ht="14.5" spans="1:50">
      <c r="A60" s="89"/>
      <c r="B60" s="93"/>
      <c r="C60" s="125" t="s">
        <v>23</v>
      </c>
      <c r="D60" s="126" t="s">
        <v>24</v>
      </c>
      <c r="E60" s="138" t="s">
        <v>77</v>
      </c>
      <c r="F60" s="138" t="s">
        <v>77</v>
      </c>
      <c r="G60" s="138" t="s">
        <v>77</v>
      </c>
      <c r="H60" s="138" t="s">
        <v>77</v>
      </c>
      <c r="I60" s="128">
        <v>0.9</v>
      </c>
      <c r="J60" s="129">
        <v>0.948051948051948</v>
      </c>
      <c r="K60" s="129">
        <v>0.95</v>
      </c>
      <c r="L60" s="130">
        <v>0.955223880597015</v>
      </c>
      <c r="M60" s="129">
        <v>0.941176470588235</v>
      </c>
      <c r="N60" s="131">
        <v>0.9</v>
      </c>
      <c r="O60" s="129">
        <v>0.984075361668723</v>
      </c>
      <c r="P60" s="129">
        <v>0.955992893262266</v>
      </c>
      <c r="Q60" s="129">
        <v>0.881606397774687</v>
      </c>
      <c r="R60" s="129">
        <v>0.945622238629305</v>
      </c>
      <c r="S60" s="131">
        <v>0.9</v>
      </c>
      <c r="T60" s="129">
        <v>0.697095435684647</v>
      </c>
      <c r="U60" s="129">
        <v>0.804974716413831</v>
      </c>
      <c r="V60" s="129">
        <v>0.779033379694019</v>
      </c>
      <c r="W60" s="129">
        <v>0.738307023403532</v>
      </c>
      <c r="X60" s="131">
        <v>0.92</v>
      </c>
      <c r="Y60" s="131">
        <v>0.932966023875115</v>
      </c>
      <c r="Z60" s="131">
        <v>0.955839942321557</v>
      </c>
      <c r="AA60" s="131">
        <v>0.94840402273721</v>
      </c>
      <c r="AB60" s="131">
        <v>0.952254376848669</v>
      </c>
      <c r="AC60" s="131">
        <v>0.92</v>
      </c>
      <c r="AD60" s="129">
        <v>0.992499226724405</v>
      </c>
      <c r="AE60" s="129">
        <v>0.97251832598347</v>
      </c>
      <c r="AF60" s="129">
        <v>0.980741127348643</v>
      </c>
      <c r="AG60" s="129">
        <v>0.985198784185844</v>
      </c>
      <c r="AH60" s="131">
        <v>0.92</v>
      </c>
      <c r="AI60" s="129">
        <v>0.950128069911104</v>
      </c>
      <c r="AJ60" s="129">
        <v>0.965410027205597</v>
      </c>
      <c r="AK60" s="129">
        <v>0.962064676616915</v>
      </c>
      <c r="AL60" s="129">
        <v>0.965081147365388</v>
      </c>
      <c r="AM60" s="128">
        <v>0.99</v>
      </c>
      <c r="AN60" s="133">
        <v>1</v>
      </c>
      <c r="AO60" s="133">
        <v>1</v>
      </c>
      <c r="AP60" s="133">
        <v>1</v>
      </c>
      <c r="AQ60" s="133">
        <v>1</v>
      </c>
      <c r="AR60" s="135">
        <v>0.0872182100128262</v>
      </c>
      <c r="AS60" s="137">
        <v>0.108695652173913</v>
      </c>
      <c r="AT60" s="137">
        <v>0.0666666666666667</v>
      </c>
      <c r="AU60" s="137">
        <v>0.0952380952380952</v>
      </c>
      <c r="AV60" s="137">
        <v>0.0484171322160149</v>
      </c>
      <c r="AW60" s="93"/>
      <c r="AX60" s="91"/>
    </row>
    <row r="61" ht="14.5" spans="1:50">
      <c r="A61" s="89"/>
      <c r="B61" s="93"/>
      <c r="C61" s="125" t="s">
        <v>23</v>
      </c>
      <c r="D61" s="126" t="s">
        <v>24</v>
      </c>
      <c r="E61" s="138" t="s">
        <v>78</v>
      </c>
      <c r="F61" s="138" t="s">
        <v>78</v>
      </c>
      <c r="G61" s="138" t="s">
        <v>78</v>
      </c>
      <c r="H61" s="138" t="s">
        <v>78</v>
      </c>
      <c r="I61" s="128">
        <v>0.9</v>
      </c>
      <c r="J61" s="129">
        <v>0.989010989010989</v>
      </c>
      <c r="K61" s="129">
        <v>0.988505747126437</v>
      </c>
      <c r="L61" s="130">
        <v>0.933333333333333</v>
      </c>
      <c r="M61" s="129">
        <v>0.943473792394656</v>
      </c>
      <c r="N61" s="131">
        <v>0.9</v>
      </c>
      <c r="O61" s="129">
        <v>0.964325871409588</v>
      </c>
      <c r="P61" s="129">
        <v>0.977094240837696</v>
      </c>
      <c r="Q61" s="129">
        <v>0.901841527285014</v>
      </c>
      <c r="R61" s="129">
        <v>0.965150664824728</v>
      </c>
      <c r="S61" s="131">
        <v>0.9</v>
      </c>
      <c r="T61" s="129">
        <v>0.82326484718389</v>
      </c>
      <c r="U61" s="129">
        <v>0.875916230366492</v>
      </c>
      <c r="V61" s="129">
        <v>0.876161513769218</v>
      </c>
      <c r="W61" s="129">
        <v>0.831473407010879</v>
      </c>
      <c r="X61" s="131">
        <v>0.92</v>
      </c>
      <c r="Y61" s="131">
        <v>0.933013310058913</v>
      </c>
      <c r="Z61" s="131">
        <v>0.980896144494616</v>
      </c>
      <c r="AA61" s="131">
        <v>0.945235015092712</v>
      </c>
      <c r="AB61" s="131">
        <v>0.952985364590079</v>
      </c>
      <c r="AC61" s="131">
        <v>0.92</v>
      </c>
      <c r="AD61" s="129">
        <v>0.995011249144087</v>
      </c>
      <c r="AE61" s="129">
        <v>0.983286472977195</v>
      </c>
      <c r="AF61" s="129">
        <v>0.972005669737775</v>
      </c>
      <c r="AG61" s="129">
        <v>0.973041914725214</v>
      </c>
      <c r="AH61" s="131">
        <v>0.92</v>
      </c>
      <c r="AI61" s="129">
        <v>0.951621885006265</v>
      </c>
      <c r="AJ61" s="129">
        <v>0.981340498581878</v>
      </c>
      <c r="AK61" s="129">
        <v>0.967342479057909</v>
      </c>
      <c r="AL61" s="129">
        <v>0.966657124551861</v>
      </c>
      <c r="AM61" s="128">
        <v>0.99</v>
      </c>
      <c r="AN61" s="133">
        <v>1</v>
      </c>
      <c r="AO61" s="133">
        <v>1</v>
      </c>
      <c r="AP61" s="133">
        <v>1</v>
      </c>
      <c r="AQ61" s="133">
        <v>0.998801916932907</v>
      </c>
      <c r="AR61" s="135">
        <v>0.0872182100128262</v>
      </c>
      <c r="AS61" s="137">
        <v>0.0161290322580645</v>
      </c>
      <c r="AT61" s="137">
        <v>0.135593220338983</v>
      </c>
      <c r="AU61" s="137">
        <v>0.0666666666666667</v>
      </c>
      <c r="AV61" s="137">
        <v>0.0752393980848153</v>
      </c>
      <c r="AW61" s="93"/>
      <c r="AX61" s="91"/>
    </row>
    <row r="62" ht="14.5" spans="1:50">
      <c r="A62" s="89"/>
      <c r="B62" s="93"/>
      <c r="C62" s="125" t="s">
        <v>23</v>
      </c>
      <c r="D62" s="126" t="s">
        <v>24</v>
      </c>
      <c r="E62" s="138" t="s">
        <v>79</v>
      </c>
      <c r="F62" s="138" t="s">
        <v>79</v>
      </c>
      <c r="G62" s="138" t="s">
        <v>79</v>
      </c>
      <c r="H62" s="138" t="s">
        <v>79</v>
      </c>
      <c r="I62" s="128">
        <v>0.9</v>
      </c>
      <c r="J62" s="129">
        <v>0.930232558139535</v>
      </c>
      <c r="K62" s="129">
        <v>0.933333333333333</v>
      </c>
      <c r="L62" s="130">
        <v>0.857142857142857</v>
      </c>
      <c r="M62" s="129">
        <v>0.819915254237288</v>
      </c>
      <c r="N62" s="131">
        <v>0.9</v>
      </c>
      <c r="O62" s="129">
        <v>0.978822314049587</v>
      </c>
      <c r="P62" s="129">
        <v>0.984210526315789</v>
      </c>
      <c r="Q62" s="129">
        <v>0.945608559964333</v>
      </c>
      <c r="R62" s="129">
        <v>0.974341867511745</v>
      </c>
      <c r="S62" s="131">
        <v>0.9</v>
      </c>
      <c r="T62" s="129">
        <v>0.714617768595041</v>
      </c>
      <c r="U62" s="129">
        <v>0.74953560371517</v>
      </c>
      <c r="V62" s="129">
        <v>0.605439144003567</v>
      </c>
      <c r="W62" s="129">
        <v>0.624412754009952</v>
      </c>
      <c r="X62" s="131">
        <v>0.92</v>
      </c>
      <c r="Y62" s="131">
        <v>0.951975987993997</v>
      </c>
      <c r="Z62" s="131">
        <v>0.946442533229085</v>
      </c>
      <c r="AA62" s="131">
        <v>0.920713577799802</v>
      </c>
      <c r="AB62" s="131">
        <v>0.884842643422872</v>
      </c>
      <c r="AC62" s="131">
        <v>0.92</v>
      </c>
      <c r="AD62" s="129">
        <v>0.95959595959596</v>
      </c>
      <c r="AE62" s="129">
        <v>0.920792079207921</v>
      </c>
      <c r="AF62" s="129">
        <v>0.980519480519481</v>
      </c>
      <c r="AG62" s="129">
        <v>0.917757009345794</v>
      </c>
      <c r="AH62" s="131">
        <v>0.92</v>
      </c>
      <c r="AI62" s="129">
        <v>0.96609303118078</v>
      </c>
      <c r="AJ62" s="129">
        <v>0.966136834830684</v>
      </c>
      <c r="AK62" s="129">
        <v>0.95910209102091</v>
      </c>
      <c r="AL62" s="129">
        <v>0.909435791162511</v>
      </c>
      <c r="AM62" s="128">
        <v>0.99</v>
      </c>
      <c r="AN62" s="133">
        <v>1</v>
      </c>
      <c r="AO62" s="133">
        <v>1</v>
      </c>
      <c r="AP62" s="133">
        <v>1</v>
      </c>
      <c r="AQ62" s="133">
        <v>1</v>
      </c>
      <c r="AR62" s="135">
        <v>0.0872182100128262</v>
      </c>
      <c r="AS62" s="137">
        <v>0.210526315789474</v>
      </c>
      <c r="AT62" s="137">
        <v>0</v>
      </c>
      <c r="AU62" s="137">
        <v>0.0740740740740741</v>
      </c>
      <c r="AV62" s="137">
        <v>0.0444444444444444</v>
      </c>
      <c r="AW62" s="93"/>
      <c r="AX62" s="91"/>
    </row>
    <row r="63" ht="14.5" spans="1:50">
      <c r="A63" s="89"/>
      <c r="B63" s="93"/>
      <c r="C63" s="125" t="s">
        <v>23</v>
      </c>
      <c r="D63" s="126" t="s">
        <v>24</v>
      </c>
      <c r="E63" s="138" t="s">
        <v>80</v>
      </c>
      <c r="F63" s="138" t="s">
        <v>80</v>
      </c>
      <c r="G63" s="138" t="s">
        <v>80</v>
      </c>
      <c r="H63" s="138" t="s">
        <v>80</v>
      </c>
      <c r="I63" s="128">
        <v>0.9</v>
      </c>
      <c r="J63" s="129">
        <v>0.970873786407767</v>
      </c>
      <c r="K63" s="129">
        <v>0.988888888888889</v>
      </c>
      <c r="L63" s="130">
        <v>0.7875</v>
      </c>
      <c r="M63" s="129">
        <v>0.895264116575592</v>
      </c>
      <c r="N63" s="131">
        <v>0.9</v>
      </c>
      <c r="O63" s="129">
        <v>0.988421550094518</v>
      </c>
      <c r="P63" s="129">
        <v>0.989062248672993</v>
      </c>
      <c r="Q63" s="129">
        <v>0.990901898734177</v>
      </c>
      <c r="R63" s="129">
        <v>0.983526664466838</v>
      </c>
      <c r="S63" s="131">
        <v>0.9</v>
      </c>
      <c r="T63" s="129">
        <v>0.84593572778828</v>
      </c>
      <c r="U63" s="129">
        <v>0.820009650957053</v>
      </c>
      <c r="V63" s="129">
        <v>0.792919303797468</v>
      </c>
      <c r="W63" s="129">
        <v>0.839086732492322</v>
      </c>
      <c r="X63" s="131">
        <v>0.92</v>
      </c>
      <c r="Y63" s="131">
        <v>0.941019955654102</v>
      </c>
      <c r="Z63" s="131">
        <v>0.931478968792402</v>
      </c>
      <c r="AA63" s="131">
        <v>0.912181303116147</v>
      </c>
      <c r="AB63" s="131">
        <v>0.930603851187138</v>
      </c>
      <c r="AC63" s="131">
        <v>0.92</v>
      </c>
      <c r="AD63" s="129">
        <v>0.981428571428571</v>
      </c>
      <c r="AE63" s="129">
        <v>0.989554317548747</v>
      </c>
      <c r="AF63" s="129">
        <v>0.983369098712446</v>
      </c>
      <c r="AG63" s="129">
        <v>0.983810146312032</v>
      </c>
      <c r="AH63" s="131">
        <v>0.92</v>
      </c>
      <c r="AI63" s="129">
        <v>0.960844766455989</v>
      </c>
      <c r="AJ63" s="129">
        <v>0.950309533635988</v>
      </c>
      <c r="AK63" s="129">
        <v>0.946997874601488</v>
      </c>
      <c r="AL63" s="129">
        <v>0.955206506621515</v>
      </c>
      <c r="AM63" s="128">
        <v>0.99</v>
      </c>
      <c r="AN63" s="133">
        <v>1</v>
      </c>
      <c r="AO63" s="133">
        <v>1</v>
      </c>
      <c r="AP63" s="133">
        <v>1</v>
      </c>
      <c r="AQ63" s="133">
        <v>1</v>
      </c>
      <c r="AR63" s="135">
        <v>0.0872182100128262</v>
      </c>
      <c r="AS63" s="137">
        <v>0.0169491525423729</v>
      </c>
      <c r="AT63" s="137">
        <v>0.0740740740740741</v>
      </c>
      <c r="AU63" s="137">
        <v>0.0833333333333333</v>
      </c>
      <c r="AV63" s="137">
        <v>0.0642201834862385</v>
      </c>
      <c r="AW63" s="93"/>
      <c r="AX63" s="91"/>
    </row>
    <row r="64" ht="14.5" spans="1:50">
      <c r="A64" s="89"/>
      <c r="B64" s="93"/>
      <c r="C64" s="125" t="s">
        <v>23</v>
      </c>
      <c r="D64" s="126" t="s">
        <v>24</v>
      </c>
      <c r="E64" s="138" t="s">
        <v>81</v>
      </c>
      <c r="F64" s="138" t="s">
        <v>81</v>
      </c>
      <c r="G64" s="138" t="s">
        <v>81</v>
      </c>
      <c r="H64" s="138" t="s">
        <v>81</v>
      </c>
      <c r="I64" s="128">
        <v>0.9</v>
      </c>
      <c r="J64" s="129">
        <v>0.976190476190476</v>
      </c>
      <c r="K64" s="129">
        <v>0.928</v>
      </c>
      <c r="L64" s="130">
        <v>0.933333333333333</v>
      </c>
      <c r="M64" s="129">
        <v>0.93108504398827</v>
      </c>
      <c r="N64" s="131">
        <v>0.9</v>
      </c>
      <c r="O64" s="129">
        <v>0.981497732923797</v>
      </c>
      <c r="P64" s="129">
        <v>0.970092784433835</v>
      </c>
      <c r="Q64" s="129">
        <v>0.976332899869961</v>
      </c>
      <c r="R64" s="129">
        <v>0.959121335692852</v>
      </c>
      <c r="S64" s="131">
        <v>0.9</v>
      </c>
      <c r="T64" s="129">
        <v>0.786456047974258</v>
      </c>
      <c r="U64" s="129">
        <v>0.84190613458247</v>
      </c>
      <c r="V64" s="129">
        <v>0.875162548764629</v>
      </c>
      <c r="W64" s="129">
        <v>0.776617681003308</v>
      </c>
      <c r="X64" s="131">
        <v>0.92</v>
      </c>
      <c r="Y64" s="131">
        <v>0.951688009313155</v>
      </c>
      <c r="Z64" s="131">
        <v>0.959463578177385</v>
      </c>
      <c r="AA64" s="131">
        <v>0.956155143338954</v>
      </c>
      <c r="AB64" s="131">
        <v>0.945863739344857</v>
      </c>
      <c r="AC64" s="131">
        <v>0.92</v>
      </c>
      <c r="AD64" s="129">
        <v>0.998266815451459</v>
      </c>
      <c r="AE64" s="129">
        <v>0.979367739698318</v>
      </c>
      <c r="AF64" s="129">
        <v>0.965331907589273</v>
      </c>
      <c r="AG64" s="129">
        <v>0.979774514485057</v>
      </c>
      <c r="AH64" s="131">
        <v>0.92</v>
      </c>
      <c r="AI64" s="129">
        <v>0.967347931873479</v>
      </c>
      <c r="AJ64" s="129">
        <v>0.971211687195646</v>
      </c>
      <c r="AK64" s="129">
        <v>0.968604073522106</v>
      </c>
      <c r="AL64" s="129">
        <v>0.963276176682183</v>
      </c>
      <c r="AM64" s="128">
        <v>0.99</v>
      </c>
      <c r="AN64" s="133">
        <v>1</v>
      </c>
      <c r="AO64" s="133">
        <v>0.999320190346703</v>
      </c>
      <c r="AP64" s="133">
        <v>1</v>
      </c>
      <c r="AQ64" s="133">
        <v>0.999920760697306</v>
      </c>
      <c r="AR64" s="135">
        <v>0.0872182100128262</v>
      </c>
      <c r="AS64" s="137">
        <v>0.0617283950617284</v>
      </c>
      <c r="AT64" s="137">
        <v>0.11864406779661</v>
      </c>
      <c r="AU64" s="137">
        <v>0.19672131147541</v>
      </c>
      <c r="AV64" s="137">
        <v>0.0638051044083527</v>
      </c>
      <c r="AW64" s="93"/>
      <c r="AX64" s="91"/>
    </row>
    <row r="65" ht="14.5" spans="1:50">
      <c r="A65" s="89"/>
      <c r="B65" s="93"/>
      <c r="C65" s="125" t="s">
        <v>23</v>
      </c>
      <c r="D65" s="126" t="s">
        <v>24</v>
      </c>
      <c r="E65" s="138" t="s">
        <v>82</v>
      </c>
      <c r="F65" s="138" t="s">
        <v>82</v>
      </c>
      <c r="G65" s="138" t="s">
        <v>82</v>
      </c>
      <c r="H65" s="138" t="s">
        <v>82</v>
      </c>
      <c r="I65" s="128">
        <v>0.9</v>
      </c>
      <c r="J65" s="129">
        <v>0.848101265822785</v>
      </c>
      <c r="K65" s="129">
        <v>0.8</v>
      </c>
      <c r="L65" s="130">
        <v>0.777777777777778</v>
      </c>
      <c r="M65" s="129">
        <v>0.83493077742279</v>
      </c>
      <c r="N65" s="131">
        <v>0.9</v>
      </c>
      <c r="O65" s="129">
        <v>0.969985060437322</v>
      </c>
      <c r="P65" s="129">
        <v>0.986986648639513</v>
      </c>
      <c r="Q65" s="129">
        <v>0.505686900958466</v>
      </c>
      <c r="R65" s="129">
        <v>0.931500513131839</v>
      </c>
      <c r="S65" s="131">
        <v>0.9</v>
      </c>
      <c r="T65" s="129">
        <v>0.57490153470053</v>
      </c>
      <c r="U65" s="129">
        <v>0.688017576474565</v>
      </c>
      <c r="V65" s="129">
        <v>0.771246006389776</v>
      </c>
      <c r="W65" s="129">
        <v>0.653570963965136</v>
      </c>
      <c r="X65" s="131">
        <v>0.92</v>
      </c>
      <c r="Y65" s="131">
        <v>0.887282463186078</v>
      </c>
      <c r="Z65" s="131">
        <v>0.904476996080049</v>
      </c>
      <c r="AA65" s="131">
        <v>0.943488238668962</v>
      </c>
      <c r="AB65" s="131">
        <v>0.874397949714993</v>
      </c>
      <c r="AC65" s="131">
        <v>0.92</v>
      </c>
      <c r="AD65" s="129">
        <v>0.912173913043478</v>
      </c>
      <c r="AE65" s="129">
        <v>0.934826069572171</v>
      </c>
      <c r="AF65" s="129">
        <v>0.519072550486163</v>
      </c>
      <c r="AG65" s="129">
        <v>0.861776842565518</v>
      </c>
      <c r="AH65" s="131">
        <v>0.92</v>
      </c>
      <c r="AI65" s="129">
        <v>0.909344867982338</v>
      </c>
      <c r="AJ65" s="129">
        <v>0.925399479747306</v>
      </c>
      <c r="AK65" s="129">
        <v>0.961191654879774</v>
      </c>
      <c r="AL65" s="129">
        <v>0.904544302802073</v>
      </c>
      <c r="AM65" s="128">
        <v>0.99</v>
      </c>
      <c r="AN65" s="133">
        <v>1</v>
      </c>
      <c r="AO65" s="133">
        <v>1</v>
      </c>
      <c r="AP65" s="133">
        <v>1</v>
      </c>
      <c r="AQ65" s="133">
        <v>1</v>
      </c>
      <c r="AR65" s="135">
        <v>0.0872182100128262</v>
      </c>
      <c r="AS65" s="137">
        <v>0</v>
      </c>
      <c r="AT65" s="137">
        <v>0.384615384615385</v>
      </c>
      <c r="AU65" s="137">
        <v>0.0425531914893617</v>
      </c>
      <c r="AV65" s="137">
        <v>0.0640495867768595</v>
      </c>
      <c r="AW65" s="93"/>
      <c r="AX65" s="91"/>
    </row>
    <row r="66" ht="14.5" spans="1:50">
      <c r="A66" s="89"/>
      <c r="B66" s="93"/>
      <c r="C66" s="125" t="s">
        <v>23</v>
      </c>
      <c r="D66" s="126" t="s">
        <v>24</v>
      </c>
      <c r="E66" s="138" t="s">
        <v>83</v>
      </c>
      <c r="F66" s="138" t="s">
        <v>83</v>
      </c>
      <c r="G66" s="138" t="s">
        <v>83</v>
      </c>
      <c r="H66" s="138" t="s">
        <v>83</v>
      </c>
      <c r="I66" s="128">
        <v>0.9</v>
      </c>
      <c r="J66" s="129">
        <v>0.948275862068966</v>
      </c>
      <c r="K66" s="129">
        <v>0.948275862068966</v>
      </c>
      <c r="L66" s="130">
        <v>0.882352941176471</v>
      </c>
      <c r="M66" s="129">
        <v>0.945987654320988</v>
      </c>
      <c r="N66" s="131">
        <v>0.9</v>
      </c>
      <c r="O66" s="129">
        <v>0.964984406010774</v>
      </c>
      <c r="P66" s="129">
        <v>0.970237094333277</v>
      </c>
      <c r="Q66" s="129">
        <v>0.960474308300395</v>
      </c>
      <c r="R66" s="129">
        <v>0.969061151232853</v>
      </c>
      <c r="S66" s="131">
        <v>0.9</v>
      </c>
      <c r="T66" s="129">
        <v>0.831443152821094</v>
      </c>
      <c r="U66" s="129">
        <v>0.896250210190012</v>
      </c>
      <c r="V66" s="129">
        <v>0.845334249871112</v>
      </c>
      <c r="W66" s="129">
        <v>0.827030183895275</v>
      </c>
      <c r="X66" s="131">
        <v>0.92</v>
      </c>
      <c r="Y66" s="131">
        <v>0.951518380394246</v>
      </c>
      <c r="Z66" s="131">
        <v>0.968592137052493</v>
      </c>
      <c r="AA66" s="131">
        <v>0.972400756143667</v>
      </c>
      <c r="AB66" s="131">
        <v>0.962763432694133</v>
      </c>
      <c r="AC66" s="131">
        <v>0.92</v>
      </c>
      <c r="AD66" s="129">
        <v>0.9982853343598</v>
      </c>
      <c r="AE66" s="129">
        <v>0.997027841242241</v>
      </c>
      <c r="AF66" s="129">
        <v>0.986903197547087</v>
      </c>
      <c r="AG66" s="129">
        <v>0.989268868191054</v>
      </c>
      <c r="AH66" s="131">
        <v>0.92</v>
      </c>
      <c r="AI66" s="129">
        <v>0.952002219550541</v>
      </c>
      <c r="AJ66" s="129">
        <v>0.970495859902922</v>
      </c>
      <c r="AK66" s="129">
        <v>0.97602456596197</v>
      </c>
      <c r="AL66" s="129">
        <v>0.968844829273936</v>
      </c>
      <c r="AM66" s="128">
        <v>0.99</v>
      </c>
      <c r="AN66" s="133">
        <v>1</v>
      </c>
      <c r="AO66" s="133">
        <v>1</v>
      </c>
      <c r="AP66" s="133">
        <v>1</v>
      </c>
      <c r="AQ66" s="133">
        <v>1</v>
      </c>
      <c r="AR66" s="135">
        <v>0.0872182100128262</v>
      </c>
      <c r="AS66" s="137">
        <v>0.0344827586206897</v>
      </c>
      <c r="AT66" s="137">
        <v>0.027027027027027</v>
      </c>
      <c r="AU66" s="137">
        <v>0.0689655172413793</v>
      </c>
      <c r="AV66" s="137">
        <v>0.053921568627451</v>
      </c>
      <c r="AW66" s="93"/>
      <c r="AX66" s="91"/>
    </row>
    <row r="67" ht="14.5" spans="1:50">
      <c r="A67" s="89"/>
      <c r="B67" s="93"/>
      <c r="C67" s="125" t="s">
        <v>23</v>
      </c>
      <c r="D67" s="126" t="s">
        <v>24</v>
      </c>
      <c r="E67" s="138" t="s">
        <v>84</v>
      </c>
      <c r="F67" s="138" t="s">
        <v>84</v>
      </c>
      <c r="G67" s="138" t="s">
        <v>84</v>
      </c>
      <c r="H67" s="138" t="s">
        <v>84</v>
      </c>
      <c r="I67" s="128">
        <v>0.9</v>
      </c>
      <c r="J67" s="129" t="s">
        <v>33</v>
      </c>
      <c r="K67" s="129" t="s">
        <v>33</v>
      </c>
      <c r="L67" s="130" t="s">
        <v>33</v>
      </c>
      <c r="M67" s="129" t="s">
        <v>33</v>
      </c>
      <c r="N67" s="131">
        <v>0.9</v>
      </c>
      <c r="O67" s="129">
        <v>0</v>
      </c>
      <c r="P67" s="129">
        <v>0</v>
      </c>
      <c r="Q67" s="129">
        <v>0</v>
      </c>
      <c r="R67" s="129">
        <v>0.899125756556826</v>
      </c>
      <c r="S67" s="131">
        <v>0.9</v>
      </c>
      <c r="T67" s="129">
        <v>1</v>
      </c>
      <c r="U67" s="129">
        <v>1</v>
      </c>
      <c r="V67" s="129">
        <v>1</v>
      </c>
      <c r="W67" s="129">
        <v>0.980161398789509</v>
      </c>
      <c r="X67" s="131">
        <v>0.92</v>
      </c>
      <c r="Y67" s="131">
        <v>1</v>
      </c>
      <c r="Z67" s="131">
        <v>1</v>
      </c>
      <c r="AA67" s="131">
        <v>1</v>
      </c>
      <c r="AB67" s="131">
        <v>0.988372093023256</v>
      </c>
      <c r="AC67" s="131">
        <v>0.92</v>
      </c>
      <c r="AD67" s="129" t="s">
        <v>33</v>
      </c>
      <c r="AE67" s="129" t="s">
        <v>33</v>
      </c>
      <c r="AF67" s="129" t="s">
        <v>33</v>
      </c>
      <c r="AG67" s="129">
        <v>0.833333333333333</v>
      </c>
      <c r="AH67" s="131">
        <v>0.92</v>
      </c>
      <c r="AI67" s="129">
        <v>1</v>
      </c>
      <c r="AJ67" s="129">
        <v>1</v>
      </c>
      <c r="AK67" s="129">
        <v>1</v>
      </c>
      <c r="AL67" s="129">
        <v>0.986676016830294</v>
      </c>
      <c r="AM67" s="128">
        <v>0.99</v>
      </c>
      <c r="AN67" s="133" t="s">
        <v>33</v>
      </c>
      <c r="AO67" s="133" t="s">
        <v>33</v>
      </c>
      <c r="AP67" s="133" t="s">
        <v>33</v>
      </c>
      <c r="AQ67" s="133">
        <v>1</v>
      </c>
      <c r="AR67" s="135">
        <v>0.0872182100128262</v>
      </c>
      <c r="AS67" s="137">
        <v>0</v>
      </c>
      <c r="AT67" s="137" t="s">
        <v>33</v>
      </c>
      <c r="AU67" s="137" t="s">
        <v>33</v>
      </c>
      <c r="AV67" s="137">
        <v>2</v>
      </c>
      <c r="AW67" s="93"/>
      <c r="AX67" s="91"/>
    </row>
    <row r="68" ht="14.5" spans="1:50">
      <c r="A68" s="89"/>
      <c r="B68" s="93"/>
      <c r="C68" s="125" t="s">
        <v>23</v>
      </c>
      <c r="D68" s="126" t="s">
        <v>24</v>
      </c>
      <c r="E68" s="138" t="s">
        <v>85</v>
      </c>
      <c r="F68" s="138" t="s">
        <v>85</v>
      </c>
      <c r="G68" s="138" t="s">
        <v>85</v>
      </c>
      <c r="H68" s="138" t="s">
        <v>85</v>
      </c>
      <c r="I68" s="128">
        <v>0.9</v>
      </c>
      <c r="J68" s="129">
        <v>0.947916666666667</v>
      </c>
      <c r="K68" s="129">
        <v>0.923076923076923</v>
      </c>
      <c r="L68" s="130">
        <v>0.9125</v>
      </c>
      <c r="M68" s="129">
        <v>0.931533269045323</v>
      </c>
      <c r="N68" s="131">
        <v>0.9</v>
      </c>
      <c r="O68" s="129">
        <v>0.988192960755651</v>
      </c>
      <c r="P68" s="129">
        <v>0.995663369020192</v>
      </c>
      <c r="Q68" s="129">
        <v>0.997215938750653</v>
      </c>
      <c r="R68" s="129">
        <v>0.968207761248768</v>
      </c>
      <c r="S68" s="131">
        <v>0.9</v>
      </c>
      <c r="T68" s="129">
        <v>0.798155852918025</v>
      </c>
      <c r="U68" s="129">
        <v>0.791299634096761</v>
      </c>
      <c r="V68" s="129">
        <v>0.752914564120411</v>
      </c>
      <c r="W68" s="129">
        <v>0.742464528846815</v>
      </c>
      <c r="X68" s="131">
        <v>0.92</v>
      </c>
      <c r="Y68" s="131">
        <v>0.932812169871118</v>
      </c>
      <c r="Z68" s="131">
        <v>0.938544817704187</v>
      </c>
      <c r="AA68" s="131">
        <v>0.925588458618071</v>
      </c>
      <c r="AB68" s="131">
        <v>0.912751440591084</v>
      </c>
      <c r="AC68" s="131">
        <v>0.92</v>
      </c>
      <c r="AD68" s="129">
        <v>0.98960244648318</v>
      </c>
      <c r="AE68" s="129">
        <v>0.991162790697674</v>
      </c>
      <c r="AF68" s="129">
        <v>0.958666666666667</v>
      </c>
      <c r="AG68" s="129">
        <v>0.975309093569391</v>
      </c>
      <c r="AH68" s="131">
        <v>0.92</v>
      </c>
      <c r="AI68" s="129">
        <v>0.944970283953335</v>
      </c>
      <c r="AJ68" s="129">
        <v>0.947734426469512</v>
      </c>
      <c r="AK68" s="129">
        <v>0.943324185658036</v>
      </c>
      <c r="AL68" s="129">
        <v>0.932452347519012</v>
      </c>
      <c r="AM68" s="128">
        <v>0.99</v>
      </c>
      <c r="AN68" s="133">
        <v>1</v>
      </c>
      <c r="AO68" s="133">
        <v>1</v>
      </c>
      <c r="AP68" s="133">
        <v>1</v>
      </c>
      <c r="AQ68" s="133">
        <v>1</v>
      </c>
      <c r="AR68" s="135">
        <v>0.0872182100128262</v>
      </c>
      <c r="AS68" s="137">
        <v>0.0540540540540541</v>
      </c>
      <c r="AT68" s="137">
        <v>0.128571428571429</v>
      </c>
      <c r="AU68" s="137">
        <v>0.164948453608247</v>
      </c>
      <c r="AV68" s="137">
        <v>0.0688559322033898</v>
      </c>
      <c r="AW68" s="93"/>
      <c r="AX68" s="91"/>
    </row>
    <row r="69" ht="14.5" spans="1:50">
      <c r="A69" s="89"/>
      <c r="B69" s="93"/>
      <c r="C69" s="125" t="s">
        <v>23</v>
      </c>
      <c r="D69" s="126" t="s">
        <v>24</v>
      </c>
      <c r="E69" s="138" t="s">
        <v>86</v>
      </c>
      <c r="F69" s="138" t="s">
        <v>86</v>
      </c>
      <c r="G69" s="138" t="s">
        <v>86</v>
      </c>
      <c r="H69" s="138" t="s">
        <v>86</v>
      </c>
      <c r="I69" s="128">
        <v>0.9</v>
      </c>
      <c r="J69" s="129">
        <v>0.984126984126984</v>
      </c>
      <c r="K69" s="129">
        <v>0.976190476190476</v>
      </c>
      <c r="L69" s="130">
        <v>0.971428571428571</v>
      </c>
      <c r="M69" s="129">
        <v>0.97887323943662</v>
      </c>
      <c r="N69" s="131">
        <v>0.9</v>
      </c>
      <c r="O69" s="129">
        <v>0.968198267353876</v>
      </c>
      <c r="P69" s="129">
        <v>0.978904721989382</v>
      </c>
      <c r="Q69" s="129">
        <v>0.972982043967109</v>
      </c>
      <c r="R69" s="129">
        <v>0.966256899147015</v>
      </c>
      <c r="S69" s="131">
        <v>0.9</v>
      </c>
      <c r="T69" s="129">
        <v>0.827064371093322</v>
      </c>
      <c r="U69" s="129">
        <v>0.845208158703548</v>
      </c>
      <c r="V69" s="129">
        <v>0.797952676623595</v>
      </c>
      <c r="W69" s="129">
        <v>0.802798430871687</v>
      </c>
      <c r="X69" s="131">
        <v>0.92</v>
      </c>
      <c r="Y69" s="131">
        <v>0.918225650916104</v>
      </c>
      <c r="Z69" s="131">
        <v>0.941573378316209</v>
      </c>
      <c r="AA69" s="131">
        <v>0.923104824084149</v>
      </c>
      <c r="AB69" s="131">
        <v>0.915520563964884</v>
      </c>
      <c r="AC69" s="131">
        <v>0.92</v>
      </c>
      <c r="AD69" s="129">
        <v>0.98868028713418</v>
      </c>
      <c r="AE69" s="129">
        <v>0.997538764459759</v>
      </c>
      <c r="AF69" s="129">
        <v>0.970023419203747</v>
      </c>
      <c r="AG69" s="129">
        <v>0.98767029253353</v>
      </c>
      <c r="AH69" s="131">
        <v>0.92</v>
      </c>
      <c r="AI69" s="129">
        <v>0.949038797623209</v>
      </c>
      <c r="AJ69" s="129">
        <v>0.956137144528109</v>
      </c>
      <c r="AK69" s="129">
        <v>0.955145118733509</v>
      </c>
      <c r="AL69" s="129">
        <v>0.941967564362573</v>
      </c>
      <c r="AM69" s="128">
        <v>0.99</v>
      </c>
      <c r="AN69" s="133">
        <v>1</v>
      </c>
      <c r="AO69" s="133">
        <v>1</v>
      </c>
      <c r="AP69" s="133">
        <v>1</v>
      </c>
      <c r="AQ69" s="133">
        <v>1</v>
      </c>
      <c r="AR69" s="135">
        <v>0.0872182100128262</v>
      </c>
      <c r="AS69" s="137">
        <v>0.0945945945945946</v>
      </c>
      <c r="AT69" s="137">
        <v>0.0185185185185185</v>
      </c>
      <c r="AU69" s="137">
        <v>0.0483870967741935</v>
      </c>
      <c r="AV69" s="137">
        <v>0.056369785794814</v>
      </c>
      <c r="AW69" s="93"/>
      <c r="AX69" s="91"/>
    </row>
    <row r="70" ht="14.5" spans="1:50">
      <c r="A70" s="89"/>
      <c r="B70" s="93"/>
      <c r="C70" s="125" t="s">
        <v>23</v>
      </c>
      <c r="D70" s="126" t="s">
        <v>24</v>
      </c>
      <c r="E70" s="138" t="s">
        <v>87</v>
      </c>
      <c r="F70" s="138" t="s">
        <v>87</v>
      </c>
      <c r="G70" s="138" t="s">
        <v>87</v>
      </c>
      <c r="H70" s="138" t="s">
        <v>87</v>
      </c>
      <c r="I70" s="128">
        <v>0.9</v>
      </c>
      <c r="J70" s="129">
        <v>0.987878787878788</v>
      </c>
      <c r="K70" s="129">
        <v>0.994011976047904</v>
      </c>
      <c r="L70" s="130">
        <v>0.956521739130435</v>
      </c>
      <c r="M70" s="129">
        <v>0.952277657266811</v>
      </c>
      <c r="N70" s="131">
        <v>0.9</v>
      </c>
      <c r="O70" s="129">
        <v>0.978397262227292</v>
      </c>
      <c r="P70" s="129">
        <v>0.977231408536057</v>
      </c>
      <c r="Q70" s="129">
        <v>0.982029278142352</v>
      </c>
      <c r="R70" s="129">
        <v>0.967289789230655</v>
      </c>
      <c r="S70" s="131">
        <v>0.9</v>
      </c>
      <c r="T70" s="129">
        <v>0.846499358334522</v>
      </c>
      <c r="U70" s="129">
        <v>0.873690589559346</v>
      </c>
      <c r="V70" s="129">
        <v>0.858455325593135</v>
      </c>
      <c r="W70" s="129">
        <v>0.828852312504655</v>
      </c>
      <c r="X70" s="131">
        <v>0.92</v>
      </c>
      <c r="Y70" s="131">
        <v>0.941064154786151</v>
      </c>
      <c r="Z70" s="131">
        <v>0.949734013679296</v>
      </c>
      <c r="AA70" s="131">
        <v>0.96007371007371</v>
      </c>
      <c r="AB70" s="131">
        <v>0.947838324701644</v>
      </c>
      <c r="AC70" s="131">
        <v>0.92</v>
      </c>
      <c r="AD70" s="129">
        <v>0.990785526674609</v>
      </c>
      <c r="AE70" s="129">
        <v>0.977367613647397</v>
      </c>
      <c r="AF70" s="129">
        <v>0.970501767661105</v>
      </c>
      <c r="AG70" s="129">
        <v>0.985639409422088</v>
      </c>
      <c r="AH70" s="131">
        <v>0.92</v>
      </c>
      <c r="AI70" s="129">
        <v>0.958691281301407</v>
      </c>
      <c r="AJ70" s="129">
        <v>0.962392256946116</v>
      </c>
      <c r="AK70" s="129">
        <v>0.972824984790103</v>
      </c>
      <c r="AL70" s="129">
        <v>0.963841706628423</v>
      </c>
      <c r="AM70" s="128">
        <v>0.99</v>
      </c>
      <c r="AN70" s="133">
        <v>1</v>
      </c>
      <c r="AO70" s="133">
        <v>1</v>
      </c>
      <c r="AP70" s="133">
        <v>1</v>
      </c>
      <c r="AQ70" s="133">
        <v>1</v>
      </c>
      <c r="AR70" s="135">
        <v>0.0872182100128262</v>
      </c>
      <c r="AS70" s="137">
        <v>0.0900900900900901</v>
      </c>
      <c r="AT70" s="137">
        <v>0.0853658536585366</v>
      </c>
      <c r="AU70" s="137">
        <v>0.0540540540540541</v>
      </c>
      <c r="AV70" s="137">
        <v>0.065989847715736</v>
      </c>
      <c r="AW70" s="93"/>
      <c r="AX70" s="91"/>
    </row>
    <row r="71" ht="14.5" spans="1:50">
      <c r="A71" s="89"/>
      <c r="B71" s="93"/>
      <c r="C71" s="125" t="s">
        <v>23</v>
      </c>
      <c r="D71" s="126" t="s">
        <v>24</v>
      </c>
      <c r="E71" s="138" t="s">
        <v>88</v>
      </c>
      <c r="F71" s="138" t="s">
        <v>88</v>
      </c>
      <c r="G71" s="138" t="s">
        <v>88</v>
      </c>
      <c r="H71" s="138" t="s">
        <v>88</v>
      </c>
      <c r="I71" s="128">
        <v>0.9</v>
      </c>
      <c r="J71" s="129">
        <v>0.925373134328358</v>
      </c>
      <c r="K71" s="129">
        <v>0.944444444444444</v>
      </c>
      <c r="L71" s="130">
        <v>0.879310344827586</v>
      </c>
      <c r="M71" s="129">
        <v>0.929155313351499</v>
      </c>
      <c r="N71" s="131">
        <v>0.9</v>
      </c>
      <c r="O71" s="129">
        <v>0.962130669995839</v>
      </c>
      <c r="P71" s="129">
        <v>0.960670636164212</v>
      </c>
      <c r="Q71" s="129">
        <v>0.9349178497368</v>
      </c>
      <c r="R71" s="129">
        <v>0.95563899691565</v>
      </c>
      <c r="S71" s="131">
        <v>0.9</v>
      </c>
      <c r="T71" s="129">
        <v>0.849909834928562</v>
      </c>
      <c r="U71" s="129">
        <v>0.88827953619555</v>
      </c>
      <c r="V71" s="129">
        <v>0.814164938586696</v>
      </c>
      <c r="W71" s="129">
        <v>0.827785972911358</v>
      </c>
      <c r="X71" s="131">
        <v>0.92</v>
      </c>
      <c r="Y71" s="131">
        <v>0.950676213206046</v>
      </c>
      <c r="Z71" s="131">
        <v>0.964908594242488</v>
      </c>
      <c r="AA71" s="131">
        <v>0.955636955636956</v>
      </c>
      <c r="AB71" s="131">
        <v>0.943275577557756</v>
      </c>
      <c r="AC71" s="131">
        <v>0.92</v>
      </c>
      <c r="AD71" s="129">
        <v>0.966522019796299</v>
      </c>
      <c r="AE71" s="129">
        <v>0.629405009689227</v>
      </c>
      <c r="AF71" s="129">
        <v>0.863510808977985</v>
      </c>
      <c r="AG71" s="129">
        <v>0.888485083914223</v>
      </c>
      <c r="AH71" s="131">
        <v>0.92</v>
      </c>
      <c r="AI71" s="129">
        <v>0.967492260061919</v>
      </c>
      <c r="AJ71" s="129">
        <v>0.979370347116333</v>
      </c>
      <c r="AK71" s="129">
        <v>0.975254897468209</v>
      </c>
      <c r="AL71" s="129">
        <v>0.965888233851255</v>
      </c>
      <c r="AM71" s="128">
        <v>0.99</v>
      </c>
      <c r="AN71" s="133">
        <v>1</v>
      </c>
      <c r="AO71" s="133">
        <v>1</v>
      </c>
      <c r="AP71" s="133">
        <v>1</v>
      </c>
      <c r="AQ71" s="133">
        <v>1</v>
      </c>
      <c r="AR71" s="135">
        <v>0.0872182100128262</v>
      </c>
      <c r="AS71" s="137">
        <v>0.0555555555555556</v>
      </c>
      <c r="AT71" s="137">
        <v>0.222222222222222</v>
      </c>
      <c r="AU71" s="137">
        <v>0.186046511627907</v>
      </c>
      <c r="AV71" s="137">
        <v>0.0874524714828897</v>
      </c>
      <c r="AW71" s="93"/>
      <c r="AX71" s="91"/>
    </row>
    <row r="72" ht="14.5" spans="1:50">
      <c r="A72" s="89"/>
      <c r="B72" s="93"/>
      <c r="C72" s="125" t="s">
        <v>23</v>
      </c>
      <c r="D72" s="126" t="s">
        <v>24</v>
      </c>
      <c r="E72" s="138" t="s">
        <v>89</v>
      </c>
      <c r="F72" s="138" t="s">
        <v>89</v>
      </c>
      <c r="G72" s="138" t="s">
        <v>89</v>
      </c>
      <c r="H72" s="138" t="s">
        <v>89</v>
      </c>
      <c r="I72" s="128">
        <v>0.9</v>
      </c>
      <c r="J72" s="129">
        <v>0.909090909090909</v>
      </c>
      <c r="K72" s="129">
        <v>0.822916666666667</v>
      </c>
      <c r="L72" s="130">
        <v>0.802325581395349</v>
      </c>
      <c r="M72" s="129">
        <v>0.841171251109139</v>
      </c>
      <c r="N72" s="131">
        <v>0.9</v>
      </c>
      <c r="O72" s="129">
        <v>0.875834748160724</v>
      </c>
      <c r="P72" s="129">
        <v>0.437922601064595</v>
      </c>
      <c r="Q72" s="129">
        <v>0.944634982851543</v>
      </c>
      <c r="R72" s="129">
        <v>0.825349483174719</v>
      </c>
      <c r="S72" s="131">
        <v>0.9</v>
      </c>
      <c r="T72" s="129">
        <v>0.596038483305037</v>
      </c>
      <c r="U72" s="129">
        <v>0.649402963602359</v>
      </c>
      <c r="V72" s="129">
        <v>0.607545320921117</v>
      </c>
      <c r="W72" s="129">
        <v>0.620372478484586</v>
      </c>
      <c r="X72" s="131">
        <v>0.92</v>
      </c>
      <c r="Y72" s="131">
        <v>0.805449041372351</v>
      </c>
      <c r="Z72" s="131">
        <v>0.832859769346482</v>
      </c>
      <c r="AA72" s="131">
        <v>0.846099290780142</v>
      </c>
      <c r="AB72" s="131">
        <v>0.850636482119584</v>
      </c>
      <c r="AC72" s="131">
        <v>0.92</v>
      </c>
      <c r="AD72" s="129">
        <v>0.99256708520556</v>
      </c>
      <c r="AE72" s="129">
        <v>0.968789808917197</v>
      </c>
      <c r="AF72" s="129">
        <v>0.720784085233894</v>
      </c>
      <c r="AG72" s="129">
        <v>0.87895213588424</v>
      </c>
      <c r="AH72" s="131">
        <v>0.92</v>
      </c>
      <c r="AI72" s="129">
        <v>0.878680203045685</v>
      </c>
      <c r="AJ72" s="129">
        <v>0.884808658678005</v>
      </c>
      <c r="AK72" s="129">
        <v>0.87624371157071</v>
      </c>
      <c r="AL72" s="129">
        <v>0.888532087773074</v>
      </c>
      <c r="AM72" s="128">
        <v>0.99</v>
      </c>
      <c r="AN72" s="133">
        <v>1</v>
      </c>
      <c r="AO72" s="133">
        <v>1</v>
      </c>
      <c r="AP72" s="133">
        <v>1</v>
      </c>
      <c r="AQ72" s="133">
        <v>1</v>
      </c>
      <c r="AR72" s="135">
        <v>0.0872182100128262</v>
      </c>
      <c r="AS72" s="137">
        <v>0.0238095238095238</v>
      </c>
      <c r="AT72" s="137">
        <v>0.0625</v>
      </c>
      <c r="AU72" s="137">
        <v>0.03125</v>
      </c>
      <c r="AV72" s="137">
        <v>0.0574948665297741</v>
      </c>
      <c r="AW72" s="93"/>
      <c r="AX72" s="91"/>
    </row>
    <row r="73" ht="14.5" spans="1:50">
      <c r="A73" s="89"/>
      <c r="B73" s="93"/>
      <c r="C73" s="125" t="s">
        <v>23</v>
      </c>
      <c r="D73" s="126" t="s">
        <v>24</v>
      </c>
      <c r="E73" s="138" t="s">
        <v>90</v>
      </c>
      <c r="F73" s="138" t="s">
        <v>90</v>
      </c>
      <c r="G73" s="138" t="s">
        <v>90</v>
      </c>
      <c r="H73" s="138" t="s">
        <v>90</v>
      </c>
      <c r="I73" s="128">
        <v>0.9</v>
      </c>
      <c r="J73" s="129">
        <v>0.91025641025641</v>
      </c>
      <c r="K73" s="129">
        <v>0.955696202531646</v>
      </c>
      <c r="L73" s="130">
        <v>0.960526315789474</v>
      </c>
      <c r="M73" s="129">
        <v>0.910149750415973</v>
      </c>
      <c r="N73" s="131">
        <v>0.9</v>
      </c>
      <c r="O73" s="129">
        <v>0.764618227335042</v>
      </c>
      <c r="P73" s="129">
        <v>0.877141841450409</v>
      </c>
      <c r="Q73" s="129">
        <v>0.939632545931758</v>
      </c>
      <c r="R73" s="129">
        <v>0.890394253054885</v>
      </c>
      <c r="S73" s="131">
        <v>0.9</v>
      </c>
      <c r="T73" s="129">
        <v>0.670799308577219</v>
      </c>
      <c r="U73" s="129">
        <v>0.797369356558834</v>
      </c>
      <c r="V73" s="129">
        <v>0.827364321395309</v>
      </c>
      <c r="W73" s="129">
        <v>0.758448713125993</v>
      </c>
      <c r="X73" s="131">
        <v>0.92</v>
      </c>
      <c r="Y73" s="131">
        <v>0.933813747228381</v>
      </c>
      <c r="Z73" s="131">
        <v>0.949467605125429</v>
      </c>
      <c r="AA73" s="131">
        <v>0.950299914310197</v>
      </c>
      <c r="AB73" s="131">
        <v>0.936297628500091</v>
      </c>
      <c r="AC73" s="131">
        <v>0.92</v>
      </c>
      <c r="AD73" s="129">
        <v>0.9964476466704</v>
      </c>
      <c r="AE73" s="129">
        <v>0.978453489053584</v>
      </c>
      <c r="AF73" s="129">
        <v>0.929693805816648</v>
      </c>
      <c r="AG73" s="129">
        <v>0.952239500345647</v>
      </c>
      <c r="AH73" s="131">
        <v>0.92</v>
      </c>
      <c r="AI73" s="129">
        <v>0.946713687800341</v>
      </c>
      <c r="AJ73" s="129">
        <v>0.963509162459753</v>
      </c>
      <c r="AK73" s="129">
        <v>0.966634566362658</v>
      </c>
      <c r="AL73" s="129">
        <v>0.955008722117062</v>
      </c>
      <c r="AM73" s="128">
        <v>0.99</v>
      </c>
      <c r="AN73" s="133">
        <v>1</v>
      </c>
      <c r="AO73" s="133">
        <v>1</v>
      </c>
      <c r="AP73" s="133">
        <v>1</v>
      </c>
      <c r="AQ73" s="133">
        <v>0.999766573295985</v>
      </c>
      <c r="AR73" s="135">
        <v>0.0872182100128262</v>
      </c>
      <c r="AS73" s="137">
        <v>0.105263157894737</v>
      </c>
      <c r="AT73" s="137">
        <v>0.0298507462686567</v>
      </c>
      <c r="AU73" s="137">
        <v>0.0526315789473684</v>
      </c>
      <c r="AV73" s="137">
        <v>0.0586387434554974</v>
      </c>
      <c r="AW73" s="93"/>
      <c r="AX73" s="91"/>
    </row>
    <row r="74" ht="14.5" spans="1:50">
      <c r="A74" s="89"/>
      <c r="B74" s="93"/>
      <c r="C74" s="125" t="s">
        <v>23</v>
      </c>
      <c r="D74" s="126" t="s">
        <v>24</v>
      </c>
      <c r="E74" s="138" t="s">
        <v>91</v>
      </c>
      <c r="F74" s="138" t="s">
        <v>91</v>
      </c>
      <c r="G74" s="138" t="s">
        <v>91</v>
      </c>
      <c r="H74" s="138" t="s">
        <v>91</v>
      </c>
      <c r="I74" s="128">
        <v>0.9</v>
      </c>
      <c r="J74" s="129">
        <v>0.818181818181818</v>
      </c>
      <c r="K74" s="129">
        <v>0.888888888888889</v>
      </c>
      <c r="L74" s="130">
        <v>0.849462365591398</v>
      </c>
      <c r="M74" s="129">
        <v>0.847972972972973</v>
      </c>
      <c r="N74" s="131">
        <v>0.9</v>
      </c>
      <c r="O74" s="129">
        <v>0.932037248815553</v>
      </c>
      <c r="P74" s="129">
        <v>0.955798433117323</v>
      </c>
      <c r="Q74" s="129">
        <v>0.993502128613041</v>
      </c>
      <c r="R74" s="129">
        <v>0.945002586739207</v>
      </c>
      <c r="S74" s="131">
        <v>0.9</v>
      </c>
      <c r="T74" s="129">
        <v>0.71483417742199</v>
      </c>
      <c r="U74" s="129">
        <v>0.82396750169262</v>
      </c>
      <c r="V74" s="129">
        <v>0.825901859735604</v>
      </c>
      <c r="W74" s="129">
        <v>0.76495719363829</v>
      </c>
      <c r="X74" s="131">
        <v>0.92</v>
      </c>
      <c r="Y74" s="131">
        <v>0.929608127721335</v>
      </c>
      <c r="Z74" s="131">
        <v>0.900072324011572</v>
      </c>
      <c r="AA74" s="131">
        <v>0.948583180987203</v>
      </c>
      <c r="AB74" s="131">
        <v>0.877998035769668</v>
      </c>
      <c r="AC74" s="131">
        <v>0.92</v>
      </c>
      <c r="AD74" s="129">
        <v>0.998627232918607</v>
      </c>
      <c r="AE74" s="129">
        <v>0.993430492475898</v>
      </c>
      <c r="AF74" s="129">
        <v>0.982090050558046</v>
      </c>
      <c r="AG74" s="129">
        <v>0.990212571428571</v>
      </c>
      <c r="AH74" s="131">
        <v>0.92</v>
      </c>
      <c r="AI74" s="129">
        <v>0.950467631537698</v>
      </c>
      <c r="AJ74" s="129">
        <v>0.935836909871245</v>
      </c>
      <c r="AK74" s="129">
        <v>0.967695890616783</v>
      </c>
      <c r="AL74" s="129">
        <v>0.928292324455819</v>
      </c>
      <c r="AM74" s="128">
        <v>0.99</v>
      </c>
      <c r="AN74" s="133">
        <v>1</v>
      </c>
      <c r="AO74" s="133">
        <v>1</v>
      </c>
      <c r="AP74" s="133">
        <v>1</v>
      </c>
      <c r="AQ74" s="133">
        <v>1</v>
      </c>
      <c r="AR74" s="135">
        <v>0.0872182100128262</v>
      </c>
      <c r="AS74" s="137">
        <v>0.0217391304347826</v>
      </c>
      <c r="AT74" s="137">
        <v>0.024390243902439</v>
      </c>
      <c r="AU74" s="137">
        <v>0.0857142857142857</v>
      </c>
      <c r="AV74" s="137">
        <v>0.043956043956044</v>
      </c>
      <c r="AW74" s="93"/>
      <c r="AX74" s="91"/>
    </row>
    <row r="75" ht="14.5" spans="1:50">
      <c r="A75" s="89"/>
      <c r="B75" s="93"/>
      <c r="C75" s="125" t="s">
        <v>23</v>
      </c>
      <c r="D75" s="126" t="s">
        <v>24</v>
      </c>
      <c r="E75" s="138" t="s">
        <v>92</v>
      </c>
      <c r="F75" s="138" t="s">
        <v>92</v>
      </c>
      <c r="G75" s="138" t="s">
        <v>92</v>
      </c>
      <c r="H75" s="138" t="s">
        <v>92</v>
      </c>
      <c r="I75" s="128">
        <v>0.9</v>
      </c>
      <c r="J75" s="129">
        <v>0.945652173913043</v>
      </c>
      <c r="K75" s="129">
        <v>0.967391304347826</v>
      </c>
      <c r="L75" s="130">
        <v>0.952941176470588</v>
      </c>
      <c r="M75" s="129">
        <v>0.958410351201479</v>
      </c>
      <c r="N75" s="131">
        <v>0.9</v>
      </c>
      <c r="O75" s="129">
        <v>0.968243243243243</v>
      </c>
      <c r="P75" s="129">
        <v>0.973192239858907</v>
      </c>
      <c r="Q75" s="129">
        <v>0.941858255747672</v>
      </c>
      <c r="R75" s="129">
        <v>0.968944719319008</v>
      </c>
      <c r="S75" s="131">
        <v>0.9</v>
      </c>
      <c r="T75" s="129">
        <v>0.851216216216216</v>
      </c>
      <c r="U75" s="129">
        <v>0.884656084656085</v>
      </c>
      <c r="V75" s="129">
        <v>0.865665969979099</v>
      </c>
      <c r="W75" s="129">
        <v>0.859395719561405</v>
      </c>
      <c r="X75" s="131">
        <v>0.92</v>
      </c>
      <c r="Y75" s="131">
        <v>0.96327570030827</v>
      </c>
      <c r="Z75" s="131">
        <v>0.956390675241158</v>
      </c>
      <c r="AA75" s="131">
        <v>0.955185659411012</v>
      </c>
      <c r="AB75" s="131">
        <v>0.956170548300864</v>
      </c>
      <c r="AC75" s="131">
        <v>0.92</v>
      </c>
      <c r="AD75" s="129">
        <v>0.999299556385711</v>
      </c>
      <c r="AE75" s="129">
        <v>0.992779222795916</v>
      </c>
      <c r="AF75" s="129">
        <v>0.936949196474857</v>
      </c>
      <c r="AG75" s="129">
        <v>0.948508038491588</v>
      </c>
      <c r="AH75" s="131">
        <v>0.92</v>
      </c>
      <c r="AI75" s="129">
        <v>0.966709260878338</v>
      </c>
      <c r="AJ75" s="129">
        <v>0.966973165697129</v>
      </c>
      <c r="AK75" s="129">
        <v>0.97317906915593</v>
      </c>
      <c r="AL75" s="129">
        <v>0.96825656683065</v>
      </c>
      <c r="AM75" s="128">
        <v>0.99</v>
      </c>
      <c r="AN75" s="133">
        <v>1</v>
      </c>
      <c r="AO75" s="133">
        <v>1</v>
      </c>
      <c r="AP75" s="133">
        <v>1</v>
      </c>
      <c r="AQ75" s="133">
        <v>1</v>
      </c>
      <c r="AR75" s="135">
        <v>0.0872182100128262</v>
      </c>
      <c r="AS75" s="137">
        <v>0.03125</v>
      </c>
      <c r="AT75" s="137">
        <v>0.0606060606060606</v>
      </c>
      <c r="AU75" s="137">
        <v>0.171428571428571</v>
      </c>
      <c r="AV75" s="137">
        <v>0.0576036866359447</v>
      </c>
      <c r="AW75" s="93"/>
      <c r="AX75" s="91"/>
    </row>
    <row r="76" ht="14.5" spans="1:50">
      <c r="A76" s="89"/>
      <c r="B76" s="93"/>
      <c r="C76" s="125" t="s">
        <v>23</v>
      </c>
      <c r="D76" s="126" t="s">
        <v>24</v>
      </c>
      <c r="E76" s="138" t="s">
        <v>93</v>
      </c>
      <c r="F76" s="138" t="s">
        <v>93</v>
      </c>
      <c r="G76" s="138" t="s">
        <v>93</v>
      </c>
      <c r="H76" s="138" t="s">
        <v>93</v>
      </c>
      <c r="I76" s="128">
        <v>0.9</v>
      </c>
      <c r="J76" s="129">
        <v>0.922222222222222</v>
      </c>
      <c r="K76" s="129">
        <v>0.910112359550562</v>
      </c>
      <c r="L76" s="130">
        <v>0.931818181818182</v>
      </c>
      <c r="M76" s="129">
        <v>0.915270018621974</v>
      </c>
      <c r="N76" s="131">
        <v>0.9</v>
      </c>
      <c r="O76" s="129">
        <v>0.973202755058114</v>
      </c>
      <c r="P76" s="129">
        <v>0.918318905333706</v>
      </c>
      <c r="Q76" s="129">
        <v>0.942026890270348</v>
      </c>
      <c r="R76" s="129">
        <v>0.943696114779633</v>
      </c>
      <c r="S76" s="131">
        <v>0.9</v>
      </c>
      <c r="T76" s="129">
        <v>0.711687473095136</v>
      </c>
      <c r="U76" s="129">
        <v>0.754398212789724</v>
      </c>
      <c r="V76" s="129">
        <v>0.747144715917305</v>
      </c>
      <c r="W76" s="129">
        <v>0.741998113331724</v>
      </c>
      <c r="X76" s="131">
        <v>0.92</v>
      </c>
      <c r="Y76" s="131">
        <v>0.93423703975087</v>
      </c>
      <c r="Z76" s="131">
        <v>0.933828174352495</v>
      </c>
      <c r="AA76" s="131">
        <v>0.947746570868713</v>
      </c>
      <c r="AB76" s="131">
        <v>0.936851013964389</v>
      </c>
      <c r="AC76" s="131">
        <v>0.92</v>
      </c>
      <c r="AD76" s="129">
        <v>0.998254076287989</v>
      </c>
      <c r="AE76" s="129">
        <v>0.996106382978723</v>
      </c>
      <c r="AF76" s="129">
        <v>0.997590420094436</v>
      </c>
      <c r="AG76" s="129">
        <v>0.994290596107565</v>
      </c>
      <c r="AH76" s="131">
        <v>0.92</v>
      </c>
      <c r="AI76" s="129">
        <v>0.942396313364055</v>
      </c>
      <c r="AJ76" s="129">
        <v>0.947044882239668</v>
      </c>
      <c r="AK76" s="129">
        <v>0.959527148867962</v>
      </c>
      <c r="AL76" s="129">
        <v>0.949702921003845</v>
      </c>
      <c r="AM76" s="128">
        <v>0.99</v>
      </c>
      <c r="AN76" s="133">
        <v>1</v>
      </c>
      <c r="AO76" s="133">
        <v>1</v>
      </c>
      <c r="AP76" s="133">
        <v>1</v>
      </c>
      <c r="AQ76" s="133">
        <v>1</v>
      </c>
      <c r="AR76" s="135">
        <v>0.0872182100128262</v>
      </c>
      <c r="AS76" s="137">
        <v>0.0512820512820513</v>
      </c>
      <c r="AT76" s="137">
        <v>0</v>
      </c>
      <c r="AU76" s="137">
        <v>0.075</v>
      </c>
      <c r="AV76" s="137">
        <v>0.0592417061611374</v>
      </c>
      <c r="AW76" s="93"/>
      <c r="AX76" s="91"/>
    </row>
    <row r="77" ht="14.5" spans="1:50">
      <c r="A77" s="89"/>
      <c r="B77" s="93"/>
      <c r="C77" s="125" t="s">
        <v>23</v>
      </c>
      <c r="D77" s="126" t="s">
        <v>24</v>
      </c>
      <c r="E77" s="138" t="s">
        <v>94</v>
      </c>
      <c r="F77" s="138" t="s">
        <v>94</v>
      </c>
      <c r="G77" s="138" t="s">
        <v>94</v>
      </c>
      <c r="H77" s="138" t="s">
        <v>94</v>
      </c>
      <c r="I77" s="128">
        <v>0.9</v>
      </c>
      <c r="J77" s="129">
        <v>1</v>
      </c>
      <c r="K77" s="129">
        <v>1</v>
      </c>
      <c r="L77" s="130">
        <v>0.882352941176471</v>
      </c>
      <c r="M77" s="129">
        <v>0.975369458128079</v>
      </c>
      <c r="N77" s="131">
        <v>0.9</v>
      </c>
      <c r="O77" s="129">
        <v>0.921865889212828</v>
      </c>
      <c r="P77" s="129">
        <v>0.983141762452107</v>
      </c>
      <c r="Q77" s="129">
        <v>0.993665158371041</v>
      </c>
      <c r="R77" s="129">
        <v>0.963704555078338</v>
      </c>
      <c r="S77" s="131">
        <v>0.9</v>
      </c>
      <c r="T77" s="129">
        <v>0.816909620991254</v>
      </c>
      <c r="U77" s="129">
        <v>0.833716475095785</v>
      </c>
      <c r="V77" s="129">
        <v>0.857918552036199</v>
      </c>
      <c r="W77" s="129">
        <v>0.851672615086807</v>
      </c>
      <c r="X77" s="131">
        <v>0.92</v>
      </c>
      <c r="Y77" s="131">
        <v>0.940634595701126</v>
      </c>
      <c r="Z77" s="131">
        <v>0.955065359477124</v>
      </c>
      <c r="AA77" s="131">
        <v>0.949339207048458</v>
      </c>
      <c r="AB77" s="131">
        <v>0.954932484733809</v>
      </c>
      <c r="AC77" s="131">
        <v>0.92</v>
      </c>
      <c r="AD77" s="129">
        <v>0.25</v>
      </c>
      <c r="AE77" s="129">
        <v>0.666666666666667</v>
      </c>
      <c r="AF77" s="129" t="s">
        <v>33</v>
      </c>
      <c r="AG77" s="129">
        <v>0.404255319148936</v>
      </c>
      <c r="AH77" s="131">
        <v>0.92</v>
      </c>
      <c r="AI77" s="129">
        <v>0.945765230312036</v>
      </c>
      <c r="AJ77" s="129">
        <v>0.961644918940293</v>
      </c>
      <c r="AK77" s="129">
        <v>0.966003848620911</v>
      </c>
      <c r="AL77" s="129">
        <v>0.967897727272727</v>
      </c>
      <c r="AM77" s="128">
        <v>0.99</v>
      </c>
      <c r="AN77" s="133">
        <v>1</v>
      </c>
      <c r="AO77" s="133">
        <v>1</v>
      </c>
      <c r="AP77" s="133" t="s">
        <v>33</v>
      </c>
      <c r="AQ77" s="133">
        <v>1</v>
      </c>
      <c r="AR77" s="135">
        <v>0.0872182100128262</v>
      </c>
      <c r="AS77" s="137">
        <v>0.5</v>
      </c>
      <c r="AT77" s="137">
        <v>0</v>
      </c>
      <c r="AU77" s="137">
        <v>0</v>
      </c>
      <c r="AV77" s="137">
        <v>0.0606060606060606</v>
      </c>
      <c r="AW77" s="93"/>
      <c r="AX77" s="91"/>
    </row>
    <row r="78" ht="14.5" spans="1:50">
      <c r="A78" s="89"/>
      <c r="B78" s="93"/>
      <c r="C78" s="125" t="s">
        <v>23</v>
      </c>
      <c r="D78" s="126" t="s">
        <v>24</v>
      </c>
      <c r="E78" s="138" t="s">
        <v>95</v>
      </c>
      <c r="F78" s="138" t="s">
        <v>95</v>
      </c>
      <c r="G78" s="138" t="s">
        <v>95</v>
      </c>
      <c r="H78" s="138" t="s">
        <v>95</v>
      </c>
      <c r="I78" s="128">
        <v>0.9</v>
      </c>
      <c r="J78" s="129">
        <v>0.920454545454545</v>
      </c>
      <c r="K78" s="129">
        <v>0.976744186046512</v>
      </c>
      <c r="L78" s="130">
        <v>0.972972972972973</v>
      </c>
      <c r="M78" s="129">
        <v>0.946596858638743</v>
      </c>
      <c r="N78" s="131">
        <v>0.9</v>
      </c>
      <c r="O78" s="129">
        <v>0.99290780141844</v>
      </c>
      <c r="P78" s="129">
        <v>0.99023199023199</v>
      </c>
      <c r="Q78" s="129">
        <v>0.994505494505495</v>
      </c>
      <c r="R78" s="129">
        <v>0.990205946731854</v>
      </c>
      <c r="S78" s="131">
        <v>0.9</v>
      </c>
      <c r="T78" s="129">
        <v>0.852759790317607</v>
      </c>
      <c r="U78" s="129">
        <v>0.882376882376882</v>
      </c>
      <c r="V78" s="129">
        <v>0.838411588411588</v>
      </c>
      <c r="W78" s="129">
        <v>0.837527361037882</v>
      </c>
      <c r="X78" s="131">
        <v>0.92</v>
      </c>
      <c r="Y78" s="131">
        <v>0.9527665317139</v>
      </c>
      <c r="Z78" s="131">
        <v>0.963393626184324</v>
      </c>
      <c r="AA78" s="131">
        <v>0.970132743362832</v>
      </c>
      <c r="AB78" s="131">
        <v>0.958480483271375</v>
      </c>
      <c r="AC78" s="131">
        <v>0.92</v>
      </c>
      <c r="AD78" s="129">
        <v>0.996297819827232</v>
      </c>
      <c r="AE78" s="129">
        <v>0.983226570889029</v>
      </c>
      <c r="AF78" s="129">
        <v>0.976001476832195</v>
      </c>
      <c r="AG78" s="129">
        <v>0.993635704503343</v>
      </c>
      <c r="AH78" s="131">
        <v>0.92</v>
      </c>
      <c r="AI78" s="129">
        <v>0.96967912864292</v>
      </c>
      <c r="AJ78" s="129">
        <v>0.975831763967357</v>
      </c>
      <c r="AK78" s="129">
        <v>0.981933929800413</v>
      </c>
      <c r="AL78" s="129">
        <v>0.972197767869821</v>
      </c>
      <c r="AM78" s="128">
        <v>0.99</v>
      </c>
      <c r="AN78" s="133">
        <v>1</v>
      </c>
      <c r="AO78" s="133">
        <v>1</v>
      </c>
      <c r="AP78" s="133">
        <v>1</v>
      </c>
      <c r="AQ78" s="133">
        <v>1</v>
      </c>
      <c r="AR78" s="135">
        <v>0.0872182100128262</v>
      </c>
      <c r="AS78" s="137">
        <v>0</v>
      </c>
      <c r="AT78" s="137">
        <v>0.105263157894737</v>
      </c>
      <c r="AU78" s="137">
        <v>0.0625</v>
      </c>
      <c r="AV78" s="137">
        <v>0.0733137829912024</v>
      </c>
      <c r="AW78" s="93"/>
      <c r="AX78" s="91"/>
    </row>
    <row r="79" ht="14.5" spans="1:50">
      <c r="A79" s="89"/>
      <c r="B79" s="93"/>
      <c r="C79" s="139"/>
      <c r="D79" s="140"/>
      <c r="E79" s="140"/>
      <c r="F79" s="141"/>
      <c r="G79" s="141"/>
      <c r="H79" s="141"/>
      <c r="I79" s="142"/>
      <c r="J79" s="143"/>
      <c r="K79" s="143"/>
      <c r="L79" s="130"/>
      <c r="M79" s="143"/>
      <c r="N79" s="142"/>
      <c r="O79" s="144"/>
      <c r="P79" s="145"/>
      <c r="Q79" s="129"/>
      <c r="R79" s="145"/>
      <c r="S79" s="146"/>
      <c r="T79" s="143"/>
      <c r="U79" s="143"/>
      <c r="V79" s="129"/>
      <c r="W79" s="143"/>
      <c r="X79" s="146"/>
      <c r="Y79" s="146"/>
      <c r="Z79" s="146"/>
      <c r="AA79" s="131"/>
      <c r="AB79" s="146"/>
      <c r="AC79" s="143"/>
      <c r="AD79" s="143"/>
      <c r="AE79" s="143"/>
      <c r="AF79" s="129"/>
      <c r="AG79" s="143"/>
      <c r="AH79" s="146"/>
      <c r="AI79" s="143"/>
      <c r="AJ79" s="143"/>
      <c r="AK79" s="129"/>
      <c r="AL79" s="143"/>
      <c r="AM79" s="142"/>
      <c r="AN79" s="142"/>
      <c r="AO79" s="142"/>
      <c r="AP79" s="133"/>
      <c r="AQ79" s="142"/>
      <c r="AR79" s="147"/>
      <c r="AS79" s="142"/>
      <c r="AT79" s="142"/>
      <c r="AU79" s="137"/>
      <c r="AV79" s="142"/>
      <c r="AW79" s="93"/>
      <c r="AX79" s="91"/>
    </row>
    <row r="80" ht="14.5" spans="1:50">
      <c r="A80" s="89"/>
      <c r="B80" s="93"/>
      <c r="C80" s="148" t="s">
        <v>96</v>
      </c>
      <c r="D80" s="126" t="s">
        <v>97</v>
      </c>
      <c r="E80" s="149" t="s">
        <v>98</v>
      </c>
      <c r="F80" s="149" t="s">
        <v>98</v>
      </c>
      <c r="G80" s="149" t="s">
        <v>98</v>
      </c>
      <c r="H80" s="149" t="s">
        <v>98</v>
      </c>
      <c r="I80" s="128">
        <v>0.9</v>
      </c>
      <c r="J80" s="129">
        <v>0.930555555555556</v>
      </c>
      <c r="K80" s="129">
        <v>0.909090909090909</v>
      </c>
      <c r="L80" s="130">
        <v>0.924242424242424</v>
      </c>
      <c r="M80" s="129">
        <v>0.917575757575758</v>
      </c>
      <c r="N80" s="131">
        <v>0.9</v>
      </c>
      <c r="O80" s="129">
        <v>0.963831379396358</v>
      </c>
      <c r="P80" s="129">
        <v>0.975800156128025</v>
      </c>
      <c r="Q80" s="129">
        <v>0.953850591289299</v>
      </c>
      <c r="R80" s="129">
        <v>0.893093705127611</v>
      </c>
      <c r="S80" s="131">
        <v>0.9</v>
      </c>
      <c r="T80" s="129">
        <v>0.875031179845348</v>
      </c>
      <c r="U80" s="129">
        <v>0.877049180327869</v>
      </c>
      <c r="V80" s="129">
        <v>0.847418517450245</v>
      </c>
      <c r="W80" s="129">
        <v>0.85566723794525</v>
      </c>
      <c r="X80" s="131">
        <v>0.92</v>
      </c>
      <c r="Y80" s="131">
        <v>0.903589206182866</v>
      </c>
      <c r="Z80" s="131">
        <v>0.903830911492734</v>
      </c>
      <c r="AA80" s="131">
        <v>0.876481597005614</v>
      </c>
      <c r="AB80" s="131">
        <v>0.911640875505367</v>
      </c>
      <c r="AC80" s="131">
        <v>0.92</v>
      </c>
      <c r="AD80" s="129">
        <v>0.953703703703704</v>
      </c>
      <c r="AE80" s="129">
        <v>0.995677233429395</v>
      </c>
      <c r="AF80" s="129">
        <v>0.995727900098587</v>
      </c>
      <c r="AG80" s="129">
        <v>0.97915965679677</v>
      </c>
      <c r="AH80" s="131">
        <v>0.92</v>
      </c>
      <c r="AI80" s="129">
        <v>0.936118563945317</v>
      </c>
      <c r="AJ80" s="129">
        <v>0.933543307086614</v>
      </c>
      <c r="AK80" s="129">
        <v>0.939077287066246</v>
      </c>
      <c r="AL80" s="129">
        <v>0.946112783666861</v>
      </c>
      <c r="AM80" s="128">
        <v>0.99</v>
      </c>
      <c r="AN80" s="133">
        <v>1</v>
      </c>
      <c r="AO80" s="133">
        <v>1</v>
      </c>
      <c r="AP80" s="133">
        <v>1</v>
      </c>
      <c r="AQ80" s="134">
        <v>1</v>
      </c>
      <c r="AR80" s="135">
        <v>0.105261498981944</v>
      </c>
      <c r="AS80" s="136">
        <v>0</v>
      </c>
      <c r="AT80" s="137">
        <v>0.0625</v>
      </c>
      <c r="AU80" s="137">
        <v>0.130434782608696</v>
      </c>
      <c r="AV80" s="137">
        <v>0.0991735537190083</v>
      </c>
      <c r="AW80" s="93"/>
      <c r="AX80" s="91"/>
    </row>
    <row r="81" ht="14.5" spans="1:50">
      <c r="A81" s="89"/>
      <c r="B81" s="93"/>
      <c r="C81" s="148" t="s">
        <v>96</v>
      </c>
      <c r="D81" s="126" t="s">
        <v>97</v>
      </c>
      <c r="E81" s="149" t="s">
        <v>99</v>
      </c>
      <c r="F81" s="149" t="s">
        <v>99</v>
      </c>
      <c r="G81" s="149" t="s">
        <v>99</v>
      </c>
      <c r="H81" s="149" t="s">
        <v>99</v>
      </c>
      <c r="I81" s="128">
        <v>0.9</v>
      </c>
      <c r="J81" s="129">
        <v>0.862068965517241</v>
      </c>
      <c r="K81" s="129">
        <v>0.893617021276596</v>
      </c>
      <c r="L81" s="130">
        <v>0.961538461538462</v>
      </c>
      <c r="M81" s="129">
        <v>0.909785932721712</v>
      </c>
      <c r="N81" s="131">
        <v>0.9</v>
      </c>
      <c r="O81" s="129">
        <v>0.956376855498334</v>
      </c>
      <c r="P81" s="129">
        <v>0.956589147286822</v>
      </c>
      <c r="Q81" s="129">
        <v>0.932611731843575</v>
      </c>
      <c r="R81" s="129">
        <v>0.907360220250125</v>
      </c>
      <c r="S81" s="131">
        <v>0.9</v>
      </c>
      <c r="T81" s="129">
        <v>0.876401090578613</v>
      </c>
      <c r="U81" s="129">
        <v>0.860981912144703</v>
      </c>
      <c r="V81" s="129">
        <v>0.888966480446927</v>
      </c>
      <c r="W81" s="129">
        <v>0.879682511788654</v>
      </c>
      <c r="X81" s="131">
        <v>0.92</v>
      </c>
      <c r="Y81" s="131">
        <v>0.946273830155979</v>
      </c>
      <c r="Z81" s="131">
        <v>0.880664652567976</v>
      </c>
      <c r="AA81" s="131">
        <v>0.953198127925117</v>
      </c>
      <c r="AB81" s="131">
        <v>0.938940214505681</v>
      </c>
      <c r="AC81" s="131">
        <v>0.92</v>
      </c>
      <c r="AD81" s="129">
        <v>0.9952</v>
      </c>
      <c r="AE81" s="129">
        <v>0.993368700265252</v>
      </c>
      <c r="AF81" s="129">
        <v>0.980237154150198</v>
      </c>
      <c r="AG81" s="129">
        <v>0.98475935828877</v>
      </c>
      <c r="AH81" s="131">
        <v>0.92</v>
      </c>
      <c r="AI81" s="129">
        <v>0.964118312590916</v>
      </c>
      <c r="AJ81" s="129">
        <v>0.919485053458433</v>
      </c>
      <c r="AK81" s="129">
        <v>0.974433188615533</v>
      </c>
      <c r="AL81" s="129">
        <v>0.962578928811821</v>
      </c>
      <c r="AM81" s="128">
        <v>0.99</v>
      </c>
      <c r="AN81" s="133">
        <v>1</v>
      </c>
      <c r="AO81" s="133">
        <v>1</v>
      </c>
      <c r="AP81" s="133">
        <v>1</v>
      </c>
      <c r="AQ81" s="134">
        <v>1</v>
      </c>
      <c r="AR81" s="135">
        <v>0.105261498981944</v>
      </c>
      <c r="AS81" s="136">
        <v>0.0909090909090909</v>
      </c>
      <c r="AT81" s="137">
        <v>0.5</v>
      </c>
      <c r="AU81" s="137">
        <v>0.142857142857143</v>
      </c>
      <c r="AV81" s="137">
        <v>0.165137614678899</v>
      </c>
      <c r="AW81" s="93"/>
      <c r="AX81" s="91"/>
    </row>
    <row r="82" ht="14.5" spans="1:50">
      <c r="A82" s="89"/>
      <c r="B82" s="93"/>
      <c r="C82" s="148" t="s">
        <v>96</v>
      </c>
      <c r="D82" s="126" t="s">
        <v>97</v>
      </c>
      <c r="E82" s="149" t="s">
        <v>100</v>
      </c>
      <c r="F82" s="149" t="s">
        <v>100</v>
      </c>
      <c r="G82" s="149" t="s">
        <v>100</v>
      </c>
      <c r="H82" s="149" t="s">
        <v>100</v>
      </c>
      <c r="I82" s="128">
        <v>0.9</v>
      </c>
      <c r="J82" s="129">
        <v>0.925233644859813</v>
      </c>
      <c r="K82" s="129">
        <v>0.947368421052632</v>
      </c>
      <c r="L82" s="130">
        <v>0.94949494949495</v>
      </c>
      <c r="M82" s="129">
        <v>0.944170771756979</v>
      </c>
      <c r="N82" s="131">
        <v>0.9</v>
      </c>
      <c r="O82" s="129">
        <v>0.938131313131313</v>
      </c>
      <c r="P82" s="129">
        <v>0.977329450915141</v>
      </c>
      <c r="Q82" s="129">
        <v>0.969740634005764</v>
      </c>
      <c r="R82" s="129">
        <v>0.95403442443538</v>
      </c>
      <c r="S82" s="131">
        <v>0.9</v>
      </c>
      <c r="T82" s="129">
        <v>0.803914141414141</v>
      </c>
      <c r="U82" s="129">
        <v>0.809900166389351</v>
      </c>
      <c r="V82" s="129">
        <v>0.855475504322767</v>
      </c>
      <c r="W82" s="129">
        <v>0.836048651875435</v>
      </c>
      <c r="X82" s="131">
        <v>0.92</v>
      </c>
      <c r="Y82" s="131">
        <v>0.929931335830212</v>
      </c>
      <c r="Z82" s="131">
        <v>0.918948182521268</v>
      </c>
      <c r="AA82" s="131">
        <v>0.926522719948437</v>
      </c>
      <c r="AB82" s="131">
        <v>0.941341050073544</v>
      </c>
      <c r="AC82" s="131">
        <v>0.92</v>
      </c>
      <c r="AD82" s="129">
        <v>0.970014992503748</v>
      </c>
      <c r="AE82" s="129">
        <v>0.983654652137469</v>
      </c>
      <c r="AF82" s="129">
        <v>0.977886977886978</v>
      </c>
      <c r="AG82" s="129">
        <v>0.973420616767884</v>
      </c>
      <c r="AH82" s="131">
        <v>0.92</v>
      </c>
      <c r="AI82" s="129">
        <v>0.957089031537817</v>
      </c>
      <c r="AJ82" s="129">
        <v>0.93977292886287</v>
      </c>
      <c r="AK82" s="129">
        <v>0.962962962962963</v>
      </c>
      <c r="AL82" s="129">
        <v>0.963888286599568</v>
      </c>
      <c r="AM82" s="128">
        <v>0.99</v>
      </c>
      <c r="AN82" s="133">
        <v>1</v>
      </c>
      <c r="AO82" s="133">
        <v>1</v>
      </c>
      <c r="AP82" s="133">
        <v>1</v>
      </c>
      <c r="AQ82" s="133">
        <v>1</v>
      </c>
      <c r="AR82" s="135">
        <v>0.105261498981944</v>
      </c>
      <c r="AS82" s="137">
        <v>0.16</v>
      </c>
      <c r="AT82" s="137">
        <v>0</v>
      </c>
      <c r="AU82" s="137">
        <v>0.19047619047619</v>
      </c>
      <c r="AV82" s="137">
        <v>0.109848484848485</v>
      </c>
      <c r="AW82" s="93"/>
      <c r="AX82" s="91"/>
    </row>
    <row r="83" ht="14.5" spans="1:50">
      <c r="A83" s="89"/>
      <c r="B83" s="93"/>
      <c r="C83" s="148" t="s">
        <v>96</v>
      </c>
      <c r="D83" s="126" t="s">
        <v>97</v>
      </c>
      <c r="E83" s="149" t="s">
        <v>101</v>
      </c>
      <c r="F83" s="149" t="s">
        <v>101</v>
      </c>
      <c r="G83" s="149" t="s">
        <v>101</v>
      </c>
      <c r="H83" s="149" t="s">
        <v>101</v>
      </c>
      <c r="I83" s="128">
        <v>0.9</v>
      </c>
      <c r="J83" s="129">
        <v>0.875</v>
      </c>
      <c r="K83" s="129">
        <v>0.783582089552239</v>
      </c>
      <c r="L83" s="130">
        <v>0.838235294117647</v>
      </c>
      <c r="M83" s="129">
        <v>0.858722358722359</v>
      </c>
      <c r="N83" s="131">
        <v>0.9</v>
      </c>
      <c r="O83" s="129">
        <v>0.784816077094841</v>
      </c>
      <c r="P83" s="129">
        <v>0.828956965718454</v>
      </c>
      <c r="Q83" s="129">
        <v>0.818206157965194</v>
      </c>
      <c r="R83" s="129">
        <v>0.816048126488578</v>
      </c>
      <c r="S83" s="131">
        <v>0.9</v>
      </c>
      <c r="T83" s="129">
        <v>0.82089552238806</v>
      </c>
      <c r="U83" s="129">
        <v>0.820933625091174</v>
      </c>
      <c r="V83" s="129">
        <v>0.822623828647925</v>
      </c>
      <c r="W83" s="129">
        <v>0.826145296373741</v>
      </c>
      <c r="X83" s="131">
        <v>0.92</v>
      </c>
      <c r="Y83" s="131">
        <v>0.906836373179373</v>
      </c>
      <c r="Z83" s="131">
        <v>0.914739107046799</v>
      </c>
      <c r="AA83" s="131">
        <v>0.916320474777448</v>
      </c>
      <c r="AB83" s="131">
        <v>0.931070846515195</v>
      </c>
      <c r="AC83" s="131">
        <v>0.92</v>
      </c>
      <c r="AD83" s="129">
        <v>0.996366939146231</v>
      </c>
      <c r="AE83" s="129">
        <v>0.994241245136187</v>
      </c>
      <c r="AF83" s="129">
        <v>0.992377188029362</v>
      </c>
      <c r="AG83" s="129">
        <v>0.990170103868734</v>
      </c>
      <c r="AH83" s="131">
        <v>0.92</v>
      </c>
      <c r="AI83" s="129">
        <v>0.934849987602281</v>
      </c>
      <c r="AJ83" s="129">
        <v>0.931213246672857</v>
      </c>
      <c r="AK83" s="129">
        <v>0.946683885250438</v>
      </c>
      <c r="AL83" s="129">
        <v>0.953577693657095</v>
      </c>
      <c r="AM83" s="128">
        <v>0.99</v>
      </c>
      <c r="AN83" s="133">
        <v>1</v>
      </c>
      <c r="AO83" s="133">
        <v>1</v>
      </c>
      <c r="AP83" s="133">
        <v>1</v>
      </c>
      <c r="AQ83" s="133">
        <v>1</v>
      </c>
      <c r="AR83" s="135">
        <v>0.105261498981944</v>
      </c>
      <c r="AS83" s="137">
        <v>0.0666666666666667</v>
      </c>
      <c r="AT83" s="137">
        <v>0.105263157894737</v>
      </c>
      <c r="AU83" s="137">
        <v>0.230769230769231</v>
      </c>
      <c r="AV83" s="137">
        <v>0.10427807486631</v>
      </c>
      <c r="AW83" s="93"/>
      <c r="AX83" s="91"/>
    </row>
    <row r="84" ht="14.5" spans="1:50">
      <c r="A84" s="89"/>
      <c r="B84" s="93"/>
      <c r="C84" s="148" t="s">
        <v>96</v>
      </c>
      <c r="D84" s="126" t="s">
        <v>97</v>
      </c>
      <c r="E84" s="149" t="s">
        <v>102</v>
      </c>
      <c r="F84" s="149" t="s">
        <v>102</v>
      </c>
      <c r="G84" s="149" t="s">
        <v>102</v>
      </c>
      <c r="H84" s="149" t="s">
        <v>102</v>
      </c>
      <c r="I84" s="128">
        <v>0.9</v>
      </c>
      <c r="J84" s="129">
        <v>0.938775510204082</v>
      </c>
      <c r="K84" s="129">
        <v>0.936708860759494</v>
      </c>
      <c r="L84" s="130">
        <v>0.927710843373494</v>
      </c>
      <c r="M84" s="129">
        <v>0.933142311365807</v>
      </c>
      <c r="N84" s="131">
        <v>0.9</v>
      </c>
      <c r="O84" s="129">
        <v>0.880556004525618</v>
      </c>
      <c r="P84" s="129">
        <v>0.924378635642517</v>
      </c>
      <c r="Q84" s="129">
        <v>0.892748091603053</v>
      </c>
      <c r="R84" s="129">
        <v>0.871536960080594</v>
      </c>
      <c r="S84" s="131">
        <v>0.9</v>
      </c>
      <c r="T84" s="129">
        <v>0.825602068854049</v>
      </c>
      <c r="U84" s="129">
        <v>0.834479111581174</v>
      </c>
      <c r="V84" s="129">
        <v>0.839885496183206</v>
      </c>
      <c r="W84" s="129">
        <v>0.826533182218864</v>
      </c>
      <c r="X84" s="131">
        <v>0.92</v>
      </c>
      <c r="Y84" s="131">
        <v>0.926467641755159</v>
      </c>
      <c r="Z84" s="131">
        <v>0.914222579349136</v>
      </c>
      <c r="AA84" s="131">
        <v>0.919376391982183</v>
      </c>
      <c r="AB84" s="131">
        <v>0.916181825792139</v>
      </c>
      <c r="AC84" s="131">
        <v>0.92</v>
      </c>
      <c r="AD84" s="129">
        <v>0.978775510204082</v>
      </c>
      <c r="AE84" s="129">
        <v>0.98298355076574</v>
      </c>
      <c r="AF84" s="129">
        <v>0.964143426294821</v>
      </c>
      <c r="AG84" s="129">
        <v>0.979207606973059</v>
      </c>
      <c r="AH84" s="131">
        <v>0.92</v>
      </c>
      <c r="AI84" s="129">
        <v>0.950975129719091</v>
      </c>
      <c r="AJ84" s="129">
        <v>0.937343072357909</v>
      </c>
      <c r="AK84" s="129">
        <v>0.951382396153332</v>
      </c>
      <c r="AL84" s="129">
        <v>0.948013331297106</v>
      </c>
      <c r="AM84" s="128">
        <v>0.99</v>
      </c>
      <c r="AN84" s="133">
        <v>1</v>
      </c>
      <c r="AO84" s="133">
        <v>1</v>
      </c>
      <c r="AP84" s="133">
        <v>1</v>
      </c>
      <c r="AQ84" s="133">
        <v>1</v>
      </c>
      <c r="AR84" s="135">
        <v>0.105261498981944</v>
      </c>
      <c r="AS84" s="137">
        <v>0</v>
      </c>
      <c r="AT84" s="137">
        <v>0.111111111111111</v>
      </c>
      <c r="AU84" s="137">
        <v>0.1875</v>
      </c>
      <c r="AV84" s="137">
        <v>0.106666666666667</v>
      </c>
      <c r="AW84" s="93"/>
      <c r="AX84" s="91"/>
    </row>
    <row r="85" ht="14.5" spans="1:50">
      <c r="A85" s="89"/>
      <c r="B85" s="93"/>
      <c r="C85" s="148" t="s">
        <v>96</v>
      </c>
      <c r="D85" s="126" t="s">
        <v>97</v>
      </c>
      <c r="E85" s="149" t="s">
        <v>103</v>
      </c>
      <c r="F85" s="149" t="s">
        <v>103</v>
      </c>
      <c r="G85" s="149" t="s">
        <v>103</v>
      </c>
      <c r="H85" s="149" t="s">
        <v>103</v>
      </c>
      <c r="I85" s="128">
        <v>0.9</v>
      </c>
      <c r="J85" s="129">
        <v>0.909090909090909</v>
      </c>
      <c r="K85" s="129">
        <v>0.946428571428571</v>
      </c>
      <c r="L85" s="130">
        <v>0.967213114754098</v>
      </c>
      <c r="M85" s="129">
        <v>0.944517833553501</v>
      </c>
      <c r="N85" s="131">
        <v>0.9</v>
      </c>
      <c r="O85" s="129" t="s">
        <v>33</v>
      </c>
      <c r="P85" s="129" t="s">
        <v>33</v>
      </c>
      <c r="Q85" s="129" t="s">
        <v>33</v>
      </c>
      <c r="R85" s="129">
        <v>0.333333333333333</v>
      </c>
      <c r="S85" s="131">
        <v>0.9</v>
      </c>
      <c r="T85" s="129" t="s">
        <v>33</v>
      </c>
      <c r="U85" s="129" t="s">
        <v>33</v>
      </c>
      <c r="V85" s="129" t="s">
        <v>33</v>
      </c>
      <c r="W85" s="129">
        <v>0</v>
      </c>
      <c r="X85" s="131">
        <v>0.92</v>
      </c>
      <c r="Y85" s="131">
        <v>0</v>
      </c>
      <c r="Z85" s="131" t="s">
        <v>33</v>
      </c>
      <c r="AA85" s="131" t="s">
        <v>33</v>
      </c>
      <c r="AB85" s="131">
        <v>0</v>
      </c>
      <c r="AC85" s="131">
        <v>0.92</v>
      </c>
      <c r="AD85" s="129">
        <v>0.805309734513274</v>
      </c>
      <c r="AE85" s="129">
        <v>0.920792079207921</v>
      </c>
      <c r="AF85" s="129">
        <v>0.902173913043478</v>
      </c>
      <c r="AG85" s="129">
        <v>0.861064891846922</v>
      </c>
      <c r="AH85" s="131">
        <v>0.92</v>
      </c>
      <c r="AI85" s="129">
        <v>0.962160302717578</v>
      </c>
      <c r="AJ85" s="129">
        <v>0.963865725892666</v>
      </c>
      <c r="AK85" s="129">
        <v>0.969150641025641</v>
      </c>
      <c r="AL85" s="129">
        <v>0.97394200853564</v>
      </c>
      <c r="AM85" s="128">
        <v>0.99</v>
      </c>
      <c r="AN85" s="133">
        <v>1</v>
      </c>
      <c r="AO85" s="133">
        <v>1</v>
      </c>
      <c r="AP85" s="133">
        <v>1</v>
      </c>
      <c r="AQ85" s="133">
        <v>1</v>
      </c>
      <c r="AR85" s="135">
        <v>0.105261498981944</v>
      </c>
      <c r="AS85" s="137">
        <v>0</v>
      </c>
      <c r="AT85" s="137">
        <v>0.0588235294117647</v>
      </c>
      <c r="AU85" s="137">
        <v>0.1875</v>
      </c>
      <c r="AV85" s="137">
        <v>0.0940594059405941</v>
      </c>
      <c r="AW85" s="93"/>
      <c r="AX85" s="91"/>
    </row>
    <row r="86" ht="14.5" spans="1:50">
      <c r="A86" s="89"/>
      <c r="B86" s="93"/>
      <c r="C86" s="148" t="s">
        <v>96</v>
      </c>
      <c r="D86" s="126" t="s">
        <v>97</v>
      </c>
      <c r="E86" s="149" t="s">
        <v>104</v>
      </c>
      <c r="F86" s="149" t="s">
        <v>104</v>
      </c>
      <c r="G86" s="149" t="s">
        <v>104</v>
      </c>
      <c r="H86" s="149" t="s">
        <v>104</v>
      </c>
      <c r="I86" s="128">
        <v>0.9</v>
      </c>
      <c r="J86" s="129">
        <v>0.867647058823529</v>
      </c>
      <c r="K86" s="129">
        <v>0.786885245901639</v>
      </c>
      <c r="L86" s="130">
        <v>0.893939393939394</v>
      </c>
      <c r="M86" s="129">
        <v>0.871698113207547</v>
      </c>
      <c r="N86" s="131">
        <v>0.9</v>
      </c>
      <c r="O86" s="129">
        <v>0.949648946840522</v>
      </c>
      <c r="P86" s="129">
        <v>0.936821322803554</v>
      </c>
      <c r="Q86" s="129">
        <v>0.933523945675482</v>
      </c>
      <c r="R86" s="129">
        <v>0.922819505967464</v>
      </c>
      <c r="S86" s="131">
        <v>0.9</v>
      </c>
      <c r="T86" s="129">
        <v>0.85777331995988</v>
      </c>
      <c r="U86" s="129">
        <v>0.841724251398486</v>
      </c>
      <c r="V86" s="129">
        <v>0.885394329282821</v>
      </c>
      <c r="W86" s="129">
        <v>0.841325415401281</v>
      </c>
      <c r="X86" s="131">
        <v>0.92</v>
      </c>
      <c r="Y86" s="131">
        <v>0.9252536038441</v>
      </c>
      <c r="Z86" s="131">
        <v>0.918868365676876</v>
      </c>
      <c r="AA86" s="131">
        <v>0.941810344827586</v>
      </c>
      <c r="AB86" s="131">
        <v>0.938878063788329</v>
      </c>
      <c r="AC86" s="131">
        <v>0.92</v>
      </c>
      <c r="AD86" s="129">
        <v>0.933333333333333</v>
      </c>
      <c r="AE86" s="129">
        <v>0.977341389728097</v>
      </c>
      <c r="AF86" s="129">
        <v>0.972286374133949</v>
      </c>
      <c r="AG86" s="129">
        <v>0.966134858518965</v>
      </c>
      <c r="AH86" s="131">
        <v>0.92</v>
      </c>
      <c r="AI86" s="129">
        <v>0.946753692889042</v>
      </c>
      <c r="AJ86" s="129">
        <v>0.937542708760421</v>
      </c>
      <c r="AK86" s="129">
        <v>0.967949776970097</v>
      </c>
      <c r="AL86" s="129">
        <v>0.959232270226769</v>
      </c>
      <c r="AM86" s="128">
        <v>0.99</v>
      </c>
      <c r="AN86" s="133">
        <v>1</v>
      </c>
      <c r="AO86" s="133">
        <v>1</v>
      </c>
      <c r="AP86" s="133">
        <v>1</v>
      </c>
      <c r="AQ86" s="133">
        <v>1</v>
      </c>
      <c r="AR86" s="135">
        <v>0.105261498981944</v>
      </c>
      <c r="AS86" s="137">
        <v>0.125</v>
      </c>
      <c r="AT86" s="137">
        <v>0</v>
      </c>
      <c r="AU86" s="137">
        <v>0.25</v>
      </c>
      <c r="AV86" s="137">
        <v>0.102040816326531</v>
      </c>
      <c r="AW86" s="93"/>
      <c r="AX86" s="91"/>
    </row>
    <row r="87" ht="14.5" spans="1:50">
      <c r="A87" s="89"/>
      <c r="B87" s="93"/>
      <c r="C87" s="148" t="s">
        <v>96</v>
      </c>
      <c r="D87" s="126" t="s">
        <v>97</v>
      </c>
      <c r="E87" s="149" t="s">
        <v>105</v>
      </c>
      <c r="F87" s="149" t="s">
        <v>105</v>
      </c>
      <c r="G87" s="149" t="s">
        <v>105</v>
      </c>
      <c r="H87" s="149" t="s">
        <v>105</v>
      </c>
      <c r="I87" s="128">
        <v>0.9</v>
      </c>
      <c r="J87" s="129">
        <v>0.872093023255814</v>
      </c>
      <c r="K87" s="129">
        <v>0.866666666666667</v>
      </c>
      <c r="L87" s="130">
        <v>0.948051948051948</v>
      </c>
      <c r="M87" s="129">
        <v>0.911943319838057</v>
      </c>
      <c r="N87" s="131">
        <v>0.9</v>
      </c>
      <c r="O87" s="129">
        <v>0.666666666666667</v>
      </c>
      <c r="P87" s="129">
        <v>1</v>
      </c>
      <c r="Q87" s="129">
        <v>0.333333333333333</v>
      </c>
      <c r="R87" s="129">
        <v>0.684210526315789</v>
      </c>
      <c r="S87" s="131">
        <v>0.9</v>
      </c>
      <c r="T87" s="129">
        <v>0</v>
      </c>
      <c r="U87" s="129">
        <v>1</v>
      </c>
      <c r="V87" s="129">
        <v>0.666666666666667</v>
      </c>
      <c r="W87" s="129">
        <v>0.631578947368421</v>
      </c>
      <c r="X87" s="131">
        <v>0.92</v>
      </c>
      <c r="Y87" s="131">
        <v>0.357142857142857</v>
      </c>
      <c r="Z87" s="131">
        <v>1</v>
      </c>
      <c r="AA87" s="131">
        <v>1</v>
      </c>
      <c r="AB87" s="131">
        <v>0.575757575757576</v>
      </c>
      <c r="AC87" s="131">
        <v>0.92</v>
      </c>
      <c r="AD87" s="129">
        <v>0.989778534923339</v>
      </c>
      <c r="AE87" s="129">
        <v>0.983286908077994</v>
      </c>
      <c r="AF87" s="129">
        <v>0.976510067114094</v>
      </c>
      <c r="AG87" s="129">
        <v>0.982958513758905</v>
      </c>
      <c r="AH87" s="131">
        <v>0.92</v>
      </c>
      <c r="AI87" s="129">
        <v>0.979838250370202</v>
      </c>
      <c r="AJ87" s="129">
        <v>0.977272727272727</v>
      </c>
      <c r="AK87" s="129">
        <v>0.985855899419729</v>
      </c>
      <c r="AL87" s="129">
        <v>0.983812186551495</v>
      </c>
      <c r="AM87" s="128">
        <v>0.99</v>
      </c>
      <c r="AN87" s="133">
        <v>1</v>
      </c>
      <c r="AO87" s="133">
        <v>1</v>
      </c>
      <c r="AP87" s="133">
        <v>1</v>
      </c>
      <c r="AQ87" s="133">
        <v>1</v>
      </c>
      <c r="AR87" s="135">
        <v>0.105261498981944</v>
      </c>
      <c r="AS87" s="137">
        <v>0</v>
      </c>
      <c r="AT87" s="137">
        <v>0.105263157894737</v>
      </c>
      <c r="AU87" s="137">
        <v>0</v>
      </c>
      <c r="AV87" s="137">
        <v>0.051948051948052</v>
      </c>
      <c r="AW87" s="93"/>
      <c r="AX87" s="91"/>
    </row>
    <row r="88" ht="14.5" spans="1:50">
      <c r="A88" s="89"/>
      <c r="B88" s="93"/>
      <c r="C88" s="148" t="s">
        <v>96</v>
      </c>
      <c r="D88" s="126" t="s">
        <v>97</v>
      </c>
      <c r="E88" s="149" t="s">
        <v>106</v>
      </c>
      <c r="F88" s="149" t="s">
        <v>106</v>
      </c>
      <c r="G88" s="149" t="s">
        <v>106</v>
      </c>
      <c r="H88" s="149" t="s">
        <v>106</v>
      </c>
      <c r="I88" s="128">
        <v>0.9</v>
      </c>
      <c r="J88" s="129">
        <v>1</v>
      </c>
      <c r="K88" s="129">
        <v>0.947368421052632</v>
      </c>
      <c r="L88" s="130">
        <v>0.976190476190476</v>
      </c>
      <c r="M88" s="129">
        <v>0.970760233918129</v>
      </c>
      <c r="N88" s="131">
        <v>0.9</v>
      </c>
      <c r="O88" s="129">
        <v>0.923415492957746</v>
      </c>
      <c r="P88" s="129">
        <v>0.933274021352313</v>
      </c>
      <c r="Q88" s="129">
        <v>0.936802973977695</v>
      </c>
      <c r="R88" s="129">
        <v>0.925591177808095</v>
      </c>
      <c r="S88" s="131">
        <v>0.9</v>
      </c>
      <c r="T88" s="129">
        <v>0.904049295774648</v>
      </c>
      <c r="U88" s="129">
        <v>0.897686832740214</v>
      </c>
      <c r="V88" s="129">
        <v>0.904460966542751</v>
      </c>
      <c r="W88" s="129">
        <v>0.888415188722146</v>
      </c>
      <c r="X88" s="131">
        <v>0.92</v>
      </c>
      <c r="Y88" s="131">
        <v>0.965357967667437</v>
      </c>
      <c r="Z88" s="131">
        <v>0.956306990881459</v>
      </c>
      <c r="AA88" s="131">
        <v>0.959966638865721</v>
      </c>
      <c r="AB88" s="131">
        <v>0.955837543873182</v>
      </c>
      <c r="AC88" s="131">
        <v>0.92</v>
      </c>
      <c r="AD88" s="129">
        <v>0.904255319148936</v>
      </c>
      <c r="AE88" s="129">
        <v>0.992592592592593</v>
      </c>
      <c r="AF88" s="129">
        <v>0.972067039106145</v>
      </c>
      <c r="AG88" s="129">
        <v>0.986072423398329</v>
      </c>
      <c r="AH88" s="131">
        <v>0.92</v>
      </c>
      <c r="AI88" s="129">
        <v>0.973026973026973</v>
      </c>
      <c r="AJ88" s="129">
        <v>0.968852459016393</v>
      </c>
      <c r="AK88" s="129">
        <v>0.979172023656467</v>
      </c>
      <c r="AL88" s="129">
        <v>0.96840227778505</v>
      </c>
      <c r="AM88" s="128">
        <v>0.99</v>
      </c>
      <c r="AN88" s="133">
        <v>1</v>
      </c>
      <c r="AO88" s="133">
        <v>1</v>
      </c>
      <c r="AP88" s="133">
        <v>1</v>
      </c>
      <c r="AQ88" s="133">
        <v>1</v>
      </c>
      <c r="AR88" s="135">
        <v>0.105261498981944</v>
      </c>
      <c r="AS88" s="137">
        <v>0</v>
      </c>
      <c r="AT88" s="137">
        <v>0.2</v>
      </c>
      <c r="AU88" s="137">
        <v>0.142857142857143</v>
      </c>
      <c r="AV88" s="137">
        <v>0.0846153846153846</v>
      </c>
      <c r="AW88" s="93"/>
      <c r="AX88" s="91"/>
    </row>
    <row r="89" ht="14.5" spans="1:50">
      <c r="A89" s="89"/>
      <c r="B89" s="93"/>
      <c r="C89" s="148" t="s">
        <v>96</v>
      </c>
      <c r="D89" s="126" t="s">
        <v>97</v>
      </c>
      <c r="E89" s="149" t="s">
        <v>107</v>
      </c>
      <c r="F89" s="149" t="s">
        <v>107</v>
      </c>
      <c r="G89" s="149" t="s">
        <v>107</v>
      </c>
      <c r="H89" s="149" t="s">
        <v>107</v>
      </c>
      <c r="I89" s="128">
        <v>0.9</v>
      </c>
      <c r="J89" s="129">
        <v>0.857142857142857</v>
      </c>
      <c r="K89" s="129">
        <v>0.833333333333333</v>
      </c>
      <c r="L89" s="130">
        <v>0.846153846153846</v>
      </c>
      <c r="M89" s="129">
        <v>0.808888888888889</v>
      </c>
      <c r="N89" s="131">
        <v>0.9</v>
      </c>
      <c r="O89" s="129">
        <v>0.857142857142857</v>
      </c>
      <c r="P89" s="129">
        <v>1</v>
      </c>
      <c r="Q89" s="129">
        <v>0</v>
      </c>
      <c r="R89" s="129">
        <v>0.555555555555556</v>
      </c>
      <c r="S89" s="131">
        <v>0.9</v>
      </c>
      <c r="T89" s="129">
        <v>0</v>
      </c>
      <c r="U89" s="129">
        <v>1</v>
      </c>
      <c r="V89" s="129">
        <v>0</v>
      </c>
      <c r="W89" s="129">
        <v>0.222222222222222</v>
      </c>
      <c r="X89" s="131">
        <v>0.92</v>
      </c>
      <c r="Y89" s="131" t="s">
        <v>33</v>
      </c>
      <c r="Z89" s="131">
        <v>0</v>
      </c>
      <c r="AA89" s="131" t="s">
        <v>33</v>
      </c>
      <c r="AB89" s="131">
        <v>0.181818181818182</v>
      </c>
      <c r="AC89" s="131">
        <v>0.92</v>
      </c>
      <c r="AD89" s="129">
        <v>1</v>
      </c>
      <c r="AE89" s="129">
        <v>0.788732394366197</v>
      </c>
      <c r="AF89" s="129">
        <v>1</v>
      </c>
      <c r="AG89" s="129">
        <v>0.956236323851203</v>
      </c>
      <c r="AH89" s="131">
        <v>0.92</v>
      </c>
      <c r="AI89" s="129">
        <v>0.952517572801607</v>
      </c>
      <c r="AJ89" s="129">
        <v>0.939819724284199</v>
      </c>
      <c r="AK89" s="129">
        <v>0.931290163124073</v>
      </c>
      <c r="AL89" s="129">
        <v>0.943552088113814</v>
      </c>
      <c r="AM89" s="128">
        <v>0.99</v>
      </c>
      <c r="AN89" s="133">
        <v>1</v>
      </c>
      <c r="AO89" s="133">
        <v>1</v>
      </c>
      <c r="AP89" s="133">
        <v>1</v>
      </c>
      <c r="AQ89" s="133">
        <v>1</v>
      </c>
      <c r="AR89" s="135">
        <v>0.105261498981944</v>
      </c>
      <c r="AS89" s="137">
        <v>0.125</v>
      </c>
      <c r="AT89" s="137">
        <v>0</v>
      </c>
      <c r="AU89" s="137">
        <v>0.0909090909090909</v>
      </c>
      <c r="AV89" s="137">
        <v>0.102564102564103</v>
      </c>
      <c r="AW89" s="93"/>
      <c r="AX89" s="91"/>
    </row>
    <row r="90" ht="14.5" spans="1:50">
      <c r="A90" s="89"/>
      <c r="B90" s="93"/>
      <c r="C90" s="148" t="s">
        <v>96</v>
      </c>
      <c r="D90" s="126" t="s">
        <v>97</v>
      </c>
      <c r="E90" s="149" t="s">
        <v>108</v>
      </c>
      <c r="F90" s="149" t="s">
        <v>108</v>
      </c>
      <c r="G90" s="149" t="s">
        <v>108</v>
      </c>
      <c r="H90" s="149" t="s">
        <v>108</v>
      </c>
      <c r="I90" s="128">
        <v>0.9</v>
      </c>
      <c r="J90" s="129">
        <v>0.938461538461538</v>
      </c>
      <c r="K90" s="129">
        <v>0.927272727272727</v>
      </c>
      <c r="L90" s="130">
        <v>0.888888888888889</v>
      </c>
      <c r="M90" s="129">
        <v>0.919727891156463</v>
      </c>
      <c r="N90" s="131">
        <v>0.9</v>
      </c>
      <c r="O90" s="129">
        <v>0.25</v>
      </c>
      <c r="P90" s="129">
        <v>0.6</v>
      </c>
      <c r="Q90" s="129">
        <v>0.666666666666667</v>
      </c>
      <c r="R90" s="129">
        <v>0.4</v>
      </c>
      <c r="S90" s="131">
        <v>0.9</v>
      </c>
      <c r="T90" s="129">
        <v>0</v>
      </c>
      <c r="U90" s="129">
        <v>0.6</v>
      </c>
      <c r="V90" s="129">
        <v>0</v>
      </c>
      <c r="W90" s="129">
        <v>0.175</v>
      </c>
      <c r="X90" s="131">
        <v>0.92</v>
      </c>
      <c r="Y90" s="131">
        <v>0.15</v>
      </c>
      <c r="Z90" s="131" t="s">
        <v>33</v>
      </c>
      <c r="AA90" s="131">
        <v>0</v>
      </c>
      <c r="AB90" s="131">
        <v>0.25</v>
      </c>
      <c r="AC90" s="131">
        <v>0.92</v>
      </c>
      <c r="AD90" s="129">
        <v>0.998154981549816</v>
      </c>
      <c r="AE90" s="129">
        <v>0.975714285714286</v>
      </c>
      <c r="AF90" s="129">
        <v>0.670454545454545</v>
      </c>
      <c r="AG90" s="129">
        <v>0.975473126419379</v>
      </c>
      <c r="AH90" s="131">
        <v>0.92</v>
      </c>
      <c r="AI90" s="129">
        <v>0.977937059021167</v>
      </c>
      <c r="AJ90" s="129">
        <v>0.980916030534351</v>
      </c>
      <c r="AK90" s="129">
        <v>0.985459352280238</v>
      </c>
      <c r="AL90" s="129">
        <v>0.984725807021886</v>
      </c>
      <c r="AM90" s="128">
        <v>0.99</v>
      </c>
      <c r="AN90" s="133">
        <v>1</v>
      </c>
      <c r="AO90" s="133">
        <v>1</v>
      </c>
      <c r="AP90" s="133">
        <v>1</v>
      </c>
      <c r="AQ90" s="133">
        <v>1</v>
      </c>
      <c r="AR90" s="135">
        <v>0.105261498981944</v>
      </c>
      <c r="AS90" s="137">
        <v>0.181818181818182</v>
      </c>
      <c r="AT90" s="137">
        <v>0.0833333333333333</v>
      </c>
      <c r="AU90" s="137">
        <v>0</v>
      </c>
      <c r="AV90" s="137">
        <v>0.144444444444444</v>
      </c>
      <c r="AW90" s="93"/>
      <c r="AX90" s="91"/>
    </row>
    <row r="91" ht="14.5" spans="1:50">
      <c r="A91" s="89"/>
      <c r="B91" s="93"/>
      <c r="C91" s="148" t="s">
        <v>96</v>
      </c>
      <c r="D91" s="126" t="s">
        <v>97</v>
      </c>
      <c r="E91" s="149" t="s">
        <v>109</v>
      </c>
      <c r="F91" s="149" t="s">
        <v>109</v>
      </c>
      <c r="G91" s="149" t="s">
        <v>109</v>
      </c>
      <c r="H91" s="149" t="s">
        <v>109</v>
      </c>
      <c r="I91" s="128">
        <v>0.9</v>
      </c>
      <c r="J91" s="129">
        <v>0.957142857142857</v>
      </c>
      <c r="K91" s="129">
        <v>0.950819672131147</v>
      </c>
      <c r="L91" s="130">
        <v>0.913793103448276</v>
      </c>
      <c r="M91" s="129">
        <v>0.952445652173913</v>
      </c>
      <c r="N91" s="131">
        <v>0.9</v>
      </c>
      <c r="O91" s="129">
        <v>0.956440183409754</v>
      </c>
      <c r="P91" s="129">
        <v>0.975109317188026</v>
      </c>
      <c r="Q91" s="129">
        <v>0.973453543701478</v>
      </c>
      <c r="R91" s="129">
        <v>0.967849830735237</v>
      </c>
      <c r="S91" s="131">
        <v>0.9</v>
      </c>
      <c r="T91" s="129">
        <v>0.879116298457691</v>
      </c>
      <c r="U91" s="129">
        <v>0.892364614867138</v>
      </c>
      <c r="V91" s="129">
        <v>0.856749311294766</v>
      </c>
      <c r="W91" s="129">
        <v>0.866757211489733</v>
      </c>
      <c r="X91" s="131">
        <v>0.92</v>
      </c>
      <c r="Y91" s="131">
        <v>0.943997925849105</v>
      </c>
      <c r="Z91" s="131">
        <v>0.946068548387097</v>
      </c>
      <c r="AA91" s="131">
        <v>0.946206115515289</v>
      </c>
      <c r="AB91" s="131">
        <v>0.942974272724884</v>
      </c>
      <c r="AC91" s="131">
        <v>0.92</v>
      </c>
      <c r="AD91" s="129">
        <v>0.861959957850369</v>
      </c>
      <c r="AE91" s="129">
        <v>0.986646884272997</v>
      </c>
      <c r="AF91" s="129">
        <v>0.98978102189781</v>
      </c>
      <c r="AG91" s="129">
        <v>0.976539253833829</v>
      </c>
      <c r="AH91" s="131">
        <v>0.92</v>
      </c>
      <c r="AI91" s="129">
        <v>0.960628102990417</v>
      </c>
      <c r="AJ91" s="129">
        <v>0.958651491139605</v>
      </c>
      <c r="AK91" s="129">
        <v>0.963882618510158</v>
      </c>
      <c r="AL91" s="129">
        <v>0.96314856129512</v>
      </c>
      <c r="AM91" s="128">
        <v>0.99</v>
      </c>
      <c r="AN91" s="133">
        <v>1</v>
      </c>
      <c r="AO91" s="133">
        <v>1</v>
      </c>
      <c r="AP91" s="133">
        <v>1</v>
      </c>
      <c r="AQ91" s="133">
        <v>1</v>
      </c>
      <c r="AR91" s="135">
        <v>0.105261498981944</v>
      </c>
      <c r="AS91" s="137">
        <v>0.0833333333333333</v>
      </c>
      <c r="AT91" s="137">
        <v>0.0714285714285714</v>
      </c>
      <c r="AU91" s="137">
        <v>0.277777777777778</v>
      </c>
      <c r="AV91" s="137">
        <v>0.102459016393443</v>
      </c>
      <c r="AW91" s="93"/>
      <c r="AX91" s="91"/>
    </row>
    <row r="92" ht="14.5" spans="1:50">
      <c r="A92" s="89"/>
      <c r="B92" s="93"/>
      <c r="C92" s="148" t="s">
        <v>96</v>
      </c>
      <c r="D92" s="126" t="s">
        <v>97</v>
      </c>
      <c r="E92" s="149" t="s">
        <v>110</v>
      </c>
      <c r="F92" s="149" t="s">
        <v>110</v>
      </c>
      <c r="G92" s="149" t="s">
        <v>110</v>
      </c>
      <c r="H92" s="149" t="s">
        <v>110</v>
      </c>
      <c r="I92" s="128">
        <v>0.9</v>
      </c>
      <c r="J92" s="129">
        <v>0.909090909090909</v>
      </c>
      <c r="K92" s="129">
        <v>0.92156862745098</v>
      </c>
      <c r="L92" s="130">
        <v>1</v>
      </c>
      <c r="M92" s="129">
        <v>0.954545454545455</v>
      </c>
      <c r="N92" s="131">
        <v>0.9</v>
      </c>
      <c r="O92" s="129">
        <v>1</v>
      </c>
      <c r="P92" s="129" t="s">
        <v>33</v>
      </c>
      <c r="Q92" s="129" t="s">
        <v>33</v>
      </c>
      <c r="R92" s="129">
        <v>0.727272727272727</v>
      </c>
      <c r="S92" s="131">
        <v>0.9</v>
      </c>
      <c r="T92" s="129">
        <v>0.666666666666667</v>
      </c>
      <c r="U92" s="129" t="s">
        <v>33</v>
      </c>
      <c r="V92" s="129" t="s">
        <v>33</v>
      </c>
      <c r="W92" s="129">
        <v>0.545454545454545</v>
      </c>
      <c r="X92" s="131">
        <v>0.92</v>
      </c>
      <c r="Y92" s="131">
        <v>0</v>
      </c>
      <c r="Z92" s="131" t="s">
        <v>33</v>
      </c>
      <c r="AA92" s="131" t="s">
        <v>33</v>
      </c>
      <c r="AB92" s="131">
        <v>0</v>
      </c>
      <c r="AC92" s="131">
        <v>0.92</v>
      </c>
      <c r="AD92" s="129">
        <v>0.975961538461538</v>
      </c>
      <c r="AE92" s="129">
        <v>0.900662251655629</v>
      </c>
      <c r="AF92" s="129">
        <v>0.965277777777778</v>
      </c>
      <c r="AG92" s="129">
        <v>0.967014843320506</v>
      </c>
      <c r="AH92" s="131">
        <v>0.92</v>
      </c>
      <c r="AI92" s="129">
        <v>0.98801775147929</v>
      </c>
      <c r="AJ92" s="129">
        <v>0.988974641675854</v>
      </c>
      <c r="AK92" s="129">
        <v>0.988723108952117</v>
      </c>
      <c r="AL92" s="129">
        <v>0.989735508953817</v>
      </c>
      <c r="AM92" s="128">
        <v>0.99</v>
      </c>
      <c r="AN92" s="133">
        <v>1</v>
      </c>
      <c r="AO92" s="133">
        <v>1</v>
      </c>
      <c r="AP92" s="133">
        <v>1</v>
      </c>
      <c r="AQ92" s="133">
        <v>1</v>
      </c>
      <c r="AR92" s="135">
        <v>0.105261498981944</v>
      </c>
      <c r="AS92" s="137">
        <v>0.133333333333333</v>
      </c>
      <c r="AT92" s="137">
        <v>0</v>
      </c>
      <c r="AU92" s="137">
        <v>0</v>
      </c>
      <c r="AV92" s="137">
        <v>0.138211382113821</v>
      </c>
      <c r="AW92" s="93"/>
      <c r="AX92" s="91"/>
    </row>
    <row r="93" ht="14.5" spans="1:50">
      <c r="A93" s="89"/>
      <c r="B93" s="93"/>
      <c r="C93" s="148" t="s">
        <v>96</v>
      </c>
      <c r="D93" s="126" t="s">
        <v>97</v>
      </c>
      <c r="E93" s="149" t="s">
        <v>111</v>
      </c>
      <c r="F93" s="149" t="s">
        <v>111</v>
      </c>
      <c r="G93" s="149" t="s">
        <v>111</v>
      </c>
      <c r="H93" s="149" t="s">
        <v>111</v>
      </c>
      <c r="I93" s="128">
        <v>0.9</v>
      </c>
      <c r="J93" s="129">
        <v>0.916666666666667</v>
      </c>
      <c r="K93" s="129">
        <v>0.896551724137931</v>
      </c>
      <c r="L93" s="130">
        <v>0.929824561403509</v>
      </c>
      <c r="M93" s="129">
        <v>0.932276657060519</v>
      </c>
      <c r="N93" s="131">
        <v>0.9</v>
      </c>
      <c r="O93" s="129">
        <v>0.946709299227285</v>
      </c>
      <c r="P93" s="129">
        <v>0.982540375381929</v>
      </c>
      <c r="Q93" s="129">
        <v>0.951241134751773</v>
      </c>
      <c r="R93" s="129">
        <v>0.937091346153846</v>
      </c>
      <c r="S93" s="131">
        <v>0.9</v>
      </c>
      <c r="T93" s="129">
        <v>0.878763655742073</v>
      </c>
      <c r="U93" s="129">
        <v>0.896551724137931</v>
      </c>
      <c r="V93" s="129">
        <v>0.882387706855792</v>
      </c>
      <c r="W93" s="129">
        <v>0.87875</v>
      </c>
      <c r="X93" s="131">
        <v>0.92</v>
      </c>
      <c r="Y93" s="131">
        <v>0.931842013282069</v>
      </c>
      <c r="Z93" s="131">
        <v>0.937909624008279</v>
      </c>
      <c r="AA93" s="131">
        <v>0.943423952975753</v>
      </c>
      <c r="AB93" s="131">
        <v>0.943534903162881</v>
      </c>
      <c r="AC93" s="131">
        <v>0.92</v>
      </c>
      <c r="AD93" s="129">
        <v>0.935233160621762</v>
      </c>
      <c r="AE93" s="129">
        <v>0.870712401055409</v>
      </c>
      <c r="AF93" s="129">
        <v>0.878787878787879</v>
      </c>
      <c r="AG93" s="129">
        <v>0.950438917337235</v>
      </c>
      <c r="AH93" s="131">
        <v>0.92</v>
      </c>
      <c r="AI93" s="129">
        <v>0.959957691145361</v>
      </c>
      <c r="AJ93" s="129">
        <v>0.957225433526012</v>
      </c>
      <c r="AK93" s="129">
        <v>0.970290771175727</v>
      </c>
      <c r="AL93" s="129">
        <v>0.967865775629177</v>
      </c>
      <c r="AM93" s="128">
        <v>0.99</v>
      </c>
      <c r="AN93" s="133">
        <v>1</v>
      </c>
      <c r="AO93" s="133">
        <v>1</v>
      </c>
      <c r="AP93" s="133">
        <v>1</v>
      </c>
      <c r="AQ93" s="133">
        <v>1</v>
      </c>
      <c r="AR93" s="135">
        <v>0.105261498981944</v>
      </c>
      <c r="AS93" s="137">
        <v>0</v>
      </c>
      <c r="AT93" s="137">
        <v>0.125</v>
      </c>
      <c r="AU93" s="137">
        <v>0.166666666666667</v>
      </c>
      <c r="AV93" s="137">
        <v>0.079646017699115</v>
      </c>
      <c r="AW93" s="93"/>
      <c r="AX93" s="91"/>
    </row>
    <row r="94" ht="14.5" spans="1:50">
      <c r="A94" s="89"/>
      <c r="B94" s="93"/>
      <c r="C94" s="148" t="s">
        <v>96</v>
      </c>
      <c r="D94" s="126" t="s">
        <v>97</v>
      </c>
      <c r="E94" s="149" t="s">
        <v>112</v>
      </c>
      <c r="F94" s="149" t="s">
        <v>112</v>
      </c>
      <c r="G94" s="149" t="s">
        <v>112</v>
      </c>
      <c r="H94" s="149" t="s">
        <v>112</v>
      </c>
      <c r="I94" s="128">
        <v>0.9</v>
      </c>
      <c r="J94" s="129">
        <v>0.921052631578947</v>
      </c>
      <c r="K94" s="129">
        <v>0.968253968253968</v>
      </c>
      <c r="L94" s="130">
        <v>0.924242424242424</v>
      </c>
      <c r="M94" s="129">
        <v>0.946386946386946</v>
      </c>
      <c r="N94" s="131">
        <v>0.9</v>
      </c>
      <c r="O94" s="129">
        <v>0.826544315129812</v>
      </c>
      <c r="P94" s="129">
        <v>0.903622047244094</v>
      </c>
      <c r="Q94" s="129">
        <v>0.861869113740642</v>
      </c>
      <c r="R94" s="129">
        <v>0.916140282890913</v>
      </c>
      <c r="S94" s="131">
        <v>0.9</v>
      </c>
      <c r="T94" s="129">
        <v>0.905998209489705</v>
      </c>
      <c r="U94" s="129">
        <v>0.914330708661417</v>
      </c>
      <c r="V94" s="129">
        <v>0.852451098768413</v>
      </c>
      <c r="W94" s="129">
        <v>0.914880837047084</v>
      </c>
      <c r="X94" s="131">
        <v>0.92</v>
      </c>
      <c r="Y94" s="131">
        <v>0.941757406938465</v>
      </c>
      <c r="Z94" s="131">
        <v>0.941922394116155</v>
      </c>
      <c r="AA94" s="131">
        <v>0.948926291352293</v>
      </c>
      <c r="AB94" s="131">
        <v>0.949581425591287</v>
      </c>
      <c r="AC94" s="131">
        <v>0.92</v>
      </c>
      <c r="AD94" s="129">
        <v>0.956521739130435</v>
      </c>
      <c r="AE94" s="129">
        <v>0.980392156862745</v>
      </c>
      <c r="AF94" s="129">
        <v>0.941558441558442</v>
      </c>
      <c r="AG94" s="129">
        <v>0.960602036299247</v>
      </c>
      <c r="AH94" s="131">
        <v>0.92</v>
      </c>
      <c r="AI94" s="129">
        <v>0.964362081254455</v>
      </c>
      <c r="AJ94" s="129">
        <v>0.960382129811745</v>
      </c>
      <c r="AK94" s="129">
        <v>0.975443383356071</v>
      </c>
      <c r="AL94" s="129">
        <v>0.971817781342129</v>
      </c>
      <c r="AM94" s="128">
        <v>0.99</v>
      </c>
      <c r="AN94" s="133">
        <v>1</v>
      </c>
      <c r="AO94" s="133">
        <v>1</v>
      </c>
      <c r="AP94" s="133">
        <v>1</v>
      </c>
      <c r="AQ94" s="133">
        <v>1</v>
      </c>
      <c r="AR94" s="135">
        <v>0.105261498981944</v>
      </c>
      <c r="AS94" s="137">
        <v>0.210526315789474</v>
      </c>
      <c r="AT94" s="137">
        <v>0.0588235294117647</v>
      </c>
      <c r="AU94" s="137">
        <v>0.0625</v>
      </c>
      <c r="AV94" s="137">
        <v>0.0923076923076923</v>
      </c>
      <c r="AW94" s="93"/>
      <c r="AX94" s="91"/>
    </row>
    <row r="95" ht="14.5" spans="1:50">
      <c r="A95" s="89"/>
      <c r="B95" s="93"/>
      <c r="C95" s="148" t="s">
        <v>96</v>
      </c>
      <c r="D95" s="126" t="s">
        <v>97</v>
      </c>
      <c r="E95" s="149" t="s">
        <v>113</v>
      </c>
      <c r="F95" s="149" t="s">
        <v>113</v>
      </c>
      <c r="G95" s="149" t="s">
        <v>113</v>
      </c>
      <c r="H95" s="149" t="s">
        <v>113</v>
      </c>
      <c r="I95" s="128">
        <v>0.9</v>
      </c>
      <c r="J95" s="129">
        <v>0.904109589041096</v>
      </c>
      <c r="K95" s="129">
        <v>0.90625</v>
      </c>
      <c r="L95" s="130">
        <v>0.933333333333333</v>
      </c>
      <c r="M95" s="129">
        <v>0.921836228287841</v>
      </c>
      <c r="N95" s="131">
        <v>0.9</v>
      </c>
      <c r="O95" s="129">
        <v>0.96546999177857</v>
      </c>
      <c r="P95" s="129">
        <v>0.967406066093255</v>
      </c>
      <c r="Q95" s="129">
        <v>0.961438755670771</v>
      </c>
      <c r="R95" s="129">
        <v>0.963310026670511</v>
      </c>
      <c r="S95" s="131">
        <v>0.9</v>
      </c>
      <c r="T95" s="129">
        <v>0.918607837763771</v>
      </c>
      <c r="U95" s="129">
        <v>0.907197827071073</v>
      </c>
      <c r="V95" s="129">
        <v>0.898898250162022</v>
      </c>
      <c r="W95" s="129">
        <v>0.913236742833802</v>
      </c>
      <c r="X95" s="131">
        <v>0.92</v>
      </c>
      <c r="Y95" s="131">
        <v>0.935331230283912</v>
      </c>
      <c r="Z95" s="131">
        <v>0.951446280991736</v>
      </c>
      <c r="AA95" s="131">
        <v>0.935146443514644</v>
      </c>
      <c r="AB95" s="131">
        <v>0.95031660983926</v>
      </c>
      <c r="AC95" s="131">
        <v>0.92</v>
      </c>
      <c r="AD95" s="129">
        <v>0.987752928647497</v>
      </c>
      <c r="AE95" s="129">
        <v>0.995954692556634</v>
      </c>
      <c r="AF95" s="129">
        <v>0.990463215258856</v>
      </c>
      <c r="AG95" s="129">
        <v>0.987142109591089</v>
      </c>
      <c r="AH95" s="131">
        <v>0.92</v>
      </c>
      <c r="AI95" s="129">
        <v>0.956744868035191</v>
      </c>
      <c r="AJ95" s="129">
        <v>0.965382358693526</v>
      </c>
      <c r="AK95" s="129">
        <v>0.963716814159292</v>
      </c>
      <c r="AL95" s="129">
        <v>0.971591393570759</v>
      </c>
      <c r="AM95" s="128">
        <v>0.99</v>
      </c>
      <c r="AN95" s="133">
        <v>1</v>
      </c>
      <c r="AO95" s="133">
        <v>1</v>
      </c>
      <c r="AP95" s="133">
        <v>1</v>
      </c>
      <c r="AQ95" s="133">
        <v>1</v>
      </c>
      <c r="AR95" s="135">
        <v>0.105261498981944</v>
      </c>
      <c r="AS95" s="137">
        <v>0.0625</v>
      </c>
      <c r="AT95" s="137">
        <v>0</v>
      </c>
      <c r="AU95" s="137">
        <v>0.272727272727273</v>
      </c>
      <c r="AV95" s="137">
        <v>0.108433734939759</v>
      </c>
      <c r="AW95" s="93"/>
      <c r="AX95" s="91"/>
    </row>
    <row r="96" ht="14.5" spans="1:50">
      <c r="A96" s="89"/>
      <c r="B96" s="93"/>
      <c r="C96" s="148" t="s">
        <v>96</v>
      </c>
      <c r="D96" s="126" t="s">
        <v>97</v>
      </c>
      <c r="E96" s="149" t="s">
        <v>114</v>
      </c>
      <c r="F96" s="149" t="s">
        <v>114</v>
      </c>
      <c r="G96" s="149" t="s">
        <v>114</v>
      </c>
      <c r="H96" s="149" t="s">
        <v>114</v>
      </c>
      <c r="I96" s="128">
        <v>0.9</v>
      </c>
      <c r="J96" s="129">
        <v>0.882352941176471</v>
      </c>
      <c r="K96" s="129">
        <v>0.878048780487805</v>
      </c>
      <c r="L96" s="130">
        <v>0.848484848484849</v>
      </c>
      <c r="M96" s="129">
        <v>0.906873614190687</v>
      </c>
      <c r="N96" s="131">
        <v>0.9</v>
      </c>
      <c r="O96" s="129">
        <v>0.896740482707141</v>
      </c>
      <c r="P96" s="129">
        <v>0.870939875604699</v>
      </c>
      <c r="Q96" s="129">
        <v>0.896145396444977</v>
      </c>
      <c r="R96" s="129">
        <v>0.873705977382876</v>
      </c>
      <c r="S96" s="131">
        <v>0.9</v>
      </c>
      <c r="T96" s="129">
        <v>0.869868126399602</v>
      </c>
      <c r="U96" s="129">
        <v>0.861955770559779</v>
      </c>
      <c r="V96" s="129">
        <v>0.857000199720391</v>
      </c>
      <c r="W96" s="129">
        <v>0.857977382875606</v>
      </c>
      <c r="X96" s="131">
        <v>0.92</v>
      </c>
      <c r="Y96" s="131">
        <v>0.939145998465866</v>
      </c>
      <c r="Z96" s="131">
        <v>0.909475806451613</v>
      </c>
      <c r="AA96" s="131">
        <v>0.879436964504284</v>
      </c>
      <c r="AB96" s="131">
        <v>0.925877561860918</v>
      </c>
      <c r="AC96" s="131">
        <v>0.92</v>
      </c>
      <c r="AD96" s="129">
        <v>0.974699967564061</v>
      </c>
      <c r="AE96" s="129">
        <v>0.948036679990595</v>
      </c>
      <c r="AF96" s="129">
        <v>0.827070285316632</v>
      </c>
      <c r="AG96" s="129">
        <v>0.944696111740279</v>
      </c>
      <c r="AH96" s="131">
        <v>0.92</v>
      </c>
      <c r="AI96" s="129">
        <v>0.956983848020755</v>
      </c>
      <c r="AJ96" s="129">
        <v>0.938407145515445</v>
      </c>
      <c r="AK96" s="129">
        <v>0.938262309893088</v>
      </c>
      <c r="AL96" s="129">
        <v>0.953127677107215</v>
      </c>
      <c r="AM96" s="128">
        <v>0.99</v>
      </c>
      <c r="AN96" s="133">
        <v>1</v>
      </c>
      <c r="AO96" s="133">
        <v>1</v>
      </c>
      <c r="AP96" s="133">
        <v>1</v>
      </c>
      <c r="AQ96" s="133">
        <v>1</v>
      </c>
      <c r="AR96" s="135">
        <v>0.105261498981944</v>
      </c>
      <c r="AS96" s="137">
        <v>0</v>
      </c>
      <c r="AT96" s="137">
        <v>0</v>
      </c>
      <c r="AU96" s="137">
        <v>0.136363636363636</v>
      </c>
      <c r="AV96" s="137">
        <v>0.0627177700348432</v>
      </c>
      <c r="AW96" s="93"/>
      <c r="AX96" s="91"/>
    </row>
    <row r="97" ht="14.5" spans="1:50">
      <c r="A97" s="89"/>
      <c r="B97" s="93"/>
      <c r="C97" s="148" t="s">
        <v>96</v>
      </c>
      <c r="D97" s="126" t="s">
        <v>97</v>
      </c>
      <c r="E97" s="149" t="s">
        <v>115</v>
      </c>
      <c r="F97" s="149" t="s">
        <v>115</v>
      </c>
      <c r="G97" s="149" t="s">
        <v>115</v>
      </c>
      <c r="H97" s="149" t="s">
        <v>115</v>
      </c>
      <c r="I97" s="128">
        <v>0.9</v>
      </c>
      <c r="J97" s="129">
        <v>0.917525773195876</v>
      </c>
      <c r="K97" s="129">
        <v>0.860215053763441</v>
      </c>
      <c r="L97" s="130">
        <v>0.891566265060241</v>
      </c>
      <c r="M97" s="129">
        <v>0.88623326959847</v>
      </c>
      <c r="N97" s="131">
        <v>0.9</v>
      </c>
      <c r="O97" s="129">
        <v>0.867867137121304</v>
      </c>
      <c r="P97" s="129">
        <v>0.930612947658402</v>
      </c>
      <c r="Q97" s="129">
        <v>0.936938588450962</v>
      </c>
      <c r="R97" s="129">
        <v>0.900338983050847</v>
      </c>
      <c r="S97" s="131">
        <v>0.9</v>
      </c>
      <c r="T97" s="129">
        <v>0.813724297359776</v>
      </c>
      <c r="U97" s="129">
        <v>0.887224517906336</v>
      </c>
      <c r="V97" s="129">
        <v>0.857011915673694</v>
      </c>
      <c r="W97" s="129">
        <v>0.833973634651601</v>
      </c>
      <c r="X97" s="131">
        <v>0.92</v>
      </c>
      <c r="Y97" s="131">
        <v>0.854589623460003</v>
      </c>
      <c r="Z97" s="131">
        <v>0.953809031368494</v>
      </c>
      <c r="AA97" s="131">
        <v>0.947268408551069</v>
      </c>
      <c r="AB97" s="131">
        <v>0.919324114575984</v>
      </c>
      <c r="AC97" s="131">
        <v>0.92</v>
      </c>
      <c r="AD97" s="129">
        <v>0.99335604770017</v>
      </c>
      <c r="AE97" s="129">
        <v>0.664772727272727</v>
      </c>
      <c r="AF97" s="129">
        <v>0.962850388382303</v>
      </c>
      <c r="AG97" s="129">
        <v>0.902167720617558</v>
      </c>
      <c r="AH97" s="131">
        <v>0.92</v>
      </c>
      <c r="AI97" s="129">
        <v>0.917757276693127</v>
      </c>
      <c r="AJ97" s="129">
        <v>0.969741253331041</v>
      </c>
      <c r="AK97" s="129">
        <v>0.977050910050119</v>
      </c>
      <c r="AL97" s="129">
        <v>0.954077256365329</v>
      </c>
      <c r="AM97" s="128">
        <v>0.99</v>
      </c>
      <c r="AN97" s="133">
        <v>1</v>
      </c>
      <c r="AO97" s="133">
        <v>1</v>
      </c>
      <c r="AP97" s="133">
        <v>1</v>
      </c>
      <c r="AQ97" s="133">
        <v>1</v>
      </c>
      <c r="AR97" s="135">
        <v>0.105261498981944</v>
      </c>
      <c r="AS97" s="137">
        <v>0.0444444444444444</v>
      </c>
      <c r="AT97" s="137">
        <v>0.0377358490566038</v>
      </c>
      <c r="AU97" s="137">
        <v>0.151515151515152</v>
      </c>
      <c r="AV97" s="137">
        <v>0.074468085106383</v>
      </c>
      <c r="AW97" s="93"/>
      <c r="AX97" s="91"/>
    </row>
    <row r="98" ht="14.5" spans="1:50">
      <c r="A98" s="89"/>
      <c r="B98" s="93"/>
      <c r="C98" s="148" t="s">
        <v>96</v>
      </c>
      <c r="D98" s="126" t="s">
        <v>97</v>
      </c>
      <c r="E98" s="149" t="s">
        <v>116</v>
      </c>
      <c r="F98" s="149" t="s">
        <v>116</v>
      </c>
      <c r="G98" s="149" t="s">
        <v>116</v>
      </c>
      <c r="H98" s="149" t="s">
        <v>116</v>
      </c>
      <c r="I98" s="128">
        <v>0.9</v>
      </c>
      <c r="J98" s="129">
        <v>0.95</v>
      </c>
      <c r="K98" s="129">
        <v>0.972222222222222</v>
      </c>
      <c r="L98" s="130">
        <v>0.909090909090909</v>
      </c>
      <c r="M98" s="129">
        <v>0.933618843683084</v>
      </c>
      <c r="N98" s="131">
        <v>0.9</v>
      </c>
      <c r="O98" s="129">
        <v>0.871444568868981</v>
      </c>
      <c r="P98" s="129">
        <v>0.935599869238313</v>
      </c>
      <c r="Q98" s="129">
        <v>0.910660909996679</v>
      </c>
      <c r="R98" s="129">
        <v>0.890313903499292</v>
      </c>
      <c r="S98" s="131">
        <v>0.9</v>
      </c>
      <c r="T98" s="129">
        <v>0.76976483762598</v>
      </c>
      <c r="U98" s="129">
        <v>0.816606734226872</v>
      </c>
      <c r="V98" s="129">
        <v>0.75323812686815</v>
      </c>
      <c r="W98" s="129">
        <v>0.78593558613733</v>
      </c>
      <c r="X98" s="131">
        <v>0.92</v>
      </c>
      <c r="Y98" s="131">
        <v>0.926421404682274</v>
      </c>
      <c r="Z98" s="131">
        <v>0.937477148080439</v>
      </c>
      <c r="AA98" s="131">
        <v>0.940254652301665</v>
      </c>
      <c r="AB98" s="131">
        <v>0.939604510800508</v>
      </c>
      <c r="AC98" s="131">
        <v>0.92</v>
      </c>
      <c r="AD98" s="129">
        <v>0.986928104575163</v>
      </c>
      <c r="AE98" s="129">
        <v>0.972320376914017</v>
      </c>
      <c r="AF98" s="129">
        <v>0.986906710310966</v>
      </c>
      <c r="AG98" s="129">
        <v>0.985680867654356</v>
      </c>
      <c r="AH98" s="131">
        <v>0.92</v>
      </c>
      <c r="AI98" s="129">
        <v>0.947392497712717</v>
      </c>
      <c r="AJ98" s="129">
        <v>0.958060062133241</v>
      </c>
      <c r="AK98" s="129">
        <v>0.966269841269841</v>
      </c>
      <c r="AL98" s="129">
        <v>0.960701565352728</v>
      </c>
      <c r="AM98" s="128">
        <v>0.99</v>
      </c>
      <c r="AN98" s="133">
        <v>1</v>
      </c>
      <c r="AO98" s="133">
        <v>1</v>
      </c>
      <c r="AP98" s="133">
        <v>1</v>
      </c>
      <c r="AQ98" s="133">
        <v>1</v>
      </c>
      <c r="AR98" s="135">
        <v>0.105261498981944</v>
      </c>
      <c r="AS98" s="137">
        <v>0.0434782608695652</v>
      </c>
      <c r="AT98" s="137">
        <v>0.0909090909090909</v>
      </c>
      <c r="AU98" s="137">
        <v>0.0588235294117647</v>
      </c>
      <c r="AV98" s="137">
        <v>0.0738255033557047</v>
      </c>
      <c r="AW98" s="93"/>
      <c r="AX98" s="91"/>
    </row>
    <row r="99" ht="14.5" spans="1:50">
      <c r="A99" s="89"/>
      <c r="B99" s="93"/>
      <c r="C99" s="148" t="s">
        <v>96</v>
      </c>
      <c r="D99" s="126" t="s">
        <v>97</v>
      </c>
      <c r="E99" s="149" t="s">
        <v>117</v>
      </c>
      <c r="F99" s="149" t="s">
        <v>117</v>
      </c>
      <c r="G99" s="149" t="s">
        <v>117</v>
      </c>
      <c r="H99" s="149" t="s">
        <v>117</v>
      </c>
      <c r="I99" s="128">
        <v>0.9</v>
      </c>
      <c r="J99" s="129">
        <v>0.94</v>
      </c>
      <c r="K99" s="129">
        <v>0.92</v>
      </c>
      <c r="L99" s="130">
        <v>0.891304347826087</v>
      </c>
      <c r="M99" s="129">
        <v>0.911032028469751</v>
      </c>
      <c r="N99" s="131">
        <v>0.9</v>
      </c>
      <c r="O99" s="129">
        <v>0.869581821653619</v>
      </c>
      <c r="P99" s="129">
        <v>0.927536231884058</v>
      </c>
      <c r="Q99" s="129">
        <v>0.919968717413973</v>
      </c>
      <c r="R99" s="129">
        <v>0.899537329555877</v>
      </c>
      <c r="S99" s="131">
        <v>0.9</v>
      </c>
      <c r="T99" s="129">
        <v>0.861180064922666</v>
      </c>
      <c r="U99" s="129">
        <v>0.89801395598497</v>
      </c>
      <c r="V99" s="129">
        <v>0.892335766423358</v>
      </c>
      <c r="W99" s="129">
        <v>0.855369626806351</v>
      </c>
      <c r="X99" s="131">
        <v>0.92</v>
      </c>
      <c r="Y99" s="131">
        <v>0.938035853468433</v>
      </c>
      <c r="Z99" s="131">
        <v>0.950454687989965</v>
      </c>
      <c r="AA99" s="131">
        <v>0.942028985507246</v>
      </c>
      <c r="AB99" s="131">
        <v>0.938373133301218</v>
      </c>
      <c r="AC99" s="131">
        <v>0.92</v>
      </c>
      <c r="AD99" s="129">
        <v>0.993483146067416</v>
      </c>
      <c r="AE99" s="129">
        <v>0.994522390928311</v>
      </c>
      <c r="AF99" s="129">
        <v>0.991245732294494</v>
      </c>
      <c r="AG99" s="129">
        <v>0.988093781471477</v>
      </c>
      <c r="AH99" s="131">
        <v>0.92</v>
      </c>
      <c r="AI99" s="129">
        <v>0.963878570513642</v>
      </c>
      <c r="AJ99" s="129">
        <v>0.968329718004338</v>
      </c>
      <c r="AK99" s="129">
        <v>0.972047244094488</v>
      </c>
      <c r="AL99" s="129">
        <v>0.963080978705979</v>
      </c>
      <c r="AM99" s="128">
        <v>0.99</v>
      </c>
      <c r="AN99" s="133">
        <v>1</v>
      </c>
      <c r="AO99" s="133">
        <v>1</v>
      </c>
      <c r="AP99" s="133">
        <v>1</v>
      </c>
      <c r="AQ99" s="133">
        <v>1</v>
      </c>
      <c r="AR99" s="135">
        <v>0.105261498981944</v>
      </c>
      <c r="AS99" s="137">
        <v>0.0869565217391304</v>
      </c>
      <c r="AT99" s="137">
        <v>0.037037037037037</v>
      </c>
      <c r="AU99" s="137">
        <v>0.1875</v>
      </c>
      <c r="AV99" s="137">
        <v>0.113475177304965</v>
      </c>
      <c r="AW99" s="93"/>
      <c r="AX99" s="91"/>
    </row>
    <row r="100" ht="14.5" spans="1:50">
      <c r="A100" s="89"/>
      <c r="B100" s="93"/>
      <c r="C100" s="148" t="s">
        <v>96</v>
      </c>
      <c r="D100" s="126" t="s">
        <v>97</v>
      </c>
      <c r="E100" s="149" t="s">
        <v>118</v>
      </c>
      <c r="F100" s="149" t="s">
        <v>118</v>
      </c>
      <c r="G100" s="149" t="s">
        <v>118</v>
      </c>
      <c r="H100" s="149" t="s">
        <v>118</v>
      </c>
      <c r="I100" s="128">
        <v>0.9</v>
      </c>
      <c r="J100" s="129">
        <v>0.942857142857143</v>
      </c>
      <c r="K100" s="129">
        <v>0.941176470588235</v>
      </c>
      <c r="L100" s="130">
        <v>0.96875</v>
      </c>
      <c r="M100" s="129">
        <v>0.975728155339806</v>
      </c>
      <c r="N100" s="131">
        <v>0.9</v>
      </c>
      <c r="O100" s="129">
        <v>0.950396141922149</v>
      </c>
      <c r="P100" s="129">
        <v>0.963187090267272</v>
      </c>
      <c r="Q100" s="129">
        <v>0.933056564608199</v>
      </c>
      <c r="R100" s="129">
        <v>0.955468284301694</v>
      </c>
      <c r="S100" s="131">
        <v>0.9</v>
      </c>
      <c r="T100" s="129">
        <v>0.908715122287289</v>
      </c>
      <c r="U100" s="129">
        <v>0.929399899142713</v>
      </c>
      <c r="V100" s="129">
        <v>0.911261027503892</v>
      </c>
      <c r="W100" s="129">
        <v>0.923945439882184</v>
      </c>
      <c r="X100" s="131">
        <v>0.92</v>
      </c>
      <c r="Y100" s="131">
        <v>0.936648501362398</v>
      </c>
      <c r="Z100" s="131">
        <v>0.979880369766177</v>
      </c>
      <c r="AA100" s="131">
        <v>0.968553459119497</v>
      </c>
      <c r="AB100" s="131">
        <v>0.966607070765327</v>
      </c>
      <c r="AC100" s="131">
        <v>0.92</v>
      </c>
      <c r="AD100" s="129">
        <v>0.982968369829684</v>
      </c>
      <c r="AE100" s="129">
        <v>0.992412746585736</v>
      </c>
      <c r="AF100" s="129">
        <v>0.985049833887043</v>
      </c>
      <c r="AG100" s="129">
        <v>0.989865720800608</v>
      </c>
      <c r="AH100" s="131">
        <v>0.92</v>
      </c>
      <c r="AI100" s="129">
        <v>0.96591169068863</v>
      </c>
      <c r="AJ100" s="129">
        <v>0.98246991104134</v>
      </c>
      <c r="AK100" s="129">
        <v>0.980881779165041</v>
      </c>
      <c r="AL100" s="129">
        <v>0.977801522056739</v>
      </c>
      <c r="AM100" s="128">
        <v>0.99</v>
      </c>
      <c r="AN100" s="133">
        <v>1</v>
      </c>
      <c r="AO100" s="133">
        <v>1</v>
      </c>
      <c r="AP100" s="133">
        <v>1</v>
      </c>
      <c r="AQ100" s="133">
        <v>1</v>
      </c>
      <c r="AR100" s="135">
        <v>0.105261498981944</v>
      </c>
      <c r="AS100" s="137">
        <v>0</v>
      </c>
      <c r="AT100" s="137">
        <v>0.1</v>
      </c>
      <c r="AU100" s="137">
        <v>0.125</v>
      </c>
      <c r="AV100" s="137">
        <v>0.051948051948052</v>
      </c>
      <c r="AW100" s="93"/>
      <c r="AX100" s="91"/>
    </row>
    <row r="101" ht="14.5" spans="1:50">
      <c r="A101" s="89"/>
      <c r="B101" s="93"/>
      <c r="C101" s="148" t="s">
        <v>96</v>
      </c>
      <c r="D101" s="126" t="s">
        <v>97</v>
      </c>
      <c r="E101" s="149" t="s">
        <v>119</v>
      </c>
      <c r="F101" s="149" t="s">
        <v>119</v>
      </c>
      <c r="G101" s="149" t="s">
        <v>119</v>
      </c>
      <c r="H101" s="149" t="s">
        <v>119</v>
      </c>
      <c r="I101" s="128">
        <v>0.9</v>
      </c>
      <c r="J101" s="129">
        <v>1</v>
      </c>
      <c r="K101" s="129">
        <v>1</v>
      </c>
      <c r="L101" s="130">
        <v>0.983870967741935</v>
      </c>
      <c r="M101" s="129">
        <v>0.94025974025974</v>
      </c>
      <c r="N101" s="131">
        <v>0.9</v>
      </c>
      <c r="O101" s="129">
        <v>0.944434706397897</v>
      </c>
      <c r="P101" s="129">
        <v>0.961406291303199</v>
      </c>
      <c r="Q101" s="129">
        <v>0.947092863047671</v>
      </c>
      <c r="R101" s="129">
        <v>0.956446410469081</v>
      </c>
      <c r="S101" s="131">
        <v>0.9</v>
      </c>
      <c r="T101" s="129">
        <v>0.896757230499562</v>
      </c>
      <c r="U101" s="129">
        <v>0.930214115781126</v>
      </c>
      <c r="V101" s="129">
        <v>0.921190410581427</v>
      </c>
      <c r="W101" s="129">
        <v>0.908506128467422</v>
      </c>
      <c r="X101" s="131">
        <v>0.92</v>
      </c>
      <c r="Y101" s="131">
        <v>0.923591549295775</v>
      </c>
      <c r="Z101" s="131">
        <v>0.956005788712012</v>
      </c>
      <c r="AA101" s="131">
        <v>0.92891760904685</v>
      </c>
      <c r="AB101" s="131">
        <v>0.950596816976127</v>
      </c>
      <c r="AC101" s="131">
        <v>0.92</v>
      </c>
      <c r="AD101" s="129">
        <v>0.99284862932062</v>
      </c>
      <c r="AE101" s="129">
        <v>0.985983355234341</v>
      </c>
      <c r="AF101" s="129">
        <v>0.989110707803993</v>
      </c>
      <c r="AG101" s="129">
        <v>0.989417056177793</v>
      </c>
      <c r="AH101" s="131">
        <v>0.92</v>
      </c>
      <c r="AI101" s="129">
        <v>0.955646576945582</v>
      </c>
      <c r="AJ101" s="129">
        <v>0.969743022934512</v>
      </c>
      <c r="AK101" s="129">
        <v>0.966714608588453</v>
      </c>
      <c r="AL101" s="129">
        <v>0.969497340881798</v>
      </c>
      <c r="AM101" s="128">
        <v>0.99</v>
      </c>
      <c r="AN101" s="133">
        <v>1</v>
      </c>
      <c r="AO101" s="133">
        <v>1</v>
      </c>
      <c r="AP101" s="133">
        <v>1</v>
      </c>
      <c r="AQ101" s="133">
        <v>1</v>
      </c>
      <c r="AR101" s="135">
        <v>0.105261498981944</v>
      </c>
      <c r="AS101" s="137">
        <v>0.0714285714285714</v>
      </c>
      <c r="AT101" s="137">
        <v>0.09375</v>
      </c>
      <c r="AU101" s="137">
        <v>0.0833333333333333</v>
      </c>
      <c r="AV101" s="137">
        <v>0.109792284866469</v>
      </c>
      <c r="AW101" s="93"/>
      <c r="AX101" s="91"/>
    </row>
    <row r="102" ht="14.5" spans="1:50">
      <c r="A102" s="89"/>
      <c r="B102" s="93"/>
      <c r="C102" s="148" t="s">
        <v>96</v>
      </c>
      <c r="D102" s="126" t="s">
        <v>97</v>
      </c>
      <c r="E102" s="149" t="s">
        <v>120</v>
      </c>
      <c r="F102" s="149" t="s">
        <v>120</v>
      </c>
      <c r="G102" s="149" t="s">
        <v>120</v>
      </c>
      <c r="H102" s="149" t="s">
        <v>120</v>
      </c>
      <c r="I102" s="128">
        <v>0.9</v>
      </c>
      <c r="J102" s="129" t="s">
        <v>33</v>
      </c>
      <c r="K102" s="129" t="s">
        <v>33</v>
      </c>
      <c r="L102" s="130" t="s">
        <v>33</v>
      </c>
      <c r="M102" s="129" t="s">
        <v>33</v>
      </c>
      <c r="N102" s="131">
        <v>0.9</v>
      </c>
      <c r="O102" s="129">
        <v>0</v>
      </c>
      <c r="P102" s="129">
        <v>0</v>
      </c>
      <c r="Q102" s="129">
        <v>0</v>
      </c>
      <c r="R102" s="129">
        <v>0.490349819059107</v>
      </c>
      <c r="S102" s="131">
        <v>0.9</v>
      </c>
      <c r="T102" s="129">
        <v>0.983471074380165</v>
      </c>
      <c r="U102" s="129">
        <v>1</v>
      </c>
      <c r="V102" s="129">
        <v>0.984732824427481</v>
      </c>
      <c r="W102" s="129">
        <v>0.979493365500603</v>
      </c>
      <c r="X102" s="131">
        <v>0.92</v>
      </c>
      <c r="Y102" s="131">
        <v>1</v>
      </c>
      <c r="Z102" s="131">
        <v>1</v>
      </c>
      <c r="AA102" s="131">
        <v>1</v>
      </c>
      <c r="AB102" s="131">
        <v>0.969964664310954</v>
      </c>
      <c r="AC102" s="131">
        <v>0.92</v>
      </c>
      <c r="AD102" s="129" t="s">
        <v>33</v>
      </c>
      <c r="AE102" s="129" t="s">
        <v>33</v>
      </c>
      <c r="AF102" s="129" t="s">
        <v>33</v>
      </c>
      <c r="AG102" s="129">
        <v>0.731947483588621</v>
      </c>
      <c r="AH102" s="131">
        <v>0.92</v>
      </c>
      <c r="AI102" s="129">
        <v>0.986666666666667</v>
      </c>
      <c r="AJ102" s="129">
        <v>0.994011976047904</v>
      </c>
      <c r="AK102" s="129">
        <v>0.987261146496815</v>
      </c>
      <c r="AL102" s="129">
        <v>0.972719141323792</v>
      </c>
      <c r="AM102" s="128">
        <v>0.99</v>
      </c>
      <c r="AN102" s="133" t="s">
        <v>33</v>
      </c>
      <c r="AO102" s="133" t="s">
        <v>33</v>
      </c>
      <c r="AP102" s="133" t="s">
        <v>33</v>
      </c>
      <c r="AQ102" s="133">
        <v>1</v>
      </c>
      <c r="AR102" s="135">
        <v>0.105261498981944</v>
      </c>
      <c r="AS102" s="137" t="s">
        <v>33</v>
      </c>
      <c r="AT102" s="137" t="s">
        <v>33</v>
      </c>
      <c r="AU102" s="137" t="s">
        <v>33</v>
      </c>
      <c r="AV102" s="137">
        <v>0</v>
      </c>
      <c r="AW102" s="93"/>
      <c r="AX102" s="91"/>
    </row>
    <row r="103" ht="14.5" spans="1:50">
      <c r="A103" s="89"/>
      <c r="B103" s="93"/>
      <c r="C103" s="148" t="s">
        <v>96</v>
      </c>
      <c r="D103" s="126" t="s">
        <v>97</v>
      </c>
      <c r="E103" s="149" t="s">
        <v>121</v>
      </c>
      <c r="F103" s="149" t="s">
        <v>121</v>
      </c>
      <c r="G103" s="149" t="s">
        <v>121</v>
      </c>
      <c r="H103" s="149" t="s">
        <v>121</v>
      </c>
      <c r="I103" s="128">
        <v>0.9</v>
      </c>
      <c r="J103" s="129">
        <v>0.876404494382023</v>
      </c>
      <c r="K103" s="129">
        <v>0.938271604938272</v>
      </c>
      <c r="L103" s="130">
        <v>0.9625</v>
      </c>
      <c r="M103" s="129">
        <v>0.939156035328754</v>
      </c>
      <c r="N103" s="131">
        <v>0.9</v>
      </c>
      <c r="O103" s="129">
        <v>0.905385153361974</v>
      </c>
      <c r="P103" s="129">
        <v>0.955725392014758</v>
      </c>
      <c r="Q103" s="129">
        <v>0.943375328810743</v>
      </c>
      <c r="R103" s="129">
        <v>0.922032151690025</v>
      </c>
      <c r="S103" s="131">
        <v>0.9</v>
      </c>
      <c r="T103" s="129">
        <v>0.873613747627136</v>
      </c>
      <c r="U103" s="129">
        <v>0.909606008696798</v>
      </c>
      <c r="V103" s="129">
        <v>0.887165997507961</v>
      </c>
      <c r="W103" s="129">
        <v>0.879410552349547</v>
      </c>
      <c r="X103" s="131">
        <v>0.92</v>
      </c>
      <c r="Y103" s="131">
        <v>0.930703624733475</v>
      </c>
      <c r="Z103" s="131">
        <v>0.937404870624049</v>
      </c>
      <c r="AA103" s="131">
        <v>0.916823308270677</v>
      </c>
      <c r="AB103" s="131">
        <v>0.919671391878909</v>
      </c>
      <c r="AC103" s="131">
        <v>0.92</v>
      </c>
      <c r="AD103" s="129">
        <v>0.983131897004729</v>
      </c>
      <c r="AE103" s="129">
        <v>0.964532567153661</v>
      </c>
      <c r="AF103" s="129">
        <v>0.929435947195057</v>
      </c>
      <c r="AG103" s="129">
        <v>0.887200250854301</v>
      </c>
      <c r="AH103" s="131">
        <v>0.92</v>
      </c>
      <c r="AI103" s="129">
        <v>0.958262524641425</v>
      </c>
      <c r="AJ103" s="129">
        <v>0.960096453018046</v>
      </c>
      <c r="AK103" s="129">
        <v>0.956628565324217</v>
      </c>
      <c r="AL103" s="129">
        <v>0.952692990329394</v>
      </c>
      <c r="AM103" s="128">
        <v>0.99</v>
      </c>
      <c r="AN103" s="133">
        <v>1</v>
      </c>
      <c r="AO103" s="133">
        <v>1</v>
      </c>
      <c r="AP103" s="133">
        <v>1</v>
      </c>
      <c r="AQ103" s="133">
        <v>1</v>
      </c>
      <c r="AR103" s="135">
        <v>0.105261498981944</v>
      </c>
      <c r="AS103" s="137">
        <v>0.2</v>
      </c>
      <c r="AT103" s="137">
        <v>0.125</v>
      </c>
      <c r="AU103" s="137">
        <v>0.0769230769230769</v>
      </c>
      <c r="AV103" s="137">
        <v>0.0909090909090909</v>
      </c>
      <c r="AW103" s="93"/>
      <c r="AX103" s="91"/>
    </row>
    <row r="104" ht="14.5" spans="1:50">
      <c r="A104" s="89"/>
      <c r="B104" s="93"/>
      <c r="C104" s="148" t="s">
        <v>96</v>
      </c>
      <c r="D104" s="126" t="s">
        <v>97</v>
      </c>
      <c r="E104" s="149" t="s">
        <v>122</v>
      </c>
      <c r="F104" s="149" t="s">
        <v>122</v>
      </c>
      <c r="G104" s="149" t="s">
        <v>122</v>
      </c>
      <c r="H104" s="149" t="s">
        <v>122</v>
      </c>
      <c r="I104" s="128">
        <v>0.9</v>
      </c>
      <c r="J104" s="129" t="s">
        <v>33</v>
      </c>
      <c r="K104" s="129" t="s">
        <v>33</v>
      </c>
      <c r="L104" s="130" t="s">
        <v>33</v>
      </c>
      <c r="M104" s="129" t="s">
        <v>33</v>
      </c>
      <c r="N104" s="131">
        <v>0.9</v>
      </c>
      <c r="O104" s="129" t="s">
        <v>33</v>
      </c>
      <c r="P104" s="129" t="s">
        <v>33</v>
      </c>
      <c r="Q104" s="129" t="s">
        <v>33</v>
      </c>
      <c r="R104" s="129" t="s">
        <v>33</v>
      </c>
      <c r="S104" s="131">
        <v>0.9</v>
      </c>
      <c r="T104" s="129" t="s">
        <v>33</v>
      </c>
      <c r="U104" s="129" t="s">
        <v>33</v>
      </c>
      <c r="V104" s="129" t="s">
        <v>33</v>
      </c>
      <c r="W104" s="129" t="s">
        <v>33</v>
      </c>
      <c r="X104" s="131">
        <v>0.92</v>
      </c>
      <c r="Y104" s="131" t="s">
        <v>33</v>
      </c>
      <c r="Z104" s="131" t="s">
        <v>33</v>
      </c>
      <c r="AA104" s="131" t="s">
        <v>33</v>
      </c>
      <c r="AB104" s="131" t="s">
        <v>33</v>
      </c>
      <c r="AC104" s="131">
        <v>0.92</v>
      </c>
      <c r="AD104" s="129">
        <v>0.989333333333333</v>
      </c>
      <c r="AE104" s="129">
        <v>0.931506849315068</v>
      </c>
      <c r="AF104" s="129">
        <v>0.905660377358491</v>
      </c>
      <c r="AG104" s="129">
        <v>0.705833419985442</v>
      </c>
      <c r="AH104" s="131">
        <v>0.92</v>
      </c>
      <c r="AI104" s="129" t="s">
        <v>33</v>
      </c>
      <c r="AJ104" s="129" t="s">
        <v>33</v>
      </c>
      <c r="AK104" s="129" t="s">
        <v>33</v>
      </c>
      <c r="AL104" s="129" t="s">
        <v>33</v>
      </c>
      <c r="AM104" s="128">
        <v>0.99</v>
      </c>
      <c r="AN104" s="133">
        <v>1</v>
      </c>
      <c r="AO104" s="133" t="s">
        <v>33</v>
      </c>
      <c r="AP104" s="133">
        <v>1</v>
      </c>
      <c r="AQ104" s="133">
        <v>1</v>
      </c>
      <c r="AR104" s="135">
        <v>0.105261498981944</v>
      </c>
      <c r="AS104" s="137" t="s">
        <v>33</v>
      </c>
      <c r="AT104" s="137" t="s">
        <v>33</v>
      </c>
      <c r="AU104" s="137" t="s">
        <v>33</v>
      </c>
      <c r="AV104" s="137" t="s">
        <v>33</v>
      </c>
      <c r="AW104" s="93"/>
      <c r="AX104" s="91"/>
    </row>
    <row r="105" ht="14.5" spans="1:50">
      <c r="A105" s="89"/>
      <c r="B105" s="93"/>
      <c r="C105" s="148" t="s">
        <v>96</v>
      </c>
      <c r="D105" s="126" t="s">
        <v>97</v>
      </c>
      <c r="E105" s="149" t="s">
        <v>123</v>
      </c>
      <c r="F105" s="149" t="s">
        <v>123</v>
      </c>
      <c r="G105" s="149" t="s">
        <v>123</v>
      </c>
      <c r="H105" s="149" t="s">
        <v>123</v>
      </c>
      <c r="I105" s="128">
        <v>0.9</v>
      </c>
      <c r="J105" s="129">
        <v>0.855555555555556</v>
      </c>
      <c r="K105" s="129">
        <v>0.91358024691358</v>
      </c>
      <c r="L105" s="130">
        <v>0.898876404494382</v>
      </c>
      <c r="M105" s="129">
        <v>0.906999041227229</v>
      </c>
      <c r="N105" s="131">
        <v>0.9</v>
      </c>
      <c r="O105" s="129">
        <v>0.893480909829407</v>
      </c>
      <c r="P105" s="129">
        <v>0.965400367179777</v>
      </c>
      <c r="Q105" s="129">
        <v>0.937824524031421</v>
      </c>
      <c r="R105" s="129">
        <v>0.946065795797108</v>
      </c>
      <c r="S105" s="131">
        <v>0.9</v>
      </c>
      <c r="T105" s="129">
        <v>0.836515028432169</v>
      </c>
      <c r="U105" s="129">
        <v>0.907075271854258</v>
      </c>
      <c r="V105" s="129">
        <v>0.905205698309147</v>
      </c>
      <c r="W105" s="129">
        <v>0.86525186770938</v>
      </c>
      <c r="X105" s="131">
        <v>0.92</v>
      </c>
      <c r="Y105" s="131">
        <v>0.915519696250593</v>
      </c>
      <c r="Z105" s="131">
        <v>0.941749464250925</v>
      </c>
      <c r="AA105" s="131">
        <v>0.948453608247423</v>
      </c>
      <c r="AB105" s="131">
        <v>0.929881693392143</v>
      </c>
      <c r="AC105" s="131">
        <v>0.92</v>
      </c>
      <c r="AD105" s="129">
        <v>0.989659113586473</v>
      </c>
      <c r="AE105" s="129">
        <v>0.988571570848791</v>
      </c>
      <c r="AF105" s="129">
        <v>0.992758677539219</v>
      </c>
      <c r="AG105" s="129">
        <v>0.980609046225707</v>
      </c>
      <c r="AH105" s="131">
        <v>0.92</v>
      </c>
      <c r="AI105" s="129">
        <v>0.949833013572088</v>
      </c>
      <c r="AJ105" s="129">
        <v>0.965965802176225</v>
      </c>
      <c r="AK105" s="129">
        <v>0.977786632134675</v>
      </c>
      <c r="AL105" s="129">
        <v>0.959362294029531</v>
      </c>
      <c r="AM105" s="128">
        <v>0.99</v>
      </c>
      <c r="AN105" s="133">
        <v>1</v>
      </c>
      <c r="AO105" s="133">
        <v>1</v>
      </c>
      <c r="AP105" s="133">
        <v>1</v>
      </c>
      <c r="AQ105" s="133">
        <v>1</v>
      </c>
      <c r="AR105" s="135">
        <v>0.105261498981944</v>
      </c>
      <c r="AS105" s="137">
        <v>0.0588235294117647</v>
      </c>
      <c r="AT105" s="137">
        <v>0.0681818181818182</v>
      </c>
      <c r="AU105" s="137">
        <v>0.0416666666666667</v>
      </c>
      <c r="AV105" s="137">
        <v>0.0490654205607477</v>
      </c>
      <c r="AW105" s="93"/>
      <c r="AX105" s="91"/>
    </row>
    <row r="106" ht="14.5" spans="1:50">
      <c r="A106" s="89"/>
      <c r="B106" s="93"/>
      <c r="C106" s="148" t="s">
        <v>96</v>
      </c>
      <c r="D106" s="126" t="s">
        <v>97</v>
      </c>
      <c r="E106" s="149" t="s">
        <v>124</v>
      </c>
      <c r="F106" s="149" t="s">
        <v>124</v>
      </c>
      <c r="G106" s="149" t="s">
        <v>124</v>
      </c>
      <c r="H106" s="149" t="s">
        <v>124</v>
      </c>
      <c r="I106" s="128">
        <v>0.9</v>
      </c>
      <c r="J106" s="129">
        <v>0.973684210526316</v>
      </c>
      <c r="K106" s="129">
        <v>0.971428571428571</v>
      </c>
      <c r="L106" s="130">
        <v>0.956521739130435</v>
      </c>
      <c r="M106" s="129">
        <v>0.96189376443418</v>
      </c>
      <c r="N106" s="131">
        <v>0.9</v>
      </c>
      <c r="O106" s="129">
        <v>0.942112389979689</v>
      </c>
      <c r="P106" s="129">
        <v>0.968653648509764</v>
      </c>
      <c r="Q106" s="129">
        <v>0.914264597191426</v>
      </c>
      <c r="R106" s="129">
        <v>0.925860795554461</v>
      </c>
      <c r="S106" s="131">
        <v>0.9</v>
      </c>
      <c r="T106" s="129">
        <v>0.89793500338524</v>
      </c>
      <c r="U106" s="129">
        <v>0.920606372045221</v>
      </c>
      <c r="V106" s="129">
        <v>0.904409953190441</v>
      </c>
      <c r="W106" s="129">
        <v>0.884975204867583</v>
      </c>
      <c r="X106" s="131">
        <v>0.92</v>
      </c>
      <c r="Y106" s="131">
        <v>0.939841870058439</v>
      </c>
      <c r="Z106" s="131">
        <v>0.943301687763713</v>
      </c>
      <c r="AA106" s="131">
        <v>0.936139332365747</v>
      </c>
      <c r="AB106" s="131">
        <v>0.942451726155647</v>
      </c>
      <c r="AC106" s="131">
        <v>0.92</v>
      </c>
      <c r="AD106" s="129">
        <v>0.98672092525166</v>
      </c>
      <c r="AE106" s="129">
        <v>0.971625521000321</v>
      </c>
      <c r="AF106" s="129">
        <v>0.923495067445138</v>
      </c>
      <c r="AG106" s="129">
        <v>0.95933207231232</v>
      </c>
      <c r="AH106" s="131">
        <v>0.92</v>
      </c>
      <c r="AI106" s="129">
        <v>0.960553162548175</v>
      </c>
      <c r="AJ106" s="129">
        <v>0.960712891895408</v>
      </c>
      <c r="AK106" s="129">
        <v>0.967445282324812</v>
      </c>
      <c r="AL106" s="129">
        <v>0.962668950448522</v>
      </c>
      <c r="AM106" s="128">
        <v>0.99</v>
      </c>
      <c r="AN106" s="133">
        <v>1</v>
      </c>
      <c r="AO106" s="133">
        <v>1</v>
      </c>
      <c r="AP106" s="133">
        <v>1</v>
      </c>
      <c r="AQ106" s="133">
        <v>1</v>
      </c>
      <c r="AR106" s="135">
        <v>0.105261498981944</v>
      </c>
      <c r="AS106" s="137">
        <v>0.0975609756097561</v>
      </c>
      <c r="AT106" s="137">
        <v>0.2</v>
      </c>
      <c r="AU106" s="137">
        <v>0.0967741935483871</v>
      </c>
      <c r="AV106" s="137">
        <v>0.0949868073878628</v>
      </c>
      <c r="AW106" s="93"/>
      <c r="AX106" s="91"/>
    </row>
    <row r="107" ht="14.5" spans="1:50">
      <c r="A107" s="89"/>
      <c r="B107" s="93"/>
      <c r="C107" s="148" t="s">
        <v>96</v>
      </c>
      <c r="D107" s="126" t="s">
        <v>97</v>
      </c>
      <c r="E107" s="149" t="s">
        <v>125</v>
      </c>
      <c r="F107" s="149" t="s">
        <v>125</v>
      </c>
      <c r="G107" s="149" t="s">
        <v>125</v>
      </c>
      <c r="H107" s="149" t="s">
        <v>125</v>
      </c>
      <c r="I107" s="128">
        <v>0.9</v>
      </c>
      <c r="J107" s="129">
        <v>1</v>
      </c>
      <c r="K107" s="129">
        <v>0.983606557377049</v>
      </c>
      <c r="L107" s="130">
        <v>1</v>
      </c>
      <c r="M107" s="129">
        <v>0.997076023391813</v>
      </c>
      <c r="N107" s="131">
        <v>0.9</v>
      </c>
      <c r="O107" s="129">
        <v>0.967176757595919</v>
      </c>
      <c r="P107" s="129">
        <v>0.980609418282548</v>
      </c>
      <c r="Q107" s="129">
        <v>0.978731206453979</v>
      </c>
      <c r="R107" s="129">
        <v>0.978271138403401</v>
      </c>
      <c r="S107" s="131">
        <v>0.9</v>
      </c>
      <c r="T107" s="129">
        <v>0.856952761144378</v>
      </c>
      <c r="U107" s="129">
        <v>0.880540166204986</v>
      </c>
      <c r="V107" s="129">
        <v>0.892189218921892</v>
      </c>
      <c r="W107" s="129">
        <v>0.880892772791686</v>
      </c>
      <c r="X107" s="131">
        <v>0.92</v>
      </c>
      <c r="Y107" s="131">
        <v>0.938412408759124</v>
      </c>
      <c r="Z107" s="131">
        <v>0.961206896551724</v>
      </c>
      <c r="AA107" s="131">
        <v>0.945558739255014</v>
      </c>
      <c r="AB107" s="131">
        <v>0.953744577943265</v>
      </c>
      <c r="AC107" s="131">
        <v>0.92</v>
      </c>
      <c r="AD107" s="129">
        <v>0.99528706083976</v>
      </c>
      <c r="AE107" s="129">
        <v>0.995924835861444</v>
      </c>
      <c r="AF107" s="129">
        <v>0.987692307692308</v>
      </c>
      <c r="AG107" s="129">
        <v>0.989362047157267</v>
      </c>
      <c r="AH107" s="131">
        <v>0.92</v>
      </c>
      <c r="AI107" s="129">
        <v>0.957469034472467</v>
      </c>
      <c r="AJ107" s="129">
        <v>0.972496473906911</v>
      </c>
      <c r="AK107" s="129">
        <v>0.972443031266561</v>
      </c>
      <c r="AL107" s="129">
        <v>0.970598985365283</v>
      </c>
      <c r="AM107" s="128">
        <v>0.99</v>
      </c>
      <c r="AN107" s="133">
        <v>1</v>
      </c>
      <c r="AO107" s="133">
        <v>1</v>
      </c>
      <c r="AP107" s="133">
        <v>1</v>
      </c>
      <c r="AQ107" s="133">
        <v>1</v>
      </c>
      <c r="AR107" s="135">
        <v>0.105261498981944</v>
      </c>
      <c r="AS107" s="137">
        <v>0</v>
      </c>
      <c r="AT107" s="137">
        <v>0.0588235294117647</v>
      </c>
      <c r="AU107" s="137">
        <v>0</v>
      </c>
      <c r="AV107" s="137">
        <v>0.0606060606060606</v>
      </c>
      <c r="AW107" s="93"/>
      <c r="AX107" s="91"/>
    </row>
    <row r="108" ht="14.5" spans="1:50">
      <c r="A108" s="89"/>
      <c r="B108" s="93"/>
      <c r="C108" s="148" t="s">
        <v>96</v>
      </c>
      <c r="D108" s="126" t="s">
        <v>97</v>
      </c>
      <c r="E108" s="149" t="s">
        <v>126</v>
      </c>
      <c r="F108" s="149" t="s">
        <v>126</v>
      </c>
      <c r="G108" s="149" t="s">
        <v>126</v>
      </c>
      <c r="H108" s="149" t="s">
        <v>126</v>
      </c>
      <c r="I108" s="128">
        <v>0.9</v>
      </c>
      <c r="J108" s="129">
        <v>0.954545454545455</v>
      </c>
      <c r="K108" s="129">
        <v>0.911111111111111</v>
      </c>
      <c r="L108" s="130">
        <v>0.95</v>
      </c>
      <c r="M108" s="129">
        <v>0.944554455445545</v>
      </c>
      <c r="N108" s="131">
        <v>0.9</v>
      </c>
      <c r="O108" s="129">
        <v>0.91681384669728</v>
      </c>
      <c r="P108" s="129">
        <v>0.949137549756745</v>
      </c>
      <c r="Q108" s="129">
        <v>0.932346241457859</v>
      </c>
      <c r="R108" s="129">
        <v>0.935781466362149</v>
      </c>
      <c r="S108" s="131">
        <v>0.9</v>
      </c>
      <c r="T108" s="129">
        <v>0.866654892264218</v>
      </c>
      <c r="U108" s="129">
        <v>0.934984520123839</v>
      </c>
      <c r="V108" s="129">
        <v>0.900455580865604</v>
      </c>
      <c r="W108" s="129">
        <v>0.886525077777978</v>
      </c>
      <c r="X108" s="131">
        <v>0.92</v>
      </c>
      <c r="Y108" s="131">
        <v>0.908579992506557</v>
      </c>
      <c r="Z108" s="131">
        <v>0.938990399504491</v>
      </c>
      <c r="AA108" s="131">
        <v>0.915113871635611</v>
      </c>
      <c r="AB108" s="131">
        <v>0.914201677863565</v>
      </c>
      <c r="AC108" s="131">
        <v>0.92</v>
      </c>
      <c r="AD108" s="129">
        <v>0.997319643830638</v>
      </c>
      <c r="AE108" s="129">
        <v>0.984287174246295</v>
      </c>
      <c r="AF108" s="129">
        <v>0.987899812438794</v>
      </c>
      <c r="AG108" s="129">
        <v>0.985517243434265</v>
      </c>
      <c r="AH108" s="131">
        <v>0.92</v>
      </c>
      <c r="AI108" s="129">
        <v>0.941557662306492</v>
      </c>
      <c r="AJ108" s="129">
        <v>0.960779254289769</v>
      </c>
      <c r="AK108" s="129">
        <v>0.959787816563997</v>
      </c>
      <c r="AL108" s="129">
        <v>0.946990767792451</v>
      </c>
      <c r="AM108" s="128">
        <v>0.99</v>
      </c>
      <c r="AN108" s="133">
        <v>1</v>
      </c>
      <c r="AO108" s="133">
        <v>0.981191222570533</v>
      </c>
      <c r="AP108" s="133">
        <v>1</v>
      </c>
      <c r="AQ108" s="133">
        <v>0.998248248248248</v>
      </c>
      <c r="AR108" s="135">
        <v>0.105261498981944</v>
      </c>
      <c r="AS108" s="137">
        <v>0.214285714285714</v>
      </c>
      <c r="AT108" s="137">
        <v>0.0909090909090909</v>
      </c>
      <c r="AU108" s="137">
        <v>0.0909090909090909</v>
      </c>
      <c r="AV108" s="137">
        <v>0.117977528089888</v>
      </c>
      <c r="AW108" s="93"/>
      <c r="AX108" s="91"/>
    </row>
    <row r="109" ht="14.5" spans="1:50">
      <c r="A109" s="89"/>
      <c r="B109" s="93"/>
      <c r="C109" s="148" t="s">
        <v>96</v>
      </c>
      <c r="D109" s="126" t="s">
        <v>97</v>
      </c>
      <c r="E109" s="149" t="s">
        <v>127</v>
      </c>
      <c r="F109" s="149" t="s">
        <v>127</v>
      </c>
      <c r="G109" s="149" t="s">
        <v>127</v>
      </c>
      <c r="H109" s="149" t="s">
        <v>127</v>
      </c>
      <c r="I109" s="128">
        <v>0.9</v>
      </c>
      <c r="J109" s="129">
        <v>0.984615384615385</v>
      </c>
      <c r="K109" s="129">
        <v>0.983606557377049</v>
      </c>
      <c r="L109" s="130">
        <v>0.983333333333333</v>
      </c>
      <c r="M109" s="129">
        <v>0.986413043478261</v>
      </c>
      <c r="N109" s="131">
        <v>0.9</v>
      </c>
      <c r="O109" s="129">
        <v>0.901714944516501</v>
      </c>
      <c r="P109" s="129">
        <v>0.91595639246779</v>
      </c>
      <c r="Q109" s="129">
        <v>0.930285282448517</v>
      </c>
      <c r="R109" s="129">
        <v>0.916628680827787</v>
      </c>
      <c r="S109" s="131">
        <v>0.9</v>
      </c>
      <c r="T109" s="129">
        <v>0.868424845078542</v>
      </c>
      <c r="U109" s="129">
        <v>0.889197224975223</v>
      </c>
      <c r="V109" s="129">
        <v>0.895522388059702</v>
      </c>
      <c r="W109" s="129">
        <v>0.877959096848695</v>
      </c>
      <c r="X109" s="131">
        <v>0.92</v>
      </c>
      <c r="Y109" s="131">
        <v>0.904391155403301</v>
      </c>
      <c r="Z109" s="131">
        <v>0.91869918699187</v>
      </c>
      <c r="AA109" s="131">
        <v>0.91109785202864</v>
      </c>
      <c r="AB109" s="131">
        <v>0.911682242990654</v>
      </c>
      <c r="AC109" s="131">
        <v>0.92</v>
      </c>
      <c r="AD109" s="129">
        <v>0.995861117498275</v>
      </c>
      <c r="AE109" s="129">
        <v>0.99676832043696</v>
      </c>
      <c r="AF109" s="129">
        <v>0.834157900218727</v>
      </c>
      <c r="AG109" s="129">
        <v>0.94294618949649</v>
      </c>
      <c r="AH109" s="131">
        <v>0.92</v>
      </c>
      <c r="AI109" s="129">
        <v>0.928916018509402</v>
      </c>
      <c r="AJ109" s="129">
        <v>0.944689016819054</v>
      </c>
      <c r="AK109" s="129">
        <v>0.954943320418998</v>
      </c>
      <c r="AL109" s="129">
        <v>0.942772999892375</v>
      </c>
      <c r="AM109" s="128">
        <v>0.99</v>
      </c>
      <c r="AN109" s="133">
        <v>1</v>
      </c>
      <c r="AO109" s="133">
        <v>0.997584541062802</v>
      </c>
      <c r="AP109" s="133">
        <v>1</v>
      </c>
      <c r="AQ109" s="133">
        <v>0.999439304737875</v>
      </c>
      <c r="AR109" s="135">
        <v>0.105261498981944</v>
      </c>
      <c r="AS109" s="137">
        <v>0.0857142857142857</v>
      </c>
      <c r="AT109" s="137">
        <v>0.0416666666666667</v>
      </c>
      <c r="AU109" s="137">
        <v>0.103448275862069</v>
      </c>
      <c r="AV109" s="137">
        <v>0.0604395604395604</v>
      </c>
      <c r="AW109" s="93"/>
      <c r="AX109" s="91"/>
    </row>
    <row r="110" ht="14.5" spans="1:50">
      <c r="A110" s="89"/>
      <c r="B110" s="93"/>
      <c r="C110" s="148" t="s">
        <v>96</v>
      </c>
      <c r="D110" s="126" t="s">
        <v>97</v>
      </c>
      <c r="E110" s="149" t="s">
        <v>128</v>
      </c>
      <c r="F110" s="149" t="s">
        <v>128</v>
      </c>
      <c r="G110" s="149" t="s">
        <v>128</v>
      </c>
      <c r="H110" s="149" t="s">
        <v>128</v>
      </c>
      <c r="I110" s="128">
        <v>0.9</v>
      </c>
      <c r="J110" s="129" t="s">
        <v>33</v>
      </c>
      <c r="K110" s="129" t="s">
        <v>33</v>
      </c>
      <c r="L110" s="130" t="s">
        <v>33</v>
      </c>
      <c r="M110" s="129" t="s">
        <v>33</v>
      </c>
      <c r="N110" s="131">
        <v>0.9</v>
      </c>
      <c r="O110" s="129" t="s">
        <v>33</v>
      </c>
      <c r="P110" s="129" t="s">
        <v>33</v>
      </c>
      <c r="Q110" s="129" t="s">
        <v>33</v>
      </c>
      <c r="R110" s="129" t="s">
        <v>33</v>
      </c>
      <c r="S110" s="131">
        <v>0.9</v>
      </c>
      <c r="T110" s="129" t="s">
        <v>33</v>
      </c>
      <c r="U110" s="129" t="s">
        <v>33</v>
      </c>
      <c r="V110" s="129" t="s">
        <v>33</v>
      </c>
      <c r="W110" s="129" t="s">
        <v>33</v>
      </c>
      <c r="X110" s="131">
        <v>0.92</v>
      </c>
      <c r="Y110" s="131" t="s">
        <v>33</v>
      </c>
      <c r="Z110" s="131" t="s">
        <v>33</v>
      </c>
      <c r="AA110" s="131">
        <v>0</v>
      </c>
      <c r="AB110" s="131">
        <v>0.5</v>
      </c>
      <c r="AC110" s="131">
        <v>0.92</v>
      </c>
      <c r="AD110" s="129">
        <v>0.989528795811518</v>
      </c>
      <c r="AE110" s="129">
        <v>0.971204188481675</v>
      </c>
      <c r="AF110" s="129">
        <v>0.6</v>
      </c>
      <c r="AG110" s="129">
        <v>0.900736887732987</v>
      </c>
      <c r="AH110" s="131">
        <v>0.92</v>
      </c>
      <c r="AI110" s="129" t="s">
        <v>33</v>
      </c>
      <c r="AJ110" s="129" t="s">
        <v>33</v>
      </c>
      <c r="AK110" s="129">
        <v>0</v>
      </c>
      <c r="AL110" s="129">
        <v>0.5</v>
      </c>
      <c r="AM110" s="128">
        <v>0.99</v>
      </c>
      <c r="AN110" s="133">
        <v>1</v>
      </c>
      <c r="AO110" s="133">
        <v>1</v>
      </c>
      <c r="AP110" s="133">
        <v>1</v>
      </c>
      <c r="AQ110" s="133">
        <v>1</v>
      </c>
      <c r="AR110" s="135">
        <v>0.105261498981944</v>
      </c>
      <c r="AS110" s="137" t="s">
        <v>33</v>
      </c>
      <c r="AT110" s="137" t="s">
        <v>33</v>
      </c>
      <c r="AU110" s="137" t="s">
        <v>33</v>
      </c>
      <c r="AV110" s="137" t="s">
        <v>33</v>
      </c>
      <c r="AW110" s="93"/>
      <c r="AX110" s="91"/>
    </row>
    <row r="111" ht="14.5" spans="1:50">
      <c r="A111" s="89"/>
      <c r="B111" s="93"/>
      <c r="C111" s="148" t="s">
        <v>96</v>
      </c>
      <c r="D111" s="126" t="s">
        <v>97</v>
      </c>
      <c r="E111" s="149" t="s">
        <v>129</v>
      </c>
      <c r="F111" s="149" t="s">
        <v>129</v>
      </c>
      <c r="G111" s="149" t="s">
        <v>129</v>
      </c>
      <c r="H111" s="149" t="s">
        <v>129</v>
      </c>
      <c r="I111" s="128">
        <v>0.9</v>
      </c>
      <c r="J111" s="129">
        <v>0.89622641509434</v>
      </c>
      <c r="K111" s="129">
        <v>0.838095238095238</v>
      </c>
      <c r="L111" s="130">
        <v>0.858490566037736</v>
      </c>
      <c r="M111" s="129">
        <v>0.870731707317073</v>
      </c>
      <c r="N111" s="131">
        <v>0.9</v>
      </c>
      <c r="O111" s="129">
        <v>0.833610385498298</v>
      </c>
      <c r="P111" s="129">
        <v>0.881486226777707</v>
      </c>
      <c r="Q111" s="129">
        <v>0.8943011779688</v>
      </c>
      <c r="R111" s="129">
        <v>0.87625367995609</v>
      </c>
      <c r="S111" s="131">
        <v>0.9</v>
      </c>
      <c r="T111" s="129">
        <v>0.819045357397293</v>
      </c>
      <c r="U111" s="129">
        <v>0.854473628016229</v>
      </c>
      <c r="V111" s="129">
        <v>0.856202907778839</v>
      </c>
      <c r="W111" s="129">
        <v>0.847421120037257</v>
      </c>
      <c r="X111" s="131">
        <v>0.92</v>
      </c>
      <c r="Y111" s="131">
        <v>0.900237127371274</v>
      </c>
      <c r="Z111" s="131">
        <v>0.891978453923424</v>
      </c>
      <c r="AA111" s="131">
        <v>0.921333333333333</v>
      </c>
      <c r="AB111" s="131">
        <v>0.890485425033212</v>
      </c>
      <c r="AC111" s="131">
        <v>0.92</v>
      </c>
      <c r="AD111" s="129">
        <v>0.988430337682647</v>
      </c>
      <c r="AE111" s="129">
        <v>0.982612953179085</v>
      </c>
      <c r="AF111" s="129">
        <v>0.977201832202702</v>
      </c>
      <c r="AG111" s="129">
        <v>0.981314339011415</v>
      </c>
      <c r="AH111" s="131">
        <v>0.92</v>
      </c>
      <c r="AI111" s="129">
        <v>0.935497788803797</v>
      </c>
      <c r="AJ111" s="129">
        <v>0.919652752124123</v>
      </c>
      <c r="AK111" s="129">
        <v>0.961371318203766</v>
      </c>
      <c r="AL111" s="129">
        <v>0.932074476388358</v>
      </c>
      <c r="AM111" s="128">
        <v>0.99</v>
      </c>
      <c r="AN111" s="133">
        <v>1</v>
      </c>
      <c r="AO111" s="133">
        <v>1</v>
      </c>
      <c r="AP111" s="133">
        <v>1</v>
      </c>
      <c r="AQ111" s="133">
        <v>1</v>
      </c>
      <c r="AR111" s="135">
        <v>0.105261498981944</v>
      </c>
      <c r="AS111" s="137">
        <v>0.00568181818181818</v>
      </c>
      <c r="AT111" s="137">
        <v>0.00442477876106195</v>
      </c>
      <c r="AU111" s="137">
        <v>0.00985221674876847</v>
      </c>
      <c r="AV111" s="137">
        <v>0.0182245737801293</v>
      </c>
      <c r="AW111" s="93"/>
      <c r="AX111" s="91"/>
    </row>
    <row r="112" ht="14.5" spans="1:50">
      <c r="A112" s="89"/>
      <c r="B112" s="93"/>
      <c r="C112" s="148" t="s">
        <v>96</v>
      </c>
      <c r="D112" s="126" t="s">
        <v>97</v>
      </c>
      <c r="E112" s="149" t="s">
        <v>130</v>
      </c>
      <c r="F112" s="149" t="s">
        <v>130</v>
      </c>
      <c r="G112" s="149" t="s">
        <v>130</v>
      </c>
      <c r="H112" s="149" t="s">
        <v>130</v>
      </c>
      <c r="I112" s="128">
        <v>0.9</v>
      </c>
      <c r="J112" s="129" t="s">
        <v>33</v>
      </c>
      <c r="K112" s="129" t="s">
        <v>33</v>
      </c>
      <c r="L112" s="130" t="s">
        <v>33</v>
      </c>
      <c r="M112" s="129" t="s">
        <v>33</v>
      </c>
      <c r="N112" s="131">
        <v>0.9</v>
      </c>
      <c r="O112" s="129">
        <v>0.5</v>
      </c>
      <c r="P112" s="129">
        <v>0</v>
      </c>
      <c r="Q112" s="129">
        <v>0</v>
      </c>
      <c r="R112" s="129">
        <v>0.277777777777778</v>
      </c>
      <c r="S112" s="131">
        <v>0.9</v>
      </c>
      <c r="T112" s="129">
        <v>1</v>
      </c>
      <c r="U112" s="129">
        <v>1</v>
      </c>
      <c r="V112" s="129">
        <v>1</v>
      </c>
      <c r="W112" s="129">
        <v>1</v>
      </c>
      <c r="X112" s="131">
        <v>0.92</v>
      </c>
      <c r="Y112" s="131" t="s">
        <v>33</v>
      </c>
      <c r="Z112" s="131" t="s">
        <v>33</v>
      </c>
      <c r="AA112" s="131" t="s">
        <v>33</v>
      </c>
      <c r="AB112" s="131" t="s">
        <v>33</v>
      </c>
      <c r="AC112" s="131">
        <v>0.92</v>
      </c>
      <c r="AD112" s="129">
        <v>0.99096838936277</v>
      </c>
      <c r="AE112" s="129">
        <v>0.986895438983118</v>
      </c>
      <c r="AF112" s="129">
        <v>0.985008427215471</v>
      </c>
      <c r="AG112" s="129">
        <v>0.948952215881328</v>
      </c>
      <c r="AH112" s="131">
        <v>0.92</v>
      </c>
      <c r="AI112" s="129">
        <v>1</v>
      </c>
      <c r="AJ112" s="129">
        <v>1</v>
      </c>
      <c r="AK112" s="129">
        <v>1</v>
      </c>
      <c r="AL112" s="129">
        <v>1</v>
      </c>
      <c r="AM112" s="128">
        <v>0.99</v>
      </c>
      <c r="AN112" s="133">
        <v>1</v>
      </c>
      <c r="AO112" s="133">
        <v>1</v>
      </c>
      <c r="AP112" s="133">
        <v>1</v>
      </c>
      <c r="AQ112" s="133">
        <v>1</v>
      </c>
      <c r="AR112" s="135">
        <v>0.105261498981944</v>
      </c>
      <c r="AS112" s="137" t="s">
        <v>33</v>
      </c>
      <c r="AT112" s="137" t="s">
        <v>33</v>
      </c>
      <c r="AU112" s="137" t="s">
        <v>33</v>
      </c>
      <c r="AV112" s="137" t="s">
        <v>33</v>
      </c>
      <c r="AW112" s="93"/>
      <c r="AX112" s="91"/>
    </row>
    <row r="113" ht="14.5" spans="1:50">
      <c r="A113" s="89"/>
      <c r="B113" s="93"/>
      <c r="C113" s="148" t="s">
        <v>96</v>
      </c>
      <c r="D113" s="126" t="s">
        <v>97</v>
      </c>
      <c r="E113" s="149" t="s">
        <v>131</v>
      </c>
      <c r="F113" s="149" t="s">
        <v>131</v>
      </c>
      <c r="G113" s="149" t="s">
        <v>131</v>
      </c>
      <c r="H113" s="149" t="s">
        <v>131</v>
      </c>
      <c r="I113" s="128">
        <v>0.9</v>
      </c>
      <c r="J113" s="129">
        <v>0.984375</v>
      </c>
      <c r="K113" s="129">
        <v>0.892307692307692</v>
      </c>
      <c r="L113" s="130">
        <v>0.864864864864865</v>
      </c>
      <c r="M113" s="129">
        <v>0.893413173652695</v>
      </c>
      <c r="N113" s="131">
        <v>0.9</v>
      </c>
      <c r="O113" s="129">
        <v>0.893133583021223</v>
      </c>
      <c r="P113" s="129">
        <v>0.965098107310297</v>
      </c>
      <c r="Q113" s="129">
        <v>0.92859907120743</v>
      </c>
      <c r="R113" s="129">
        <v>0.930304407087687</v>
      </c>
      <c r="S113" s="131">
        <v>0.9</v>
      </c>
      <c r="T113" s="129">
        <v>0.85705368289638</v>
      </c>
      <c r="U113" s="129">
        <v>0.914394860218788</v>
      </c>
      <c r="V113" s="129">
        <v>0.892801857585139</v>
      </c>
      <c r="W113" s="129">
        <v>0.870695138573376</v>
      </c>
      <c r="X113" s="131">
        <v>0.92</v>
      </c>
      <c r="Y113" s="131">
        <v>0.909564823209429</v>
      </c>
      <c r="Z113" s="131">
        <v>0.919593736775286</v>
      </c>
      <c r="AA113" s="131">
        <v>0.93574297188755</v>
      </c>
      <c r="AB113" s="131">
        <v>0.898859619592661</v>
      </c>
      <c r="AC113" s="131">
        <v>0.92</v>
      </c>
      <c r="AD113" s="129">
        <v>0.998771750255885</v>
      </c>
      <c r="AE113" s="129">
        <v>0.885564533740992</v>
      </c>
      <c r="AF113" s="129">
        <v>0.874357572443958</v>
      </c>
      <c r="AG113" s="129">
        <v>0.928280655705832</v>
      </c>
      <c r="AH113" s="131">
        <v>0.92</v>
      </c>
      <c r="AI113" s="129">
        <v>0.92870936594786</v>
      </c>
      <c r="AJ113" s="129">
        <v>0.948884226587831</v>
      </c>
      <c r="AK113" s="129">
        <v>0.961033519553073</v>
      </c>
      <c r="AL113" s="129">
        <v>0.935070355832751</v>
      </c>
      <c r="AM113" s="128">
        <v>0.99</v>
      </c>
      <c r="AN113" s="133">
        <v>1</v>
      </c>
      <c r="AO113" s="133">
        <v>1</v>
      </c>
      <c r="AP113" s="133">
        <v>1</v>
      </c>
      <c r="AQ113" s="133">
        <v>1</v>
      </c>
      <c r="AR113" s="135">
        <v>0.105261498981944</v>
      </c>
      <c r="AS113" s="137">
        <v>0.117647058823529</v>
      </c>
      <c r="AT113" s="137">
        <v>0.125</v>
      </c>
      <c r="AU113" s="137">
        <v>0.0588235294117647</v>
      </c>
      <c r="AV113" s="137">
        <v>0.0863636363636364</v>
      </c>
      <c r="AW113" s="93"/>
      <c r="AX113" s="91"/>
    </row>
    <row r="114" ht="14.5" spans="1:50">
      <c r="A114" s="89"/>
      <c r="B114" s="93"/>
      <c r="C114" s="148" t="s">
        <v>96</v>
      </c>
      <c r="D114" s="126" t="s">
        <v>97</v>
      </c>
      <c r="E114" s="149" t="s">
        <v>132</v>
      </c>
      <c r="F114" s="149" t="s">
        <v>132</v>
      </c>
      <c r="G114" s="149" t="s">
        <v>132</v>
      </c>
      <c r="H114" s="149" t="s">
        <v>132</v>
      </c>
      <c r="I114" s="128">
        <v>0.9</v>
      </c>
      <c r="J114" s="129">
        <v>0.911764705882353</v>
      </c>
      <c r="K114" s="129">
        <v>0.908163265306122</v>
      </c>
      <c r="L114" s="130">
        <v>0.869565217391304</v>
      </c>
      <c r="M114" s="129">
        <v>0.890748898678414</v>
      </c>
      <c r="N114" s="131">
        <v>0.9</v>
      </c>
      <c r="O114" s="129">
        <v>0.720245880198797</v>
      </c>
      <c r="P114" s="129">
        <v>0.699245101188564</v>
      </c>
      <c r="Q114" s="129">
        <v>0.698737659815504</v>
      </c>
      <c r="R114" s="129">
        <v>0.744875375454498</v>
      </c>
      <c r="S114" s="131">
        <v>0.9</v>
      </c>
      <c r="T114" s="129">
        <v>0.938856918650275</v>
      </c>
      <c r="U114" s="129">
        <v>0.967876646321876</v>
      </c>
      <c r="V114" s="129">
        <v>0.959621297944651</v>
      </c>
      <c r="W114" s="129">
        <v>0.93297807872688</v>
      </c>
      <c r="X114" s="131">
        <v>0.92</v>
      </c>
      <c r="Y114" s="131">
        <v>0.966518158498717</v>
      </c>
      <c r="Z114" s="131">
        <v>0.970357195790722</v>
      </c>
      <c r="AA114" s="131">
        <v>0.979345198857394</v>
      </c>
      <c r="AB114" s="131">
        <v>0.972572342703805</v>
      </c>
      <c r="AC114" s="131">
        <v>0.92</v>
      </c>
      <c r="AD114" s="129">
        <v>0.986601828124054</v>
      </c>
      <c r="AE114" s="129">
        <v>0.979393175913135</v>
      </c>
      <c r="AF114" s="129">
        <v>0.922298249506756</v>
      </c>
      <c r="AG114" s="129">
        <v>0.962991402766324</v>
      </c>
      <c r="AH114" s="131">
        <v>0.92</v>
      </c>
      <c r="AI114" s="129">
        <v>0.974368008455915</v>
      </c>
      <c r="AJ114" s="129">
        <v>0.984589754269055</v>
      </c>
      <c r="AK114" s="129">
        <v>0.98912722330556</v>
      </c>
      <c r="AL114" s="129">
        <v>0.981330648851469</v>
      </c>
      <c r="AM114" s="128">
        <v>0.99</v>
      </c>
      <c r="AN114" s="133">
        <v>1</v>
      </c>
      <c r="AO114" s="133">
        <v>1</v>
      </c>
      <c r="AP114" s="133">
        <v>1</v>
      </c>
      <c r="AQ114" s="133">
        <v>1</v>
      </c>
      <c r="AR114" s="135">
        <v>0.105261498981944</v>
      </c>
      <c r="AS114" s="137">
        <v>0.0769230769230769</v>
      </c>
      <c r="AT114" s="137">
        <v>0.24</v>
      </c>
      <c r="AU114" s="137">
        <v>0.0952380952380952</v>
      </c>
      <c r="AV114" s="137">
        <v>0.0773638968481375</v>
      </c>
      <c r="AW114" s="93"/>
      <c r="AX114" s="91"/>
    </row>
    <row r="115" ht="14.5" spans="1:50">
      <c r="A115" s="89"/>
      <c r="B115" s="93"/>
      <c r="C115" s="148" t="s">
        <v>96</v>
      </c>
      <c r="D115" s="126" t="s">
        <v>97</v>
      </c>
      <c r="E115" s="149" t="s">
        <v>133</v>
      </c>
      <c r="F115" s="149" t="s">
        <v>133</v>
      </c>
      <c r="G115" s="149" t="s">
        <v>133</v>
      </c>
      <c r="H115" s="149" t="s">
        <v>133</v>
      </c>
      <c r="I115" s="128">
        <v>0.9</v>
      </c>
      <c r="J115" s="129">
        <v>0.865168539325843</v>
      </c>
      <c r="K115" s="129">
        <v>0.89873417721519</v>
      </c>
      <c r="L115" s="130">
        <v>0.868421052631579</v>
      </c>
      <c r="M115" s="129">
        <v>0.868041237113402</v>
      </c>
      <c r="N115" s="131">
        <v>0.9</v>
      </c>
      <c r="O115" s="129">
        <v>0.900067069081154</v>
      </c>
      <c r="P115" s="129">
        <v>0.947314682458648</v>
      </c>
      <c r="Q115" s="129">
        <v>0.957562349155269</v>
      </c>
      <c r="R115" s="129">
        <v>0.916767631230453</v>
      </c>
      <c r="S115" s="131">
        <v>0.9</v>
      </c>
      <c r="T115" s="129">
        <v>0.850570087189806</v>
      </c>
      <c r="U115" s="129">
        <v>0.880947518889116</v>
      </c>
      <c r="V115" s="129">
        <v>0.842518101367659</v>
      </c>
      <c r="W115" s="129">
        <v>0.831774252627427</v>
      </c>
      <c r="X115" s="131">
        <v>0.92</v>
      </c>
      <c r="Y115" s="131">
        <v>0.930824571112341</v>
      </c>
      <c r="Z115" s="131">
        <v>0.941870824053452</v>
      </c>
      <c r="AA115" s="131">
        <v>0.948315911730546</v>
      </c>
      <c r="AB115" s="131">
        <v>0.929373842342017</v>
      </c>
      <c r="AC115" s="131">
        <v>0.92</v>
      </c>
      <c r="AD115" s="129">
        <v>0.98359276398822</v>
      </c>
      <c r="AE115" s="129">
        <v>0.949594642227705</v>
      </c>
      <c r="AF115" s="129">
        <v>0.992863939105614</v>
      </c>
      <c r="AG115" s="129">
        <v>0.972528489463526</v>
      </c>
      <c r="AH115" s="131">
        <v>0.92</v>
      </c>
      <c r="AI115" s="129">
        <v>0.95292735814962</v>
      </c>
      <c r="AJ115" s="129">
        <v>0.960690316395014</v>
      </c>
      <c r="AK115" s="129">
        <v>0.966990291262136</v>
      </c>
      <c r="AL115" s="129">
        <v>0.955424084141705</v>
      </c>
      <c r="AM115" s="128">
        <v>0.99</v>
      </c>
      <c r="AN115" s="133">
        <v>1</v>
      </c>
      <c r="AO115" s="133">
        <v>1</v>
      </c>
      <c r="AP115" s="133">
        <v>1</v>
      </c>
      <c r="AQ115" s="133">
        <v>1</v>
      </c>
      <c r="AR115" s="135">
        <v>0.105261498981944</v>
      </c>
      <c r="AS115" s="137">
        <v>0.142857142857143</v>
      </c>
      <c r="AT115" s="137">
        <v>0.227272727272727</v>
      </c>
      <c r="AU115" s="137">
        <v>0.176470588235294</v>
      </c>
      <c r="AV115" s="137">
        <v>0.0925925925925926</v>
      </c>
      <c r="AW115" s="93"/>
      <c r="AX115" s="91"/>
    </row>
    <row r="116" ht="14.5" spans="1:50">
      <c r="A116" s="89"/>
      <c r="B116" s="93"/>
      <c r="C116" s="148" t="s">
        <v>96</v>
      </c>
      <c r="D116" s="126" t="s">
        <v>97</v>
      </c>
      <c r="E116" s="149" t="s">
        <v>134</v>
      </c>
      <c r="F116" s="149" t="s">
        <v>134</v>
      </c>
      <c r="G116" s="149" t="s">
        <v>134</v>
      </c>
      <c r="H116" s="149" t="s">
        <v>134</v>
      </c>
      <c r="I116" s="128">
        <v>0.9</v>
      </c>
      <c r="J116" s="129">
        <v>1</v>
      </c>
      <c r="K116" s="129">
        <v>0.9875</v>
      </c>
      <c r="L116" s="130">
        <v>0.965116279069767</v>
      </c>
      <c r="M116" s="129">
        <v>0.97914691943128</v>
      </c>
      <c r="N116" s="131">
        <v>0.9</v>
      </c>
      <c r="O116" s="129">
        <v>0</v>
      </c>
      <c r="P116" s="129" t="s">
        <v>33</v>
      </c>
      <c r="Q116" s="129" t="s">
        <v>33</v>
      </c>
      <c r="R116" s="129">
        <v>0.333333333333333</v>
      </c>
      <c r="S116" s="131">
        <v>0.9</v>
      </c>
      <c r="T116" s="129">
        <v>0</v>
      </c>
      <c r="U116" s="129" t="s">
        <v>33</v>
      </c>
      <c r="V116" s="129" t="s">
        <v>33</v>
      </c>
      <c r="W116" s="129">
        <v>0.333333333333333</v>
      </c>
      <c r="X116" s="131">
        <v>0.92</v>
      </c>
      <c r="Y116" s="131" t="s">
        <v>33</v>
      </c>
      <c r="Z116" s="131">
        <v>0</v>
      </c>
      <c r="AA116" s="131" t="s">
        <v>33</v>
      </c>
      <c r="AB116" s="131">
        <v>0</v>
      </c>
      <c r="AC116" s="131">
        <v>0.92</v>
      </c>
      <c r="AD116" s="129">
        <v>0.996288047512992</v>
      </c>
      <c r="AE116" s="129">
        <v>0.998631074606434</v>
      </c>
      <c r="AF116" s="129">
        <v>0.993597206053551</v>
      </c>
      <c r="AG116" s="129">
        <v>0.995884309635226</v>
      </c>
      <c r="AH116" s="131">
        <v>0.92</v>
      </c>
      <c r="AI116" s="129">
        <v>0.965056124938995</v>
      </c>
      <c r="AJ116" s="129">
        <v>0.966992014196983</v>
      </c>
      <c r="AK116" s="129">
        <v>0.97300384176098</v>
      </c>
      <c r="AL116" s="129">
        <v>0.977381907459138</v>
      </c>
      <c r="AM116" s="128">
        <v>0.99</v>
      </c>
      <c r="AN116" s="133">
        <v>1</v>
      </c>
      <c r="AO116" s="133">
        <v>1</v>
      </c>
      <c r="AP116" s="133">
        <v>1</v>
      </c>
      <c r="AQ116" s="133">
        <v>1</v>
      </c>
      <c r="AR116" s="135">
        <v>0.105261498981944</v>
      </c>
      <c r="AS116" s="137">
        <v>0</v>
      </c>
      <c r="AT116" s="137">
        <v>0</v>
      </c>
      <c r="AU116" s="137">
        <v>0</v>
      </c>
      <c r="AV116" s="137">
        <v>0.0823045267489712</v>
      </c>
      <c r="AW116" s="93"/>
      <c r="AX116" s="91"/>
    </row>
    <row r="117" ht="14.5" spans="1:50">
      <c r="A117" s="89"/>
      <c r="B117" s="93"/>
      <c r="C117" s="148" t="s">
        <v>96</v>
      </c>
      <c r="D117" s="126" t="s">
        <v>97</v>
      </c>
      <c r="E117" s="149" t="s">
        <v>135</v>
      </c>
      <c r="F117" s="149" t="s">
        <v>135</v>
      </c>
      <c r="G117" s="149" t="s">
        <v>135</v>
      </c>
      <c r="H117" s="149" t="s">
        <v>135</v>
      </c>
      <c r="I117" s="128">
        <v>0.9</v>
      </c>
      <c r="J117" s="129">
        <v>0.907216494845361</v>
      </c>
      <c r="K117" s="129">
        <v>0.947368421052632</v>
      </c>
      <c r="L117" s="130">
        <v>0.897959183673469</v>
      </c>
      <c r="M117" s="129">
        <v>0.919869174161897</v>
      </c>
      <c r="N117" s="131">
        <v>0.9</v>
      </c>
      <c r="O117" s="129">
        <v>0</v>
      </c>
      <c r="P117" s="129" t="s">
        <v>33</v>
      </c>
      <c r="Q117" s="129">
        <v>1</v>
      </c>
      <c r="R117" s="129">
        <v>0.333333333333333</v>
      </c>
      <c r="S117" s="131">
        <v>0.9</v>
      </c>
      <c r="T117" s="129">
        <v>0</v>
      </c>
      <c r="U117" s="129" t="s">
        <v>33</v>
      </c>
      <c r="V117" s="129">
        <v>0</v>
      </c>
      <c r="W117" s="129">
        <v>0</v>
      </c>
      <c r="X117" s="131">
        <v>0.92</v>
      </c>
      <c r="Y117" s="131">
        <v>0</v>
      </c>
      <c r="Z117" s="131">
        <v>0</v>
      </c>
      <c r="AA117" s="131">
        <v>0</v>
      </c>
      <c r="AB117" s="131">
        <v>0</v>
      </c>
      <c r="AC117" s="131">
        <v>0.92</v>
      </c>
      <c r="AD117" s="129">
        <v>0.966887417218543</v>
      </c>
      <c r="AE117" s="129">
        <v>0.984126984126984</v>
      </c>
      <c r="AF117" s="129">
        <v>0.984251968503937</v>
      </c>
      <c r="AG117" s="129">
        <v>0.897735573411249</v>
      </c>
      <c r="AH117" s="131">
        <v>0.92</v>
      </c>
      <c r="AI117" s="129">
        <v>0.950754400670578</v>
      </c>
      <c r="AJ117" s="129">
        <v>0.949707602339181</v>
      </c>
      <c r="AK117" s="129">
        <v>0.9623944742901</v>
      </c>
      <c r="AL117" s="129">
        <v>0.972123605274598</v>
      </c>
      <c r="AM117" s="128">
        <v>0.99</v>
      </c>
      <c r="AN117" s="133">
        <v>1</v>
      </c>
      <c r="AO117" s="133">
        <v>1</v>
      </c>
      <c r="AP117" s="133">
        <v>1</v>
      </c>
      <c r="AQ117" s="133">
        <v>1</v>
      </c>
      <c r="AR117" s="135">
        <v>0.105261498981944</v>
      </c>
      <c r="AS117" s="137">
        <v>0</v>
      </c>
      <c r="AT117" s="137">
        <v>0</v>
      </c>
      <c r="AU117" s="137">
        <v>0</v>
      </c>
      <c r="AV117" s="137">
        <v>0.047244094488189</v>
      </c>
      <c r="AW117" s="93"/>
      <c r="AX117" s="91"/>
    </row>
    <row r="118" ht="14.5" spans="1:50">
      <c r="A118" s="89"/>
      <c r="B118" s="93"/>
      <c r="C118" s="148" t="s">
        <v>96</v>
      </c>
      <c r="D118" s="126" t="s">
        <v>97</v>
      </c>
      <c r="E118" s="149" t="s">
        <v>136</v>
      </c>
      <c r="F118" s="149" t="s">
        <v>136</v>
      </c>
      <c r="G118" s="149" t="s">
        <v>136</v>
      </c>
      <c r="H118" s="149" t="s">
        <v>136</v>
      </c>
      <c r="I118" s="128">
        <v>0.9</v>
      </c>
      <c r="J118" s="129">
        <v>0.988095238095238</v>
      </c>
      <c r="K118" s="129">
        <v>0.96875</v>
      </c>
      <c r="L118" s="130">
        <v>0.96</v>
      </c>
      <c r="M118" s="129">
        <v>0.970524017467249</v>
      </c>
      <c r="N118" s="131">
        <v>0.9</v>
      </c>
      <c r="O118" s="129">
        <v>0</v>
      </c>
      <c r="P118" s="129">
        <v>0</v>
      </c>
      <c r="Q118" s="129">
        <v>0</v>
      </c>
      <c r="R118" s="129">
        <v>0.166666666666667</v>
      </c>
      <c r="S118" s="131">
        <v>0.9</v>
      </c>
      <c r="T118" s="129">
        <v>0</v>
      </c>
      <c r="U118" s="129">
        <v>0</v>
      </c>
      <c r="V118" s="129">
        <v>0</v>
      </c>
      <c r="W118" s="129">
        <v>0</v>
      </c>
      <c r="X118" s="131">
        <v>0.92</v>
      </c>
      <c r="Y118" s="131" t="s">
        <v>33</v>
      </c>
      <c r="Z118" s="131">
        <v>0</v>
      </c>
      <c r="AA118" s="131" t="s">
        <v>33</v>
      </c>
      <c r="AB118" s="131">
        <v>0</v>
      </c>
      <c r="AC118" s="131">
        <v>0.92</v>
      </c>
      <c r="AD118" s="129">
        <v>1</v>
      </c>
      <c r="AE118" s="129">
        <v>0.990476190476191</v>
      </c>
      <c r="AF118" s="129">
        <v>1</v>
      </c>
      <c r="AG118" s="129">
        <v>0.995551161641127</v>
      </c>
      <c r="AH118" s="131">
        <v>0.92</v>
      </c>
      <c r="AI118" s="129">
        <v>0.96180787191461</v>
      </c>
      <c r="AJ118" s="129">
        <v>0.964868045049588</v>
      </c>
      <c r="AK118" s="129">
        <v>0.979825412221144</v>
      </c>
      <c r="AL118" s="129">
        <v>0.972193459887606</v>
      </c>
      <c r="AM118" s="128">
        <v>0.99</v>
      </c>
      <c r="AN118" s="133">
        <v>1</v>
      </c>
      <c r="AO118" s="133">
        <v>1</v>
      </c>
      <c r="AP118" s="133">
        <v>1</v>
      </c>
      <c r="AQ118" s="133">
        <v>1</v>
      </c>
      <c r="AR118" s="135">
        <v>0.105261498981944</v>
      </c>
      <c r="AS118" s="137">
        <v>0</v>
      </c>
      <c r="AT118" s="137">
        <v>0.25</v>
      </c>
      <c r="AU118" s="137">
        <v>0</v>
      </c>
      <c r="AV118" s="137">
        <v>0.0841121495327103</v>
      </c>
      <c r="AW118" s="93"/>
      <c r="AX118" s="91"/>
    </row>
    <row r="119" ht="14.5" spans="1:50">
      <c r="A119" s="89"/>
      <c r="B119" s="93"/>
      <c r="C119" s="148" t="s">
        <v>96</v>
      </c>
      <c r="D119" s="126" t="s">
        <v>97</v>
      </c>
      <c r="E119" s="149" t="s">
        <v>137</v>
      </c>
      <c r="F119" s="149" t="s">
        <v>137</v>
      </c>
      <c r="G119" s="149" t="s">
        <v>137</v>
      </c>
      <c r="H119" s="149" t="s">
        <v>137</v>
      </c>
      <c r="I119" s="128">
        <v>0.9</v>
      </c>
      <c r="J119" s="129">
        <v>0.947916666666667</v>
      </c>
      <c r="K119" s="129">
        <v>0.95</v>
      </c>
      <c r="L119" s="130">
        <v>0.934782608695652</v>
      </c>
      <c r="M119" s="129">
        <v>0.934802571166208</v>
      </c>
      <c r="N119" s="131">
        <v>0.9</v>
      </c>
      <c r="O119" s="129">
        <v>0</v>
      </c>
      <c r="P119" s="129" t="s">
        <v>33</v>
      </c>
      <c r="Q119" s="129">
        <v>0.5</v>
      </c>
      <c r="R119" s="129">
        <v>0.0909090909090909</v>
      </c>
      <c r="S119" s="131">
        <v>0.9</v>
      </c>
      <c r="T119" s="129">
        <v>0</v>
      </c>
      <c r="U119" s="129" t="s">
        <v>33</v>
      </c>
      <c r="V119" s="129">
        <v>0</v>
      </c>
      <c r="W119" s="129">
        <v>0</v>
      </c>
      <c r="X119" s="131">
        <v>0.92</v>
      </c>
      <c r="Y119" s="131">
        <v>0</v>
      </c>
      <c r="Z119" s="131">
        <v>0</v>
      </c>
      <c r="AA119" s="131" t="s">
        <v>33</v>
      </c>
      <c r="AB119" s="131">
        <v>0</v>
      </c>
      <c r="AC119" s="131">
        <v>0.92</v>
      </c>
      <c r="AD119" s="129">
        <v>0.933333333333333</v>
      </c>
      <c r="AE119" s="129">
        <v>0.989304812834225</v>
      </c>
      <c r="AF119" s="129">
        <v>0.952380952380952</v>
      </c>
      <c r="AG119" s="129">
        <v>0.953446191051995</v>
      </c>
      <c r="AH119" s="131">
        <v>0.92</v>
      </c>
      <c r="AI119" s="129">
        <v>0.961099736765136</v>
      </c>
      <c r="AJ119" s="129">
        <v>0.971741112123975</v>
      </c>
      <c r="AK119" s="129">
        <v>0.976918703808982</v>
      </c>
      <c r="AL119" s="129">
        <v>0.97323181015692</v>
      </c>
      <c r="AM119" s="128">
        <v>0.99</v>
      </c>
      <c r="AN119" s="133">
        <v>1</v>
      </c>
      <c r="AO119" s="133">
        <v>1</v>
      </c>
      <c r="AP119" s="133">
        <v>1</v>
      </c>
      <c r="AQ119" s="133">
        <v>1</v>
      </c>
      <c r="AR119" s="135">
        <v>0.105261498981944</v>
      </c>
      <c r="AS119" s="137">
        <v>0</v>
      </c>
      <c r="AT119" s="137">
        <v>0</v>
      </c>
      <c r="AU119" s="137">
        <v>0.142857142857143</v>
      </c>
      <c r="AV119" s="137">
        <v>0.0633802816901408</v>
      </c>
      <c r="AW119" s="93"/>
      <c r="AX119" s="91"/>
    </row>
    <row r="120" ht="14.5" spans="1:50">
      <c r="A120" s="89"/>
      <c r="B120" s="93"/>
      <c r="C120" s="148" t="s">
        <v>96</v>
      </c>
      <c r="D120" s="126" t="s">
        <v>97</v>
      </c>
      <c r="E120" s="149" t="s">
        <v>138</v>
      </c>
      <c r="F120" s="149" t="s">
        <v>138</v>
      </c>
      <c r="G120" s="149" t="s">
        <v>138</v>
      </c>
      <c r="H120" s="149" t="s">
        <v>138</v>
      </c>
      <c r="I120" s="128">
        <v>0.9</v>
      </c>
      <c r="J120" s="129">
        <v>0.942307692307692</v>
      </c>
      <c r="K120" s="129">
        <v>0.905405405405405</v>
      </c>
      <c r="L120" s="130">
        <v>0.908163265306122</v>
      </c>
      <c r="M120" s="129">
        <v>0.927338782924614</v>
      </c>
      <c r="N120" s="131">
        <v>0.9</v>
      </c>
      <c r="O120" s="129">
        <v>0.142857142857143</v>
      </c>
      <c r="P120" s="129" t="s">
        <v>33</v>
      </c>
      <c r="Q120" s="129" t="s">
        <v>33</v>
      </c>
      <c r="R120" s="129">
        <v>0.142857142857143</v>
      </c>
      <c r="S120" s="131">
        <v>0.9</v>
      </c>
      <c r="T120" s="129">
        <v>0</v>
      </c>
      <c r="U120" s="129" t="s">
        <v>33</v>
      </c>
      <c r="V120" s="129" t="s">
        <v>33</v>
      </c>
      <c r="W120" s="129">
        <v>0</v>
      </c>
      <c r="X120" s="131">
        <v>0.92</v>
      </c>
      <c r="Y120" s="131">
        <v>0</v>
      </c>
      <c r="Z120" s="131">
        <v>0</v>
      </c>
      <c r="AA120" s="131" t="s">
        <v>33</v>
      </c>
      <c r="AB120" s="131">
        <v>0</v>
      </c>
      <c r="AC120" s="131">
        <v>0.92</v>
      </c>
      <c r="AD120" s="129">
        <v>0.970588235294118</v>
      </c>
      <c r="AE120" s="129">
        <v>0.972222222222222</v>
      </c>
      <c r="AF120" s="129">
        <v>0.979591836734694</v>
      </c>
      <c r="AG120" s="129">
        <v>0.943952802359882</v>
      </c>
      <c r="AH120" s="131">
        <v>0.92</v>
      </c>
      <c r="AI120" s="129">
        <v>0.936515946709729</v>
      </c>
      <c r="AJ120" s="129">
        <v>0.902624572080639</v>
      </c>
      <c r="AK120" s="129">
        <v>0.956096476603312</v>
      </c>
      <c r="AL120" s="129">
        <v>0.948120322703076</v>
      </c>
      <c r="AM120" s="128">
        <v>0.99</v>
      </c>
      <c r="AN120" s="133">
        <v>1</v>
      </c>
      <c r="AO120" s="133">
        <v>1</v>
      </c>
      <c r="AP120" s="133">
        <v>1</v>
      </c>
      <c r="AQ120" s="133">
        <v>1</v>
      </c>
      <c r="AR120" s="135">
        <v>0.105261498981944</v>
      </c>
      <c r="AS120" s="137">
        <v>0.0833333333333333</v>
      </c>
      <c r="AT120" s="137">
        <v>0</v>
      </c>
      <c r="AU120" s="137">
        <v>0</v>
      </c>
      <c r="AV120" s="137">
        <v>0.0878048780487805</v>
      </c>
      <c r="AW120" s="93"/>
      <c r="AX120" s="91"/>
    </row>
    <row r="121" ht="14.5" spans="1:50">
      <c r="A121" s="89"/>
      <c r="B121" s="93"/>
      <c r="C121" s="148" t="s">
        <v>96</v>
      </c>
      <c r="D121" s="126" t="s">
        <v>97</v>
      </c>
      <c r="E121" s="149" t="s">
        <v>139</v>
      </c>
      <c r="F121" s="149" t="s">
        <v>139</v>
      </c>
      <c r="G121" s="149" t="s">
        <v>139</v>
      </c>
      <c r="H121" s="149" t="s">
        <v>139</v>
      </c>
      <c r="I121" s="128">
        <v>0.9</v>
      </c>
      <c r="J121" s="129">
        <v>1</v>
      </c>
      <c r="K121" s="129">
        <v>1</v>
      </c>
      <c r="L121" s="130">
        <v>0.964285714285714</v>
      </c>
      <c r="M121" s="129">
        <v>0.989100817438692</v>
      </c>
      <c r="N121" s="131">
        <v>0.9</v>
      </c>
      <c r="O121" s="129">
        <v>0</v>
      </c>
      <c r="P121" s="129" t="s">
        <v>33</v>
      </c>
      <c r="Q121" s="129" t="s">
        <v>33</v>
      </c>
      <c r="R121" s="129">
        <v>0</v>
      </c>
      <c r="S121" s="131">
        <v>0.9</v>
      </c>
      <c r="T121" s="129">
        <v>0</v>
      </c>
      <c r="U121" s="129" t="s">
        <v>33</v>
      </c>
      <c r="V121" s="129" t="s">
        <v>33</v>
      </c>
      <c r="W121" s="129">
        <v>0</v>
      </c>
      <c r="X121" s="131">
        <v>0.92</v>
      </c>
      <c r="Y121" s="131" t="s">
        <v>33</v>
      </c>
      <c r="Z121" s="131" t="s">
        <v>33</v>
      </c>
      <c r="AA121" s="131" t="s">
        <v>33</v>
      </c>
      <c r="AB121" s="131" t="s">
        <v>33</v>
      </c>
      <c r="AC121" s="131">
        <v>0.92</v>
      </c>
      <c r="AD121" s="129">
        <v>0.998106060606061</v>
      </c>
      <c r="AE121" s="129">
        <v>0.993534482758621</v>
      </c>
      <c r="AF121" s="129">
        <v>0.991525423728814</v>
      </c>
      <c r="AG121" s="129">
        <v>0.995068027210884</v>
      </c>
      <c r="AH121" s="131">
        <v>0.92</v>
      </c>
      <c r="AI121" s="129">
        <v>0.962159301402487</v>
      </c>
      <c r="AJ121" s="129">
        <v>0.965982721382289</v>
      </c>
      <c r="AK121" s="129">
        <v>0.962605172951075</v>
      </c>
      <c r="AL121" s="129">
        <v>0.976453393959078</v>
      </c>
      <c r="AM121" s="128">
        <v>0.99</v>
      </c>
      <c r="AN121" s="133">
        <v>1</v>
      </c>
      <c r="AO121" s="133">
        <v>1</v>
      </c>
      <c r="AP121" s="133">
        <v>1</v>
      </c>
      <c r="AQ121" s="133">
        <v>1</v>
      </c>
      <c r="AR121" s="135">
        <v>0.105261498981944</v>
      </c>
      <c r="AS121" s="137">
        <v>0</v>
      </c>
      <c r="AT121" s="137">
        <v>0</v>
      </c>
      <c r="AU121" s="137">
        <v>0</v>
      </c>
      <c r="AV121" s="137">
        <v>0.159090909090909</v>
      </c>
      <c r="AW121" s="93"/>
      <c r="AX121" s="91"/>
    </row>
    <row r="122" ht="14.5" spans="1:50">
      <c r="A122" s="89"/>
      <c r="B122" s="93"/>
      <c r="C122" s="148" t="s">
        <v>96</v>
      </c>
      <c r="D122" s="126" t="s">
        <v>97</v>
      </c>
      <c r="E122" s="149" t="s">
        <v>140</v>
      </c>
      <c r="F122" s="149" t="s">
        <v>140</v>
      </c>
      <c r="G122" s="149" t="s">
        <v>140</v>
      </c>
      <c r="H122" s="149" t="s">
        <v>140</v>
      </c>
      <c r="I122" s="128">
        <v>0.9</v>
      </c>
      <c r="J122" s="129">
        <v>0.970588235294118</v>
      </c>
      <c r="K122" s="129">
        <v>0.966666666666667</v>
      </c>
      <c r="L122" s="130">
        <v>0.985294117647059</v>
      </c>
      <c r="M122" s="129">
        <v>0.993765586034913</v>
      </c>
      <c r="N122" s="131">
        <v>0.9</v>
      </c>
      <c r="O122" s="129">
        <v>1</v>
      </c>
      <c r="P122" s="129" t="s">
        <v>33</v>
      </c>
      <c r="Q122" s="129" t="s">
        <v>33</v>
      </c>
      <c r="R122" s="129">
        <v>0.25</v>
      </c>
      <c r="S122" s="131">
        <v>0.9</v>
      </c>
      <c r="T122" s="129">
        <v>0</v>
      </c>
      <c r="U122" s="129" t="s">
        <v>33</v>
      </c>
      <c r="V122" s="129" t="s">
        <v>33</v>
      </c>
      <c r="W122" s="129">
        <v>0.5</v>
      </c>
      <c r="X122" s="131">
        <v>0.92</v>
      </c>
      <c r="Y122" s="131">
        <v>0</v>
      </c>
      <c r="Z122" s="131">
        <v>0.142857142857143</v>
      </c>
      <c r="AA122" s="131" t="s">
        <v>33</v>
      </c>
      <c r="AB122" s="131">
        <v>0.181818181818182</v>
      </c>
      <c r="AC122" s="131">
        <v>0.92</v>
      </c>
      <c r="AD122" s="129">
        <v>0.996932515337423</v>
      </c>
      <c r="AE122" s="129">
        <v>0.995918367346939</v>
      </c>
      <c r="AF122" s="129">
        <v>0.977346278317152</v>
      </c>
      <c r="AG122" s="129">
        <v>0.982785602503912</v>
      </c>
      <c r="AH122" s="131">
        <v>0.92</v>
      </c>
      <c r="AI122" s="129">
        <v>0.971093568609241</v>
      </c>
      <c r="AJ122" s="129">
        <v>0.980169971671388</v>
      </c>
      <c r="AK122" s="129">
        <v>0.991308793456033</v>
      </c>
      <c r="AL122" s="129">
        <v>0.988632957506168</v>
      </c>
      <c r="AM122" s="128">
        <v>0.99</v>
      </c>
      <c r="AN122" s="133">
        <v>1</v>
      </c>
      <c r="AO122" s="133">
        <v>1</v>
      </c>
      <c r="AP122" s="133">
        <v>1</v>
      </c>
      <c r="AQ122" s="133">
        <v>1</v>
      </c>
      <c r="AR122" s="135">
        <v>0.105261498981944</v>
      </c>
      <c r="AS122" s="137">
        <v>0.2</v>
      </c>
      <c r="AT122" s="137">
        <v>2</v>
      </c>
      <c r="AU122" s="137">
        <v>0.222222222222222</v>
      </c>
      <c r="AV122" s="137">
        <v>0.224299065420561</v>
      </c>
      <c r="AW122" s="93"/>
      <c r="AX122" s="91"/>
    </row>
    <row r="123" ht="14.5" spans="1:50">
      <c r="A123" s="89"/>
      <c r="B123" s="93"/>
      <c r="C123" s="148" t="s">
        <v>96</v>
      </c>
      <c r="D123" s="126" t="s">
        <v>97</v>
      </c>
      <c r="E123" s="149" t="s">
        <v>141</v>
      </c>
      <c r="F123" s="149" t="s">
        <v>141</v>
      </c>
      <c r="G123" s="149" t="s">
        <v>141</v>
      </c>
      <c r="H123" s="149" t="s">
        <v>141</v>
      </c>
      <c r="I123" s="128">
        <v>0.9</v>
      </c>
      <c r="J123" s="129">
        <v>1</v>
      </c>
      <c r="K123" s="129">
        <v>0.955223880597015</v>
      </c>
      <c r="L123" s="130">
        <v>1</v>
      </c>
      <c r="M123" s="129">
        <v>0.984567901234568</v>
      </c>
      <c r="N123" s="131">
        <v>0.9</v>
      </c>
      <c r="O123" s="129">
        <v>0</v>
      </c>
      <c r="P123" s="129" t="s">
        <v>33</v>
      </c>
      <c r="Q123" s="129" t="s">
        <v>33</v>
      </c>
      <c r="R123" s="129">
        <v>0</v>
      </c>
      <c r="S123" s="131">
        <v>0.9</v>
      </c>
      <c r="T123" s="129">
        <v>0</v>
      </c>
      <c r="U123" s="129" t="s">
        <v>33</v>
      </c>
      <c r="V123" s="129" t="s">
        <v>33</v>
      </c>
      <c r="W123" s="129">
        <v>0</v>
      </c>
      <c r="X123" s="131">
        <v>0.92</v>
      </c>
      <c r="Y123" s="131">
        <v>0</v>
      </c>
      <c r="Z123" s="131">
        <v>0</v>
      </c>
      <c r="AA123" s="131" t="s">
        <v>33</v>
      </c>
      <c r="AB123" s="131">
        <v>0</v>
      </c>
      <c r="AC123" s="131">
        <v>0.92</v>
      </c>
      <c r="AD123" s="129">
        <v>0.994805194805195</v>
      </c>
      <c r="AE123" s="129">
        <v>0.98792270531401</v>
      </c>
      <c r="AF123" s="129">
        <v>0.988372093023256</v>
      </c>
      <c r="AG123" s="129">
        <v>0.991823242867084</v>
      </c>
      <c r="AH123" s="131">
        <v>0.92</v>
      </c>
      <c r="AI123" s="129">
        <v>0.968191377497371</v>
      </c>
      <c r="AJ123" s="129">
        <v>0.97563239730796</v>
      </c>
      <c r="AK123" s="129">
        <v>0.98282770463652</v>
      </c>
      <c r="AL123" s="129">
        <v>0.982531032022341</v>
      </c>
      <c r="AM123" s="128">
        <v>0.99</v>
      </c>
      <c r="AN123" s="133">
        <v>1</v>
      </c>
      <c r="AO123" s="133">
        <v>1</v>
      </c>
      <c r="AP123" s="133">
        <v>1</v>
      </c>
      <c r="AQ123" s="133">
        <v>1</v>
      </c>
      <c r="AR123" s="135">
        <v>0.105261498981944</v>
      </c>
      <c r="AS123" s="137">
        <v>0</v>
      </c>
      <c r="AT123" s="137">
        <v>0</v>
      </c>
      <c r="AU123" s="137">
        <v>0</v>
      </c>
      <c r="AV123" s="137">
        <v>0.149425287356322</v>
      </c>
      <c r="AW123" s="93"/>
      <c r="AX123" s="91"/>
    </row>
    <row r="124" ht="14.5" spans="1:50">
      <c r="A124" s="89"/>
      <c r="B124" s="93"/>
      <c r="C124" s="148" t="s">
        <v>96</v>
      </c>
      <c r="D124" s="126" t="s">
        <v>97</v>
      </c>
      <c r="E124" s="149" t="s">
        <v>142</v>
      </c>
      <c r="F124" s="149" t="s">
        <v>142</v>
      </c>
      <c r="G124" s="149" t="s">
        <v>142</v>
      </c>
      <c r="H124" s="149" t="s">
        <v>142</v>
      </c>
      <c r="I124" s="128">
        <v>0.9</v>
      </c>
      <c r="J124" s="129">
        <v>1</v>
      </c>
      <c r="K124" s="129">
        <v>0.981818181818182</v>
      </c>
      <c r="L124" s="130">
        <v>0.985294117647059</v>
      </c>
      <c r="M124" s="129">
        <v>0.989808917197452</v>
      </c>
      <c r="N124" s="131">
        <v>0.9</v>
      </c>
      <c r="O124" s="129">
        <v>0</v>
      </c>
      <c r="P124" s="129" t="s">
        <v>33</v>
      </c>
      <c r="Q124" s="129">
        <v>0</v>
      </c>
      <c r="R124" s="129">
        <v>0</v>
      </c>
      <c r="S124" s="131">
        <v>0.9</v>
      </c>
      <c r="T124" s="129">
        <v>0</v>
      </c>
      <c r="U124" s="129" t="s">
        <v>33</v>
      </c>
      <c r="V124" s="129">
        <v>0.25</v>
      </c>
      <c r="W124" s="129">
        <v>0.125</v>
      </c>
      <c r="X124" s="131">
        <v>0.92</v>
      </c>
      <c r="Y124" s="131" t="s">
        <v>33</v>
      </c>
      <c r="Z124" s="131" t="s">
        <v>33</v>
      </c>
      <c r="AA124" s="131">
        <v>0.5</v>
      </c>
      <c r="AB124" s="131">
        <v>0.333333333333333</v>
      </c>
      <c r="AC124" s="131">
        <v>0.92</v>
      </c>
      <c r="AD124" s="129">
        <v>0.936986301369863</v>
      </c>
      <c r="AE124" s="129">
        <v>0.98780487804878</v>
      </c>
      <c r="AF124" s="129">
        <v>0.980662983425414</v>
      </c>
      <c r="AG124" s="129">
        <v>0.911771934136151</v>
      </c>
      <c r="AH124" s="131">
        <v>0.92</v>
      </c>
      <c r="AI124" s="129">
        <v>0.932087912087912</v>
      </c>
      <c r="AJ124" s="129">
        <v>0.936497754971135</v>
      </c>
      <c r="AK124" s="129">
        <v>0.963169642857143</v>
      </c>
      <c r="AL124" s="129">
        <v>0.953767026507658</v>
      </c>
      <c r="AM124" s="128">
        <v>0.99</v>
      </c>
      <c r="AN124" s="133">
        <v>1</v>
      </c>
      <c r="AO124" s="133">
        <v>1</v>
      </c>
      <c r="AP124" s="133">
        <v>1</v>
      </c>
      <c r="AQ124" s="133">
        <v>1</v>
      </c>
      <c r="AR124" s="135">
        <v>0.105261498981944</v>
      </c>
      <c r="AS124" s="137">
        <v>0.1</v>
      </c>
      <c r="AT124" s="137">
        <v>0</v>
      </c>
      <c r="AU124" s="137">
        <v>0.333333333333333</v>
      </c>
      <c r="AV124" s="137">
        <v>0.109489051094891</v>
      </c>
      <c r="AW124" s="93"/>
      <c r="AX124" s="91"/>
    </row>
    <row r="125" ht="14.5" spans="1:50">
      <c r="A125" s="89"/>
      <c r="B125" s="93"/>
      <c r="C125" s="148" t="s">
        <v>96</v>
      </c>
      <c r="D125" s="126" t="s">
        <v>97</v>
      </c>
      <c r="E125" s="149" t="s">
        <v>143</v>
      </c>
      <c r="F125" s="149" t="s">
        <v>143</v>
      </c>
      <c r="G125" s="149" t="s">
        <v>143</v>
      </c>
      <c r="H125" s="149" t="s">
        <v>143</v>
      </c>
      <c r="I125" s="128">
        <v>0.9</v>
      </c>
      <c r="J125" s="129">
        <v>0.96551724137931</v>
      </c>
      <c r="K125" s="129">
        <v>0.92</v>
      </c>
      <c r="L125" s="130">
        <v>1</v>
      </c>
      <c r="M125" s="129">
        <v>0.976608187134503</v>
      </c>
      <c r="N125" s="131">
        <v>0.9</v>
      </c>
      <c r="O125" s="129" t="s">
        <v>33</v>
      </c>
      <c r="P125" s="129" t="s">
        <v>33</v>
      </c>
      <c r="Q125" s="129" t="s">
        <v>33</v>
      </c>
      <c r="R125" s="129" t="s">
        <v>33</v>
      </c>
      <c r="S125" s="131">
        <v>0.9</v>
      </c>
      <c r="T125" s="129" t="s">
        <v>33</v>
      </c>
      <c r="U125" s="129" t="s">
        <v>33</v>
      </c>
      <c r="V125" s="129" t="s">
        <v>33</v>
      </c>
      <c r="W125" s="129" t="s">
        <v>33</v>
      </c>
      <c r="X125" s="131">
        <v>0.92</v>
      </c>
      <c r="Y125" s="131" t="s">
        <v>33</v>
      </c>
      <c r="Z125" s="131" t="s">
        <v>33</v>
      </c>
      <c r="AA125" s="131" t="s">
        <v>33</v>
      </c>
      <c r="AB125" s="131" t="s">
        <v>33</v>
      </c>
      <c r="AC125" s="131">
        <v>0.92</v>
      </c>
      <c r="AD125" s="129">
        <v>1</v>
      </c>
      <c r="AE125" s="129">
        <v>0.993055555555556</v>
      </c>
      <c r="AF125" s="129">
        <v>0.987704918032787</v>
      </c>
      <c r="AG125" s="129">
        <v>0.985820895522388</v>
      </c>
      <c r="AH125" s="131">
        <v>0.92</v>
      </c>
      <c r="AI125" s="129">
        <v>0.971132494448557</v>
      </c>
      <c r="AJ125" s="129">
        <v>0.972137931034483</v>
      </c>
      <c r="AK125" s="129">
        <v>0.976970076766411</v>
      </c>
      <c r="AL125" s="129">
        <v>0.980967855881314</v>
      </c>
      <c r="AM125" s="128">
        <v>0.99</v>
      </c>
      <c r="AN125" s="133">
        <v>1</v>
      </c>
      <c r="AO125" s="133">
        <v>1</v>
      </c>
      <c r="AP125" s="133">
        <v>1</v>
      </c>
      <c r="AQ125" s="133">
        <v>1</v>
      </c>
      <c r="AR125" s="135">
        <v>0.105261498981944</v>
      </c>
      <c r="AS125" s="137">
        <v>0</v>
      </c>
      <c r="AT125" s="137">
        <v>0.5</v>
      </c>
      <c r="AU125" s="137">
        <v>0</v>
      </c>
      <c r="AV125" s="137">
        <v>0.0526315789473684</v>
      </c>
      <c r="AW125" s="93"/>
      <c r="AX125" s="91"/>
    </row>
    <row r="126" ht="14.5" spans="1:50">
      <c r="A126" s="89"/>
      <c r="B126" s="93"/>
      <c r="C126" s="148" t="s">
        <v>96</v>
      </c>
      <c r="D126" s="126" t="s">
        <v>97</v>
      </c>
      <c r="E126" s="149" t="s">
        <v>144</v>
      </c>
      <c r="F126" s="149" t="s">
        <v>144</v>
      </c>
      <c r="G126" s="149" t="s">
        <v>144</v>
      </c>
      <c r="H126" s="149" t="s">
        <v>144</v>
      </c>
      <c r="I126" s="128">
        <v>0.9</v>
      </c>
      <c r="J126" s="129">
        <v>1</v>
      </c>
      <c r="K126" s="129">
        <v>0.939393939393939</v>
      </c>
      <c r="L126" s="130">
        <v>1</v>
      </c>
      <c r="M126" s="129">
        <v>0.983908045977012</v>
      </c>
      <c r="N126" s="131">
        <v>0.9</v>
      </c>
      <c r="O126" s="129">
        <v>1</v>
      </c>
      <c r="P126" s="129" t="s">
        <v>33</v>
      </c>
      <c r="Q126" s="129" t="s">
        <v>33</v>
      </c>
      <c r="R126" s="129">
        <v>1</v>
      </c>
      <c r="S126" s="131">
        <v>0.9</v>
      </c>
      <c r="T126" s="129">
        <v>0</v>
      </c>
      <c r="U126" s="129" t="s">
        <v>33</v>
      </c>
      <c r="V126" s="129" t="s">
        <v>33</v>
      </c>
      <c r="W126" s="129">
        <v>0</v>
      </c>
      <c r="X126" s="131">
        <v>0.92</v>
      </c>
      <c r="Y126" s="131" t="s">
        <v>33</v>
      </c>
      <c r="Z126" s="131" t="s">
        <v>33</v>
      </c>
      <c r="AA126" s="131" t="s">
        <v>33</v>
      </c>
      <c r="AB126" s="131" t="s">
        <v>33</v>
      </c>
      <c r="AC126" s="131">
        <v>0.92</v>
      </c>
      <c r="AD126" s="129">
        <v>1</v>
      </c>
      <c r="AE126" s="129">
        <v>1</v>
      </c>
      <c r="AF126" s="129">
        <v>1</v>
      </c>
      <c r="AG126" s="129">
        <v>0.998567335243553</v>
      </c>
      <c r="AH126" s="131">
        <v>0.92</v>
      </c>
      <c r="AI126" s="129">
        <v>0.985188724319159</v>
      </c>
      <c r="AJ126" s="129">
        <v>0.986072423398329</v>
      </c>
      <c r="AK126" s="129">
        <v>0.988512188288036</v>
      </c>
      <c r="AL126" s="129">
        <v>0.986851518365937</v>
      </c>
      <c r="AM126" s="128">
        <v>0.99</v>
      </c>
      <c r="AN126" s="133">
        <v>1</v>
      </c>
      <c r="AO126" s="133">
        <v>1</v>
      </c>
      <c r="AP126" s="133">
        <v>1</v>
      </c>
      <c r="AQ126" s="133">
        <v>1</v>
      </c>
      <c r="AR126" s="135">
        <v>0.105261498981944</v>
      </c>
      <c r="AS126" s="137">
        <v>0</v>
      </c>
      <c r="AT126" s="137">
        <v>0</v>
      </c>
      <c r="AU126" s="137">
        <v>0.4</v>
      </c>
      <c r="AV126" s="137">
        <v>0.0363636363636364</v>
      </c>
      <c r="AW126" s="93"/>
      <c r="AX126" s="91"/>
    </row>
    <row r="127" ht="14.5" spans="1:50">
      <c r="A127" s="89"/>
      <c r="B127" s="93"/>
      <c r="C127" s="148" t="s">
        <v>96</v>
      </c>
      <c r="D127" s="126" t="s">
        <v>97</v>
      </c>
      <c r="E127" s="149" t="s">
        <v>145</v>
      </c>
      <c r="F127" s="149" t="s">
        <v>145</v>
      </c>
      <c r="G127" s="149" t="s">
        <v>145</v>
      </c>
      <c r="H127" s="149" t="s">
        <v>145</v>
      </c>
      <c r="I127" s="128">
        <v>0.9</v>
      </c>
      <c r="J127" s="129">
        <v>0.962962962962963</v>
      </c>
      <c r="K127" s="129">
        <v>0.989795918367347</v>
      </c>
      <c r="L127" s="130">
        <v>0.980769230769231</v>
      </c>
      <c r="M127" s="129">
        <v>0.982385908726982</v>
      </c>
      <c r="N127" s="131">
        <v>0.9</v>
      </c>
      <c r="O127" s="129" t="s">
        <v>33</v>
      </c>
      <c r="P127" s="129" t="s">
        <v>33</v>
      </c>
      <c r="Q127" s="129" t="s">
        <v>33</v>
      </c>
      <c r="R127" s="129">
        <v>0</v>
      </c>
      <c r="S127" s="131">
        <v>0.9</v>
      </c>
      <c r="T127" s="129" t="s">
        <v>33</v>
      </c>
      <c r="U127" s="129" t="s">
        <v>33</v>
      </c>
      <c r="V127" s="129" t="s">
        <v>33</v>
      </c>
      <c r="W127" s="129">
        <v>0</v>
      </c>
      <c r="X127" s="131">
        <v>0.92</v>
      </c>
      <c r="Y127" s="131">
        <v>0</v>
      </c>
      <c r="Z127" s="131" t="s">
        <v>33</v>
      </c>
      <c r="AA127" s="131">
        <v>1</v>
      </c>
      <c r="AB127" s="131">
        <v>0.222222222222222</v>
      </c>
      <c r="AC127" s="131">
        <v>0.92</v>
      </c>
      <c r="AD127" s="129">
        <v>0.998359310910582</v>
      </c>
      <c r="AE127" s="129">
        <v>0.976785714285714</v>
      </c>
      <c r="AF127" s="129">
        <v>0.96306245802552</v>
      </c>
      <c r="AG127" s="129">
        <v>0.985554685832207</v>
      </c>
      <c r="AH127" s="131">
        <v>0.92</v>
      </c>
      <c r="AI127" s="129">
        <v>0.971014492753623</v>
      </c>
      <c r="AJ127" s="129">
        <v>0.978533094812165</v>
      </c>
      <c r="AK127" s="129">
        <v>0.984134661894167</v>
      </c>
      <c r="AL127" s="129">
        <v>0.984126984126984</v>
      </c>
      <c r="AM127" s="128">
        <v>0.99</v>
      </c>
      <c r="AN127" s="133">
        <v>1</v>
      </c>
      <c r="AO127" s="133">
        <v>1</v>
      </c>
      <c r="AP127" s="133">
        <v>1</v>
      </c>
      <c r="AQ127" s="133">
        <v>1</v>
      </c>
      <c r="AR127" s="135">
        <v>0.105261498981944</v>
      </c>
      <c r="AS127" s="137">
        <v>0</v>
      </c>
      <c r="AT127" s="137">
        <v>0.111111111111111</v>
      </c>
      <c r="AU127" s="137">
        <v>0</v>
      </c>
      <c r="AV127" s="137">
        <v>0.036144578313253</v>
      </c>
      <c r="AW127" s="93"/>
      <c r="AX127" s="91"/>
    </row>
    <row r="128" ht="14.5" spans="1:50">
      <c r="A128" s="89"/>
      <c r="B128" s="93"/>
      <c r="C128" s="148" t="s">
        <v>96</v>
      </c>
      <c r="D128" s="126" t="s">
        <v>97</v>
      </c>
      <c r="E128" s="149" t="s">
        <v>146</v>
      </c>
      <c r="F128" s="149" t="s">
        <v>146</v>
      </c>
      <c r="G128" s="149" t="s">
        <v>146</v>
      </c>
      <c r="H128" s="149" t="s">
        <v>146</v>
      </c>
      <c r="I128" s="128">
        <v>0.9</v>
      </c>
      <c r="J128" s="129">
        <v>0.959183673469388</v>
      </c>
      <c r="K128" s="129">
        <v>0.978723404255319</v>
      </c>
      <c r="L128" s="130">
        <v>0.943396226415094</v>
      </c>
      <c r="M128" s="129">
        <v>0.972039473684211</v>
      </c>
      <c r="N128" s="131">
        <v>0.9</v>
      </c>
      <c r="O128" s="129">
        <v>0.5</v>
      </c>
      <c r="P128" s="129" t="s">
        <v>33</v>
      </c>
      <c r="Q128" s="129" t="s">
        <v>33</v>
      </c>
      <c r="R128" s="129">
        <v>0.428571428571429</v>
      </c>
      <c r="S128" s="131">
        <v>0.9</v>
      </c>
      <c r="T128" s="129">
        <v>0.5</v>
      </c>
      <c r="U128" s="129" t="s">
        <v>33</v>
      </c>
      <c r="V128" s="129" t="s">
        <v>33</v>
      </c>
      <c r="W128" s="129">
        <v>0.285714285714286</v>
      </c>
      <c r="X128" s="131">
        <v>0.92</v>
      </c>
      <c r="Y128" s="131" t="s">
        <v>33</v>
      </c>
      <c r="Z128" s="131">
        <v>0</v>
      </c>
      <c r="AA128" s="131" t="s">
        <v>33</v>
      </c>
      <c r="AB128" s="131">
        <v>0</v>
      </c>
      <c r="AC128" s="131">
        <v>0.92</v>
      </c>
      <c r="AD128" s="129">
        <v>0.990867579908676</v>
      </c>
      <c r="AE128" s="129">
        <v>0.99468085106383</v>
      </c>
      <c r="AF128" s="129">
        <v>0.929936305732484</v>
      </c>
      <c r="AG128" s="129">
        <v>0.973227565691621</v>
      </c>
      <c r="AH128" s="131">
        <v>0.92</v>
      </c>
      <c r="AI128" s="129">
        <v>0.941237830319889</v>
      </c>
      <c r="AJ128" s="129">
        <v>0.914746543778802</v>
      </c>
      <c r="AK128" s="129">
        <v>0.97981308411215</v>
      </c>
      <c r="AL128" s="129">
        <v>0.968981138291739</v>
      </c>
      <c r="AM128" s="128">
        <v>0.99</v>
      </c>
      <c r="AN128" s="133">
        <v>1</v>
      </c>
      <c r="AO128" s="133">
        <v>1</v>
      </c>
      <c r="AP128" s="133">
        <v>1</v>
      </c>
      <c r="AQ128" s="133">
        <v>1</v>
      </c>
      <c r="AR128" s="135">
        <v>0.105261498981944</v>
      </c>
      <c r="AS128" s="137">
        <v>0</v>
      </c>
      <c r="AT128" s="137" t="s">
        <v>33</v>
      </c>
      <c r="AU128" s="137">
        <v>0.2</v>
      </c>
      <c r="AV128" s="137">
        <v>0.0348837209302326</v>
      </c>
      <c r="AW128" s="93"/>
      <c r="AX128" s="91"/>
    </row>
    <row r="129" ht="14.5" spans="1:50">
      <c r="A129" s="89"/>
      <c r="B129" s="93"/>
      <c r="C129" s="148" t="s">
        <v>96</v>
      </c>
      <c r="D129" s="126" t="s">
        <v>97</v>
      </c>
      <c r="E129" s="149" t="s">
        <v>147</v>
      </c>
      <c r="F129" s="149" t="s">
        <v>147</v>
      </c>
      <c r="G129" s="149" t="s">
        <v>147</v>
      </c>
      <c r="H129" s="149" t="s">
        <v>147</v>
      </c>
      <c r="I129" s="128">
        <v>0.9</v>
      </c>
      <c r="J129" s="129">
        <v>1</v>
      </c>
      <c r="K129" s="129">
        <v>1</v>
      </c>
      <c r="L129" s="130">
        <v>1</v>
      </c>
      <c r="M129" s="129">
        <v>0.992503748125937</v>
      </c>
      <c r="N129" s="131">
        <v>0.9</v>
      </c>
      <c r="O129" s="129" t="s">
        <v>33</v>
      </c>
      <c r="P129" s="129">
        <v>0</v>
      </c>
      <c r="Q129" s="129" t="s">
        <v>33</v>
      </c>
      <c r="R129" s="129">
        <v>0</v>
      </c>
      <c r="S129" s="131">
        <v>0.9</v>
      </c>
      <c r="T129" s="129" t="s">
        <v>33</v>
      </c>
      <c r="U129" s="129">
        <v>0</v>
      </c>
      <c r="V129" s="129" t="s">
        <v>33</v>
      </c>
      <c r="W129" s="129">
        <v>0</v>
      </c>
      <c r="X129" s="131">
        <v>0.92</v>
      </c>
      <c r="Y129" s="131" t="s">
        <v>33</v>
      </c>
      <c r="Z129" s="131" t="s">
        <v>33</v>
      </c>
      <c r="AA129" s="131" t="s">
        <v>33</v>
      </c>
      <c r="AB129" s="131" t="s">
        <v>33</v>
      </c>
      <c r="AC129" s="131">
        <v>0.92</v>
      </c>
      <c r="AD129" s="129">
        <v>1</v>
      </c>
      <c r="AE129" s="129">
        <v>0.998706338939198</v>
      </c>
      <c r="AF129" s="129">
        <v>0.990356083086053</v>
      </c>
      <c r="AG129" s="129">
        <v>0.994872281834584</v>
      </c>
      <c r="AH129" s="131">
        <v>0.92</v>
      </c>
      <c r="AI129" s="129">
        <v>0.976028820839684</v>
      </c>
      <c r="AJ129" s="129">
        <v>0.983588621444201</v>
      </c>
      <c r="AK129" s="129">
        <v>0.982025677603424</v>
      </c>
      <c r="AL129" s="129">
        <v>0.984630832050338</v>
      </c>
      <c r="AM129" s="128">
        <v>0.99</v>
      </c>
      <c r="AN129" s="133">
        <v>1</v>
      </c>
      <c r="AO129" s="133">
        <v>1</v>
      </c>
      <c r="AP129" s="133">
        <v>1</v>
      </c>
      <c r="AQ129" s="133">
        <v>1</v>
      </c>
      <c r="AR129" s="135">
        <v>0.105261498981944</v>
      </c>
      <c r="AS129" s="137">
        <v>0</v>
      </c>
      <c r="AT129" s="137">
        <v>0</v>
      </c>
      <c r="AU129" s="137">
        <v>0.222222222222222</v>
      </c>
      <c r="AV129" s="137">
        <v>0.0666666666666667</v>
      </c>
      <c r="AW129" s="93"/>
      <c r="AX129" s="91"/>
    </row>
    <row r="130" ht="14.5" spans="1:50">
      <c r="A130" s="89"/>
      <c r="B130" s="93"/>
      <c r="C130" s="148" t="s">
        <v>96</v>
      </c>
      <c r="D130" s="126" t="s">
        <v>97</v>
      </c>
      <c r="E130" s="149" t="s">
        <v>148</v>
      </c>
      <c r="F130" s="149" t="s">
        <v>148</v>
      </c>
      <c r="G130" s="149" t="s">
        <v>148</v>
      </c>
      <c r="H130" s="149" t="s">
        <v>148</v>
      </c>
      <c r="I130" s="128">
        <v>0.9</v>
      </c>
      <c r="J130" s="129">
        <v>1</v>
      </c>
      <c r="K130" s="129">
        <v>1</v>
      </c>
      <c r="L130" s="130">
        <v>1</v>
      </c>
      <c r="M130" s="129">
        <v>0.992977528089888</v>
      </c>
      <c r="N130" s="131">
        <v>0.9</v>
      </c>
      <c r="O130" s="129" t="s">
        <v>33</v>
      </c>
      <c r="P130" s="129" t="s">
        <v>33</v>
      </c>
      <c r="Q130" s="129" t="s">
        <v>33</v>
      </c>
      <c r="R130" s="129">
        <v>0.5</v>
      </c>
      <c r="S130" s="131">
        <v>0.9</v>
      </c>
      <c r="T130" s="129" t="s">
        <v>33</v>
      </c>
      <c r="U130" s="129" t="s">
        <v>33</v>
      </c>
      <c r="V130" s="129" t="s">
        <v>33</v>
      </c>
      <c r="W130" s="129">
        <v>0.5</v>
      </c>
      <c r="X130" s="131">
        <v>0.92</v>
      </c>
      <c r="Y130" s="131">
        <v>0</v>
      </c>
      <c r="Z130" s="131" t="s">
        <v>33</v>
      </c>
      <c r="AA130" s="131" t="s">
        <v>33</v>
      </c>
      <c r="AB130" s="131">
        <v>0</v>
      </c>
      <c r="AC130" s="131">
        <v>0.92</v>
      </c>
      <c r="AD130" s="129">
        <v>0.99873417721519</v>
      </c>
      <c r="AE130" s="129">
        <v>0.997787610619469</v>
      </c>
      <c r="AF130" s="129">
        <v>0.99673735725938</v>
      </c>
      <c r="AG130" s="129">
        <v>0.993093149150644</v>
      </c>
      <c r="AH130" s="131">
        <v>0.92</v>
      </c>
      <c r="AI130" s="129">
        <v>0.96719760290175</v>
      </c>
      <c r="AJ130" s="129">
        <v>0.976036086833944</v>
      </c>
      <c r="AK130" s="129">
        <v>0.97463768115942</v>
      </c>
      <c r="AL130" s="129">
        <v>0.981919290142215</v>
      </c>
      <c r="AM130" s="128">
        <v>0.99</v>
      </c>
      <c r="AN130" s="133">
        <v>1</v>
      </c>
      <c r="AO130" s="133">
        <v>1</v>
      </c>
      <c r="AP130" s="133">
        <v>1</v>
      </c>
      <c r="AQ130" s="133">
        <v>1</v>
      </c>
      <c r="AR130" s="135">
        <v>0.105261498981944</v>
      </c>
      <c r="AS130" s="137">
        <v>0</v>
      </c>
      <c r="AT130" s="137">
        <v>0</v>
      </c>
      <c r="AU130" s="137">
        <v>0</v>
      </c>
      <c r="AV130" s="137">
        <v>0.0408163265306122</v>
      </c>
      <c r="AW130" s="93"/>
      <c r="AX130" s="91"/>
    </row>
    <row r="131" ht="14.5" spans="1:50">
      <c r="A131" s="89"/>
      <c r="B131" s="93"/>
      <c r="C131" s="148" t="s">
        <v>96</v>
      </c>
      <c r="D131" s="126" t="s">
        <v>97</v>
      </c>
      <c r="E131" s="149" t="s">
        <v>149</v>
      </c>
      <c r="F131" s="149" t="s">
        <v>149</v>
      </c>
      <c r="G131" s="149" t="s">
        <v>149</v>
      </c>
      <c r="H131" s="149" t="s">
        <v>149</v>
      </c>
      <c r="I131" s="128">
        <v>0.9</v>
      </c>
      <c r="J131" s="129">
        <v>0.983870967741935</v>
      </c>
      <c r="K131" s="129">
        <v>0.98</v>
      </c>
      <c r="L131" s="130">
        <v>0.982142857142857</v>
      </c>
      <c r="M131" s="129">
        <v>0.989884393063584</v>
      </c>
      <c r="N131" s="131">
        <v>0.9</v>
      </c>
      <c r="O131" s="129" t="s">
        <v>33</v>
      </c>
      <c r="P131" s="129" t="s">
        <v>33</v>
      </c>
      <c r="Q131" s="129" t="s">
        <v>33</v>
      </c>
      <c r="R131" s="129">
        <v>1</v>
      </c>
      <c r="S131" s="131">
        <v>0.9</v>
      </c>
      <c r="T131" s="129" t="s">
        <v>33</v>
      </c>
      <c r="U131" s="129" t="s">
        <v>33</v>
      </c>
      <c r="V131" s="129" t="s">
        <v>33</v>
      </c>
      <c r="W131" s="129">
        <v>1</v>
      </c>
      <c r="X131" s="131">
        <v>0.92</v>
      </c>
      <c r="Y131" s="131" t="s">
        <v>33</v>
      </c>
      <c r="Z131" s="131" t="s">
        <v>33</v>
      </c>
      <c r="AA131" s="131" t="s">
        <v>33</v>
      </c>
      <c r="AB131" s="131">
        <v>0</v>
      </c>
      <c r="AC131" s="131">
        <v>0.92</v>
      </c>
      <c r="AD131" s="129">
        <v>0.99290780141844</v>
      </c>
      <c r="AE131" s="129">
        <v>0.994475138121547</v>
      </c>
      <c r="AF131" s="129">
        <v>0.99645390070922</v>
      </c>
      <c r="AG131" s="129">
        <v>0.98415632426723</v>
      </c>
      <c r="AH131" s="131">
        <v>0.92</v>
      </c>
      <c r="AI131" s="129">
        <v>0.97499616505599</v>
      </c>
      <c r="AJ131" s="129">
        <v>0.952737062518696</v>
      </c>
      <c r="AK131" s="129">
        <v>0.973060929307539</v>
      </c>
      <c r="AL131" s="129">
        <v>0.971223021582734</v>
      </c>
      <c r="AM131" s="128">
        <v>0.99</v>
      </c>
      <c r="AN131" s="133">
        <v>1</v>
      </c>
      <c r="AO131" s="133">
        <v>1</v>
      </c>
      <c r="AP131" s="133">
        <v>1</v>
      </c>
      <c r="AQ131" s="133">
        <v>1</v>
      </c>
      <c r="AR131" s="135">
        <v>0.105261498981944</v>
      </c>
      <c r="AS131" s="137">
        <v>0</v>
      </c>
      <c r="AT131" s="137">
        <v>0</v>
      </c>
      <c r="AU131" s="137">
        <v>0</v>
      </c>
      <c r="AV131" s="137">
        <v>0.1</v>
      </c>
      <c r="AW131" s="93"/>
      <c r="AX131" s="91"/>
    </row>
    <row r="132" ht="14.5" spans="1:50">
      <c r="A132" s="89"/>
      <c r="B132" s="93"/>
      <c r="C132" s="148" t="s">
        <v>96</v>
      </c>
      <c r="D132" s="126" t="s">
        <v>97</v>
      </c>
      <c r="E132" s="149" t="s">
        <v>150</v>
      </c>
      <c r="F132" s="149" t="s">
        <v>150</v>
      </c>
      <c r="G132" s="149" t="s">
        <v>150</v>
      </c>
      <c r="H132" s="149" t="s">
        <v>150</v>
      </c>
      <c r="I132" s="128">
        <v>0.9</v>
      </c>
      <c r="J132" s="129">
        <v>1</v>
      </c>
      <c r="K132" s="129">
        <v>0.928571428571429</v>
      </c>
      <c r="L132" s="130">
        <v>0.909090909090909</v>
      </c>
      <c r="M132" s="129">
        <v>0.969072164948454</v>
      </c>
      <c r="N132" s="131">
        <v>0.9</v>
      </c>
      <c r="O132" s="129" t="s">
        <v>33</v>
      </c>
      <c r="P132" s="129" t="s">
        <v>33</v>
      </c>
      <c r="Q132" s="129" t="s">
        <v>33</v>
      </c>
      <c r="R132" s="129" t="s">
        <v>33</v>
      </c>
      <c r="S132" s="131">
        <v>0.9</v>
      </c>
      <c r="T132" s="129" t="s">
        <v>33</v>
      </c>
      <c r="U132" s="129" t="s">
        <v>33</v>
      </c>
      <c r="V132" s="129" t="s">
        <v>33</v>
      </c>
      <c r="W132" s="129" t="s">
        <v>33</v>
      </c>
      <c r="X132" s="131">
        <v>0.92</v>
      </c>
      <c r="Y132" s="131" t="s">
        <v>33</v>
      </c>
      <c r="Z132" s="131" t="s">
        <v>33</v>
      </c>
      <c r="AA132" s="131">
        <v>0</v>
      </c>
      <c r="AB132" s="131">
        <v>0</v>
      </c>
      <c r="AC132" s="131">
        <v>0.92</v>
      </c>
      <c r="AD132" s="129">
        <v>0.96</v>
      </c>
      <c r="AE132" s="129">
        <v>1</v>
      </c>
      <c r="AF132" s="129">
        <v>1</v>
      </c>
      <c r="AG132" s="129">
        <v>0.988304093567251</v>
      </c>
      <c r="AH132" s="131">
        <v>0.92</v>
      </c>
      <c r="AI132" s="129">
        <v>0.969639468690702</v>
      </c>
      <c r="AJ132" s="129">
        <v>0.977050573735657</v>
      </c>
      <c r="AK132" s="129">
        <v>0.987503062974761</v>
      </c>
      <c r="AL132" s="129">
        <v>0.981456090269505</v>
      </c>
      <c r="AM132" s="128">
        <v>0.99</v>
      </c>
      <c r="AN132" s="133">
        <v>1</v>
      </c>
      <c r="AO132" s="133">
        <v>1</v>
      </c>
      <c r="AP132" s="133">
        <v>1</v>
      </c>
      <c r="AQ132" s="133">
        <v>1</v>
      </c>
      <c r="AR132" s="135">
        <v>0.105261498981944</v>
      </c>
      <c r="AS132" s="137">
        <v>0</v>
      </c>
      <c r="AT132" s="137">
        <v>0</v>
      </c>
      <c r="AU132" s="137">
        <v>0</v>
      </c>
      <c r="AV132" s="137">
        <v>0.0410958904109589</v>
      </c>
      <c r="AW132" s="93"/>
      <c r="AX132" s="91"/>
    </row>
    <row r="133" ht="14.5" spans="1:50">
      <c r="A133" s="89"/>
      <c r="B133" s="93"/>
      <c r="C133" s="148" t="s">
        <v>96</v>
      </c>
      <c r="D133" s="126" t="s">
        <v>97</v>
      </c>
      <c r="E133" s="149" t="s">
        <v>151</v>
      </c>
      <c r="F133" s="149" t="s">
        <v>151</v>
      </c>
      <c r="G133" s="149" t="s">
        <v>151</v>
      </c>
      <c r="H133" s="149" t="s">
        <v>151</v>
      </c>
      <c r="I133" s="128">
        <v>0.9</v>
      </c>
      <c r="J133" s="129">
        <v>1</v>
      </c>
      <c r="K133" s="129">
        <v>1</v>
      </c>
      <c r="L133" s="130">
        <v>1</v>
      </c>
      <c r="M133" s="129">
        <v>0.975409836065574</v>
      </c>
      <c r="N133" s="131">
        <v>0.9</v>
      </c>
      <c r="O133" s="129">
        <v>0</v>
      </c>
      <c r="P133" s="129" t="s">
        <v>33</v>
      </c>
      <c r="Q133" s="129" t="s">
        <v>33</v>
      </c>
      <c r="R133" s="129">
        <v>0</v>
      </c>
      <c r="S133" s="131">
        <v>0.9</v>
      </c>
      <c r="T133" s="129">
        <v>0</v>
      </c>
      <c r="U133" s="129" t="s">
        <v>33</v>
      </c>
      <c r="V133" s="129" t="s">
        <v>33</v>
      </c>
      <c r="W133" s="129">
        <v>0</v>
      </c>
      <c r="X133" s="131">
        <v>0.92</v>
      </c>
      <c r="Y133" s="131" t="s">
        <v>33</v>
      </c>
      <c r="Z133" s="131" t="s">
        <v>33</v>
      </c>
      <c r="AA133" s="131" t="s">
        <v>33</v>
      </c>
      <c r="AB133" s="131" t="s">
        <v>33</v>
      </c>
      <c r="AC133" s="131">
        <v>0.92</v>
      </c>
      <c r="AD133" s="129">
        <v>1</v>
      </c>
      <c r="AE133" s="129">
        <v>0.972222222222222</v>
      </c>
      <c r="AF133" s="129">
        <v>0.987179487179487</v>
      </c>
      <c r="AG133" s="129">
        <v>0.985770750988142</v>
      </c>
      <c r="AH133" s="131">
        <v>0.92</v>
      </c>
      <c r="AI133" s="129">
        <v>0.978652926021347</v>
      </c>
      <c r="AJ133" s="129">
        <v>0.987769784172662</v>
      </c>
      <c r="AK133" s="129">
        <v>0.993356779992184</v>
      </c>
      <c r="AL133" s="129">
        <v>0.991140836193011</v>
      </c>
      <c r="AM133" s="128">
        <v>0.99</v>
      </c>
      <c r="AN133" s="133">
        <v>1</v>
      </c>
      <c r="AO133" s="133">
        <v>1</v>
      </c>
      <c r="AP133" s="133">
        <v>1</v>
      </c>
      <c r="AQ133" s="133">
        <v>1</v>
      </c>
      <c r="AR133" s="135">
        <v>0.105261498981944</v>
      </c>
      <c r="AS133" s="137">
        <v>0</v>
      </c>
      <c r="AT133" s="137">
        <v>0</v>
      </c>
      <c r="AU133" s="137">
        <v>0</v>
      </c>
      <c r="AV133" s="137">
        <v>0.03125</v>
      </c>
      <c r="AW133" s="93"/>
      <c r="AX133" s="91"/>
    </row>
    <row r="134" ht="14.5" spans="1:50">
      <c r="A134" s="89"/>
      <c r="B134" s="93"/>
      <c r="C134" s="148" t="s">
        <v>96</v>
      </c>
      <c r="D134" s="126" t="s">
        <v>97</v>
      </c>
      <c r="E134" s="149" t="s">
        <v>152</v>
      </c>
      <c r="F134" s="149" t="s">
        <v>152</v>
      </c>
      <c r="G134" s="149" t="s">
        <v>152</v>
      </c>
      <c r="H134" s="149" t="s">
        <v>152</v>
      </c>
      <c r="I134" s="128">
        <v>0.9</v>
      </c>
      <c r="J134" s="129">
        <v>0.974358974358974</v>
      </c>
      <c r="K134" s="129">
        <v>0.985714285714286</v>
      </c>
      <c r="L134" s="130">
        <v>0.971830985915493</v>
      </c>
      <c r="M134" s="129">
        <v>0.980769230769231</v>
      </c>
      <c r="N134" s="131">
        <v>0.9</v>
      </c>
      <c r="O134" s="129">
        <v>1</v>
      </c>
      <c r="P134" s="129" t="s">
        <v>33</v>
      </c>
      <c r="Q134" s="129" t="s">
        <v>33</v>
      </c>
      <c r="R134" s="129">
        <v>0.5</v>
      </c>
      <c r="S134" s="131">
        <v>0.9</v>
      </c>
      <c r="T134" s="129">
        <v>1</v>
      </c>
      <c r="U134" s="129" t="s">
        <v>33</v>
      </c>
      <c r="V134" s="129" t="s">
        <v>33</v>
      </c>
      <c r="W134" s="129">
        <v>1</v>
      </c>
      <c r="X134" s="131">
        <v>0.92</v>
      </c>
      <c r="Y134" s="131">
        <v>0</v>
      </c>
      <c r="Z134" s="131" t="s">
        <v>33</v>
      </c>
      <c r="AA134" s="131" t="s">
        <v>33</v>
      </c>
      <c r="AB134" s="131">
        <v>0</v>
      </c>
      <c r="AC134" s="131">
        <v>0.92</v>
      </c>
      <c r="AD134" s="129">
        <v>1</v>
      </c>
      <c r="AE134" s="129">
        <v>1</v>
      </c>
      <c r="AF134" s="129">
        <v>0.995792426367461</v>
      </c>
      <c r="AG134" s="129">
        <v>0.994126695567054</v>
      </c>
      <c r="AH134" s="131">
        <v>0.92</v>
      </c>
      <c r="AI134" s="129">
        <v>0.969129800680603</v>
      </c>
      <c r="AJ134" s="129">
        <v>0.985084901330886</v>
      </c>
      <c r="AK134" s="129">
        <v>0.984138785625775</v>
      </c>
      <c r="AL134" s="129">
        <v>0.986786878326729</v>
      </c>
      <c r="AM134" s="128">
        <v>0.99</v>
      </c>
      <c r="AN134" s="133">
        <v>1</v>
      </c>
      <c r="AO134" s="133">
        <v>1</v>
      </c>
      <c r="AP134" s="133">
        <v>1</v>
      </c>
      <c r="AQ134" s="133">
        <v>1</v>
      </c>
      <c r="AR134" s="135">
        <v>0.105261498981944</v>
      </c>
      <c r="AS134" s="137">
        <v>0</v>
      </c>
      <c r="AT134" s="137">
        <v>0</v>
      </c>
      <c r="AU134" s="137">
        <v>0</v>
      </c>
      <c r="AV134" s="137">
        <v>0.0387096774193548</v>
      </c>
      <c r="AW134" s="93"/>
      <c r="AX134" s="91"/>
    </row>
    <row r="135" ht="14.5" spans="1:50">
      <c r="A135" s="89"/>
      <c r="B135" s="93"/>
      <c r="C135" s="148" t="s">
        <v>96</v>
      </c>
      <c r="D135" s="126" t="s">
        <v>97</v>
      </c>
      <c r="E135" s="149" t="s">
        <v>153</v>
      </c>
      <c r="F135" s="149" t="s">
        <v>153</v>
      </c>
      <c r="G135" s="149" t="s">
        <v>153</v>
      </c>
      <c r="H135" s="149" t="s">
        <v>153</v>
      </c>
      <c r="I135" s="128">
        <v>0.9</v>
      </c>
      <c r="J135" s="129">
        <v>0.935064935064935</v>
      </c>
      <c r="K135" s="129">
        <v>0.967213114754098</v>
      </c>
      <c r="L135" s="130">
        <v>0.96969696969697</v>
      </c>
      <c r="M135" s="129">
        <v>0.9688995215311</v>
      </c>
      <c r="N135" s="131">
        <v>0.9</v>
      </c>
      <c r="O135" s="129" t="s">
        <v>33</v>
      </c>
      <c r="P135" s="129">
        <v>0</v>
      </c>
      <c r="Q135" s="129">
        <v>0</v>
      </c>
      <c r="R135" s="129">
        <v>0</v>
      </c>
      <c r="S135" s="131">
        <v>0.9</v>
      </c>
      <c r="T135" s="129" t="s">
        <v>33</v>
      </c>
      <c r="U135" s="129">
        <v>0</v>
      </c>
      <c r="V135" s="129">
        <v>0</v>
      </c>
      <c r="W135" s="129">
        <v>0.25</v>
      </c>
      <c r="X135" s="131">
        <v>0.92</v>
      </c>
      <c r="Y135" s="131">
        <v>0</v>
      </c>
      <c r="Z135" s="131" t="s">
        <v>33</v>
      </c>
      <c r="AA135" s="131" t="s">
        <v>33</v>
      </c>
      <c r="AB135" s="131">
        <v>0</v>
      </c>
      <c r="AC135" s="131">
        <v>0.92</v>
      </c>
      <c r="AD135" s="129">
        <v>0.991891891891892</v>
      </c>
      <c r="AE135" s="129">
        <v>0.998106060606061</v>
      </c>
      <c r="AF135" s="129">
        <v>0.992248062015504</v>
      </c>
      <c r="AG135" s="129">
        <v>0.994164559424237</v>
      </c>
      <c r="AH135" s="131">
        <v>0.92</v>
      </c>
      <c r="AI135" s="129">
        <v>0.983441981747067</v>
      </c>
      <c r="AJ135" s="129">
        <v>0.987615347255949</v>
      </c>
      <c r="AK135" s="129">
        <v>0.98642266824085</v>
      </c>
      <c r="AL135" s="129">
        <v>0.989152702631717</v>
      </c>
      <c r="AM135" s="128">
        <v>0.99</v>
      </c>
      <c r="AN135" s="133">
        <v>1</v>
      </c>
      <c r="AO135" s="133">
        <v>1</v>
      </c>
      <c r="AP135" s="133">
        <v>1</v>
      </c>
      <c r="AQ135" s="133">
        <v>1</v>
      </c>
      <c r="AR135" s="135">
        <v>0.105261498981944</v>
      </c>
      <c r="AS135" s="137">
        <v>0</v>
      </c>
      <c r="AT135" s="137">
        <v>0</v>
      </c>
      <c r="AU135" s="137">
        <v>0.0666666666666667</v>
      </c>
      <c r="AV135" s="137">
        <v>0.0371428571428571</v>
      </c>
      <c r="AW135" s="93"/>
      <c r="AX135" s="91"/>
    </row>
    <row r="136" ht="14.5" spans="1:50">
      <c r="A136" s="89"/>
      <c r="B136" s="93"/>
      <c r="C136" s="148" t="s">
        <v>96</v>
      </c>
      <c r="D136" s="126" t="s">
        <v>97</v>
      </c>
      <c r="E136" s="149" t="s">
        <v>154</v>
      </c>
      <c r="F136" s="149" t="s">
        <v>154</v>
      </c>
      <c r="G136" s="149" t="s">
        <v>154</v>
      </c>
      <c r="H136" s="149" t="s">
        <v>154</v>
      </c>
      <c r="I136" s="128">
        <v>0.9</v>
      </c>
      <c r="J136" s="129">
        <v>0.979166666666667</v>
      </c>
      <c r="K136" s="129">
        <v>0.951219512195122</v>
      </c>
      <c r="L136" s="130">
        <v>1</v>
      </c>
      <c r="M136" s="129">
        <v>0.985585585585586</v>
      </c>
      <c r="N136" s="131">
        <v>0.9</v>
      </c>
      <c r="O136" s="129">
        <v>0</v>
      </c>
      <c r="P136" s="129">
        <v>0</v>
      </c>
      <c r="Q136" s="129" t="s">
        <v>33</v>
      </c>
      <c r="R136" s="129">
        <v>0</v>
      </c>
      <c r="S136" s="131">
        <v>0.9</v>
      </c>
      <c r="T136" s="129">
        <v>0</v>
      </c>
      <c r="U136" s="129">
        <v>0</v>
      </c>
      <c r="V136" s="129" t="s">
        <v>33</v>
      </c>
      <c r="W136" s="129">
        <v>0</v>
      </c>
      <c r="X136" s="131">
        <v>0.92</v>
      </c>
      <c r="Y136" s="131">
        <v>0</v>
      </c>
      <c r="Z136" s="131" t="s">
        <v>33</v>
      </c>
      <c r="AA136" s="131" t="s">
        <v>33</v>
      </c>
      <c r="AB136" s="131">
        <v>0</v>
      </c>
      <c r="AC136" s="131">
        <v>0.92</v>
      </c>
      <c r="AD136" s="129">
        <v>0.993464052287582</v>
      </c>
      <c r="AE136" s="129">
        <v>0.993710691823899</v>
      </c>
      <c r="AF136" s="129">
        <v>0.994818652849741</v>
      </c>
      <c r="AG136" s="129">
        <v>0.995261911029218</v>
      </c>
      <c r="AH136" s="131">
        <v>0.92</v>
      </c>
      <c r="AI136" s="129">
        <v>0.986845039018952</v>
      </c>
      <c r="AJ136" s="129">
        <v>0.990612244897959</v>
      </c>
      <c r="AK136" s="129">
        <v>0.988054215483575</v>
      </c>
      <c r="AL136" s="129">
        <v>0.992064797302853</v>
      </c>
      <c r="AM136" s="128">
        <v>0.99</v>
      </c>
      <c r="AN136" s="133">
        <v>1</v>
      </c>
      <c r="AO136" s="133">
        <v>1</v>
      </c>
      <c r="AP136" s="133">
        <v>1</v>
      </c>
      <c r="AQ136" s="133">
        <v>1</v>
      </c>
      <c r="AR136" s="135">
        <v>0.105261498981944</v>
      </c>
      <c r="AS136" s="137">
        <v>0</v>
      </c>
      <c r="AT136" s="137">
        <v>0</v>
      </c>
      <c r="AU136" s="137">
        <v>0</v>
      </c>
      <c r="AV136" s="137">
        <v>0.104166666666667</v>
      </c>
      <c r="AW136" s="93"/>
      <c r="AX136" s="91"/>
    </row>
    <row r="137" ht="14.5" spans="1:50">
      <c r="A137" s="89"/>
      <c r="B137" s="93"/>
      <c r="C137" s="148" t="s">
        <v>96</v>
      </c>
      <c r="D137" s="126" t="s">
        <v>97</v>
      </c>
      <c r="E137" s="149" t="s">
        <v>155</v>
      </c>
      <c r="F137" s="149" t="s">
        <v>155</v>
      </c>
      <c r="G137" s="149" t="s">
        <v>155</v>
      </c>
      <c r="H137" s="149" t="s">
        <v>155</v>
      </c>
      <c r="I137" s="128">
        <v>0.9</v>
      </c>
      <c r="J137" s="129">
        <v>1</v>
      </c>
      <c r="K137" s="129">
        <v>0.964285714285714</v>
      </c>
      <c r="L137" s="130">
        <v>0.964285714285714</v>
      </c>
      <c r="M137" s="129">
        <v>0.991913746630728</v>
      </c>
      <c r="N137" s="131">
        <v>0.9</v>
      </c>
      <c r="O137" s="129" t="s">
        <v>33</v>
      </c>
      <c r="P137" s="129" t="s">
        <v>33</v>
      </c>
      <c r="Q137" s="129" t="s">
        <v>33</v>
      </c>
      <c r="R137" s="129">
        <v>0</v>
      </c>
      <c r="S137" s="131">
        <v>0.9</v>
      </c>
      <c r="T137" s="129" t="s">
        <v>33</v>
      </c>
      <c r="U137" s="129" t="s">
        <v>33</v>
      </c>
      <c r="V137" s="129" t="s">
        <v>33</v>
      </c>
      <c r="W137" s="129">
        <v>0</v>
      </c>
      <c r="X137" s="131">
        <v>0.92</v>
      </c>
      <c r="Y137" s="131" t="s">
        <v>33</v>
      </c>
      <c r="Z137" s="131" t="s">
        <v>33</v>
      </c>
      <c r="AA137" s="131" t="s">
        <v>33</v>
      </c>
      <c r="AB137" s="131">
        <v>0</v>
      </c>
      <c r="AC137" s="131">
        <v>0.92</v>
      </c>
      <c r="AD137" s="129">
        <v>0.981132075471698</v>
      </c>
      <c r="AE137" s="129">
        <v>0.994252873563218</v>
      </c>
      <c r="AF137" s="129">
        <v>0.988023952095808</v>
      </c>
      <c r="AG137" s="129">
        <v>0.979208584842388</v>
      </c>
      <c r="AH137" s="131">
        <v>0.92</v>
      </c>
      <c r="AI137" s="129">
        <v>0.972049689440994</v>
      </c>
      <c r="AJ137" s="129">
        <v>0.983412322274882</v>
      </c>
      <c r="AK137" s="129">
        <v>0.993363499245852</v>
      </c>
      <c r="AL137" s="129">
        <v>0.990110635633024</v>
      </c>
      <c r="AM137" s="128">
        <v>0.99</v>
      </c>
      <c r="AN137" s="133">
        <v>1</v>
      </c>
      <c r="AO137" s="133">
        <v>1</v>
      </c>
      <c r="AP137" s="133">
        <v>1</v>
      </c>
      <c r="AQ137" s="133">
        <v>1</v>
      </c>
      <c r="AR137" s="135">
        <v>0.105261498981944</v>
      </c>
      <c r="AS137" s="137">
        <v>0</v>
      </c>
      <c r="AT137" s="137" t="s">
        <v>33</v>
      </c>
      <c r="AU137" s="137" t="s">
        <v>33</v>
      </c>
      <c r="AV137" s="137">
        <v>0.2</v>
      </c>
      <c r="AW137" s="93"/>
      <c r="AX137" s="91"/>
    </row>
    <row r="138" ht="14.5" spans="1:50">
      <c r="A138" s="89"/>
      <c r="B138" s="93"/>
      <c r="C138" s="148" t="s">
        <v>96</v>
      </c>
      <c r="D138" s="126" t="s">
        <v>97</v>
      </c>
      <c r="E138" s="149" t="s">
        <v>156</v>
      </c>
      <c r="F138" s="149" t="s">
        <v>156</v>
      </c>
      <c r="G138" s="149" t="s">
        <v>156</v>
      </c>
      <c r="H138" s="149" t="s">
        <v>156</v>
      </c>
      <c r="I138" s="128">
        <v>0.9</v>
      </c>
      <c r="J138" s="129">
        <v>0.972602739726027</v>
      </c>
      <c r="K138" s="129">
        <v>0.983606557377049</v>
      </c>
      <c r="L138" s="130">
        <v>0.985507246376812</v>
      </c>
      <c r="M138" s="129">
        <v>0.984330484330484</v>
      </c>
      <c r="N138" s="131">
        <v>0.9</v>
      </c>
      <c r="O138" s="129">
        <v>0</v>
      </c>
      <c r="P138" s="129">
        <v>0</v>
      </c>
      <c r="Q138" s="129">
        <v>0</v>
      </c>
      <c r="R138" s="129">
        <v>0.0526315789473684</v>
      </c>
      <c r="S138" s="131">
        <v>0.9</v>
      </c>
      <c r="T138" s="129">
        <v>0</v>
      </c>
      <c r="U138" s="129">
        <v>0</v>
      </c>
      <c r="V138" s="129">
        <v>0</v>
      </c>
      <c r="W138" s="129">
        <v>0.0526315789473684</v>
      </c>
      <c r="X138" s="131">
        <v>0.92</v>
      </c>
      <c r="Y138" s="131">
        <v>0</v>
      </c>
      <c r="Z138" s="131">
        <v>0</v>
      </c>
      <c r="AA138" s="131">
        <v>0</v>
      </c>
      <c r="AB138" s="131">
        <v>0</v>
      </c>
      <c r="AC138" s="131">
        <v>0.92</v>
      </c>
      <c r="AD138" s="129">
        <v>0.99830220713073</v>
      </c>
      <c r="AE138" s="129">
        <v>0.999045801526718</v>
      </c>
      <c r="AF138" s="129">
        <v>0.99680170575693</v>
      </c>
      <c r="AG138" s="129">
        <v>0.997751201063069</v>
      </c>
      <c r="AH138" s="131">
        <v>0.92</v>
      </c>
      <c r="AI138" s="129">
        <v>0.971076267316182</v>
      </c>
      <c r="AJ138" s="129">
        <v>0.983088439146105</v>
      </c>
      <c r="AK138" s="129">
        <v>0.984950368235671</v>
      </c>
      <c r="AL138" s="129">
        <v>0.985197069185095</v>
      </c>
      <c r="AM138" s="128">
        <v>0.99</v>
      </c>
      <c r="AN138" s="133">
        <v>1</v>
      </c>
      <c r="AO138" s="133">
        <v>1</v>
      </c>
      <c r="AP138" s="133">
        <v>1</v>
      </c>
      <c r="AQ138" s="133">
        <v>1</v>
      </c>
      <c r="AR138" s="135">
        <v>0.105261498981944</v>
      </c>
      <c r="AS138" s="137">
        <v>0.0833333333333333</v>
      </c>
      <c r="AT138" s="137">
        <v>0</v>
      </c>
      <c r="AU138" s="137">
        <v>0.222222222222222</v>
      </c>
      <c r="AV138" s="137">
        <v>0.073394495412844</v>
      </c>
      <c r="AW138" s="93"/>
      <c r="AX138" s="91"/>
    </row>
    <row r="139" ht="14.5" spans="1:50">
      <c r="A139" s="89"/>
      <c r="B139" s="93"/>
      <c r="C139" s="148" t="s">
        <v>96</v>
      </c>
      <c r="D139" s="126" t="s">
        <v>97</v>
      </c>
      <c r="E139" s="149" t="s">
        <v>157</v>
      </c>
      <c r="F139" s="149" t="s">
        <v>157</v>
      </c>
      <c r="G139" s="149" t="s">
        <v>157</v>
      </c>
      <c r="H139" s="149" t="s">
        <v>157</v>
      </c>
      <c r="I139" s="128">
        <v>0.9</v>
      </c>
      <c r="J139" s="129">
        <v>0.99009900990099</v>
      </c>
      <c r="K139" s="129">
        <v>0.988636363636364</v>
      </c>
      <c r="L139" s="130">
        <v>0.942528735632184</v>
      </c>
      <c r="M139" s="129">
        <v>0.956756756756757</v>
      </c>
      <c r="N139" s="131">
        <v>0.9</v>
      </c>
      <c r="O139" s="129">
        <v>0.927735057672143</v>
      </c>
      <c r="P139" s="129">
        <v>0.958281514980215</v>
      </c>
      <c r="Q139" s="129">
        <v>0.958136148525664</v>
      </c>
      <c r="R139" s="129">
        <v>0.944411163577419</v>
      </c>
      <c r="S139" s="131">
        <v>0.9</v>
      </c>
      <c r="T139" s="129">
        <v>0.918647326109752</v>
      </c>
      <c r="U139" s="129">
        <v>0.912379875635952</v>
      </c>
      <c r="V139" s="129">
        <v>0.937992962019172</v>
      </c>
      <c r="W139" s="129">
        <v>0.923919937980125</v>
      </c>
      <c r="X139" s="131">
        <v>0.92</v>
      </c>
      <c r="Y139" s="131">
        <v>0.957457541617622</v>
      </c>
      <c r="Z139" s="131">
        <v>0.96644190058021</v>
      </c>
      <c r="AA139" s="131">
        <v>0.962463095740194</v>
      </c>
      <c r="AB139" s="131">
        <v>0.962543228718482</v>
      </c>
      <c r="AC139" s="131">
        <v>0.92</v>
      </c>
      <c r="AD139" s="129">
        <v>0.996534372368962</v>
      </c>
      <c r="AE139" s="129">
        <v>0.983769399528723</v>
      </c>
      <c r="AF139" s="129">
        <v>0.959326235963249</v>
      </c>
      <c r="AG139" s="129">
        <v>0.981822123745485</v>
      </c>
      <c r="AH139" s="131">
        <v>0.92</v>
      </c>
      <c r="AI139" s="129">
        <v>0.973439116936875</v>
      </c>
      <c r="AJ139" s="129">
        <v>0.980424357879524</v>
      </c>
      <c r="AK139" s="129">
        <v>0.98530104588712</v>
      </c>
      <c r="AL139" s="129">
        <v>0.978143074929056</v>
      </c>
      <c r="AM139" s="128">
        <v>0.99</v>
      </c>
      <c r="AN139" s="133">
        <v>1</v>
      </c>
      <c r="AO139" s="133">
        <v>1</v>
      </c>
      <c r="AP139" s="133">
        <v>1</v>
      </c>
      <c r="AQ139" s="133">
        <v>1</v>
      </c>
      <c r="AR139" s="135">
        <v>0.105261498981944</v>
      </c>
      <c r="AS139" s="137">
        <v>0.03125</v>
      </c>
      <c r="AT139" s="137">
        <v>0.105263157894737</v>
      </c>
      <c r="AU139" s="137">
        <v>0.428571428571429</v>
      </c>
      <c r="AV139" s="137">
        <v>0.0778688524590164</v>
      </c>
      <c r="AW139" s="93"/>
      <c r="AX139" s="91"/>
    </row>
    <row r="140" ht="14.5" spans="1:50">
      <c r="A140" s="89"/>
      <c r="B140" s="93"/>
      <c r="C140" s="148" t="s">
        <v>96</v>
      </c>
      <c r="D140" s="126" t="s">
        <v>97</v>
      </c>
      <c r="E140" s="149" t="s">
        <v>158</v>
      </c>
      <c r="F140" s="149" t="s">
        <v>158</v>
      </c>
      <c r="G140" s="149" t="s">
        <v>158</v>
      </c>
      <c r="H140" s="149" t="s">
        <v>158</v>
      </c>
      <c r="I140" s="128">
        <v>0.9</v>
      </c>
      <c r="J140" s="129">
        <v>0.987654320987654</v>
      </c>
      <c r="K140" s="129">
        <v>0.986842105263158</v>
      </c>
      <c r="L140" s="130">
        <v>0.948051948051948</v>
      </c>
      <c r="M140" s="129">
        <v>0.973404255319149</v>
      </c>
      <c r="N140" s="131">
        <v>0.9</v>
      </c>
      <c r="O140" s="129">
        <v>0.96505955757232</v>
      </c>
      <c r="P140" s="129">
        <v>0.971010248901903</v>
      </c>
      <c r="Q140" s="129">
        <v>0.971882007935139</v>
      </c>
      <c r="R140" s="129">
        <v>0.970412674586329</v>
      </c>
      <c r="S140" s="131">
        <v>0.9</v>
      </c>
      <c r="T140" s="129">
        <v>0.935224049914918</v>
      </c>
      <c r="U140" s="129">
        <v>0.943777452415813</v>
      </c>
      <c r="V140" s="129">
        <v>0.947041573227531</v>
      </c>
      <c r="W140" s="129">
        <v>0.938784843971714</v>
      </c>
      <c r="X140" s="131">
        <v>0.92</v>
      </c>
      <c r="Y140" s="131">
        <v>0.959643255295429</v>
      </c>
      <c r="Z140" s="131">
        <v>0.959648421893728</v>
      </c>
      <c r="AA140" s="131">
        <v>0.960825833774484</v>
      </c>
      <c r="AB140" s="131">
        <v>0.963873862540361</v>
      </c>
      <c r="AC140" s="131">
        <v>0.92</v>
      </c>
      <c r="AD140" s="129">
        <v>0.997089783281734</v>
      </c>
      <c r="AE140" s="129">
        <v>0.996920053662869</v>
      </c>
      <c r="AF140" s="129">
        <v>0.952628557922815</v>
      </c>
      <c r="AG140" s="129">
        <v>0.983234718352086</v>
      </c>
      <c r="AH140" s="131">
        <v>0.92</v>
      </c>
      <c r="AI140" s="129">
        <v>0.977373524768849</v>
      </c>
      <c r="AJ140" s="129">
        <v>0.976009461057611</v>
      </c>
      <c r="AK140" s="129">
        <v>0.980616625471575</v>
      </c>
      <c r="AL140" s="129">
        <v>0.98043358925577</v>
      </c>
      <c r="AM140" s="128">
        <v>0.99</v>
      </c>
      <c r="AN140" s="133">
        <v>1</v>
      </c>
      <c r="AO140" s="133">
        <v>1</v>
      </c>
      <c r="AP140" s="133">
        <v>1</v>
      </c>
      <c r="AQ140" s="133">
        <v>1</v>
      </c>
      <c r="AR140" s="135">
        <v>0.105261498981944</v>
      </c>
      <c r="AS140" s="137">
        <v>0</v>
      </c>
      <c r="AT140" s="137">
        <v>0.153846153846154</v>
      </c>
      <c r="AU140" s="137">
        <v>0</v>
      </c>
      <c r="AV140" s="137">
        <v>0.105769230769231</v>
      </c>
      <c r="AW140" s="93"/>
      <c r="AX140" s="91"/>
    </row>
    <row r="141" ht="14.5" spans="1:50">
      <c r="A141" s="89"/>
      <c r="B141" s="93"/>
      <c r="C141" s="148" t="s">
        <v>96</v>
      </c>
      <c r="D141" s="126" t="s">
        <v>97</v>
      </c>
      <c r="E141" s="149" t="s">
        <v>159</v>
      </c>
      <c r="F141" s="149" t="s">
        <v>159</v>
      </c>
      <c r="G141" s="149" t="s">
        <v>159</v>
      </c>
      <c r="H141" s="149" t="s">
        <v>159</v>
      </c>
      <c r="I141" s="128">
        <v>0.9</v>
      </c>
      <c r="J141" s="129">
        <v>0.942857142857143</v>
      </c>
      <c r="K141" s="129">
        <v>0.979166666666667</v>
      </c>
      <c r="L141" s="130">
        <v>0.9375</v>
      </c>
      <c r="M141" s="129">
        <v>0.959150326797386</v>
      </c>
      <c r="N141" s="131">
        <v>0.9</v>
      </c>
      <c r="O141" s="129">
        <v>0.886490857071775</v>
      </c>
      <c r="P141" s="129">
        <v>0.885155542132286</v>
      </c>
      <c r="Q141" s="129">
        <v>0.918036600496278</v>
      </c>
      <c r="R141" s="129">
        <v>0.910507353449739</v>
      </c>
      <c r="S141" s="131">
        <v>0.9</v>
      </c>
      <c r="T141" s="129">
        <v>0.887112824978231</v>
      </c>
      <c r="U141" s="129">
        <v>0.940727876774388</v>
      </c>
      <c r="V141" s="129">
        <v>0.925480769230769</v>
      </c>
      <c r="W141" s="129">
        <v>0.916631560415239</v>
      </c>
      <c r="X141" s="131">
        <v>0.92</v>
      </c>
      <c r="Y141" s="131">
        <v>0.887865265582266</v>
      </c>
      <c r="Z141" s="131">
        <v>0.911995942176008</v>
      </c>
      <c r="AA141" s="131">
        <v>0.922641509433962</v>
      </c>
      <c r="AB141" s="131">
        <v>0.911116829644879</v>
      </c>
      <c r="AC141" s="131">
        <v>0.92</v>
      </c>
      <c r="AD141" s="129">
        <v>0.986986252959678</v>
      </c>
      <c r="AE141" s="129">
        <v>0.993726732785814</v>
      </c>
      <c r="AF141" s="129">
        <v>0.986964064778783</v>
      </c>
      <c r="AG141" s="129">
        <v>0.988623541437124</v>
      </c>
      <c r="AH141" s="131">
        <v>0.92</v>
      </c>
      <c r="AI141" s="129">
        <v>0.926934097421203</v>
      </c>
      <c r="AJ141" s="129">
        <v>0.953637997918441</v>
      </c>
      <c r="AK141" s="129">
        <v>0.962913907284768</v>
      </c>
      <c r="AL141" s="129">
        <v>0.94930311308526</v>
      </c>
      <c r="AM141" s="128">
        <v>0.99</v>
      </c>
      <c r="AN141" s="133">
        <v>1</v>
      </c>
      <c r="AO141" s="133">
        <v>1</v>
      </c>
      <c r="AP141" s="133">
        <v>1</v>
      </c>
      <c r="AQ141" s="133">
        <v>1</v>
      </c>
      <c r="AR141" s="135">
        <v>0.105261498981944</v>
      </c>
      <c r="AS141" s="137">
        <v>0.2</v>
      </c>
      <c r="AT141" s="137">
        <v>0.166666666666667</v>
      </c>
      <c r="AU141" s="137">
        <v>0</v>
      </c>
      <c r="AV141" s="137">
        <v>0.118705035971223</v>
      </c>
      <c r="AW141" s="93"/>
      <c r="AX141" s="91"/>
    </row>
    <row r="142" ht="14.5" spans="1:50">
      <c r="A142" s="89"/>
      <c r="B142" s="93"/>
      <c r="C142" s="148" t="s">
        <v>96</v>
      </c>
      <c r="D142" s="126" t="s">
        <v>97</v>
      </c>
      <c r="E142" s="149" t="s">
        <v>160</v>
      </c>
      <c r="F142" s="149" t="s">
        <v>160</v>
      </c>
      <c r="G142" s="149" t="s">
        <v>160</v>
      </c>
      <c r="H142" s="149" t="s">
        <v>160</v>
      </c>
      <c r="I142" s="128">
        <v>0.9</v>
      </c>
      <c r="J142" s="129">
        <v>0.978947368421053</v>
      </c>
      <c r="K142" s="129">
        <v>0.988372093023256</v>
      </c>
      <c r="L142" s="130">
        <v>0.942528735632184</v>
      </c>
      <c r="M142" s="129">
        <v>0.889199255121043</v>
      </c>
      <c r="N142" s="131">
        <v>0.9</v>
      </c>
      <c r="O142" s="129">
        <v>0.952840639341668</v>
      </c>
      <c r="P142" s="129">
        <v>0.950133662348345</v>
      </c>
      <c r="Q142" s="129">
        <v>0.878470456625648</v>
      </c>
      <c r="R142" s="129">
        <v>0.949573892486047</v>
      </c>
      <c r="S142" s="131">
        <v>0.9</v>
      </c>
      <c r="T142" s="129">
        <v>0.914068681753442</v>
      </c>
      <c r="U142" s="129">
        <v>0.943347727740078</v>
      </c>
      <c r="V142" s="129">
        <v>0.95667649750839</v>
      </c>
      <c r="W142" s="129">
        <v>0.937087195651997</v>
      </c>
      <c r="X142" s="131">
        <v>0.92</v>
      </c>
      <c r="Y142" s="131">
        <v>0.939726463104326</v>
      </c>
      <c r="Z142" s="131">
        <v>0.953747323340471</v>
      </c>
      <c r="AA142" s="131">
        <v>0.958909090909091</v>
      </c>
      <c r="AB142" s="131">
        <v>0.948235188724319</v>
      </c>
      <c r="AC142" s="131">
        <v>0.92</v>
      </c>
      <c r="AD142" s="129">
        <v>0.997788998774986</v>
      </c>
      <c r="AE142" s="129">
        <v>0.959085398421405</v>
      </c>
      <c r="AF142" s="129">
        <v>0.907189661864426</v>
      </c>
      <c r="AG142" s="129">
        <v>0.958663517494073</v>
      </c>
      <c r="AH142" s="131">
        <v>0.92</v>
      </c>
      <c r="AI142" s="129">
        <v>0.962038014783527</v>
      </c>
      <c r="AJ142" s="129">
        <v>0.972989123939285</v>
      </c>
      <c r="AK142" s="129">
        <v>0.981171049495511</v>
      </c>
      <c r="AL142" s="129">
        <v>0.973134139992743</v>
      </c>
      <c r="AM142" s="128">
        <v>0.99</v>
      </c>
      <c r="AN142" s="133">
        <v>1</v>
      </c>
      <c r="AO142" s="133">
        <v>1</v>
      </c>
      <c r="AP142" s="133">
        <v>1</v>
      </c>
      <c r="AQ142" s="133">
        <v>1</v>
      </c>
      <c r="AR142" s="135">
        <v>0.105261498981944</v>
      </c>
      <c r="AS142" s="137">
        <v>0.1</v>
      </c>
      <c r="AT142" s="137">
        <v>0.125</v>
      </c>
      <c r="AU142" s="137">
        <v>0.176470588235294</v>
      </c>
      <c r="AV142" s="137">
        <v>0.110047846889952</v>
      </c>
      <c r="AW142" s="93"/>
      <c r="AX142" s="91"/>
    </row>
    <row r="143" ht="14.5" spans="1:50">
      <c r="A143" s="89"/>
      <c r="B143" s="93"/>
      <c r="C143" s="148" t="s">
        <v>96</v>
      </c>
      <c r="D143" s="126" t="s">
        <v>97</v>
      </c>
      <c r="E143" s="149" t="s">
        <v>161</v>
      </c>
      <c r="F143" s="149" t="s">
        <v>161</v>
      </c>
      <c r="G143" s="149" t="s">
        <v>161</v>
      </c>
      <c r="H143" s="149" t="s">
        <v>161</v>
      </c>
      <c r="I143" s="128">
        <v>0.9</v>
      </c>
      <c r="J143" s="129">
        <v>1</v>
      </c>
      <c r="K143" s="129">
        <v>1</v>
      </c>
      <c r="L143" s="130">
        <v>1</v>
      </c>
      <c r="M143" s="129">
        <v>0.997661730319564</v>
      </c>
      <c r="N143" s="131">
        <v>0.9</v>
      </c>
      <c r="O143" s="129">
        <v>0.978787035749061</v>
      </c>
      <c r="P143" s="129">
        <v>0.979008643499735</v>
      </c>
      <c r="Q143" s="129">
        <v>0.981794170361287</v>
      </c>
      <c r="R143" s="129">
        <v>0.97303778073967</v>
      </c>
      <c r="S143" s="131">
        <v>0.9</v>
      </c>
      <c r="T143" s="129">
        <v>0.972666573932397</v>
      </c>
      <c r="U143" s="129">
        <v>0.980331628153113</v>
      </c>
      <c r="V143" s="129">
        <v>0.980473540232054</v>
      </c>
      <c r="W143" s="129">
        <v>0.966448261687365</v>
      </c>
      <c r="X143" s="131">
        <v>0.92</v>
      </c>
      <c r="Y143" s="131">
        <v>0.971737059383931</v>
      </c>
      <c r="Z143" s="131">
        <v>0.970743898853278</v>
      </c>
      <c r="AA143" s="131">
        <v>0.98022412656559</v>
      </c>
      <c r="AB143" s="131">
        <v>0.949668690983617</v>
      </c>
      <c r="AC143" s="131">
        <v>0.92</v>
      </c>
      <c r="AD143" s="129">
        <v>0.993841267381958</v>
      </c>
      <c r="AE143" s="129">
        <v>0.985708326043952</v>
      </c>
      <c r="AF143" s="129">
        <v>0.975023709267478</v>
      </c>
      <c r="AG143" s="129">
        <v>0.97853190160972</v>
      </c>
      <c r="AH143" s="131">
        <v>0.92</v>
      </c>
      <c r="AI143" s="129">
        <v>0.983808603189947</v>
      </c>
      <c r="AJ143" s="129">
        <v>0.985007992063055</v>
      </c>
      <c r="AK143" s="129">
        <v>0.991569533025438</v>
      </c>
      <c r="AL143" s="129">
        <v>0.977825601918146</v>
      </c>
      <c r="AM143" s="128">
        <v>0.99</v>
      </c>
      <c r="AN143" s="133">
        <v>1</v>
      </c>
      <c r="AO143" s="133">
        <v>1</v>
      </c>
      <c r="AP143" s="133">
        <v>1</v>
      </c>
      <c r="AQ143" s="133">
        <v>1</v>
      </c>
      <c r="AR143" s="135">
        <v>0.105261498981944</v>
      </c>
      <c r="AS143" s="137">
        <v>0.04</v>
      </c>
      <c r="AT143" s="137">
        <v>0.173913043478261</v>
      </c>
      <c r="AU143" s="137">
        <v>0.0526315789473684</v>
      </c>
      <c r="AV143" s="137">
        <v>0.0618181818181818</v>
      </c>
      <c r="AW143" s="93"/>
      <c r="AX143" s="91"/>
    </row>
    <row r="144" ht="14.5" spans="1:50">
      <c r="A144" s="89"/>
      <c r="B144" s="93"/>
      <c r="C144" s="148" t="s">
        <v>96</v>
      </c>
      <c r="D144" s="126" t="s">
        <v>97</v>
      </c>
      <c r="E144" s="149" t="s">
        <v>162</v>
      </c>
      <c r="F144" s="149" t="s">
        <v>162</v>
      </c>
      <c r="G144" s="149" t="s">
        <v>162</v>
      </c>
      <c r="H144" s="149" t="s">
        <v>162</v>
      </c>
      <c r="I144" s="128">
        <v>0.9</v>
      </c>
      <c r="J144" s="129">
        <v>1</v>
      </c>
      <c r="K144" s="129">
        <v>1</v>
      </c>
      <c r="L144" s="130">
        <v>1</v>
      </c>
      <c r="M144" s="129">
        <v>1</v>
      </c>
      <c r="N144" s="131">
        <v>0.9</v>
      </c>
      <c r="O144" s="129">
        <v>0.972126038781163</v>
      </c>
      <c r="P144" s="129">
        <v>0.977859778597786</v>
      </c>
      <c r="Q144" s="129">
        <v>0.980878670612338</v>
      </c>
      <c r="R144" s="129">
        <v>0.96681787786232</v>
      </c>
      <c r="S144" s="131">
        <v>0.9</v>
      </c>
      <c r="T144" s="129">
        <v>0.964508310249307</v>
      </c>
      <c r="U144" s="129">
        <v>0.968309094855654</v>
      </c>
      <c r="V144" s="129">
        <v>0.970862736171181</v>
      </c>
      <c r="W144" s="129">
        <v>0.966673293452133</v>
      </c>
      <c r="X144" s="131">
        <v>0.92</v>
      </c>
      <c r="Y144" s="131">
        <v>0.95864262990456</v>
      </c>
      <c r="Z144" s="131">
        <v>0.958979328165375</v>
      </c>
      <c r="AA144" s="131">
        <v>0.968053491827637</v>
      </c>
      <c r="AB144" s="131">
        <v>0.965445448134592</v>
      </c>
      <c r="AC144" s="131">
        <v>0.92</v>
      </c>
      <c r="AD144" s="129">
        <v>0.995946374935899</v>
      </c>
      <c r="AE144" s="129">
        <v>0.987989407981842</v>
      </c>
      <c r="AF144" s="129">
        <v>0.983822272856736</v>
      </c>
      <c r="AG144" s="129">
        <v>0.975749524628168</v>
      </c>
      <c r="AH144" s="131">
        <v>0.92</v>
      </c>
      <c r="AI144" s="129">
        <v>0.977346654275093</v>
      </c>
      <c r="AJ144" s="129">
        <v>0.979101765316719</v>
      </c>
      <c r="AK144" s="129">
        <v>0.987114748389344</v>
      </c>
      <c r="AL144" s="129">
        <v>0.983380314775664</v>
      </c>
      <c r="AM144" s="128">
        <v>0.99</v>
      </c>
      <c r="AN144" s="133">
        <v>1</v>
      </c>
      <c r="AO144" s="133">
        <v>1</v>
      </c>
      <c r="AP144" s="133">
        <v>1</v>
      </c>
      <c r="AQ144" s="133">
        <v>1</v>
      </c>
      <c r="AR144" s="135">
        <v>0.105261498981944</v>
      </c>
      <c r="AS144" s="137">
        <v>0</v>
      </c>
      <c r="AT144" s="137">
        <v>0</v>
      </c>
      <c r="AU144" s="137">
        <v>0.25</v>
      </c>
      <c r="AV144" s="137">
        <v>0.117647058823529</v>
      </c>
      <c r="AW144" s="93"/>
      <c r="AX144" s="91"/>
    </row>
    <row r="145" ht="14.5" spans="1:50">
      <c r="A145" s="89"/>
      <c r="B145" s="93"/>
      <c r="C145" s="148" t="s">
        <v>96</v>
      </c>
      <c r="D145" s="126" t="s">
        <v>97</v>
      </c>
      <c r="E145" s="149" t="s">
        <v>163</v>
      </c>
      <c r="F145" s="149" t="s">
        <v>163</v>
      </c>
      <c r="G145" s="149" t="s">
        <v>163</v>
      </c>
      <c r="H145" s="149" t="s">
        <v>163</v>
      </c>
      <c r="I145" s="128">
        <v>0.9</v>
      </c>
      <c r="J145" s="129">
        <v>0.947826086956522</v>
      </c>
      <c r="K145" s="129">
        <v>0.890909090909091</v>
      </c>
      <c r="L145" s="130">
        <v>0.933333333333333</v>
      </c>
      <c r="M145" s="129">
        <v>0.926284437825763</v>
      </c>
      <c r="N145" s="131">
        <v>0.9</v>
      </c>
      <c r="O145" s="129">
        <v>0.745697050196469</v>
      </c>
      <c r="P145" s="129">
        <v>0.944471918050159</v>
      </c>
      <c r="Q145" s="129">
        <v>0.947272864815795</v>
      </c>
      <c r="R145" s="129">
        <v>0.883975214207359</v>
      </c>
      <c r="S145" s="131">
        <v>0.9</v>
      </c>
      <c r="T145" s="129">
        <v>0.868670097957828</v>
      </c>
      <c r="U145" s="129">
        <v>0.932179441893324</v>
      </c>
      <c r="V145" s="129">
        <v>0.924426961192223</v>
      </c>
      <c r="W145" s="129">
        <v>0.883287378813484</v>
      </c>
      <c r="X145" s="131">
        <v>0.92</v>
      </c>
      <c r="Y145" s="131">
        <v>0.947188612099644</v>
      </c>
      <c r="Z145" s="131">
        <v>0.937339370946029</v>
      </c>
      <c r="AA145" s="131">
        <v>0.961579509071505</v>
      </c>
      <c r="AB145" s="131">
        <v>0.943009451211661</v>
      </c>
      <c r="AC145" s="131">
        <v>0.92</v>
      </c>
      <c r="AD145" s="129">
        <v>0.952189129347904</v>
      </c>
      <c r="AE145" s="129">
        <v>0.998626219789901</v>
      </c>
      <c r="AF145" s="129">
        <v>0.997768695978955</v>
      </c>
      <c r="AG145" s="129">
        <v>0.983312820904181</v>
      </c>
      <c r="AH145" s="131">
        <v>0.92</v>
      </c>
      <c r="AI145" s="129">
        <v>0.959832635983264</v>
      </c>
      <c r="AJ145" s="129">
        <v>0.961576354679803</v>
      </c>
      <c r="AK145" s="129">
        <v>0.976313928823945</v>
      </c>
      <c r="AL145" s="129">
        <v>0.96308068261159</v>
      </c>
      <c r="AM145" s="128">
        <v>0.99</v>
      </c>
      <c r="AN145" s="133">
        <v>1</v>
      </c>
      <c r="AO145" s="133">
        <v>1</v>
      </c>
      <c r="AP145" s="133">
        <v>1</v>
      </c>
      <c r="AQ145" s="133">
        <v>1</v>
      </c>
      <c r="AR145" s="135">
        <v>0.105261498981944</v>
      </c>
      <c r="AS145" s="137">
        <v>0.04</v>
      </c>
      <c r="AT145" s="137">
        <v>0.05</v>
      </c>
      <c r="AU145" s="137">
        <v>0.0952380952380952</v>
      </c>
      <c r="AV145" s="137">
        <v>0.0738461538461539</v>
      </c>
      <c r="AW145" s="93"/>
      <c r="AX145" s="91"/>
    </row>
    <row r="146" ht="14.5" spans="1:50">
      <c r="A146" s="89"/>
      <c r="B146" s="93"/>
      <c r="C146" s="148" t="s">
        <v>96</v>
      </c>
      <c r="D146" s="126" t="s">
        <v>97</v>
      </c>
      <c r="E146" s="149" t="s">
        <v>164</v>
      </c>
      <c r="F146" s="149" t="s">
        <v>164</v>
      </c>
      <c r="G146" s="149" t="s">
        <v>164</v>
      </c>
      <c r="H146" s="149" t="s">
        <v>164</v>
      </c>
      <c r="I146" s="128">
        <v>0.9</v>
      </c>
      <c r="J146" s="129">
        <v>0.889830508474576</v>
      </c>
      <c r="K146" s="129">
        <v>0.903508771929825</v>
      </c>
      <c r="L146" s="130">
        <v>0.957446808510638</v>
      </c>
      <c r="M146" s="129">
        <v>0.931303669008587</v>
      </c>
      <c r="N146" s="131">
        <v>0.9</v>
      </c>
      <c r="O146" s="129">
        <v>0.97578431372549</v>
      </c>
      <c r="P146" s="129">
        <v>0.978245614035088</v>
      </c>
      <c r="Q146" s="129">
        <v>0.982232750962393</v>
      </c>
      <c r="R146" s="129">
        <v>0.9761090359676</v>
      </c>
      <c r="S146" s="131">
        <v>0.9</v>
      </c>
      <c r="T146" s="129">
        <v>0.923529411764706</v>
      </c>
      <c r="U146" s="129">
        <v>0.942315789473684</v>
      </c>
      <c r="V146" s="129">
        <v>0.928190701806337</v>
      </c>
      <c r="W146" s="129">
        <v>0.938294791622949</v>
      </c>
      <c r="X146" s="131">
        <v>0.92</v>
      </c>
      <c r="Y146" s="131">
        <v>0.937402496099844</v>
      </c>
      <c r="Z146" s="131">
        <v>0.949628672909267</v>
      </c>
      <c r="AA146" s="131">
        <v>0.925560538116592</v>
      </c>
      <c r="AB146" s="131">
        <v>0.948567177924976</v>
      </c>
      <c r="AC146" s="131">
        <v>0.92</v>
      </c>
      <c r="AD146" s="129">
        <v>0.993279569892473</v>
      </c>
      <c r="AE146" s="129">
        <v>0.891837532823063</v>
      </c>
      <c r="AF146" s="129">
        <v>0.965910944381015</v>
      </c>
      <c r="AG146" s="129">
        <v>0.977043779598528</v>
      </c>
      <c r="AH146" s="131">
        <v>0.92</v>
      </c>
      <c r="AI146" s="129">
        <v>0.960928836996934</v>
      </c>
      <c r="AJ146" s="129">
        <v>0.969596877111328</v>
      </c>
      <c r="AK146" s="129">
        <v>0.968165627782725</v>
      </c>
      <c r="AL146" s="129">
        <v>0.972113338559749</v>
      </c>
      <c r="AM146" s="128">
        <v>0.99</v>
      </c>
      <c r="AN146" s="133">
        <v>1</v>
      </c>
      <c r="AO146" s="133">
        <v>1</v>
      </c>
      <c r="AP146" s="133">
        <v>1</v>
      </c>
      <c r="AQ146" s="133">
        <v>1</v>
      </c>
      <c r="AR146" s="135">
        <v>0.105261498981944</v>
      </c>
      <c r="AS146" s="137">
        <v>0</v>
      </c>
      <c r="AT146" s="137">
        <v>0.5</v>
      </c>
      <c r="AU146" s="137">
        <v>0.25</v>
      </c>
      <c r="AV146" s="137">
        <v>0.136612021857924</v>
      </c>
      <c r="AW146" s="93"/>
      <c r="AX146" s="91"/>
    </row>
    <row r="147" ht="14.5" spans="1:50">
      <c r="A147" s="89"/>
      <c r="B147" s="93"/>
      <c r="C147" s="148" t="s">
        <v>96</v>
      </c>
      <c r="D147" s="126" t="s">
        <v>97</v>
      </c>
      <c r="E147" s="149" t="s">
        <v>165</v>
      </c>
      <c r="F147" s="149" t="s">
        <v>165</v>
      </c>
      <c r="G147" s="149" t="s">
        <v>165</v>
      </c>
      <c r="H147" s="149" t="s">
        <v>165</v>
      </c>
      <c r="I147" s="128">
        <v>0.9</v>
      </c>
      <c r="J147" s="129">
        <v>0.955555555555556</v>
      </c>
      <c r="K147" s="129">
        <v>0.965116279069767</v>
      </c>
      <c r="L147" s="130">
        <v>0.987951807228916</v>
      </c>
      <c r="M147" s="129">
        <v>0.958863858961802</v>
      </c>
      <c r="N147" s="131">
        <v>0.9</v>
      </c>
      <c r="O147" s="129">
        <v>0.920005070993915</v>
      </c>
      <c r="P147" s="129">
        <v>0.979245283018868</v>
      </c>
      <c r="Q147" s="129">
        <v>0.983583860759494</v>
      </c>
      <c r="R147" s="129">
        <v>0.9750649278886</v>
      </c>
      <c r="S147" s="131">
        <v>0.9</v>
      </c>
      <c r="T147" s="129">
        <v>0.922667342799189</v>
      </c>
      <c r="U147" s="129">
        <v>0.947924528301887</v>
      </c>
      <c r="V147" s="129">
        <v>0.951542721518987</v>
      </c>
      <c r="W147" s="129">
        <v>0.947132121346079</v>
      </c>
      <c r="X147" s="131">
        <v>0.92</v>
      </c>
      <c r="Y147" s="131">
        <v>0.932352941176471</v>
      </c>
      <c r="Z147" s="131">
        <v>0.946021505376344</v>
      </c>
      <c r="AA147" s="131">
        <v>0.945174186179326</v>
      </c>
      <c r="AB147" s="131">
        <v>0.948960258239573</v>
      </c>
      <c r="AC147" s="131">
        <v>0.92</v>
      </c>
      <c r="AD147" s="129">
        <v>0.997377622377622</v>
      </c>
      <c r="AE147" s="129">
        <v>0.995215311004785</v>
      </c>
      <c r="AF147" s="129">
        <v>0.993533819152212</v>
      </c>
      <c r="AG147" s="129">
        <v>0.943528280032197</v>
      </c>
      <c r="AH147" s="131">
        <v>0.92</v>
      </c>
      <c r="AI147" s="129">
        <v>0.958730977559969</v>
      </c>
      <c r="AJ147" s="129">
        <v>0.968448553054662</v>
      </c>
      <c r="AK147" s="129">
        <v>0.978701527614571</v>
      </c>
      <c r="AL147" s="129">
        <v>0.973811033057492</v>
      </c>
      <c r="AM147" s="128">
        <v>0.99</v>
      </c>
      <c r="AN147" s="133">
        <v>1</v>
      </c>
      <c r="AO147" s="133">
        <v>1</v>
      </c>
      <c r="AP147" s="133">
        <v>1</v>
      </c>
      <c r="AQ147" s="133">
        <v>1</v>
      </c>
      <c r="AR147" s="135">
        <v>0.105261498981944</v>
      </c>
      <c r="AS147" s="137">
        <v>0.5</v>
      </c>
      <c r="AT147" s="137">
        <v>0.166666666666667</v>
      </c>
      <c r="AU147" s="137">
        <v>0.166666666666667</v>
      </c>
      <c r="AV147" s="137">
        <v>0.164383561643836</v>
      </c>
      <c r="AW147" s="93"/>
      <c r="AX147" s="91"/>
    </row>
    <row r="148" ht="14.5" spans="1:50">
      <c r="A148" s="89"/>
      <c r="B148" s="93"/>
      <c r="C148" s="148" t="s">
        <v>96</v>
      </c>
      <c r="D148" s="126" t="s">
        <v>97</v>
      </c>
      <c r="E148" s="149" t="s">
        <v>166</v>
      </c>
      <c r="F148" s="149" t="s">
        <v>166</v>
      </c>
      <c r="G148" s="149" t="s">
        <v>166</v>
      </c>
      <c r="H148" s="149" t="s">
        <v>166</v>
      </c>
      <c r="I148" s="128">
        <v>0.9</v>
      </c>
      <c r="J148" s="129">
        <v>0.979166666666667</v>
      </c>
      <c r="K148" s="129">
        <v>1</v>
      </c>
      <c r="L148" s="130">
        <v>1</v>
      </c>
      <c r="M148" s="129">
        <v>0.994174757281553</v>
      </c>
      <c r="N148" s="131">
        <v>0.9</v>
      </c>
      <c r="O148" s="129">
        <v>0.942324003392706</v>
      </c>
      <c r="P148" s="129">
        <v>0.928152492668622</v>
      </c>
      <c r="Q148" s="129">
        <v>0.940159209442767</v>
      </c>
      <c r="R148" s="129">
        <v>0.942931473486107</v>
      </c>
      <c r="S148" s="131">
        <v>0.9</v>
      </c>
      <c r="T148" s="129">
        <v>0.902120441051739</v>
      </c>
      <c r="U148" s="129">
        <v>0.917155425219941</v>
      </c>
      <c r="V148" s="129">
        <v>0.884710403513588</v>
      </c>
      <c r="W148" s="129">
        <v>0.91763533709731</v>
      </c>
      <c r="X148" s="131">
        <v>0.92</v>
      </c>
      <c r="Y148" s="131">
        <v>0.937544867193108</v>
      </c>
      <c r="Z148" s="131">
        <v>0.962270341207349</v>
      </c>
      <c r="AA148" s="131">
        <v>0.959514170040486</v>
      </c>
      <c r="AB148" s="131">
        <v>0.953165008264999</v>
      </c>
      <c r="AC148" s="131">
        <v>0.92</v>
      </c>
      <c r="AD148" s="129">
        <v>0.993474207582349</v>
      </c>
      <c r="AE148" s="129">
        <v>0.990415029234161</v>
      </c>
      <c r="AF148" s="129">
        <v>0.930539932508436</v>
      </c>
      <c r="AG148" s="129">
        <v>0.966003053372542</v>
      </c>
      <c r="AH148" s="131">
        <v>0.92</v>
      </c>
      <c r="AI148" s="129">
        <v>0.965100207325501</v>
      </c>
      <c r="AJ148" s="129">
        <v>0.974233300658171</v>
      </c>
      <c r="AK148" s="129">
        <v>0.979089790897909</v>
      </c>
      <c r="AL148" s="129">
        <v>0.975205154130123</v>
      </c>
      <c r="AM148" s="128">
        <v>0.99</v>
      </c>
      <c r="AN148" s="133">
        <v>1</v>
      </c>
      <c r="AO148" s="133">
        <v>1</v>
      </c>
      <c r="AP148" s="133">
        <v>1</v>
      </c>
      <c r="AQ148" s="133">
        <v>1</v>
      </c>
      <c r="AR148" s="135">
        <v>0.105261498981944</v>
      </c>
      <c r="AS148" s="137">
        <v>0.0714285714285714</v>
      </c>
      <c r="AT148" s="137">
        <v>0.0714285714285714</v>
      </c>
      <c r="AU148" s="137">
        <v>0</v>
      </c>
      <c r="AV148" s="137">
        <v>0.101351351351351</v>
      </c>
      <c r="AW148" s="93"/>
      <c r="AX148" s="91"/>
    </row>
    <row r="149" ht="14.5" spans="1:50">
      <c r="A149" s="89"/>
      <c r="B149" s="93"/>
      <c r="C149" s="148" t="s">
        <v>96</v>
      </c>
      <c r="D149" s="126" t="s">
        <v>97</v>
      </c>
      <c r="E149" s="149" t="s">
        <v>167</v>
      </c>
      <c r="F149" s="149" t="s">
        <v>167</v>
      </c>
      <c r="G149" s="149" t="s">
        <v>167</v>
      </c>
      <c r="H149" s="149" t="s">
        <v>167</v>
      </c>
      <c r="I149" s="128">
        <v>0.9</v>
      </c>
      <c r="J149" s="129">
        <v>0.951807228915663</v>
      </c>
      <c r="K149" s="129">
        <v>0.962962962962963</v>
      </c>
      <c r="L149" s="130">
        <v>0.948717948717949</v>
      </c>
      <c r="M149" s="129">
        <v>0.973168214654283</v>
      </c>
      <c r="N149" s="131">
        <v>0.9</v>
      </c>
      <c r="O149" s="129">
        <v>0.934505949301604</v>
      </c>
      <c r="P149" s="129">
        <v>0.956406685236769</v>
      </c>
      <c r="Q149" s="129">
        <v>0.951211980855334</v>
      </c>
      <c r="R149" s="129">
        <v>0.920536768652711</v>
      </c>
      <c r="S149" s="131">
        <v>0.9</v>
      </c>
      <c r="T149" s="129">
        <v>0.891670977754785</v>
      </c>
      <c r="U149" s="129">
        <v>0.918105849582173</v>
      </c>
      <c r="V149" s="129">
        <v>0.909834800061757</v>
      </c>
      <c r="W149" s="129">
        <v>0.891272141706924</v>
      </c>
      <c r="X149" s="131">
        <v>0.92</v>
      </c>
      <c r="Y149" s="131">
        <v>0.92627027027027</v>
      </c>
      <c r="Z149" s="131">
        <v>0.932037002076647</v>
      </c>
      <c r="AA149" s="131">
        <v>0.935632183908046</v>
      </c>
      <c r="AB149" s="131">
        <v>0.913301662707839</v>
      </c>
      <c r="AC149" s="131">
        <v>0.92</v>
      </c>
      <c r="AD149" s="129">
        <v>0.995171374920039</v>
      </c>
      <c r="AE149" s="129">
        <v>0.98980922734466</v>
      </c>
      <c r="AF149" s="129">
        <v>0.989753065681169</v>
      </c>
      <c r="AG149" s="129">
        <v>0.989445942587984</v>
      </c>
      <c r="AH149" s="131">
        <v>0.92</v>
      </c>
      <c r="AI149" s="129">
        <v>0.956196207403261</v>
      </c>
      <c r="AJ149" s="129">
        <v>0.962170393524084</v>
      </c>
      <c r="AK149" s="129">
        <v>0.973197781885397</v>
      </c>
      <c r="AL149" s="129">
        <v>0.951793394296213</v>
      </c>
      <c r="AM149" s="128">
        <v>0.99</v>
      </c>
      <c r="AN149" s="133">
        <v>1</v>
      </c>
      <c r="AO149" s="133">
        <v>1</v>
      </c>
      <c r="AP149" s="133">
        <v>1</v>
      </c>
      <c r="AQ149" s="133">
        <v>1</v>
      </c>
      <c r="AR149" s="135">
        <v>0.105261498981944</v>
      </c>
      <c r="AS149" s="137">
        <v>0.105263157894737</v>
      </c>
      <c r="AT149" s="137">
        <v>0</v>
      </c>
      <c r="AU149" s="137">
        <v>0.375</v>
      </c>
      <c r="AV149" s="137">
        <v>0.0986547085201794</v>
      </c>
      <c r="AW149" s="93"/>
      <c r="AX149" s="91"/>
    </row>
    <row r="150" ht="14.5" spans="1:50">
      <c r="A150" s="89"/>
      <c r="B150" s="93"/>
      <c r="C150" s="148" t="s">
        <v>96</v>
      </c>
      <c r="D150" s="126" t="s">
        <v>97</v>
      </c>
      <c r="E150" s="149" t="s">
        <v>168</v>
      </c>
      <c r="F150" s="149" t="s">
        <v>168</v>
      </c>
      <c r="G150" s="149" t="s">
        <v>168</v>
      </c>
      <c r="H150" s="149" t="s">
        <v>168</v>
      </c>
      <c r="I150" s="128">
        <v>0.9</v>
      </c>
      <c r="J150" s="129">
        <v>0.88</v>
      </c>
      <c r="K150" s="129">
        <v>1</v>
      </c>
      <c r="L150" s="130">
        <v>1</v>
      </c>
      <c r="M150" s="129">
        <v>0.709163346613546</v>
      </c>
      <c r="N150" s="131">
        <v>0.9</v>
      </c>
      <c r="O150" s="129">
        <v>0.829163303739575</v>
      </c>
      <c r="P150" s="129">
        <v>0.905357142857143</v>
      </c>
      <c r="Q150" s="129">
        <v>0.851988217967599</v>
      </c>
      <c r="R150" s="129">
        <v>0.817071791972866</v>
      </c>
      <c r="S150" s="131">
        <v>0.9</v>
      </c>
      <c r="T150" s="129">
        <v>0.748453053537799</v>
      </c>
      <c r="U150" s="129">
        <v>0.882142857142857</v>
      </c>
      <c r="V150" s="129">
        <v>0.866715758468336</v>
      </c>
      <c r="W150" s="129">
        <v>0.781260599208592</v>
      </c>
      <c r="X150" s="131">
        <v>0.92</v>
      </c>
      <c r="Y150" s="131">
        <v>0.927616926503341</v>
      </c>
      <c r="Z150" s="131">
        <v>0.947948831054257</v>
      </c>
      <c r="AA150" s="131">
        <v>0.931506849315068</v>
      </c>
      <c r="AB150" s="131">
        <v>0.938472011310677</v>
      </c>
      <c r="AC150" s="131">
        <v>0.92</v>
      </c>
      <c r="AD150" s="129">
        <v>0.997207388173044</v>
      </c>
      <c r="AE150" s="129">
        <v>0.971919014084507</v>
      </c>
      <c r="AF150" s="129">
        <v>0.967718068535826</v>
      </c>
      <c r="AG150" s="129">
        <v>0.980663124476255</v>
      </c>
      <c r="AH150" s="131">
        <v>0.92</v>
      </c>
      <c r="AI150" s="129">
        <v>0.933804860355459</v>
      </c>
      <c r="AJ150" s="129">
        <v>0.95954213538583</v>
      </c>
      <c r="AK150" s="129">
        <v>0.957102272727273</v>
      </c>
      <c r="AL150" s="129">
        <v>0.952389692386756</v>
      </c>
      <c r="AM150" s="128">
        <v>0.99</v>
      </c>
      <c r="AN150" s="133">
        <v>1</v>
      </c>
      <c r="AO150" s="133">
        <v>1</v>
      </c>
      <c r="AP150" s="133">
        <v>1</v>
      </c>
      <c r="AQ150" s="133">
        <v>1</v>
      </c>
      <c r="AR150" s="135">
        <v>0.105261498981944</v>
      </c>
      <c r="AS150" s="137">
        <v>0</v>
      </c>
      <c r="AT150" s="137">
        <v>0.0666666666666667</v>
      </c>
      <c r="AU150" s="137">
        <v>0.307692307692308</v>
      </c>
      <c r="AV150" s="137">
        <v>0.111940298507463</v>
      </c>
      <c r="AW150" s="93"/>
      <c r="AX150" s="91"/>
    </row>
    <row r="151" ht="14.5" spans="1:50">
      <c r="A151" s="89"/>
      <c r="B151" s="93"/>
      <c r="C151" s="148" t="s">
        <v>96</v>
      </c>
      <c r="D151" s="126" t="s">
        <v>97</v>
      </c>
      <c r="E151" s="149" t="s">
        <v>169</v>
      </c>
      <c r="F151" s="149" t="s">
        <v>169</v>
      </c>
      <c r="G151" s="149" t="s">
        <v>169</v>
      </c>
      <c r="H151" s="149" t="s">
        <v>169</v>
      </c>
      <c r="I151" s="128">
        <v>0.9</v>
      </c>
      <c r="J151" s="129">
        <v>0.985714285714286</v>
      </c>
      <c r="K151" s="129">
        <v>1</v>
      </c>
      <c r="L151" s="130">
        <v>0.984126984126984</v>
      </c>
      <c r="M151" s="129">
        <v>0.996153846153846</v>
      </c>
      <c r="N151" s="131">
        <v>0.9</v>
      </c>
      <c r="O151" s="129">
        <v>0.971479500891266</v>
      </c>
      <c r="P151" s="129">
        <v>0.976277372262774</v>
      </c>
      <c r="Q151" s="129">
        <v>0.925878864887759</v>
      </c>
      <c r="R151" s="129">
        <v>0.968683247808687</v>
      </c>
      <c r="S151" s="131">
        <v>0.9</v>
      </c>
      <c r="T151" s="129">
        <v>0.924420677361854</v>
      </c>
      <c r="U151" s="129">
        <v>0.946776155717762</v>
      </c>
      <c r="V151" s="129">
        <v>0.93152618946774</v>
      </c>
      <c r="W151" s="129">
        <v>0.932897935132215</v>
      </c>
      <c r="X151" s="131">
        <v>0.92</v>
      </c>
      <c r="Y151" s="131">
        <v>0.936054810162718</v>
      </c>
      <c r="Z151" s="131">
        <v>0.94728323699422</v>
      </c>
      <c r="AA151" s="131">
        <v>0.929311969839774</v>
      </c>
      <c r="AB151" s="131">
        <v>0.931190681622088</v>
      </c>
      <c r="AC151" s="131">
        <v>0.92</v>
      </c>
      <c r="AD151" s="129">
        <v>0.997671383607564</v>
      </c>
      <c r="AE151" s="129">
        <v>0.99105988032463</v>
      </c>
      <c r="AF151" s="129">
        <v>0.966000473036897</v>
      </c>
      <c r="AG151" s="129">
        <v>0.988263927504604</v>
      </c>
      <c r="AH151" s="131">
        <v>0.92</v>
      </c>
      <c r="AI151" s="129">
        <v>0.966194111232279</v>
      </c>
      <c r="AJ151" s="129">
        <v>0.971475740621847</v>
      </c>
      <c r="AK151" s="129">
        <v>0.967959161507549</v>
      </c>
      <c r="AL151" s="129">
        <v>0.964085415838129</v>
      </c>
      <c r="AM151" s="128">
        <v>0.99</v>
      </c>
      <c r="AN151" s="133">
        <v>1</v>
      </c>
      <c r="AO151" s="133">
        <v>1</v>
      </c>
      <c r="AP151" s="133">
        <v>1</v>
      </c>
      <c r="AQ151" s="133">
        <v>1</v>
      </c>
      <c r="AR151" s="135">
        <v>0.105261498981944</v>
      </c>
      <c r="AS151" s="137">
        <v>0.0476190476190476</v>
      </c>
      <c r="AT151" s="137">
        <v>0.03125</v>
      </c>
      <c r="AU151" s="137">
        <v>0.0384615384615385</v>
      </c>
      <c r="AV151" s="137">
        <v>0.0509259259259259</v>
      </c>
      <c r="AW151" s="93"/>
      <c r="AX151" s="91"/>
    </row>
    <row r="152" ht="14.5" spans="1:50">
      <c r="A152" s="89"/>
      <c r="B152" s="93"/>
      <c r="C152" s="148" t="s">
        <v>96</v>
      </c>
      <c r="D152" s="126" t="s">
        <v>97</v>
      </c>
      <c r="E152" s="149" t="s">
        <v>170</v>
      </c>
      <c r="F152" s="149" t="s">
        <v>170</v>
      </c>
      <c r="G152" s="149" t="s">
        <v>170</v>
      </c>
      <c r="H152" s="149" t="s">
        <v>170</v>
      </c>
      <c r="I152" s="128">
        <v>0.9</v>
      </c>
      <c r="J152" s="129" t="s">
        <v>33</v>
      </c>
      <c r="K152" s="129" t="s">
        <v>33</v>
      </c>
      <c r="L152" s="130" t="s">
        <v>33</v>
      </c>
      <c r="M152" s="129" t="s">
        <v>33</v>
      </c>
      <c r="N152" s="131">
        <v>0.9</v>
      </c>
      <c r="O152" s="129" t="s">
        <v>33</v>
      </c>
      <c r="P152" s="129" t="s">
        <v>33</v>
      </c>
      <c r="Q152" s="129" t="s">
        <v>33</v>
      </c>
      <c r="R152" s="129" t="s">
        <v>33</v>
      </c>
      <c r="S152" s="131">
        <v>0.9</v>
      </c>
      <c r="T152" s="129" t="s">
        <v>33</v>
      </c>
      <c r="U152" s="129" t="s">
        <v>33</v>
      </c>
      <c r="V152" s="129" t="s">
        <v>33</v>
      </c>
      <c r="W152" s="129" t="s">
        <v>33</v>
      </c>
      <c r="X152" s="131">
        <v>0.92</v>
      </c>
      <c r="Y152" s="131" t="s">
        <v>33</v>
      </c>
      <c r="Z152" s="131" t="s">
        <v>33</v>
      </c>
      <c r="AA152" s="131" t="s">
        <v>33</v>
      </c>
      <c r="AB152" s="131" t="s">
        <v>33</v>
      </c>
      <c r="AC152" s="131">
        <v>0.92</v>
      </c>
      <c r="AD152" s="129" t="s">
        <v>33</v>
      </c>
      <c r="AE152" s="129" t="s">
        <v>33</v>
      </c>
      <c r="AF152" s="129" t="s">
        <v>33</v>
      </c>
      <c r="AG152" s="129" t="s">
        <v>33</v>
      </c>
      <c r="AH152" s="131">
        <v>0.92</v>
      </c>
      <c r="AI152" s="129" t="s">
        <v>33</v>
      </c>
      <c r="AJ152" s="129" t="s">
        <v>33</v>
      </c>
      <c r="AK152" s="129" t="s">
        <v>33</v>
      </c>
      <c r="AL152" s="129" t="s">
        <v>33</v>
      </c>
      <c r="AM152" s="128">
        <v>0.99</v>
      </c>
      <c r="AN152" s="133" t="s">
        <v>33</v>
      </c>
      <c r="AO152" s="133" t="s">
        <v>33</v>
      </c>
      <c r="AP152" s="133" t="s">
        <v>33</v>
      </c>
      <c r="AQ152" s="133" t="s">
        <v>33</v>
      </c>
      <c r="AR152" s="135">
        <v>0.105261498981944</v>
      </c>
      <c r="AS152" s="137" t="s">
        <v>33</v>
      </c>
      <c r="AT152" s="137" t="s">
        <v>33</v>
      </c>
      <c r="AU152" s="137" t="s">
        <v>33</v>
      </c>
      <c r="AV152" s="137" t="s">
        <v>33</v>
      </c>
      <c r="AW152" s="93"/>
      <c r="AX152" s="91"/>
    </row>
    <row r="153" ht="14.5" spans="1:50">
      <c r="A153" s="89"/>
      <c r="B153" s="93"/>
      <c r="C153" s="148" t="s">
        <v>96</v>
      </c>
      <c r="D153" s="126" t="s">
        <v>97</v>
      </c>
      <c r="E153" s="149" t="s">
        <v>171</v>
      </c>
      <c r="F153" s="149" t="s">
        <v>171</v>
      </c>
      <c r="G153" s="149" t="s">
        <v>171</v>
      </c>
      <c r="H153" s="149" t="s">
        <v>171</v>
      </c>
      <c r="I153" s="128">
        <v>0.9</v>
      </c>
      <c r="J153" s="129">
        <v>1</v>
      </c>
      <c r="K153" s="129">
        <v>0.988095238095238</v>
      </c>
      <c r="L153" s="130">
        <v>0.972602739726027</v>
      </c>
      <c r="M153" s="129">
        <v>0.964035964035964</v>
      </c>
      <c r="N153" s="131">
        <v>0.9</v>
      </c>
      <c r="O153" s="129">
        <v>0.852204813438863</v>
      </c>
      <c r="P153" s="129">
        <v>0.95308066477503</v>
      </c>
      <c r="Q153" s="129">
        <v>0.928651433691756</v>
      </c>
      <c r="R153" s="129">
        <v>0.929903914954513</v>
      </c>
      <c r="S153" s="131">
        <v>0.9</v>
      </c>
      <c r="T153" s="129">
        <v>0.907284768211921</v>
      </c>
      <c r="U153" s="129">
        <v>0.944973652209161</v>
      </c>
      <c r="V153" s="129">
        <v>0.93570788530466</v>
      </c>
      <c r="W153" s="129">
        <v>0.929435415175986</v>
      </c>
      <c r="X153" s="131">
        <v>0.92</v>
      </c>
      <c r="Y153" s="131">
        <v>0.967641996557659</v>
      </c>
      <c r="Z153" s="131">
        <v>0.965338770388959</v>
      </c>
      <c r="AA153" s="131">
        <v>0.966386554621849</v>
      </c>
      <c r="AB153" s="131">
        <v>0.967468914922471</v>
      </c>
      <c r="AC153" s="131">
        <v>0.92</v>
      </c>
      <c r="AD153" s="129">
        <v>0.980865287827854</v>
      </c>
      <c r="AE153" s="129">
        <v>0.991432140929823</v>
      </c>
      <c r="AF153" s="129">
        <v>0.989991802576683</v>
      </c>
      <c r="AG153" s="129">
        <v>0.986586361329892</v>
      </c>
      <c r="AH153" s="131">
        <v>0.92</v>
      </c>
      <c r="AI153" s="129">
        <v>0.975658003186988</v>
      </c>
      <c r="AJ153" s="129">
        <v>0.980125523012552</v>
      </c>
      <c r="AK153" s="129">
        <v>0.981390115121613</v>
      </c>
      <c r="AL153" s="129">
        <v>0.980528021402945</v>
      </c>
      <c r="AM153" s="128">
        <v>0.99</v>
      </c>
      <c r="AN153" s="133">
        <v>1</v>
      </c>
      <c r="AO153" s="133">
        <v>1</v>
      </c>
      <c r="AP153" s="133">
        <v>1</v>
      </c>
      <c r="AQ153" s="133">
        <v>1</v>
      </c>
      <c r="AR153" s="135">
        <v>0.105261498981944</v>
      </c>
      <c r="AS153" s="137">
        <v>0.0714285714285714</v>
      </c>
      <c r="AT153" s="137">
        <v>0.0434782608695652</v>
      </c>
      <c r="AU153" s="137">
        <v>0</v>
      </c>
      <c r="AV153" s="137">
        <v>0.0526315789473684</v>
      </c>
      <c r="AW153" s="93"/>
      <c r="AX153" s="91"/>
    </row>
    <row r="154" ht="14.5" spans="1:50">
      <c r="A154" s="89"/>
      <c r="B154" s="93"/>
      <c r="C154" s="148" t="s">
        <v>96</v>
      </c>
      <c r="D154" s="126" t="s">
        <v>97</v>
      </c>
      <c r="E154" s="149" t="s">
        <v>172</v>
      </c>
      <c r="F154" s="149" t="s">
        <v>172</v>
      </c>
      <c r="G154" s="149" t="s">
        <v>172</v>
      </c>
      <c r="H154" s="149" t="s">
        <v>172</v>
      </c>
      <c r="I154" s="128">
        <v>0.9</v>
      </c>
      <c r="J154" s="129">
        <v>0.9609375</v>
      </c>
      <c r="K154" s="129">
        <v>0.967479674796748</v>
      </c>
      <c r="L154" s="130">
        <v>0.974137931034483</v>
      </c>
      <c r="M154" s="129">
        <v>0.971879286694102</v>
      </c>
      <c r="N154" s="131">
        <v>0.9</v>
      </c>
      <c r="O154" s="129">
        <v>0.873727770942848</v>
      </c>
      <c r="P154" s="129">
        <v>0.89796221924736</v>
      </c>
      <c r="Q154" s="129">
        <v>0.898886827458256</v>
      </c>
      <c r="R154" s="129">
        <v>0.908639887411227</v>
      </c>
      <c r="S154" s="131">
        <v>0.9</v>
      </c>
      <c r="T154" s="129">
        <v>0.930936136897439</v>
      </c>
      <c r="U154" s="129">
        <v>0.95998810055035</v>
      </c>
      <c r="V154" s="129">
        <v>0.950371057513915</v>
      </c>
      <c r="W154" s="129">
        <v>0.94028182672919</v>
      </c>
      <c r="X154" s="131">
        <v>0.92</v>
      </c>
      <c r="Y154" s="131">
        <v>0.954864210123677</v>
      </c>
      <c r="Z154" s="131">
        <v>0.9498752551599</v>
      </c>
      <c r="AA154" s="131">
        <v>0.93200215866163</v>
      </c>
      <c r="AB154" s="131">
        <v>0.947730637549736</v>
      </c>
      <c r="AC154" s="131">
        <v>0.92</v>
      </c>
      <c r="AD154" s="129">
        <v>0.920850186374812</v>
      </c>
      <c r="AE154" s="129">
        <v>0.814576678972912</v>
      </c>
      <c r="AF154" s="129">
        <v>0.967139439678901</v>
      </c>
      <c r="AG154" s="129">
        <v>0.934321214227362</v>
      </c>
      <c r="AH154" s="131">
        <v>0.92</v>
      </c>
      <c r="AI154" s="129">
        <v>0.971169911023041</v>
      </c>
      <c r="AJ154" s="129">
        <v>0.972244677984371</v>
      </c>
      <c r="AK154" s="129">
        <v>0.974888862189115</v>
      </c>
      <c r="AL154" s="129">
        <v>0.972626052392726</v>
      </c>
      <c r="AM154" s="128">
        <v>0.99</v>
      </c>
      <c r="AN154" s="133">
        <v>1</v>
      </c>
      <c r="AO154" s="133">
        <v>1</v>
      </c>
      <c r="AP154" s="133">
        <v>1</v>
      </c>
      <c r="AQ154" s="133">
        <v>1</v>
      </c>
      <c r="AR154" s="135">
        <v>0.105261498981944</v>
      </c>
      <c r="AS154" s="137">
        <v>0.00806451612903226</v>
      </c>
      <c r="AT154" s="137">
        <v>0.0377358490566038</v>
      </c>
      <c r="AU154" s="137">
        <v>0.0348837209302326</v>
      </c>
      <c r="AV154" s="137">
        <v>0.0224625623960067</v>
      </c>
      <c r="AW154" s="93"/>
      <c r="AX154" s="91"/>
    </row>
    <row r="155" ht="14.5" spans="1:50">
      <c r="A155" s="89"/>
      <c r="B155" s="93"/>
      <c r="C155" s="148" t="s">
        <v>96</v>
      </c>
      <c r="D155" s="126" t="s">
        <v>97</v>
      </c>
      <c r="E155" s="149" t="s">
        <v>173</v>
      </c>
      <c r="F155" s="149" t="s">
        <v>173</v>
      </c>
      <c r="G155" s="149" t="s">
        <v>173</v>
      </c>
      <c r="H155" s="149" t="s">
        <v>173</v>
      </c>
      <c r="I155" s="128">
        <v>0.9</v>
      </c>
      <c r="J155" s="129">
        <v>0.958333333333333</v>
      </c>
      <c r="K155" s="129">
        <v>0.971014492753623</v>
      </c>
      <c r="L155" s="130">
        <v>0.925373134328358</v>
      </c>
      <c r="M155" s="129">
        <v>0.952970297029703</v>
      </c>
      <c r="N155" s="131">
        <v>0.9</v>
      </c>
      <c r="O155" s="129">
        <v>0.877517468146321</v>
      </c>
      <c r="P155" s="129">
        <v>0.928084194114208</v>
      </c>
      <c r="Q155" s="129">
        <v>0.920951156812339</v>
      </c>
      <c r="R155" s="129">
        <v>0.883831686415423</v>
      </c>
      <c r="S155" s="131">
        <v>0.9</v>
      </c>
      <c r="T155" s="129">
        <v>0.849705439101247</v>
      </c>
      <c r="U155" s="129">
        <v>0.906061196647827</v>
      </c>
      <c r="V155" s="129">
        <v>0.901885175664096</v>
      </c>
      <c r="W155" s="129">
        <v>0.860532432162667</v>
      </c>
      <c r="X155" s="131">
        <v>0.92</v>
      </c>
      <c r="Y155" s="131">
        <v>0.968456725755996</v>
      </c>
      <c r="Z155" s="131">
        <v>0.95669733004263</v>
      </c>
      <c r="AA155" s="131">
        <v>0.949913644214162</v>
      </c>
      <c r="AB155" s="131">
        <v>0.936928813394097</v>
      </c>
      <c r="AC155" s="131">
        <v>0.92</v>
      </c>
      <c r="AD155" s="129">
        <v>0.987267721954577</v>
      </c>
      <c r="AE155" s="129">
        <v>0.997878209208572</v>
      </c>
      <c r="AF155" s="129">
        <v>0.985652797704448</v>
      </c>
      <c r="AG155" s="129">
        <v>0.991437932739861</v>
      </c>
      <c r="AH155" s="131">
        <v>0.92</v>
      </c>
      <c r="AI155" s="129">
        <v>0.967762212643678</v>
      </c>
      <c r="AJ155" s="129">
        <v>0.970493170680847</v>
      </c>
      <c r="AK155" s="129">
        <v>0.971276927880112</v>
      </c>
      <c r="AL155" s="129">
        <v>0.959030032650051</v>
      </c>
      <c r="AM155" s="128">
        <v>0.99</v>
      </c>
      <c r="AN155" s="133">
        <v>1</v>
      </c>
      <c r="AO155" s="133">
        <v>1</v>
      </c>
      <c r="AP155" s="133">
        <v>1</v>
      </c>
      <c r="AQ155" s="133">
        <v>1</v>
      </c>
      <c r="AR155" s="135">
        <v>0.105261498981944</v>
      </c>
      <c r="AS155" s="137">
        <v>0.0555555555555556</v>
      </c>
      <c r="AT155" s="137">
        <v>0.176470588235294</v>
      </c>
      <c r="AU155" s="137">
        <v>0.19047619047619</v>
      </c>
      <c r="AV155" s="137">
        <v>0.0941704035874439</v>
      </c>
      <c r="AW155" s="93"/>
      <c r="AX155" s="91"/>
    </row>
    <row r="156" ht="14.5" spans="1:50">
      <c r="A156" s="89"/>
      <c r="B156" s="93"/>
      <c r="C156" s="148" t="s">
        <v>96</v>
      </c>
      <c r="D156" s="126" t="s">
        <v>97</v>
      </c>
      <c r="E156" s="149" t="s">
        <v>174</v>
      </c>
      <c r="F156" s="149" t="s">
        <v>174</v>
      </c>
      <c r="G156" s="149" t="s">
        <v>174</v>
      </c>
      <c r="H156" s="149" t="s">
        <v>174</v>
      </c>
      <c r="I156" s="128">
        <v>0.9</v>
      </c>
      <c r="J156" s="129">
        <v>0.983606557377049</v>
      </c>
      <c r="K156" s="129">
        <v>0.948275862068966</v>
      </c>
      <c r="L156" s="130">
        <v>0.96078431372549</v>
      </c>
      <c r="M156" s="129">
        <v>0.970414201183432</v>
      </c>
      <c r="N156" s="131">
        <v>0.9</v>
      </c>
      <c r="O156" s="129">
        <v>0.932700729927007</v>
      </c>
      <c r="P156" s="129">
        <v>0.944594876067486</v>
      </c>
      <c r="Q156" s="129">
        <v>0.898972602739726</v>
      </c>
      <c r="R156" s="129">
        <v>0.936246694988265</v>
      </c>
      <c r="S156" s="131">
        <v>0.9</v>
      </c>
      <c r="T156" s="129">
        <v>0.937372262773723</v>
      </c>
      <c r="U156" s="129">
        <v>0.937721308060821</v>
      </c>
      <c r="V156" s="129">
        <v>0.901327054794521</v>
      </c>
      <c r="W156" s="129">
        <v>0.934048305160274</v>
      </c>
      <c r="X156" s="131">
        <v>0.92</v>
      </c>
      <c r="Y156" s="131">
        <v>0.957775189283634</v>
      </c>
      <c r="Z156" s="131">
        <v>0.971820632197991</v>
      </c>
      <c r="AA156" s="131">
        <v>0.964632454923717</v>
      </c>
      <c r="AB156" s="131">
        <v>0.968117607123273</v>
      </c>
      <c r="AC156" s="131">
        <v>0.92</v>
      </c>
      <c r="AD156" s="129">
        <v>0.992946058091286</v>
      </c>
      <c r="AE156" s="129">
        <v>0.975112443778111</v>
      </c>
      <c r="AF156" s="129">
        <v>0.994399931076075</v>
      </c>
      <c r="AG156" s="129">
        <v>0.987258779871788</v>
      </c>
      <c r="AH156" s="131">
        <v>0.92</v>
      </c>
      <c r="AI156" s="129">
        <v>0.970159409020218</v>
      </c>
      <c r="AJ156" s="129">
        <v>0.978495834271561</v>
      </c>
      <c r="AK156" s="129">
        <v>0.977283869913385</v>
      </c>
      <c r="AL156" s="129">
        <v>0.979401936748043</v>
      </c>
      <c r="AM156" s="128">
        <v>0.99</v>
      </c>
      <c r="AN156" s="133">
        <v>1</v>
      </c>
      <c r="AO156" s="133">
        <v>1</v>
      </c>
      <c r="AP156" s="133">
        <v>1</v>
      </c>
      <c r="AQ156" s="133">
        <v>1</v>
      </c>
      <c r="AR156" s="135">
        <v>0.105261498981944</v>
      </c>
      <c r="AS156" s="137">
        <v>0</v>
      </c>
      <c r="AT156" s="137">
        <v>0.0555555555555556</v>
      </c>
      <c r="AU156" s="137">
        <v>0.111111111111111</v>
      </c>
      <c r="AV156" s="137">
        <v>0.0784313725490196</v>
      </c>
      <c r="AW156" s="93"/>
      <c r="AX156" s="91"/>
    </row>
    <row r="157" ht="14.5" spans="1:50">
      <c r="A157" s="89"/>
      <c r="B157" s="93"/>
      <c r="C157" s="148" t="s">
        <v>96</v>
      </c>
      <c r="D157" s="126" t="s">
        <v>97</v>
      </c>
      <c r="E157" s="149" t="s">
        <v>175</v>
      </c>
      <c r="F157" s="149" t="s">
        <v>175</v>
      </c>
      <c r="G157" s="149" t="s">
        <v>175</v>
      </c>
      <c r="H157" s="149" t="s">
        <v>175</v>
      </c>
      <c r="I157" s="128">
        <v>0.9</v>
      </c>
      <c r="J157" s="129">
        <v>0.938053097345133</v>
      </c>
      <c r="K157" s="129">
        <v>0.972222222222222</v>
      </c>
      <c r="L157" s="130">
        <v>0.943396226415094</v>
      </c>
      <c r="M157" s="129">
        <v>0.961059190031153</v>
      </c>
      <c r="N157" s="131">
        <v>0.9</v>
      </c>
      <c r="O157" s="129">
        <v>0.957763822189385</v>
      </c>
      <c r="P157" s="129">
        <v>0.964945032151006</v>
      </c>
      <c r="Q157" s="129">
        <v>0.951832607779806</v>
      </c>
      <c r="R157" s="129">
        <v>0.957878993186496</v>
      </c>
      <c r="S157" s="131">
        <v>0.9</v>
      </c>
      <c r="T157" s="129">
        <v>0.88388129540697</v>
      </c>
      <c r="U157" s="129">
        <v>0.890271727857291</v>
      </c>
      <c r="V157" s="129">
        <v>0.855778682769274</v>
      </c>
      <c r="W157" s="129">
        <v>0.889513850716505</v>
      </c>
      <c r="X157" s="131">
        <v>0.92</v>
      </c>
      <c r="Y157" s="131">
        <v>0.943072482360487</v>
      </c>
      <c r="Z157" s="131">
        <v>0.96009424237962</v>
      </c>
      <c r="AA157" s="131">
        <v>0.948447204968944</v>
      </c>
      <c r="AB157" s="131">
        <v>0.949567174801794</v>
      </c>
      <c r="AC157" s="131">
        <v>0.92</v>
      </c>
      <c r="AD157" s="129">
        <v>0.986486486486487</v>
      </c>
      <c r="AE157" s="129">
        <v>0.982528263103803</v>
      </c>
      <c r="AF157" s="129">
        <v>0.969754253308129</v>
      </c>
      <c r="AG157" s="129">
        <v>0.97696236839362</v>
      </c>
      <c r="AH157" s="131">
        <v>0.92</v>
      </c>
      <c r="AI157" s="129">
        <v>0.962194527605653</v>
      </c>
      <c r="AJ157" s="129">
        <v>0.967364160854215</v>
      </c>
      <c r="AK157" s="129">
        <v>0.97098926602843</v>
      </c>
      <c r="AL157" s="129">
        <v>0.96882910821824</v>
      </c>
      <c r="AM157" s="128">
        <v>0.99</v>
      </c>
      <c r="AN157" s="133">
        <v>1</v>
      </c>
      <c r="AO157" s="133">
        <v>1</v>
      </c>
      <c r="AP157" s="133">
        <v>1</v>
      </c>
      <c r="AQ157" s="133">
        <v>1</v>
      </c>
      <c r="AR157" s="135">
        <v>0.105261498981944</v>
      </c>
      <c r="AS157" s="137">
        <v>0.222222222222222</v>
      </c>
      <c r="AT157" s="137">
        <v>0.130434782608696</v>
      </c>
      <c r="AU157" s="137">
        <v>0</v>
      </c>
      <c r="AV157" s="137">
        <v>0.122549019607843</v>
      </c>
      <c r="AW157" s="93"/>
      <c r="AX157" s="91"/>
    </row>
    <row r="158" ht="14.5" spans="1:50">
      <c r="A158" s="89"/>
      <c r="B158" s="93"/>
      <c r="C158" s="148" t="s">
        <v>96</v>
      </c>
      <c r="D158" s="126" t="s">
        <v>97</v>
      </c>
      <c r="E158" s="149" t="s">
        <v>176</v>
      </c>
      <c r="F158" s="149" t="s">
        <v>176</v>
      </c>
      <c r="G158" s="149" t="s">
        <v>176</v>
      </c>
      <c r="H158" s="149" t="s">
        <v>176</v>
      </c>
      <c r="I158" s="128">
        <v>0.9</v>
      </c>
      <c r="J158" s="129">
        <v>0.969387755102041</v>
      </c>
      <c r="K158" s="129">
        <v>0.976190476190476</v>
      </c>
      <c r="L158" s="130">
        <v>0.963855421686747</v>
      </c>
      <c r="M158" s="129">
        <v>0.974162679425837</v>
      </c>
      <c r="N158" s="131">
        <v>0.9</v>
      </c>
      <c r="O158" s="129">
        <v>0.947794779477948</v>
      </c>
      <c r="P158" s="129">
        <v>0.985265855221012</v>
      </c>
      <c r="Q158" s="129">
        <v>0.967682646653393</v>
      </c>
      <c r="R158" s="129">
        <v>0.937138141352142</v>
      </c>
      <c r="S158" s="131">
        <v>0.9</v>
      </c>
      <c r="T158" s="129">
        <v>0.948694869486949</v>
      </c>
      <c r="U158" s="129">
        <v>0.949391415759129</v>
      </c>
      <c r="V158" s="129">
        <v>0.937203247051616</v>
      </c>
      <c r="W158" s="129">
        <v>0.946976828151797</v>
      </c>
      <c r="X158" s="131">
        <v>0.92</v>
      </c>
      <c r="Y158" s="131">
        <v>0.965044551062372</v>
      </c>
      <c r="Z158" s="131">
        <v>0.957022118324042</v>
      </c>
      <c r="AA158" s="131">
        <v>0.957268218237314</v>
      </c>
      <c r="AB158" s="131">
        <v>0.962834948066684</v>
      </c>
      <c r="AC158" s="131">
        <v>0.92</v>
      </c>
      <c r="AD158" s="129">
        <v>0.99018941966644</v>
      </c>
      <c r="AE158" s="129">
        <v>0.988969320923819</v>
      </c>
      <c r="AF158" s="129">
        <v>0.972520064205457</v>
      </c>
      <c r="AG158" s="129">
        <v>0.8328191741813</v>
      </c>
      <c r="AH158" s="131">
        <v>0.92</v>
      </c>
      <c r="AI158" s="129">
        <v>0.973288324649593</v>
      </c>
      <c r="AJ158" s="129">
        <v>0.96847242557345</v>
      </c>
      <c r="AK158" s="129">
        <v>0.974213286713287</v>
      </c>
      <c r="AL158" s="129">
        <v>0.976383791198606</v>
      </c>
      <c r="AM158" s="128">
        <v>0.99</v>
      </c>
      <c r="AN158" s="133">
        <v>1</v>
      </c>
      <c r="AO158" s="133">
        <v>1</v>
      </c>
      <c r="AP158" s="133">
        <v>1</v>
      </c>
      <c r="AQ158" s="133">
        <v>1</v>
      </c>
      <c r="AR158" s="135">
        <v>0.105261498981944</v>
      </c>
      <c r="AS158" s="137">
        <v>0</v>
      </c>
      <c r="AT158" s="137">
        <v>0</v>
      </c>
      <c r="AU158" s="137">
        <v>0.428571428571429</v>
      </c>
      <c r="AV158" s="137">
        <v>0.047808764940239</v>
      </c>
      <c r="AW158" s="93"/>
      <c r="AX158" s="91"/>
    </row>
    <row r="159" ht="14.5" spans="1:50">
      <c r="A159" s="89"/>
      <c r="B159" s="93"/>
      <c r="C159" s="148" t="s">
        <v>96</v>
      </c>
      <c r="D159" s="126" t="s">
        <v>97</v>
      </c>
      <c r="E159" s="149" t="s">
        <v>177</v>
      </c>
      <c r="F159" s="149" t="s">
        <v>177</v>
      </c>
      <c r="G159" s="149" t="s">
        <v>177</v>
      </c>
      <c r="H159" s="149" t="s">
        <v>177</v>
      </c>
      <c r="I159" s="128">
        <v>0.9</v>
      </c>
      <c r="J159" s="129">
        <v>0.974025974025974</v>
      </c>
      <c r="K159" s="129">
        <v>1</v>
      </c>
      <c r="L159" s="130">
        <v>1</v>
      </c>
      <c r="M159" s="129">
        <v>0.972255729794934</v>
      </c>
      <c r="N159" s="131">
        <v>0.9</v>
      </c>
      <c r="O159" s="129">
        <v>0</v>
      </c>
      <c r="P159" s="129">
        <v>0</v>
      </c>
      <c r="Q159" s="129">
        <v>0</v>
      </c>
      <c r="R159" s="129">
        <v>0.0645161290322581</v>
      </c>
      <c r="S159" s="131">
        <v>0.9</v>
      </c>
      <c r="T159" s="129">
        <v>0</v>
      </c>
      <c r="U159" s="129">
        <v>0</v>
      </c>
      <c r="V159" s="129">
        <v>0</v>
      </c>
      <c r="W159" s="129">
        <v>0.193548387096774</v>
      </c>
      <c r="X159" s="131">
        <v>0.92</v>
      </c>
      <c r="Y159" s="131">
        <v>0</v>
      </c>
      <c r="Z159" s="131">
        <v>0</v>
      </c>
      <c r="AA159" s="131">
        <v>0</v>
      </c>
      <c r="AB159" s="131">
        <v>0.142857142857143</v>
      </c>
      <c r="AC159" s="131">
        <v>0.92</v>
      </c>
      <c r="AD159" s="129">
        <v>0.997474747474748</v>
      </c>
      <c r="AE159" s="129">
        <v>0.997752808988764</v>
      </c>
      <c r="AF159" s="129">
        <v>0.911764705882353</v>
      </c>
      <c r="AG159" s="129">
        <v>0.98584779706275</v>
      </c>
      <c r="AH159" s="131">
        <v>0.92</v>
      </c>
      <c r="AI159" s="129">
        <v>0.988180404354588</v>
      </c>
      <c r="AJ159" s="129">
        <v>0.991587212563096</v>
      </c>
      <c r="AK159" s="129">
        <v>0.986084179308772</v>
      </c>
      <c r="AL159" s="129">
        <v>0.991580005333005</v>
      </c>
      <c r="AM159" s="128">
        <v>0.99</v>
      </c>
      <c r="AN159" s="133">
        <v>1</v>
      </c>
      <c r="AO159" s="133">
        <v>1</v>
      </c>
      <c r="AP159" s="133">
        <v>1</v>
      </c>
      <c r="AQ159" s="133">
        <v>1</v>
      </c>
      <c r="AR159" s="135">
        <v>0.105261498981944</v>
      </c>
      <c r="AS159" s="137">
        <v>0.142857142857143</v>
      </c>
      <c r="AT159" s="137">
        <v>0</v>
      </c>
      <c r="AU159" s="137">
        <v>0</v>
      </c>
      <c r="AV159" s="137">
        <v>0.0701754385964912</v>
      </c>
      <c r="AW159" s="93"/>
      <c r="AX159" s="91"/>
    </row>
    <row r="160" ht="14.5" spans="1:50">
      <c r="A160" s="89"/>
      <c r="B160" s="93"/>
      <c r="C160" s="148" t="s">
        <v>96</v>
      </c>
      <c r="D160" s="126" t="s">
        <v>97</v>
      </c>
      <c r="E160" s="149" t="s">
        <v>178</v>
      </c>
      <c r="F160" s="149" t="s">
        <v>178</v>
      </c>
      <c r="G160" s="149" t="s">
        <v>178</v>
      </c>
      <c r="H160" s="149" t="s">
        <v>178</v>
      </c>
      <c r="I160" s="128">
        <v>0.9</v>
      </c>
      <c r="J160" s="129">
        <v>0.971428571428571</v>
      </c>
      <c r="K160" s="129">
        <v>0.971428571428571</v>
      </c>
      <c r="L160" s="130">
        <v>0.9375</v>
      </c>
      <c r="M160" s="129">
        <v>0.960493827160494</v>
      </c>
      <c r="N160" s="131">
        <v>0.9</v>
      </c>
      <c r="O160" s="129">
        <v>0.917522564581388</v>
      </c>
      <c r="P160" s="129">
        <v>0.972841901066925</v>
      </c>
      <c r="Q160" s="129">
        <v>0.961669092673459</v>
      </c>
      <c r="R160" s="129">
        <v>0.963914882707345</v>
      </c>
      <c r="S160" s="131">
        <v>0.9</v>
      </c>
      <c r="T160" s="129">
        <v>0.930905695611578</v>
      </c>
      <c r="U160" s="129">
        <v>0.963142580019399</v>
      </c>
      <c r="V160" s="129">
        <v>0.943716642406599</v>
      </c>
      <c r="W160" s="129">
        <v>0.945423663632868</v>
      </c>
      <c r="X160" s="131">
        <v>0.92</v>
      </c>
      <c r="Y160" s="131">
        <v>0.979498861047836</v>
      </c>
      <c r="Z160" s="131">
        <v>0.987810823988298</v>
      </c>
      <c r="AA160" s="131">
        <v>0.976839237057221</v>
      </c>
      <c r="AB160" s="131">
        <v>0.980314343898491</v>
      </c>
      <c r="AC160" s="131">
        <v>0.92</v>
      </c>
      <c r="AD160" s="129">
        <v>0.977142857142857</v>
      </c>
      <c r="AE160" s="129">
        <v>0.992890995260663</v>
      </c>
      <c r="AF160" s="129">
        <v>0.990683229813665</v>
      </c>
      <c r="AG160" s="129">
        <v>0.986406117247239</v>
      </c>
      <c r="AH160" s="131">
        <v>0.92</v>
      </c>
      <c r="AI160" s="129">
        <v>0.986113906218555</v>
      </c>
      <c r="AJ160" s="129">
        <v>0.990517870167761</v>
      </c>
      <c r="AK160" s="129">
        <v>0.988550983899821</v>
      </c>
      <c r="AL160" s="129">
        <v>0.988382945767222</v>
      </c>
      <c r="AM160" s="128">
        <v>0.99</v>
      </c>
      <c r="AN160" s="133">
        <v>1</v>
      </c>
      <c r="AO160" s="133">
        <v>1</v>
      </c>
      <c r="AP160" s="133">
        <v>1</v>
      </c>
      <c r="AQ160" s="133">
        <v>1</v>
      </c>
      <c r="AR160" s="135">
        <v>0.105261498981944</v>
      </c>
      <c r="AS160" s="137">
        <v>0.2</v>
      </c>
      <c r="AT160" s="137">
        <v>0.111111111111111</v>
      </c>
      <c r="AU160" s="137">
        <v>0.142857142857143</v>
      </c>
      <c r="AV160" s="137">
        <v>0.108433734939759</v>
      </c>
      <c r="AW160" s="93"/>
      <c r="AX160" s="91"/>
    </row>
    <row r="161" ht="14.5" spans="1:50">
      <c r="A161" s="89"/>
      <c r="B161" s="93"/>
      <c r="C161" s="148" t="s">
        <v>96</v>
      </c>
      <c r="D161" s="126" t="s">
        <v>97</v>
      </c>
      <c r="E161" s="149" t="s">
        <v>179</v>
      </c>
      <c r="F161" s="149" t="s">
        <v>179</v>
      </c>
      <c r="G161" s="149" t="s">
        <v>179</v>
      </c>
      <c r="H161" s="149" t="s">
        <v>179</v>
      </c>
      <c r="I161" s="128">
        <v>0.9</v>
      </c>
      <c r="J161" s="129">
        <v>0.855855855855856</v>
      </c>
      <c r="K161" s="129">
        <v>0.887755102040816</v>
      </c>
      <c r="L161" s="130">
        <v>0.891089108910891</v>
      </c>
      <c r="M161" s="129">
        <v>0.919303797468354</v>
      </c>
      <c r="N161" s="131">
        <v>0.9</v>
      </c>
      <c r="O161" s="129">
        <v>0.166666666666667</v>
      </c>
      <c r="P161" s="129">
        <v>0</v>
      </c>
      <c r="Q161" s="129">
        <v>0.0714285714285714</v>
      </c>
      <c r="R161" s="129">
        <v>0.1</v>
      </c>
      <c r="S161" s="131">
        <v>0.9</v>
      </c>
      <c r="T161" s="129">
        <v>0</v>
      </c>
      <c r="U161" s="129">
        <v>0.125</v>
      </c>
      <c r="V161" s="129">
        <v>0</v>
      </c>
      <c r="W161" s="129">
        <v>0.175</v>
      </c>
      <c r="X161" s="131">
        <v>0.92</v>
      </c>
      <c r="Y161" s="131">
        <v>0.333333333333333</v>
      </c>
      <c r="Z161" s="131">
        <v>0.25</v>
      </c>
      <c r="AA161" s="131">
        <v>0.0909090909090909</v>
      </c>
      <c r="AB161" s="131">
        <v>0.555555555555556</v>
      </c>
      <c r="AC161" s="131">
        <v>0.92</v>
      </c>
      <c r="AD161" s="129">
        <v>0.976499690785405</v>
      </c>
      <c r="AE161" s="129">
        <v>0.961580680570801</v>
      </c>
      <c r="AF161" s="129">
        <v>0.974854932301741</v>
      </c>
      <c r="AG161" s="129">
        <v>0.965677928129761</v>
      </c>
      <c r="AH161" s="131">
        <v>0.92</v>
      </c>
      <c r="AI161" s="129">
        <v>0.967237858474651</v>
      </c>
      <c r="AJ161" s="129">
        <v>0.960385101010101</v>
      </c>
      <c r="AK161" s="129">
        <v>0.969866920152091</v>
      </c>
      <c r="AL161" s="129">
        <v>0.970781893004115</v>
      </c>
      <c r="AM161" s="128">
        <v>0.99</v>
      </c>
      <c r="AN161" s="133">
        <v>1</v>
      </c>
      <c r="AO161" s="133">
        <v>1</v>
      </c>
      <c r="AP161" s="133">
        <v>1</v>
      </c>
      <c r="AQ161" s="133">
        <v>1</v>
      </c>
      <c r="AR161" s="135">
        <v>0.105261498981944</v>
      </c>
      <c r="AS161" s="137">
        <v>0</v>
      </c>
      <c r="AT161" s="137">
        <v>0</v>
      </c>
      <c r="AU161" s="137">
        <v>0</v>
      </c>
      <c r="AV161" s="137">
        <v>0.0955414012738854</v>
      </c>
      <c r="AW161" s="93"/>
      <c r="AX161" s="91"/>
    </row>
    <row r="162" ht="14.5" spans="1:50">
      <c r="A162" s="89"/>
      <c r="B162" s="93"/>
      <c r="C162" s="148" t="s">
        <v>96</v>
      </c>
      <c r="D162" s="126" t="s">
        <v>97</v>
      </c>
      <c r="E162" s="149" t="s">
        <v>180</v>
      </c>
      <c r="F162" s="149" t="s">
        <v>180</v>
      </c>
      <c r="G162" s="149" t="s">
        <v>180</v>
      </c>
      <c r="H162" s="149" t="s">
        <v>180</v>
      </c>
      <c r="I162" s="128">
        <v>0.9</v>
      </c>
      <c r="J162" s="129">
        <v>0.936507936507937</v>
      </c>
      <c r="K162" s="129">
        <v>0.931034482758621</v>
      </c>
      <c r="L162" s="130">
        <v>0.946428571428571</v>
      </c>
      <c r="M162" s="129">
        <v>0.89873417721519</v>
      </c>
      <c r="N162" s="131">
        <v>0.9</v>
      </c>
      <c r="O162" s="129">
        <v>0.982456140350877</v>
      </c>
      <c r="P162" s="129">
        <v>0.977393617021277</v>
      </c>
      <c r="Q162" s="129">
        <v>0.984479465138491</v>
      </c>
      <c r="R162" s="129">
        <v>0.975841482464212</v>
      </c>
      <c r="S162" s="131">
        <v>0.9</v>
      </c>
      <c r="T162" s="129">
        <v>0.882623224728488</v>
      </c>
      <c r="U162" s="129">
        <v>0.89561170212766</v>
      </c>
      <c r="V162" s="129">
        <v>0.839780324737345</v>
      </c>
      <c r="W162" s="129">
        <v>0.899086298761047</v>
      </c>
      <c r="X162" s="131">
        <v>0.92</v>
      </c>
      <c r="Y162" s="131">
        <v>0.947607591553061</v>
      </c>
      <c r="Z162" s="131">
        <v>0.941039565554694</v>
      </c>
      <c r="AA162" s="131">
        <v>0.936775553213909</v>
      </c>
      <c r="AB162" s="131">
        <v>0.950455884415767</v>
      </c>
      <c r="AC162" s="131">
        <v>0.92</v>
      </c>
      <c r="AD162" s="129">
        <v>0.972168905950096</v>
      </c>
      <c r="AE162" s="129">
        <v>0.980513728963685</v>
      </c>
      <c r="AF162" s="129">
        <v>0.985466741196199</v>
      </c>
      <c r="AG162" s="129">
        <v>0.975914704303137</v>
      </c>
      <c r="AH162" s="131">
        <v>0.92</v>
      </c>
      <c r="AI162" s="129">
        <v>0.962728551336146</v>
      </c>
      <c r="AJ162" s="129">
        <v>0.956382669380634</v>
      </c>
      <c r="AK162" s="129">
        <v>0.968457368161656</v>
      </c>
      <c r="AL162" s="129">
        <v>0.970092731951255</v>
      </c>
      <c r="AM162" s="128">
        <v>0.99</v>
      </c>
      <c r="AN162" s="133">
        <v>1</v>
      </c>
      <c r="AO162" s="133">
        <v>1</v>
      </c>
      <c r="AP162" s="133">
        <v>1</v>
      </c>
      <c r="AQ162" s="133">
        <v>1</v>
      </c>
      <c r="AR162" s="135">
        <v>0.105261498981944</v>
      </c>
      <c r="AS162" s="137">
        <v>0</v>
      </c>
      <c r="AT162" s="137">
        <v>0</v>
      </c>
      <c r="AU162" s="137">
        <v>0.2</v>
      </c>
      <c r="AV162" s="137">
        <v>0.0707964601769911</v>
      </c>
      <c r="AW162" s="93"/>
      <c r="AX162" s="91"/>
    </row>
    <row r="163" ht="14.5" spans="1:50">
      <c r="A163" s="89"/>
      <c r="B163" s="93"/>
      <c r="C163" s="148" t="s">
        <v>96</v>
      </c>
      <c r="D163" s="126" t="s">
        <v>97</v>
      </c>
      <c r="E163" s="149" t="s">
        <v>181</v>
      </c>
      <c r="F163" s="149" t="s">
        <v>181</v>
      </c>
      <c r="G163" s="149" t="s">
        <v>181</v>
      </c>
      <c r="H163" s="149" t="s">
        <v>181</v>
      </c>
      <c r="I163" s="128">
        <v>0.9</v>
      </c>
      <c r="J163" s="129">
        <v>0.980769230769231</v>
      </c>
      <c r="K163" s="129">
        <v>0.96078431372549</v>
      </c>
      <c r="L163" s="130">
        <v>0.953488372093023</v>
      </c>
      <c r="M163" s="129">
        <v>0.97212543554007</v>
      </c>
      <c r="N163" s="131">
        <v>0.9</v>
      </c>
      <c r="O163" s="129">
        <v>0.935909008846362</v>
      </c>
      <c r="P163" s="129">
        <v>0.960979342004591</v>
      </c>
      <c r="Q163" s="129">
        <v>0.949182839632278</v>
      </c>
      <c r="R163" s="129">
        <v>0.921058398159308</v>
      </c>
      <c r="S163" s="131">
        <v>0.9</v>
      </c>
      <c r="T163" s="129">
        <v>0.915869290485647</v>
      </c>
      <c r="U163" s="129">
        <v>0.928334608518235</v>
      </c>
      <c r="V163" s="129">
        <v>0.90679264555669</v>
      </c>
      <c r="W163" s="129">
        <v>0.906723640480625</v>
      </c>
      <c r="X163" s="131">
        <v>0.92</v>
      </c>
      <c r="Y163" s="131">
        <v>0.951706608569354</v>
      </c>
      <c r="Z163" s="131">
        <v>0.960949703217744</v>
      </c>
      <c r="AA163" s="131">
        <v>0.953263497179694</v>
      </c>
      <c r="AB163" s="131">
        <v>0.962066002609554</v>
      </c>
      <c r="AC163" s="131">
        <v>0.92</v>
      </c>
      <c r="AD163" s="129">
        <v>0.996332604556034</v>
      </c>
      <c r="AE163" s="129">
        <v>0.963665912124906</v>
      </c>
      <c r="AF163" s="129">
        <v>0.993189964157706</v>
      </c>
      <c r="AG163" s="129">
        <v>0.983512274018664</v>
      </c>
      <c r="AH163" s="131">
        <v>0.92</v>
      </c>
      <c r="AI163" s="129">
        <v>0.968053044002411</v>
      </c>
      <c r="AJ163" s="129">
        <v>0.973610331274565</v>
      </c>
      <c r="AK163" s="129">
        <v>0.975571927103528</v>
      </c>
      <c r="AL163" s="129">
        <v>0.975138345882107</v>
      </c>
      <c r="AM163" s="128">
        <v>0.99</v>
      </c>
      <c r="AN163" s="133">
        <v>1</v>
      </c>
      <c r="AO163" s="133">
        <v>1</v>
      </c>
      <c r="AP163" s="133">
        <v>1</v>
      </c>
      <c r="AQ163" s="133">
        <v>1</v>
      </c>
      <c r="AR163" s="135">
        <v>0.105261498981944</v>
      </c>
      <c r="AS163" s="137">
        <v>0.272727272727273</v>
      </c>
      <c r="AT163" s="137">
        <v>0</v>
      </c>
      <c r="AU163" s="137">
        <v>0</v>
      </c>
      <c r="AV163" s="137">
        <v>0.0903614457831325</v>
      </c>
      <c r="AW163" s="93"/>
      <c r="AX163" s="91"/>
    </row>
    <row r="164" ht="14.5" spans="1:50">
      <c r="A164" s="89"/>
      <c r="B164" s="93"/>
      <c r="C164" s="148" t="s">
        <v>96</v>
      </c>
      <c r="D164" s="126" t="s">
        <v>97</v>
      </c>
      <c r="E164" s="149" t="s">
        <v>182</v>
      </c>
      <c r="F164" s="149" t="s">
        <v>182</v>
      </c>
      <c r="G164" s="149" t="s">
        <v>182</v>
      </c>
      <c r="H164" s="149" t="s">
        <v>182</v>
      </c>
      <c r="I164" s="128">
        <v>0.9</v>
      </c>
      <c r="J164" s="129">
        <v>0.981818181818182</v>
      </c>
      <c r="K164" s="129">
        <v>1</v>
      </c>
      <c r="L164" s="130">
        <v>1</v>
      </c>
      <c r="M164" s="129">
        <v>0.984101748807631</v>
      </c>
      <c r="N164" s="131">
        <v>0.9</v>
      </c>
      <c r="O164" s="129">
        <v>0.968695040450229</v>
      </c>
      <c r="P164" s="129">
        <v>0.982925586136595</v>
      </c>
      <c r="Q164" s="129">
        <v>0.982848232848233</v>
      </c>
      <c r="R164" s="129">
        <v>0.978872089013123</v>
      </c>
      <c r="S164" s="131">
        <v>0.9</v>
      </c>
      <c r="T164" s="129">
        <v>0.95005276116778</v>
      </c>
      <c r="U164" s="129">
        <v>0.962028542303772</v>
      </c>
      <c r="V164" s="129">
        <v>0.956860706860707</v>
      </c>
      <c r="W164" s="129">
        <v>0.951119016935001</v>
      </c>
      <c r="X164" s="131">
        <v>0.92</v>
      </c>
      <c r="Y164" s="131">
        <v>0.965688143347312</v>
      </c>
      <c r="Z164" s="131">
        <v>0.97282099343955</v>
      </c>
      <c r="AA164" s="131">
        <v>0.971746575342466</v>
      </c>
      <c r="AB164" s="131">
        <v>0.975816512587569</v>
      </c>
      <c r="AC164" s="131">
        <v>0.92</v>
      </c>
      <c r="AD164" s="129">
        <v>0.9443359375</v>
      </c>
      <c r="AE164" s="129">
        <v>0.992630803242447</v>
      </c>
      <c r="AF164" s="129">
        <v>0.986381322957198</v>
      </c>
      <c r="AG164" s="129">
        <v>0.969107273169545</v>
      </c>
      <c r="AH164" s="131">
        <v>0.92</v>
      </c>
      <c r="AI164" s="129">
        <v>0.970273197737393</v>
      </c>
      <c r="AJ164" s="129">
        <v>0.980491228070175</v>
      </c>
      <c r="AK164" s="129">
        <v>0.982260314929241</v>
      </c>
      <c r="AL164" s="129">
        <v>0.983720634038464</v>
      </c>
      <c r="AM164" s="128">
        <v>0.99</v>
      </c>
      <c r="AN164" s="133">
        <v>1</v>
      </c>
      <c r="AO164" s="133">
        <v>1</v>
      </c>
      <c r="AP164" s="133">
        <v>1</v>
      </c>
      <c r="AQ164" s="133">
        <v>1</v>
      </c>
      <c r="AR164" s="135">
        <v>0.105261498981944</v>
      </c>
      <c r="AS164" s="137">
        <v>0</v>
      </c>
      <c r="AT164" s="137">
        <v>0.0666666666666667</v>
      </c>
      <c r="AU164" s="137">
        <v>0</v>
      </c>
      <c r="AV164" s="137">
        <v>0.0567375886524823</v>
      </c>
      <c r="AW164" s="93"/>
      <c r="AX164" s="91"/>
    </row>
    <row r="165" ht="14.5" spans="1:50">
      <c r="A165" s="89"/>
      <c r="B165" s="93"/>
      <c r="C165" s="148" t="s">
        <v>96</v>
      </c>
      <c r="D165" s="126" t="s">
        <v>97</v>
      </c>
      <c r="E165" s="149" t="s">
        <v>183</v>
      </c>
      <c r="F165" s="149" t="s">
        <v>183</v>
      </c>
      <c r="G165" s="149" t="s">
        <v>183</v>
      </c>
      <c r="H165" s="149" t="s">
        <v>183</v>
      </c>
      <c r="I165" s="128">
        <v>0.9</v>
      </c>
      <c r="J165" s="129">
        <v>0.955752212389381</v>
      </c>
      <c r="K165" s="129">
        <v>0.990740740740741</v>
      </c>
      <c r="L165" s="130">
        <v>0.978260869565217</v>
      </c>
      <c r="M165" s="129">
        <v>0.967453213995118</v>
      </c>
      <c r="N165" s="131">
        <v>0.9</v>
      </c>
      <c r="O165" s="129">
        <v>0.970150537634409</v>
      </c>
      <c r="P165" s="129">
        <v>0.979270907791279</v>
      </c>
      <c r="Q165" s="129">
        <v>0.976454293628809</v>
      </c>
      <c r="R165" s="129">
        <v>0.971293536346304</v>
      </c>
      <c r="S165" s="131">
        <v>0.9</v>
      </c>
      <c r="T165" s="129">
        <v>0.92447311827957</v>
      </c>
      <c r="U165" s="129">
        <v>0.972122944960686</v>
      </c>
      <c r="V165" s="129">
        <v>0.94145051624276</v>
      </c>
      <c r="W165" s="129">
        <v>0.940725225346187</v>
      </c>
      <c r="X165" s="131">
        <v>0.92</v>
      </c>
      <c r="Y165" s="131">
        <v>0.949367088607595</v>
      </c>
      <c r="Z165" s="131">
        <v>0.955286446204006</v>
      </c>
      <c r="AA165" s="131">
        <v>0.920510708401977</v>
      </c>
      <c r="AB165" s="131">
        <v>0.954157714139114</v>
      </c>
      <c r="AC165" s="131">
        <v>0.92</v>
      </c>
      <c r="AD165" s="129">
        <v>0.994601988586221</v>
      </c>
      <c r="AE165" s="129">
        <v>0.988774605902731</v>
      </c>
      <c r="AF165" s="129">
        <v>0.994467390750089</v>
      </c>
      <c r="AG165" s="129">
        <v>0.99352179366927</v>
      </c>
      <c r="AH165" s="131">
        <v>0.92</v>
      </c>
      <c r="AI165" s="129">
        <v>0.968329235452523</v>
      </c>
      <c r="AJ165" s="129">
        <v>0.973446556139641</v>
      </c>
      <c r="AK165" s="129">
        <v>0.970018316783958</v>
      </c>
      <c r="AL165" s="129">
        <v>0.975092605886576</v>
      </c>
      <c r="AM165" s="128">
        <v>0.99</v>
      </c>
      <c r="AN165" s="133">
        <v>1</v>
      </c>
      <c r="AO165" s="133">
        <v>1</v>
      </c>
      <c r="AP165" s="133">
        <v>1</v>
      </c>
      <c r="AQ165" s="133">
        <v>1</v>
      </c>
      <c r="AR165" s="135">
        <v>0.105261498981944</v>
      </c>
      <c r="AS165" s="137">
        <v>0.0357142857142857</v>
      </c>
      <c r="AT165" s="137">
        <v>0.15</v>
      </c>
      <c r="AU165" s="137">
        <v>0.166666666666667</v>
      </c>
      <c r="AV165" s="137">
        <v>0.0860927152317881</v>
      </c>
      <c r="AW165" s="93"/>
      <c r="AX165" s="91"/>
    </row>
    <row r="166" ht="14.5" spans="1:50">
      <c r="A166" s="89"/>
      <c r="B166" s="93"/>
      <c r="C166" s="148" t="s">
        <v>96</v>
      </c>
      <c r="D166" s="126" t="s">
        <v>97</v>
      </c>
      <c r="E166" s="149" t="s">
        <v>184</v>
      </c>
      <c r="F166" s="149" t="s">
        <v>184</v>
      </c>
      <c r="G166" s="149" t="s">
        <v>184</v>
      </c>
      <c r="H166" s="149" t="s">
        <v>184</v>
      </c>
      <c r="I166" s="128">
        <v>0.9</v>
      </c>
      <c r="J166" s="129">
        <v>0.982758620689655</v>
      </c>
      <c r="K166" s="129">
        <v>1</v>
      </c>
      <c r="L166" s="130">
        <v>0.956521739130435</v>
      </c>
      <c r="M166" s="129">
        <v>0.983579638752053</v>
      </c>
      <c r="N166" s="131">
        <v>0.9</v>
      </c>
      <c r="O166" s="129" t="s">
        <v>33</v>
      </c>
      <c r="P166" s="129">
        <v>1</v>
      </c>
      <c r="Q166" s="129" t="s">
        <v>33</v>
      </c>
      <c r="R166" s="129">
        <v>1</v>
      </c>
      <c r="S166" s="131">
        <v>0.9</v>
      </c>
      <c r="T166" s="129" t="s">
        <v>33</v>
      </c>
      <c r="U166" s="129">
        <v>0.5</v>
      </c>
      <c r="V166" s="129" t="s">
        <v>33</v>
      </c>
      <c r="W166" s="129">
        <v>0.5</v>
      </c>
      <c r="X166" s="131">
        <v>0.92</v>
      </c>
      <c r="Y166" s="131">
        <v>1</v>
      </c>
      <c r="Z166" s="131" t="s">
        <v>33</v>
      </c>
      <c r="AA166" s="131" t="s">
        <v>33</v>
      </c>
      <c r="AB166" s="131">
        <v>1</v>
      </c>
      <c r="AC166" s="131">
        <v>0.92</v>
      </c>
      <c r="AD166" s="129">
        <v>0.991189427312775</v>
      </c>
      <c r="AE166" s="129">
        <v>0.997109826589595</v>
      </c>
      <c r="AF166" s="129">
        <v>0.966312056737589</v>
      </c>
      <c r="AG166" s="129">
        <v>0.990290588806436</v>
      </c>
      <c r="AH166" s="131">
        <v>0.92</v>
      </c>
      <c r="AI166" s="129">
        <v>0.986162935323383</v>
      </c>
      <c r="AJ166" s="129">
        <v>0.987640126473124</v>
      </c>
      <c r="AK166" s="129">
        <v>0.992299794661191</v>
      </c>
      <c r="AL166" s="129">
        <v>0.990410330258098</v>
      </c>
      <c r="AM166" s="128">
        <v>0.99</v>
      </c>
      <c r="AN166" s="133">
        <v>1</v>
      </c>
      <c r="AO166" s="133">
        <v>1</v>
      </c>
      <c r="AP166" s="133">
        <v>1</v>
      </c>
      <c r="AQ166" s="133">
        <v>1</v>
      </c>
      <c r="AR166" s="135">
        <v>0.105261498981944</v>
      </c>
      <c r="AS166" s="137">
        <v>0.111111111111111</v>
      </c>
      <c r="AT166" s="137">
        <v>0</v>
      </c>
      <c r="AU166" s="137">
        <v>0.5</v>
      </c>
      <c r="AV166" s="137">
        <v>0.08</v>
      </c>
      <c r="AW166" s="93"/>
      <c r="AX166" s="91"/>
    </row>
    <row r="167" ht="14.5" spans="1:50">
      <c r="A167" s="89"/>
      <c r="B167" s="93"/>
      <c r="C167" s="148" t="s">
        <v>96</v>
      </c>
      <c r="D167" s="126" t="s">
        <v>97</v>
      </c>
      <c r="E167" s="149" t="s">
        <v>185</v>
      </c>
      <c r="F167" s="149" t="s">
        <v>185</v>
      </c>
      <c r="G167" s="149" t="s">
        <v>185</v>
      </c>
      <c r="H167" s="149" t="s">
        <v>185</v>
      </c>
      <c r="I167" s="128">
        <v>0.9</v>
      </c>
      <c r="J167" s="129">
        <v>0.963636363636364</v>
      </c>
      <c r="K167" s="129">
        <v>1</v>
      </c>
      <c r="L167" s="130">
        <v>0.957446808510638</v>
      </c>
      <c r="M167" s="129">
        <v>0.980091883614089</v>
      </c>
      <c r="N167" s="131">
        <v>0.9</v>
      </c>
      <c r="O167" s="129">
        <v>0.916692814559147</v>
      </c>
      <c r="P167" s="129">
        <v>0.975620870357712</v>
      </c>
      <c r="Q167" s="129">
        <v>0.968648106345623</v>
      </c>
      <c r="R167" s="129">
        <v>0.954890246358327</v>
      </c>
      <c r="S167" s="131">
        <v>0.9</v>
      </c>
      <c r="T167" s="129">
        <v>0.917006589268905</v>
      </c>
      <c r="U167" s="129">
        <v>0.956709956709957</v>
      </c>
      <c r="V167" s="129">
        <v>0.939804364183597</v>
      </c>
      <c r="W167" s="129">
        <v>0.942488420487346</v>
      </c>
      <c r="X167" s="131">
        <v>0.92</v>
      </c>
      <c r="Y167" s="131">
        <v>0.964022412267768</v>
      </c>
      <c r="Z167" s="131">
        <v>0.970541401273885</v>
      </c>
      <c r="AA167" s="131">
        <v>0.957198443579767</v>
      </c>
      <c r="AB167" s="131">
        <v>0.970297577854671</v>
      </c>
      <c r="AC167" s="131">
        <v>0.92</v>
      </c>
      <c r="AD167" s="129">
        <v>0.873575840768703</v>
      </c>
      <c r="AE167" s="129">
        <v>0.996499124781195</v>
      </c>
      <c r="AF167" s="129">
        <v>0.997926386728875</v>
      </c>
      <c r="AG167" s="129">
        <v>0.985087914533719</v>
      </c>
      <c r="AH167" s="131">
        <v>0.92</v>
      </c>
      <c r="AI167" s="129">
        <v>0.975020475020475</v>
      </c>
      <c r="AJ167" s="129">
        <v>0.980875321809489</v>
      </c>
      <c r="AK167" s="129">
        <v>0.981414754409255</v>
      </c>
      <c r="AL167" s="129">
        <v>0.982919643976432</v>
      </c>
      <c r="AM167" s="128">
        <v>0.99</v>
      </c>
      <c r="AN167" s="133">
        <v>1</v>
      </c>
      <c r="AO167" s="133">
        <v>1</v>
      </c>
      <c r="AP167" s="133">
        <v>1</v>
      </c>
      <c r="AQ167" s="133">
        <v>1</v>
      </c>
      <c r="AR167" s="135">
        <v>0.105261498981944</v>
      </c>
      <c r="AS167" s="137">
        <v>0</v>
      </c>
      <c r="AT167" s="137">
        <v>0.1</v>
      </c>
      <c r="AU167" s="137">
        <v>0.111111111111111</v>
      </c>
      <c r="AV167" s="137">
        <v>0.096</v>
      </c>
      <c r="AW167" s="93"/>
      <c r="AX167" s="91"/>
    </row>
    <row r="168" ht="14.5" spans="1:50">
      <c r="A168" s="89"/>
      <c r="B168" s="93"/>
      <c r="C168" s="148" t="s">
        <v>96</v>
      </c>
      <c r="D168" s="126" t="s">
        <v>97</v>
      </c>
      <c r="E168" s="149" t="s">
        <v>186</v>
      </c>
      <c r="F168" s="149" t="s">
        <v>186</v>
      </c>
      <c r="G168" s="149" t="s">
        <v>186</v>
      </c>
      <c r="H168" s="149" t="s">
        <v>186</v>
      </c>
      <c r="I168" s="128">
        <v>0.9</v>
      </c>
      <c r="J168" s="129">
        <v>0.978260869565217</v>
      </c>
      <c r="K168" s="129">
        <v>0.934782608695652</v>
      </c>
      <c r="L168" s="130">
        <v>0.975609756097561</v>
      </c>
      <c r="M168" s="129">
        <v>0.951267056530214</v>
      </c>
      <c r="N168" s="131">
        <v>0.9</v>
      </c>
      <c r="O168" s="129">
        <v>0.940697431614116</v>
      </c>
      <c r="P168" s="129">
        <v>0.962429555416406</v>
      </c>
      <c r="Q168" s="129">
        <v>0.961008403361345</v>
      </c>
      <c r="R168" s="129">
        <v>0.949435920577617</v>
      </c>
      <c r="S168" s="131">
        <v>0.9</v>
      </c>
      <c r="T168" s="129">
        <v>0.893297139277511</v>
      </c>
      <c r="U168" s="129">
        <v>0.939887288666249</v>
      </c>
      <c r="V168" s="129">
        <v>0.932773109243697</v>
      </c>
      <c r="W168" s="129">
        <v>0.919336642599278</v>
      </c>
      <c r="X168" s="131">
        <v>0.92</v>
      </c>
      <c r="Y168" s="131">
        <v>0.955439582496989</v>
      </c>
      <c r="Z168" s="131">
        <v>0.960124826629681</v>
      </c>
      <c r="AA168" s="131">
        <v>0.928641251221896</v>
      </c>
      <c r="AB168" s="131">
        <v>0.952859062406689</v>
      </c>
      <c r="AC168" s="131">
        <v>0.92</v>
      </c>
      <c r="AD168" s="129">
        <v>0.984962406015038</v>
      </c>
      <c r="AE168" s="129">
        <v>0.939058171745152</v>
      </c>
      <c r="AF168" s="129">
        <v>0.972222222222222</v>
      </c>
      <c r="AG168" s="129">
        <v>0.941669352239768</v>
      </c>
      <c r="AH168" s="131">
        <v>0.92</v>
      </c>
      <c r="AI168" s="129">
        <v>0.96718835804503</v>
      </c>
      <c r="AJ168" s="129">
        <v>0.969407894736842</v>
      </c>
      <c r="AK168" s="129">
        <v>0.965982991495748</v>
      </c>
      <c r="AL168" s="129">
        <v>0.96908173164799</v>
      </c>
      <c r="AM168" s="128">
        <v>0.99</v>
      </c>
      <c r="AN168" s="133">
        <v>1</v>
      </c>
      <c r="AO168" s="133">
        <v>1</v>
      </c>
      <c r="AP168" s="133">
        <v>1</v>
      </c>
      <c r="AQ168" s="133">
        <v>1</v>
      </c>
      <c r="AR168" s="135">
        <v>0.105261498981944</v>
      </c>
      <c r="AS168" s="137">
        <v>0</v>
      </c>
      <c r="AT168" s="137">
        <v>0.0714285714285714</v>
      </c>
      <c r="AU168" s="137">
        <v>0</v>
      </c>
      <c r="AV168" s="137">
        <v>0.0434782608695652</v>
      </c>
      <c r="AW168" s="93"/>
      <c r="AX168" s="91"/>
    </row>
    <row r="169" ht="14.5" spans="1:50">
      <c r="A169" s="89"/>
      <c r="B169" s="93"/>
      <c r="C169" s="148" t="s">
        <v>96</v>
      </c>
      <c r="D169" s="126" t="s">
        <v>97</v>
      </c>
      <c r="E169" s="149" t="s">
        <v>187</v>
      </c>
      <c r="F169" s="149" t="s">
        <v>187</v>
      </c>
      <c r="G169" s="149" t="s">
        <v>187</v>
      </c>
      <c r="H169" s="149" t="s">
        <v>187</v>
      </c>
      <c r="I169" s="128">
        <v>0.9</v>
      </c>
      <c r="J169" s="129">
        <v>1</v>
      </c>
      <c r="K169" s="129">
        <v>0.986301369863014</v>
      </c>
      <c r="L169" s="130">
        <v>0.971014492753623</v>
      </c>
      <c r="M169" s="129">
        <v>0.958432304038005</v>
      </c>
      <c r="N169" s="131">
        <v>0.9</v>
      </c>
      <c r="O169" s="129">
        <v>0.933984261148353</v>
      </c>
      <c r="P169" s="129">
        <v>0.938915579958819</v>
      </c>
      <c r="Q169" s="129">
        <v>0.948507632718159</v>
      </c>
      <c r="R169" s="129">
        <v>0.931879539757023</v>
      </c>
      <c r="S169" s="131">
        <v>0.9</v>
      </c>
      <c r="T169" s="129">
        <v>0.89594870300204</v>
      </c>
      <c r="U169" s="129">
        <v>0.900480439258751</v>
      </c>
      <c r="V169" s="129">
        <v>0.904761904761905</v>
      </c>
      <c r="W169" s="129">
        <v>0.895818602558334</v>
      </c>
      <c r="X169" s="131">
        <v>0.92</v>
      </c>
      <c r="Y169" s="131">
        <v>0.96064456151224</v>
      </c>
      <c r="Z169" s="131">
        <v>0.937531234382809</v>
      </c>
      <c r="AA169" s="131">
        <v>0.87303664921466</v>
      </c>
      <c r="AB169" s="131">
        <v>0.937396515020106</v>
      </c>
      <c r="AC169" s="131">
        <v>0.92</v>
      </c>
      <c r="AD169" s="129">
        <v>0.985851575013348</v>
      </c>
      <c r="AE169" s="129">
        <v>0.981512605042017</v>
      </c>
      <c r="AF169" s="129">
        <v>0.980533525594809</v>
      </c>
      <c r="AG169" s="129">
        <v>0.9880859375</v>
      </c>
      <c r="AH169" s="131">
        <v>0.92</v>
      </c>
      <c r="AI169" s="129">
        <v>0.96164139161463</v>
      </c>
      <c r="AJ169" s="129">
        <v>0.960353475041796</v>
      </c>
      <c r="AK169" s="129">
        <v>0.953861754267365</v>
      </c>
      <c r="AL169" s="129">
        <v>0.963512529791286</v>
      </c>
      <c r="AM169" s="128">
        <v>0.99</v>
      </c>
      <c r="AN169" s="133">
        <v>1</v>
      </c>
      <c r="AO169" s="133">
        <v>1</v>
      </c>
      <c r="AP169" s="133">
        <v>1</v>
      </c>
      <c r="AQ169" s="133">
        <v>1</v>
      </c>
      <c r="AR169" s="135">
        <v>0.105261498981944</v>
      </c>
      <c r="AS169" s="137">
        <v>0.0555555555555556</v>
      </c>
      <c r="AT169" s="137">
        <v>0.0277777777777778</v>
      </c>
      <c r="AU169" s="137">
        <v>0.0512820512820513</v>
      </c>
      <c r="AV169" s="137">
        <v>0.0790067720090293</v>
      </c>
      <c r="AW169" s="93"/>
      <c r="AX169" s="91"/>
    </row>
    <row r="170" ht="14.5" spans="1:50">
      <c r="A170" s="89"/>
      <c r="B170" s="93"/>
      <c r="C170" s="148" t="s">
        <v>96</v>
      </c>
      <c r="D170" s="126" t="s">
        <v>97</v>
      </c>
      <c r="E170" s="149" t="s">
        <v>188</v>
      </c>
      <c r="F170" s="149" t="s">
        <v>188</v>
      </c>
      <c r="G170" s="149" t="s">
        <v>188</v>
      </c>
      <c r="H170" s="149" t="s">
        <v>188</v>
      </c>
      <c r="I170" s="128">
        <v>0.9</v>
      </c>
      <c r="J170" s="129">
        <v>0.923913043478261</v>
      </c>
      <c r="K170" s="129">
        <v>0.942528735632184</v>
      </c>
      <c r="L170" s="130">
        <v>0.958904109589041</v>
      </c>
      <c r="M170" s="129">
        <v>0.924623115577889</v>
      </c>
      <c r="N170" s="131">
        <v>0.9</v>
      </c>
      <c r="O170" s="129">
        <v>0.942827032011593</v>
      </c>
      <c r="P170" s="129">
        <v>0.957556935817805</v>
      </c>
      <c r="Q170" s="129">
        <v>0.966785042824316</v>
      </c>
      <c r="R170" s="129">
        <v>0.938191497014603</v>
      </c>
      <c r="S170" s="131">
        <v>0.9</v>
      </c>
      <c r="T170" s="129">
        <v>0.917402186800158</v>
      </c>
      <c r="U170" s="129">
        <v>0.937267080745342</v>
      </c>
      <c r="V170" s="129">
        <v>0.902026321286818</v>
      </c>
      <c r="W170" s="129">
        <v>0.902783972376088</v>
      </c>
      <c r="X170" s="131">
        <v>0.92</v>
      </c>
      <c r="Y170" s="131">
        <v>0.94268516095263</v>
      </c>
      <c r="Z170" s="131">
        <v>0.939324293265916</v>
      </c>
      <c r="AA170" s="131">
        <v>0.934241706161137</v>
      </c>
      <c r="AB170" s="131">
        <v>0.940965381367858</v>
      </c>
      <c r="AC170" s="131">
        <v>0.92</v>
      </c>
      <c r="AD170" s="129">
        <v>0.998691255205235</v>
      </c>
      <c r="AE170" s="129">
        <v>0.99653950033761</v>
      </c>
      <c r="AF170" s="129">
        <v>0.393144842836835</v>
      </c>
      <c r="AG170" s="129">
        <v>0.954889364739472</v>
      </c>
      <c r="AH170" s="131">
        <v>0.92</v>
      </c>
      <c r="AI170" s="129">
        <v>0.962765025407394</v>
      </c>
      <c r="AJ170" s="129">
        <v>0.960688228247849</v>
      </c>
      <c r="AK170" s="129">
        <v>0.964175416924027</v>
      </c>
      <c r="AL170" s="129">
        <v>0.964391744305265</v>
      </c>
      <c r="AM170" s="128">
        <v>0.99</v>
      </c>
      <c r="AN170" s="133">
        <v>1</v>
      </c>
      <c r="AO170" s="133">
        <v>1</v>
      </c>
      <c r="AP170" s="133">
        <v>1</v>
      </c>
      <c r="AQ170" s="133">
        <v>1</v>
      </c>
      <c r="AR170" s="135">
        <v>0.105261498981944</v>
      </c>
      <c r="AS170" s="137">
        <v>0.0338983050847458</v>
      </c>
      <c r="AT170" s="137">
        <v>0.0363636363636364</v>
      </c>
      <c r="AU170" s="137">
        <v>0.0476190476190476</v>
      </c>
      <c r="AV170" s="137">
        <v>0.0491228070175439</v>
      </c>
      <c r="AW170" s="93"/>
      <c r="AX170" s="91"/>
    </row>
    <row r="171" ht="14.5" spans="1:50">
      <c r="A171" s="89"/>
      <c r="B171" s="93"/>
      <c r="C171" s="148" t="s">
        <v>96</v>
      </c>
      <c r="D171" s="126" t="s">
        <v>97</v>
      </c>
      <c r="E171" s="149" t="s">
        <v>189</v>
      </c>
      <c r="F171" s="149" t="s">
        <v>189</v>
      </c>
      <c r="G171" s="149" t="s">
        <v>189</v>
      </c>
      <c r="H171" s="149" t="s">
        <v>189</v>
      </c>
      <c r="I171" s="128">
        <v>0.9</v>
      </c>
      <c r="J171" s="129">
        <v>0.952380952380952</v>
      </c>
      <c r="K171" s="129">
        <v>0.929577464788732</v>
      </c>
      <c r="L171" s="130">
        <v>0.917808219178082</v>
      </c>
      <c r="M171" s="129">
        <v>0.939799331103679</v>
      </c>
      <c r="N171" s="131">
        <v>0.9</v>
      </c>
      <c r="O171" s="129">
        <v>0.918785890073831</v>
      </c>
      <c r="P171" s="129">
        <v>0.935733512786003</v>
      </c>
      <c r="Q171" s="129">
        <v>0.931227090242625</v>
      </c>
      <c r="R171" s="129">
        <v>0.934665085211312</v>
      </c>
      <c r="S171" s="131">
        <v>0.9</v>
      </c>
      <c r="T171" s="129">
        <v>0.884331419196062</v>
      </c>
      <c r="U171" s="129">
        <v>0.900908479138627</v>
      </c>
      <c r="V171" s="129">
        <v>0.880607435852679</v>
      </c>
      <c r="W171" s="129">
        <v>0.880317123415944</v>
      </c>
      <c r="X171" s="131">
        <v>0.92</v>
      </c>
      <c r="Y171" s="131">
        <v>0.936796138818662</v>
      </c>
      <c r="Z171" s="131">
        <v>0.930698851469729</v>
      </c>
      <c r="AA171" s="131">
        <v>0.928829293450232</v>
      </c>
      <c r="AB171" s="131">
        <v>0.926788752937363</v>
      </c>
      <c r="AC171" s="131">
        <v>0.92</v>
      </c>
      <c r="AD171" s="129">
        <v>0.996766544513904</v>
      </c>
      <c r="AE171" s="129">
        <v>0.989130434782609</v>
      </c>
      <c r="AF171" s="129">
        <v>0.988505747126437</v>
      </c>
      <c r="AG171" s="129">
        <v>0.99145005457412</v>
      </c>
      <c r="AH171" s="131">
        <v>0.92</v>
      </c>
      <c r="AI171" s="129">
        <v>0.96429957314707</v>
      </c>
      <c r="AJ171" s="129">
        <v>0.951190905810177</v>
      </c>
      <c r="AK171" s="129">
        <v>0.950977835723598</v>
      </c>
      <c r="AL171" s="129">
        <v>0.953656859943307</v>
      </c>
      <c r="AM171" s="128">
        <v>0.99</v>
      </c>
      <c r="AN171" s="133">
        <v>1</v>
      </c>
      <c r="AO171" s="133">
        <v>1</v>
      </c>
      <c r="AP171" s="133">
        <v>1</v>
      </c>
      <c r="AQ171" s="133">
        <v>1</v>
      </c>
      <c r="AR171" s="135">
        <v>0.105261498981944</v>
      </c>
      <c r="AS171" s="137">
        <v>0.046875</v>
      </c>
      <c r="AT171" s="137">
        <v>0.142857142857143</v>
      </c>
      <c r="AU171" s="137">
        <v>0.145833333333333</v>
      </c>
      <c r="AV171" s="137">
        <v>0.0894039735099338</v>
      </c>
      <c r="AW171" s="93"/>
      <c r="AX171" s="91"/>
    </row>
    <row r="172" ht="14.5" spans="1:50">
      <c r="A172" s="89"/>
      <c r="B172" s="93"/>
      <c r="C172" s="148" t="s">
        <v>96</v>
      </c>
      <c r="D172" s="126" t="s">
        <v>97</v>
      </c>
      <c r="E172" s="149" t="s">
        <v>190</v>
      </c>
      <c r="F172" s="149" t="s">
        <v>190</v>
      </c>
      <c r="G172" s="149" t="s">
        <v>190</v>
      </c>
      <c r="H172" s="149" t="s">
        <v>190</v>
      </c>
      <c r="I172" s="128">
        <v>0.9</v>
      </c>
      <c r="J172" s="129">
        <v>0.982758620689655</v>
      </c>
      <c r="K172" s="129">
        <v>0.962264150943396</v>
      </c>
      <c r="L172" s="130">
        <v>0.877551020408163</v>
      </c>
      <c r="M172" s="129">
        <v>0.9578125</v>
      </c>
      <c r="N172" s="131">
        <v>0.9</v>
      </c>
      <c r="O172" s="129">
        <v>0.926424870466321</v>
      </c>
      <c r="P172" s="129">
        <v>0.951633165829146</v>
      </c>
      <c r="Q172" s="129">
        <v>0.966370558375635</v>
      </c>
      <c r="R172" s="129">
        <v>0.95586917562724</v>
      </c>
      <c r="S172" s="131">
        <v>0.9</v>
      </c>
      <c r="T172" s="129">
        <v>0.880414507772021</v>
      </c>
      <c r="U172" s="129">
        <v>0.928706030150754</v>
      </c>
      <c r="V172" s="129">
        <v>0.90006345177665</v>
      </c>
      <c r="W172" s="129">
        <v>0.915165770609319</v>
      </c>
      <c r="X172" s="131">
        <v>0.92</v>
      </c>
      <c r="Y172" s="131">
        <v>0.943512075317233</v>
      </c>
      <c r="Z172" s="131">
        <v>0.95457650273224</v>
      </c>
      <c r="AA172" s="131">
        <v>0.944962686567164</v>
      </c>
      <c r="AB172" s="131">
        <v>0.956707043517272</v>
      </c>
      <c r="AC172" s="131">
        <v>0.92</v>
      </c>
      <c r="AD172" s="129">
        <v>0.992409867172676</v>
      </c>
      <c r="AE172" s="129">
        <v>0.745464663327769</v>
      </c>
      <c r="AF172" s="129">
        <v>0.955521472392638</v>
      </c>
      <c r="AG172" s="129">
        <v>0.95455467640495</v>
      </c>
      <c r="AH172" s="131">
        <v>0.92</v>
      </c>
      <c r="AI172" s="129">
        <v>0.965327462850853</v>
      </c>
      <c r="AJ172" s="129">
        <v>0.969573041060036</v>
      </c>
      <c r="AK172" s="129">
        <v>0.974437869822485</v>
      </c>
      <c r="AL172" s="129">
        <v>0.973568837280966</v>
      </c>
      <c r="AM172" s="128">
        <v>0.99</v>
      </c>
      <c r="AN172" s="133">
        <v>1</v>
      </c>
      <c r="AO172" s="133">
        <v>1</v>
      </c>
      <c r="AP172" s="133">
        <v>1</v>
      </c>
      <c r="AQ172" s="133">
        <v>1</v>
      </c>
      <c r="AR172" s="135">
        <v>0.105261498981944</v>
      </c>
      <c r="AS172" s="137">
        <v>0.166666666666667</v>
      </c>
      <c r="AT172" s="137">
        <v>0.19047619047619</v>
      </c>
      <c r="AU172" s="137">
        <v>0</v>
      </c>
      <c r="AV172" s="137">
        <v>0.087719298245614</v>
      </c>
      <c r="AW172" s="93"/>
      <c r="AX172" s="91"/>
    </row>
    <row r="173" ht="14.5" spans="1:50">
      <c r="A173" s="89"/>
      <c r="B173" s="93"/>
      <c r="C173" s="148" t="s">
        <v>96</v>
      </c>
      <c r="D173" s="126" t="s">
        <v>97</v>
      </c>
      <c r="E173" s="149" t="s">
        <v>191</v>
      </c>
      <c r="F173" s="149" t="s">
        <v>191</v>
      </c>
      <c r="G173" s="149" t="s">
        <v>191</v>
      </c>
      <c r="H173" s="149" t="s">
        <v>191</v>
      </c>
      <c r="I173" s="128">
        <v>0.9</v>
      </c>
      <c r="J173" s="129">
        <v>0.962962962962963</v>
      </c>
      <c r="K173" s="129">
        <v>0.936708860759494</v>
      </c>
      <c r="L173" s="130">
        <v>0.875</v>
      </c>
      <c r="M173" s="129">
        <v>0.935377875136911</v>
      </c>
      <c r="N173" s="131">
        <v>0.9</v>
      </c>
      <c r="O173" s="129">
        <v>0.954814583982549</v>
      </c>
      <c r="P173" s="129">
        <v>0.976387842250691</v>
      </c>
      <c r="Q173" s="129">
        <v>0.970991320237551</v>
      </c>
      <c r="R173" s="129">
        <v>0.966968160885266</v>
      </c>
      <c r="S173" s="131">
        <v>0.9</v>
      </c>
      <c r="T173" s="129">
        <v>0.884387659707074</v>
      </c>
      <c r="U173" s="129">
        <v>0.927153981411706</v>
      </c>
      <c r="V173" s="129">
        <v>0.909319323892188</v>
      </c>
      <c r="W173" s="129">
        <v>0.904134777855084</v>
      </c>
      <c r="X173" s="131">
        <v>0.92</v>
      </c>
      <c r="Y173" s="131">
        <v>0.930979643765903</v>
      </c>
      <c r="Z173" s="131">
        <v>0.946423993847731</v>
      </c>
      <c r="AA173" s="131">
        <v>0.927272727272727</v>
      </c>
      <c r="AB173" s="131">
        <v>0.93728813559322</v>
      </c>
      <c r="AC173" s="131">
        <v>0.92</v>
      </c>
      <c r="AD173" s="129">
        <v>0.99290780141844</v>
      </c>
      <c r="AE173" s="129">
        <v>0.958367570528622</v>
      </c>
      <c r="AF173" s="129">
        <v>0.459306249156431</v>
      </c>
      <c r="AG173" s="129">
        <v>0.704085849876726</v>
      </c>
      <c r="AH173" s="131">
        <v>0.92</v>
      </c>
      <c r="AI173" s="129">
        <v>0.950475394420646</v>
      </c>
      <c r="AJ173" s="129">
        <v>0.9657664511221</v>
      </c>
      <c r="AK173" s="129">
        <v>0.961986822098327</v>
      </c>
      <c r="AL173" s="129">
        <v>0.961003955971878</v>
      </c>
      <c r="AM173" s="128">
        <v>0.99</v>
      </c>
      <c r="AN173" s="133">
        <v>1</v>
      </c>
      <c r="AO173" s="133">
        <v>1</v>
      </c>
      <c r="AP173" s="133">
        <v>1</v>
      </c>
      <c r="AQ173" s="133">
        <v>1</v>
      </c>
      <c r="AR173" s="135">
        <v>0.105261498981944</v>
      </c>
      <c r="AS173" s="137">
        <v>0</v>
      </c>
      <c r="AT173" s="137">
        <v>0.157894736842105</v>
      </c>
      <c r="AU173" s="137">
        <v>0.2</v>
      </c>
      <c r="AV173" s="137">
        <v>0.0893854748603352</v>
      </c>
      <c r="AW173" s="93"/>
      <c r="AX173" s="91"/>
    </row>
    <row r="174" ht="14.5" spans="1:50">
      <c r="A174" s="89"/>
      <c r="B174" s="93"/>
      <c r="C174" s="148" t="s">
        <v>96</v>
      </c>
      <c r="D174" s="126" t="s">
        <v>97</v>
      </c>
      <c r="E174" s="149" t="s">
        <v>192</v>
      </c>
      <c r="F174" s="149" t="s">
        <v>192</v>
      </c>
      <c r="G174" s="149" t="s">
        <v>192</v>
      </c>
      <c r="H174" s="149" t="s">
        <v>192</v>
      </c>
      <c r="I174" s="128">
        <v>0.9</v>
      </c>
      <c r="J174" s="129">
        <v>0.938461538461538</v>
      </c>
      <c r="K174" s="129">
        <v>0.96969696969697</v>
      </c>
      <c r="L174" s="130">
        <v>0.91304347826087</v>
      </c>
      <c r="M174" s="129">
        <v>0.920731707317073</v>
      </c>
      <c r="N174" s="131">
        <v>0.9</v>
      </c>
      <c r="O174" s="129">
        <v>0.825104828892195</v>
      </c>
      <c r="P174" s="129">
        <v>0.958810957839518</v>
      </c>
      <c r="Q174" s="129">
        <v>0.926011560693642</v>
      </c>
      <c r="R174" s="129">
        <v>0.903778294173337</v>
      </c>
      <c r="S174" s="131">
        <v>0.9</v>
      </c>
      <c r="T174" s="129">
        <v>0.791018531042878</v>
      </c>
      <c r="U174" s="129">
        <v>0.887701573732271</v>
      </c>
      <c r="V174" s="129">
        <v>0.899036608863198</v>
      </c>
      <c r="W174" s="129">
        <v>0.867415440227214</v>
      </c>
      <c r="X174" s="131">
        <v>0.92</v>
      </c>
      <c r="Y174" s="131">
        <v>0.846266901822457</v>
      </c>
      <c r="Z174" s="131">
        <v>0.868465430016863</v>
      </c>
      <c r="AA174" s="131">
        <v>0.888208269525268</v>
      </c>
      <c r="AB174" s="131">
        <v>0.902233088012904</v>
      </c>
      <c r="AC174" s="131">
        <v>0.92</v>
      </c>
      <c r="AD174" s="129">
        <v>0.982884083222302</v>
      </c>
      <c r="AE174" s="129">
        <v>0.979767856620764</v>
      </c>
      <c r="AF174" s="129">
        <v>0.991414554374489</v>
      </c>
      <c r="AG174" s="129">
        <v>0.980779671736005</v>
      </c>
      <c r="AH174" s="131">
        <v>0.92</v>
      </c>
      <c r="AI174" s="129">
        <v>0.908577250833642</v>
      </c>
      <c r="AJ174" s="129">
        <v>0.912061922167276</v>
      </c>
      <c r="AK174" s="129">
        <v>0.948104630018184</v>
      </c>
      <c r="AL174" s="129">
        <v>0.939810244598004</v>
      </c>
      <c r="AM174" s="128">
        <v>0.99</v>
      </c>
      <c r="AN174" s="133">
        <v>1</v>
      </c>
      <c r="AO174" s="133">
        <v>1</v>
      </c>
      <c r="AP174" s="133">
        <v>1</v>
      </c>
      <c r="AQ174" s="133">
        <v>1</v>
      </c>
      <c r="AR174" s="135">
        <v>0.105261498981944</v>
      </c>
      <c r="AS174" s="137">
        <v>0.146341463414634</v>
      </c>
      <c r="AT174" s="137">
        <v>0.114285714285714</v>
      </c>
      <c r="AU174" s="137">
        <v>0.0909090909090909</v>
      </c>
      <c r="AV174" s="137">
        <v>0.0755208333333333</v>
      </c>
      <c r="AW174" s="93"/>
      <c r="AX174" s="91"/>
    </row>
    <row r="175" ht="14.5" spans="1:50">
      <c r="A175" s="89"/>
      <c r="B175" s="93"/>
      <c r="C175" s="148" t="s">
        <v>96</v>
      </c>
      <c r="D175" s="126" t="s">
        <v>97</v>
      </c>
      <c r="E175" s="149" t="s">
        <v>193</v>
      </c>
      <c r="F175" s="149" t="s">
        <v>193</v>
      </c>
      <c r="G175" s="149" t="s">
        <v>193</v>
      </c>
      <c r="H175" s="149" t="s">
        <v>193</v>
      </c>
      <c r="I175" s="128">
        <v>0.9</v>
      </c>
      <c r="J175" s="129">
        <v>0.976470588235294</v>
      </c>
      <c r="K175" s="129">
        <v>0.904761904761905</v>
      </c>
      <c r="L175" s="130">
        <v>0.9375</v>
      </c>
      <c r="M175" s="129">
        <v>0.936040609137056</v>
      </c>
      <c r="N175" s="131">
        <v>0.9</v>
      </c>
      <c r="O175" s="129">
        <v>0.91843545588039</v>
      </c>
      <c r="P175" s="129">
        <v>0.940359004053272</v>
      </c>
      <c r="Q175" s="129">
        <v>0.954421645178863</v>
      </c>
      <c r="R175" s="129">
        <v>0.929485905697334</v>
      </c>
      <c r="S175" s="131">
        <v>0.9</v>
      </c>
      <c r="T175" s="129">
        <v>0.89881190762248</v>
      </c>
      <c r="U175" s="129">
        <v>0.933603551437946</v>
      </c>
      <c r="V175" s="129">
        <v>0.927909932812784</v>
      </c>
      <c r="W175" s="129">
        <v>0.898146308229483</v>
      </c>
      <c r="X175" s="131">
        <v>0.92</v>
      </c>
      <c r="Y175" s="131">
        <v>0.955962253360023</v>
      </c>
      <c r="Z175" s="131">
        <v>0.972638591482275</v>
      </c>
      <c r="AA175" s="131">
        <v>0.956924754634678</v>
      </c>
      <c r="AB175" s="131">
        <v>0.950385356454721</v>
      </c>
      <c r="AC175" s="131">
        <v>0.92</v>
      </c>
      <c r="AD175" s="129">
        <v>0.987967395523354</v>
      </c>
      <c r="AE175" s="129">
        <v>0.987034796137604</v>
      </c>
      <c r="AF175" s="129">
        <v>0.968142253170853</v>
      </c>
      <c r="AG175" s="129">
        <v>0.9493727228853</v>
      </c>
      <c r="AH175" s="131">
        <v>0.92</v>
      </c>
      <c r="AI175" s="129">
        <v>0.971974522292994</v>
      </c>
      <c r="AJ175" s="129">
        <v>0.983802216538789</v>
      </c>
      <c r="AK175" s="129">
        <v>0.981473913635744</v>
      </c>
      <c r="AL175" s="129">
        <v>0.971832523609367</v>
      </c>
      <c r="AM175" s="128">
        <v>0.99</v>
      </c>
      <c r="AN175" s="133">
        <v>1</v>
      </c>
      <c r="AO175" s="133">
        <v>0.995555555555556</v>
      </c>
      <c r="AP175" s="133">
        <v>1</v>
      </c>
      <c r="AQ175" s="133">
        <v>0.999587118084228</v>
      </c>
      <c r="AR175" s="135">
        <v>0.105261498981944</v>
      </c>
      <c r="AS175" s="137">
        <v>0.0769230769230769</v>
      </c>
      <c r="AT175" s="137">
        <v>0</v>
      </c>
      <c r="AU175" s="137">
        <v>0.233333333333333</v>
      </c>
      <c r="AV175" s="137">
        <v>0.0949720670391061</v>
      </c>
      <c r="AW175" s="93"/>
      <c r="AX175" s="91"/>
    </row>
    <row r="176" ht="14.5" spans="1:50">
      <c r="A176" s="89"/>
      <c r="B176" s="93"/>
      <c r="C176" s="148" t="s">
        <v>96</v>
      </c>
      <c r="D176" s="126" t="s">
        <v>97</v>
      </c>
      <c r="E176" s="149" t="s">
        <v>194</v>
      </c>
      <c r="F176" s="149" t="s">
        <v>194</v>
      </c>
      <c r="G176" s="149" t="s">
        <v>194</v>
      </c>
      <c r="H176" s="149" t="s">
        <v>194</v>
      </c>
      <c r="I176" s="128">
        <v>0.9</v>
      </c>
      <c r="J176" s="129">
        <v>0.96</v>
      </c>
      <c r="K176" s="129">
        <v>0.976744186046512</v>
      </c>
      <c r="L176" s="130">
        <v>0.954545454545455</v>
      </c>
      <c r="M176" s="129">
        <v>0.951086956521739</v>
      </c>
      <c r="N176" s="131">
        <v>0.9</v>
      </c>
      <c r="O176" s="129">
        <v>0.900107411385607</v>
      </c>
      <c r="P176" s="129">
        <v>0.944378698224852</v>
      </c>
      <c r="Q176" s="129">
        <v>0.937548487199379</v>
      </c>
      <c r="R176" s="129">
        <v>0.952210573029345</v>
      </c>
      <c r="S176" s="131">
        <v>0.9</v>
      </c>
      <c r="T176" s="129">
        <v>0.881310418904404</v>
      </c>
      <c r="U176" s="129">
        <v>0.932544378698225</v>
      </c>
      <c r="V176" s="129">
        <v>0.925135764158262</v>
      </c>
      <c r="W176" s="129">
        <v>0.91107782770289</v>
      </c>
      <c r="X176" s="131">
        <v>0.92</v>
      </c>
      <c r="Y176" s="131">
        <v>0.93994140625</v>
      </c>
      <c r="Z176" s="131">
        <v>0.96343001261034</v>
      </c>
      <c r="AA176" s="131">
        <v>0.951357466063348</v>
      </c>
      <c r="AB176" s="131">
        <v>0.958942333244752</v>
      </c>
      <c r="AC176" s="131">
        <v>0.92</v>
      </c>
      <c r="AD176" s="129">
        <v>0.99618320610687</v>
      </c>
      <c r="AE176" s="129">
        <v>0.916643356643357</v>
      </c>
      <c r="AF176" s="129">
        <v>0.985898942420682</v>
      </c>
      <c r="AG176" s="129">
        <v>0.968449386638426</v>
      </c>
      <c r="AH176" s="131">
        <v>0.92</v>
      </c>
      <c r="AI176" s="129">
        <v>0.957380457380457</v>
      </c>
      <c r="AJ176" s="129">
        <v>0.974155474155474</v>
      </c>
      <c r="AK176" s="129">
        <v>0.972567138319376</v>
      </c>
      <c r="AL176" s="129">
        <v>0.974947558708665</v>
      </c>
      <c r="AM176" s="128">
        <v>0.99</v>
      </c>
      <c r="AN176" s="133">
        <v>1</v>
      </c>
      <c r="AO176" s="133">
        <v>1</v>
      </c>
      <c r="AP176" s="133">
        <v>1</v>
      </c>
      <c r="AQ176" s="133">
        <v>1</v>
      </c>
      <c r="AR176" s="135">
        <v>0.105261498981944</v>
      </c>
      <c r="AS176" s="137">
        <v>0.133333333333333</v>
      </c>
      <c r="AT176" s="137">
        <v>0</v>
      </c>
      <c r="AU176" s="137">
        <v>0</v>
      </c>
      <c r="AV176" s="137">
        <v>0.085427135678392</v>
      </c>
      <c r="AW176" s="93"/>
      <c r="AX176" s="91"/>
    </row>
    <row r="177" ht="14.5" spans="1:50">
      <c r="A177" s="89"/>
      <c r="B177" s="93"/>
      <c r="C177" s="148" t="s">
        <v>96</v>
      </c>
      <c r="D177" s="126" t="s">
        <v>97</v>
      </c>
      <c r="E177" s="149" t="s">
        <v>195</v>
      </c>
      <c r="F177" s="149" t="s">
        <v>195</v>
      </c>
      <c r="G177" s="149" t="s">
        <v>195</v>
      </c>
      <c r="H177" s="149" t="s">
        <v>195</v>
      </c>
      <c r="I177" s="128">
        <v>0.9</v>
      </c>
      <c r="J177" s="129">
        <v>0.976470588235294</v>
      </c>
      <c r="K177" s="129">
        <v>0.974025974025974</v>
      </c>
      <c r="L177" s="130">
        <v>0.96875</v>
      </c>
      <c r="M177" s="129">
        <v>0.974416017797553</v>
      </c>
      <c r="N177" s="131">
        <v>0.9</v>
      </c>
      <c r="O177" s="129">
        <v>0.927239772138788</v>
      </c>
      <c r="P177" s="129">
        <v>0.945378945378945</v>
      </c>
      <c r="Q177" s="129">
        <v>0.915730337078652</v>
      </c>
      <c r="R177" s="129">
        <v>0.918942133189255</v>
      </c>
      <c r="S177" s="131">
        <v>0.9</v>
      </c>
      <c r="T177" s="129">
        <v>0.926851372345935</v>
      </c>
      <c r="U177" s="129">
        <v>0.951615951615952</v>
      </c>
      <c r="V177" s="129">
        <v>0.906554307116105</v>
      </c>
      <c r="W177" s="129">
        <v>0.926076777080476</v>
      </c>
      <c r="X177" s="131">
        <v>0.92</v>
      </c>
      <c r="Y177" s="131">
        <v>0.966719492868463</v>
      </c>
      <c r="Z177" s="131">
        <v>0.977144101001306</v>
      </c>
      <c r="AA177" s="131">
        <v>0.982378854625551</v>
      </c>
      <c r="AB177" s="131">
        <v>0.985194438661022</v>
      </c>
      <c r="AC177" s="131">
        <v>0.92</v>
      </c>
      <c r="AD177" s="129">
        <v>0.997958433710343</v>
      </c>
      <c r="AE177" s="129">
        <v>0.984907817031095</v>
      </c>
      <c r="AF177" s="129">
        <v>0.930903126818687</v>
      </c>
      <c r="AG177" s="129">
        <v>0.932842453305819</v>
      </c>
      <c r="AH177" s="131">
        <v>0.92</v>
      </c>
      <c r="AI177" s="129">
        <v>0.975512330670372</v>
      </c>
      <c r="AJ177" s="129">
        <v>0.986043689320388</v>
      </c>
      <c r="AK177" s="129">
        <v>0.990498812351544</v>
      </c>
      <c r="AL177" s="129">
        <v>0.990602073606985</v>
      </c>
      <c r="AM177" s="128">
        <v>0.99</v>
      </c>
      <c r="AN177" s="133">
        <v>1</v>
      </c>
      <c r="AO177" s="133">
        <v>1</v>
      </c>
      <c r="AP177" s="133">
        <v>1</v>
      </c>
      <c r="AQ177" s="133">
        <v>1</v>
      </c>
      <c r="AR177" s="135">
        <v>0.105261498981944</v>
      </c>
      <c r="AS177" s="137">
        <v>0.185185185185185</v>
      </c>
      <c r="AT177" s="137">
        <v>0.157894736842105</v>
      </c>
      <c r="AU177" s="137">
        <v>0.0952380952380952</v>
      </c>
      <c r="AV177" s="137">
        <v>0.151603498542274</v>
      </c>
      <c r="AW177" s="93"/>
      <c r="AX177" s="91"/>
    </row>
    <row r="178" ht="14.5" spans="1:50">
      <c r="A178" s="89"/>
      <c r="B178" s="93"/>
      <c r="C178" s="148" t="s">
        <v>96</v>
      </c>
      <c r="D178" s="126" t="s">
        <v>97</v>
      </c>
      <c r="E178" s="149" t="s">
        <v>196</v>
      </c>
      <c r="F178" s="149" t="s">
        <v>196</v>
      </c>
      <c r="G178" s="149" t="s">
        <v>196</v>
      </c>
      <c r="H178" s="149" t="s">
        <v>196</v>
      </c>
      <c r="I178" s="128">
        <v>0.9</v>
      </c>
      <c r="J178" s="129">
        <v>0.898305084745763</v>
      </c>
      <c r="K178" s="129">
        <v>0.932203389830508</v>
      </c>
      <c r="L178" s="130">
        <v>0.928571428571429</v>
      </c>
      <c r="M178" s="129">
        <v>0.939794419970631</v>
      </c>
      <c r="N178" s="131">
        <v>0.9</v>
      </c>
      <c r="O178" s="129">
        <v>0.93733681462141</v>
      </c>
      <c r="P178" s="129">
        <v>0.95160031225605</v>
      </c>
      <c r="Q178" s="129">
        <v>0.956335616438356</v>
      </c>
      <c r="R178" s="129">
        <v>0.94300613950736</v>
      </c>
      <c r="S178" s="131">
        <v>0.9</v>
      </c>
      <c r="T178" s="129">
        <v>0.912271540469974</v>
      </c>
      <c r="U178" s="129">
        <v>0.925578974759303</v>
      </c>
      <c r="V178" s="129">
        <v>0.919520547945205</v>
      </c>
      <c r="W178" s="129">
        <v>0.927306013758414</v>
      </c>
      <c r="X178" s="131">
        <v>0.92</v>
      </c>
      <c r="Y178" s="131">
        <v>0.938985455835403</v>
      </c>
      <c r="Z178" s="131">
        <v>0.951322115384615</v>
      </c>
      <c r="AA178" s="131">
        <v>0.945499587118084</v>
      </c>
      <c r="AB178" s="131">
        <v>0.956250992851469</v>
      </c>
      <c r="AC178" s="131">
        <v>0.92</v>
      </c>
      <c r="AD178" s="129">
        <v>0.98103552077062</v>
      </c>
      <c r="AE178" s="129">
        <v>0.98125</v>
      </c>
      <c r="AF178" s="129">
        <v>0.933491686460808</v>
      </c>
      <c r="AG178" s="129">
        <v>0.973010307087451</v>
      </c>
      <c r="AH178" s="131">
        <v>0.92</v>
      </c>
      <c r="AI178" s="129">
        <v>0.950729713952131</v>
      </c>
      <c r="AJ178" s="129">
        <v>0.964171197546354</v>
      </c>
      <c r="AK178" s="129">
        <v>0.967345207803223</v>
      </c>
      <c r="AL178" s="129">
        <v>0.972617308478934</v>
      </c>
      <c r="AM178" s="128">
        <v>0.99</v>
      </c>
      <c r="AN178" s="133">
        <v>1</v>
      </c>
      <c r="AO178" s="133">
        <v>1</v>
      </c>
      <c r="AP178" s="133">
        <v>1</v>
      </c>
      <c r="AQ178" s="133">
        <v>1</v>
      </c>
      <c r="AR178" s="135">
        <v>0.105261498981944</v>
      </c>
      <c r="AS178" s="137">
        <v>0</v>
      </c>
      <c r="AT178" s="137">
        <v>0.0714285714285714</v>
      </c>
      <c r="AU178" s="137">
        <v>0</v>
      </c>
      <c r="AV178" s="137">
        <v>0.0925925925925926</v>
      </c>
      <c r="AW178" s="93"/>
      <c r="AX178" s="91"/>
    </row>
    <row r="179" ht="14.5" spans="1:50">
      <c r="A179" s="89"/>
      <c r="B179" s="93"/>
      <c r="C179" s="148" t="s">
        <v>96</v>
      </c>
      <c r="D179" s="126" t="s">
        <v>97</v>
      </c>
      <c r="E179" s="149" t="s">
        <v>197</v>
      </c>
      <c r="F179" s="149" t="s">
        <v>197</v>
      </c>
      <c r="G179" s="149" t="s">
        <v>197</v>
      </c>
      <c r="H179" s="149" t="s">
        <v>197</v>
      </c>
      <c r="I179" s="128">
        <v>0.9</v>
      </c>
      <c r="J179" s="129">
        <v>0.936708860759494</v>
      </c>
      <c r="K179" s="129">
        <v>0.92</v>
      </c>
      <c r="L179" s="130">
        <v>0.871428571428571</v>
      </c>
      <c r="M179" s="129">
        <v>0.923509561304837</v>
      </c>
      <c r="N179" s="131">
        <v>0.9</v>
      </c>
      <c r="O179" s="129">
        <v>0.952056432329029</v>
      </c>
      <c r="P179" s="129">
        <v>0.892945239269857</v>
      </c>
      <c r="Q179" s="129">
        <v>0.933587370713119</v>
      </c>
      <c r="R179" s="129">
        <v>0.924258695404985</v>
      </c>
      <c r="S179" s="131">
        <v>0.9</v>
      </c>
      <c r="T179" s="129">
        <v>0.890243902439024</v>
      </c>
      <c r="U179" s="129">
        <v>0.919750041111659</v>
      </c>
      <c r="V179" s="129">
        <v>0.878787878787879</v>
      </c>
      <c r="W179" s="129">
        <v>0.902843931220073</v>
      </c>
      <c r="X179" s="131">
        <v>0.92</v>
      </c>
      <c r="Y179" s="131">
        <v>0.922130050842922</v>
      </c>
      <c r="Z179" s="131">
        <v>0.931318681318681</v>
      </c>
      <c r="AA179" s="131">
        <v>0.908602150537634</v>
      </c>
      <c r="AB179" s="131">
        <v>0.922286989389316</v>
      </c>
      <c r="AC179" s="131">
        <v>0.92</v>
      </c>
      <c r="AD179" s="129">
        <v>0.997669157468979</v>
      </c>
      <c r="AE179" s="129">
        <v>0.996433487673633</v>
      </c>
      <c r="AF179" s="129">
        <v>0.992611270744151</v>
      </c>
      <c r="AG179" s="129">
        <v>0.979033632852864</v>
      </c>
      <c r="AH179" s="131">
        <v>0.92</v>
      </c>
      <c r="AI179" s="129">
        <v>0.954797124204611</v>
      </c>
      <c r="AJ179" s="129">
        <v>0.959681893841317</v>
      </c>
      <c r="AK179" s="129">
        <v>0.961308281141267</v>
      </c>
      <c r="AL179" s="129">
        <v>0.958322839571367</v>
      </c>
      <c r="AM179" s="128">
        <v>0.99</v>
      </c>
      <c r="AN179" s="133">
        <v>1</v>
      </c>
      <c r="AO179" s="133">
        <v>1</v>
      </c>
      <c r="AP179" s="133">
        <v>1</v>
      </c>
      <c r="AQ179" s="133">
        <v>1</v>
      </c>
      <c r="AR179" s="135">
        <v>0.105261498981944</v>
      </c>
      <c r="AS179" s="137">
        <v>0</v>
      </c>
      <c r="AT179" s="137">
        <v>0.162162162162162</v>
      </c>
      <c r="AU179" s="137">
        <v>0</v>
      </c>
      <c r="AV179" s="137">
        <v>0.133333333333333</v>
      </c>
      <c r="AW179" s="93"/>
      <c r="AX179" s="91"/>
    </row>
    <row r="180" ht="14.5" spans="1:50">
      <c r="A180" s="89"/>
      <c r="B180" s="93"/>
      <c r="C180" s="148" t="s">
        <v>96</v>
      </c>
      <c r="D180" s="126" t="s">
        <v>97</v>
      </c>
      <c r="E180" s="149" t="s">
        <v>198</v>
      </c>
      <c r="F180" s="149" t="s">
        <v>198</v>
      </c>
      <c r="G180" s="149" t="s">
        <v>198</v>
      </c>
      <c r="H180" s="149" t="s">
        <v>198</v>
      </c>
      <c r="I180" s="128">
        <v>0.9</v>
      </c>
      <c r="J180" s="129" t="s">
        <v>33</v>
      </c>
      <c r="K180" s="129" t="s">
        <v>33</v>
      </c>
      <c r="L180" s="130" t="s">
        <v>33</v>
      </c>
      <c r="M180" s="129">
        <v>0.833040421792619</v>
      </c>
      <c r="N180" s="131">
        <v>0.9</v>
      </c>
      <c r="O180" s="129">
        <v>0.933884297520661</v>
      </c>
      <c r="P180" s="129">
        <v>0.966942148760331</v>
      </c>
      <c r="Q180" s="129">
        <v>0.847328244274809</v>
      </c>
      <c r="R180" s="129">
        <v>0.7681253212022</v>
      </c>
      <c r="S180" s="131">
        <v>0.9</v>
      </c>
      <c r="T180" s="129">
        <v>0.966942148760331</v>
      </c>
      <c r="U180" s="129">
        <v>0.975206611570248</v>
      </c>
      <c r="V180" s="129">
        <v>0.961832061068702</v>
      </c>
      <c r="W180" s="129">
        <v>0.837238517616156</v>
      </c>
      <c r="X180" s="131">
        <v>0.92</v>
      </c>
      <c r="Y180" s="131">
        <v>0.942857142857143</v>
      </c>
      <c r="Z180" s="131">
        <v>0.897959183673469</v>
      </c>
      <c r="AA180" s="131">
        <v>1</v>
      </c>
      <c r="AB180" s="131">
        <v>0.948345388209691</v>
      </c>
      <c r="AC180" s="131">
        <v>0.92</v>
      </c>
      <c r="AD180" s="129" t="s">
        <v>33</v>
      </c>
      <c r="AE180" s="129">
        <v>0.959459459459459</v>
      </c>
      <c r="AF180" s="129" t="s">
        <v>33</v>
      </c>
      <c r="AG180" s="129">
        <v>0.913260688556638</v>
      </c>
      <c r="AH180" s="131">
        <v>0.92</v>
      </c>
      <c r="AI180" s="129">
        <v>0.968354430379747</v>
      </c>
      <c r="AJ180" s="129">
        <v>0.959302325581395</v>
      </c>
      <c r="AK180" s="129">
        <v>0.974683544303797</v>
      </c>
      <c r="AL180" s="129">
        <v>0.964120768874589</v>
      </c>
      <c r="AM180" s="128">
        <v>0.99</v>
      </c>
      <c r="AN180" s="133">
        <v>1</v>
      </c>
      <c r="AO180" s="133" t="s">
        <v>33</v>
      </c>
      <c r="AP180" s="133" t="s">
        <v>33</v>
      </c>
      <c r="AQ180" s="133">
        <v>1</v>
      </c>
      <c r="AR180" s="135">
        <v>0.105261498981944</v>
      </c>
      <c r="AS180" s="137">
        <v>0</v>
      </c>
      <c r="AT180" s="137">
        <v>0</v>
      </c>
      <c r="AU180" s="137" t="s">
        <v>33</v>
      </c>
      <c r="AV180" s="137">
        <v>0.0871212121212121</v>
      </c>
      <c r="AW180" s="93"/>
      <c r="AX180" s="91"/>
    </row>
    <row r="181" ht="14.5" spans="1:50">
      <c r="A181" s="89"/>
      <c r="B181" s="93"/>
      <c r="C181" s="148" t="s">
        <v>96</v>
      </c>
      <c r="D181" s="126" t="s">
        <v>97</v>
      </c>
      <c r="E181" s="149" t="s">
        <v>199</v>
      </c>
      <c r="F181" s="149" t="s">
        <v>199</v>
      </c>
      <c r="G181" s="149" t="s">
        <v>199</v>
      </c>
      <c r="H181" s="149" t="s">
        <v>199</v>
      </c>
      <c r="I181" s="128">
        <v>0.9</v>
      </c>
      <c r="J181" s="129">
        <v>0.983606557377049</v>
      </c>
      <c r="K181" s="129">
        <v>0.964285714285714</v>
      </c>
      <c r="L181" s="130">
        <v>0.964912280701754</v>
      </c>
      <c r="M181" s="129">
        <v>0.947916666666667</v>
      </c>
      <c r="N181" s="131">
        <v>0.9</v>
      </c>
      <c r="O181" s="129">
        <v>0.595772319319792</v>
      </c>
      <c r="P181" s="129">
        <v>0.882697947214076</v>
      </c>
      <c r="Q181" s="129">
        <v>0.924103678410678</v>
      </c>
      <c r="R181" s="129">
        <v>0.819977655277406</v>
      </c>
      <c r="S181" s="131">
        <v>0.9</v>
      </c>
      <c r="T181" s="129">
        <v>0.887931034482759</v>
      </c>
      <c r="U181" s="129">
        <v>0.914809384164223</v>
      </c>
      <c r="V181" s="129">
        <v>0.93015675927363</v>
      </c>
      <c r="W181" s="129">
        <v>0.898012301874747</v>
      </c>
      <c r="X181" s="131">
        <v>0.92</v>
      </c>
      <c r="Y181" s="131">
        <v>0.944543828264758</v>
      </c>
      <c r="Z181" s="131">
        <v>0.921779764323446</v>
      </c>
      <c r="AA181" s="131">
        <v>0.961695607763024</v>
      </c>
      <c r="AB181" s="131">
        <v>0.939141934905407</v>
      </c>
      <c r="AC181" s="131">
        <v>0.92</v>
      </c>
      <c r="AD181" s="129">
        <v>0.996560759908287</v>
      </c>
      <c r="AE181" s="129">
        <v>0.995313352949792</v>
      </c>
      <c r="AF181" s="129">
        <v>0.992987240674004</v>
      </c>
      <c r="AG181" s="129">
        <v>0.971726890920202</v>
      </c>
      <c r="AH181" s="131">
        <v>0.92</v>
      </c>
      <c r="AI181" s="129">
        <v>0.961243439644732</v>
      </c>
      <c r="AJ181" s="129">
        <v>0.953508174386921</v>
      </c>
      <c r="AK181" s="129">
        <v>0.976085663295657</v>
      </c>
      <c r="AL181" s="129">
        <v>0.962766505712677</v>
      </c>
      <c r="AM181" s="128">
        <v>0.99</v>
      </c>
      <c r="AN181" s="133">
        <v>1</v>
      </c>
      <c r="AO181" s="133">
        <v>1</v>
      </c>
      <c r="AP181" s="133">
        <v>1</v>
      </c>
      <c r="AQ181" s="133">
        <v>1</v>
      </c>
      <c r="AR181" s="135">
        <v>0.105261498981944</v>
      </c>
      <c r="AS181" s="137">
        <v>0.0588235294117647</v>
      </c>
      <c r="AT181" s="137">
        <v>0.153846153846154</v>
      </c>
      <c r="AU181" s="137">
        <v>0.0909090909090909</v>
      </c>
      <c r="AV181" s="137">
        <v>0.0756501182033097</v>
      </c>
      <c r="AW181" s="93"/>
      <c r="AX181" s="91"/>
    </row>
    <row r="182" ht="14.5" spans="1:50">
      <c r="A182" s="89"/>
      <c r="B182" s="93"/>
      <c r="C182" s="148" t="s">
        <v>96</v>
      </c>
      <c r="D182" s="126" t="s">
        <v>97</v>
      </c>
      <c r="E182" s="149" t="s">
        <v>200</v>
      </c>
      <c r="F182" s="149" t="s">
        <v>200</v>
      </c>
      <c r="G182" s="149" t="s">
        <v>200</v>
      </c>
      <c r="H182" s="149" t="s">
        <v>200</v>
      </c>
      <c r="I182" s="128">
        <v>0.9</v>
      </c>
      <c r="J182" s="129">
        <v>0.962264150943396</v>
      </c>
      <c r="K182" s="129">
        <v>0.882352941176471</v>
      </c>
      <c r="L182" s="130">
        <v>0.893617021276596</v>
      </c>
      <c r="M182" s="129">
        <v>0.926544240400668</v>
      </c>
      <c r="N182" s="131">
        <v>0.9</v>
      </c>
      <c r="O182" s="129">
        <v>0.933566433566434</v>
      </c>
      <c r="P182" s="129">
        <v>0.942519984773506</v>
      </c>
      <c r="Q182" s="129">
        <v>0.949702183984116</v>
      </c>
      <c r="R182" s="129">
        <v>0.924916711523634</v>
      </c>
      <c r="S182" s="131">
        <v>0.9</v>
      </c>
      <c r="T182" s="129">
        <v>0.903916083916084</v>
      </c>
      <c r="U182" s="129">
        <v>0.946136277122193</v>
      </c>
      <c r="V182" s="129">
        <v>0.931392014118685</v>
      </c>
      <c r="W182" s="129">
        <v>0.920159448332048</v>
      </c>
      <c r="X182" s="131">
        <v>0.92</v>
      </c>
      <c r="Y182" s="131">
        <v>0.924762179302393</v>
      </c>
      <c r="Z182" s="131">
        <v>0.954764196342637</v>
      </c>
      <c r="AA182" s="131">
        <v>0.9171388101983</v>
      </c>
      <c r="AB182" s="131">
        <v>0.949505844579341</v>
      </c>
      <c r="AC182" s="131">
        <v>0.92</v>
      </c>
      <c r="AD182" s="129">
        <v>0.994150292485376</v>
      </c>
      <c r="AE182" s="129">
        <v>0.964144084600132</v>
      </c>
      <c r="AF182" s="129">
        <v>0.964297915954903</v>
      </c>
      <c r="AG182" s="129">
        <v>0.970810458658743</v>
      </c>
      <c r="AH182" s="131">
        <v>0.92</v>
      </c>
      <c r="AI182" s="129">
        <v>0.947447730269354</v>
      </c>
      <c r="AJ182" s="129">
        <v>0.969188270293243</v>
      </c>
      <c r="AK182" s="129">
        <v>0.958634605683538</v>
      </c>
      <c r="AL182" s="129">
        <v>0.968153569948902</v>
      </c>
      <c r="AM182" s="128">
        <v>0.99</v>
      </c>
      <c r="AN182" s="133">
        <v>1</v>
      </c>
      <c r="AO182" s="133">
        <v>1</v>
      </c>
      <c r="AP182" s="133">
        <v>1</v>
      </c>
      <c r="AQ182" s="133">
        <v>1</v>
      </c>
      <c r="AR182" s="135">
        <v>0.105261498981944</v>
      </c>
      <c r="AS182" s="137">
        <v>0.1</v>
      </c>
      <c r="AT182" s="137">
        <v>0.19047619047619</v>
      </c>
      <c r="AU182" s="137">
        <v>0.117647058823529</v>
      </c>
      <c r="AV182" s="137">
        <v>0.0711297071129707</v>
      </c>
      <c r="AW182" s="93"/>
      <c r="AX182" s="91"/>
    </row>
    <row r="183" ht="14.5" spans="1:50">
      <c r="A183" s="89"/>
      <c r="B183" s="93"/>
      <c r="C183" s="148" t="s">
        <v>96</v>
      </c>
      <c r="D183" s="126" t="s">
        <v>97</v>
      </c>
      <c r="E183" s="149" t="s">
        <v>201</v>
      </c>
      <c r="F183" s="149" t="s">
        <v>201</v>
      </c>
      <c r="G183" s="149" t="s">
        <v>201</v>
      </c>
      <c r="H183" s="149" t="s">
        <v>201</v>
      </c>
      <c r="I183" s="128">
        <v>0.9</v>
      </c>
      <c r="J183" s="129">
        <v>0.978723404255319</v>
      </c>
      <c r="K183" s="129">
        <v>0.978260869565217</v>
      </c>
      <c r="L183" s="130">
        <v>0.976744186046512</v>
      </c>
      <c r="M183" s="129">
        <v>0.977011494252874</v>
      </c>
      <c r="N183" s="131">
        <v>0.9</v>
      </c>
      <c r="O183" s="129">
        <v>0.912252193695158</v>
      </c>
      <c r="P183" s="129">
        <v>0.941107461285781</v>
      </c>
      <c r="Q183" s="129">
        <v>0.930191082802548</v>
      </c>
      <c r="R183" s="129">
        <v>0.91004363869185</v>
      </c>
      <c r="S183" s="131">
        <v>0.9</v>
      </c>
      <c r="T183" s="129">
        <v>0.911277218069548</v>
      </c>
      <c r="U183" s="129">
        <v>0.946269357109338</v>
      </c>
      <c r="V183" s="129">
        <v>0.936815286624204</v>
      </c>
      <c r="W183" s="129">
        <v>0.916109248369867</v>
      </c>
      <c r="X183" s="131">
        <v>0.92</v>
      </c>
      <c r="Y183" s="131">
        <v>0.952151335311573</v>
      </c>
      <c r="Z183" s="131">
        <v>0.961715992397502</v>
      </c>
      <c r="AA183" s="131">
        <v>0.96013018714402</v>
      </c>
      <c r="AB183" s="131">
        <v>0.957530010913059</v>
      </c>
      <c r="AC183" s="131">
        <v>0.92</v>
      </c>
      <c r="AD183" s="129">
        <v>0.98483699772555</v>
      </c>
      <c r="AE183" s="129">
        <v>0.974946591571179</v>
      </c>
      <c r="AF183" s="129">
        <v>0.970023980815348</v>
      </c>
      <c r="AG183" s="129">
        <v>0.967561521252796</v>
      </c>
      <c r="AH183" s="131">
        <v>0.92</v>
      </c>
      <c r="AI183" s="129">
        <v>0.964523782623432</v>
      </c>
      <c r="AJ183" s="129">
        <v>0.973697457840423</v>
      </c>
      <c r="AK183" s="129">
        <v>0.977687233216919</v>
      </c>
      <c r="AL183" s="129">
        <v>0.972183723851185</v>
      </c>
      <c r="AM183" s="128">
        <v>0.99</v>
      </c>
      <c r="AN183" s="133">
        <v>1</v>
      </c>
      <c r="AO183" s="133">
        <v>1</v>
      </c>
      <c r="AP183" s="133">
        <v>1</v>
      </c>
      <c r="AQ183" s="133">
        <v>1</v>
      </c>
      <c r="AR183" s="135">
        <v>0.105261498981944</v>
      </c>
      <c r="AS183" s="137">
        <v>0.315789473684211</v>
      </c>
      <c r="AT183" s="137">
        <v>0.0416666666666667</v>
      </c>
      <c r="AU183" s="137">
        <v>0.0454545454545455</v>
      </c>
      <c r="AV183" s="137">
        <v>0.0867768595041322</v>
      </c>
      <c r="AW183" s="93"/>
      <c r="AX183" s="91"/>
    </row>
    <row r="184" ht="14.5" spans="1:50">
      <c r="A184" s="89"/>
      <c r="B184" s="93"/>
      <c r="C184" s="148" t="s">
        <v>96</v>
      </c>
      <c r="D184" s="126" t="s">
        <v>97</v>
      </c>
      <c r="E184" s="149" t="s">
        <v>202</v>
      </c>
      <c r="F184" s="149" t="s">
        <v>202</v>
      </c>
      <c r="G184" s="149" t="s">
        <v>202</v>
      </c>
      <c r="H184" s="149" t="s">
        <v>202</v>
      </c>
      <c r="I184" s="128">
        <v>0.9</v>
      </c>
      <c r="J184" s="129">
        <v>0.868421052631579</v>
      </c>
      <c r="K184" s="129">
        <v>0.958333333333333</v>
      </c>
      <c r="L184" s="130">
        <v>0.930555555555556</v>
      </c>
      <c r="M184" s="129">
        <v>0.933182332955832</v>
      </c>
      <c r="N184" s="131">
        <v>0.9</v>
      </c>
      <c r="O184" s="129">
        <v>0.850215141295499</v>
      </c>
      <c r="P184" s="129">
        <v>0.900149031296572</v>
      </c>
      <c r="Q184" s="129">
        <v>0.906000371540033</v>
      </c>
      <c r="R184" s="129">
        <v>0.891950408224977</v>
      </c>
      <c r="S184" s="131">
        <v>0.9</v>
      </c>
      <c r="T184" s="129">
        <v>0.858123037562507</v>
      </c>
      <c r="U184" s="129">
        <v>0.879615830435503</v>
      </c>
      <c r="V184" s="129">
        <v>0.921419282927735</v>
      </c>
      <c r="W184" s="129">
        <v>0.890003023888721</v>
      </c>
      <c r="X184" s="131">
        <v>0.92</v>
      </c>
      <c r="Y184" s="131">
        <v>0.926652892561983</v>
      </c>
      <c r="Z184" s="131">
        <v>0.913985148514851</v>
      </c>
      <c r="AA184" s="131">
        <v>0.911514463981849</v>
      </c>
      <c r="AB184" s="131">
        <v>0.926377606789978</v>
      </c>
      <c r="AC184" s="131">
        <v>0.92</v>
      </c>
      <c r="AD184" s="129">
        <v>0.991466252909232</v>
      </c>
      <c r="AE184" s="129">
        <v>0.945682451253482</v>
      </c>
      <c r="AF184" s="129">
        <v>0.968796433878158</v>
      </c>
      <c r="AG184" s="129">
        <v>0.962909632571996</v>
      </c>
      <c r="AH184" s="131">
        <v>0.92</v>
      </c>
      <c r="AI184" s="129">
        <v>0.948047783211737</v>
      </c>
      <c r="AJ184" s="129">
        <v>0.933590520804629</v>
      </c>
      <c r="AK184" s="129">
        <v>0.952987267384917</v>
      </c>
      <c r="AL184" s="129">
        <v>0.952452375061851</v>
      </c>
      <c r="AM184" s="128">
        <v>0.99</v>
      </c>
      <c r="AN184" s="133">
        <v>1</v>
      </c>
      <c r="AO184" s="133">
        <v>1</v>
      </c>
      <c r="AP184" s="133">
        <v>1</v>
      </c>
      <c r="AQ184" s="133">
        <v>1</v>
      </c>
      <c r="AR184" s="135">
        <v>0.105261498981944</v>
      </c>
      <c r="AS184" s="137">
        <v>0</v>
      </c>
      <c r="AT184" s="137">
        <v>0.225806451612903</v>
      </c>
      <c r="AU184" s="137">
        <v>0.208333333333333</v>
      </c>
      <c r="AV184" s="137">
        <v>0.114649681528662</v>
      </c>
      <c r="AW184" s="93"/>
      <c r="AX184" s="91"/>
    </row>
    <row r="185" ht="14.5" spans="1:50">
      <c r="A185" s="89"/>
      <c r="B185" s="93"/>
      <c r="C185" s="148" t="s">
        <v>96</v>
      </c>
      <c r="D185" s="126" t="s">
        <v>97</v>
      </c>
      <c r="E185" s="149" t="s">
        <v>203</v>
      </c>
      <c r="F185" s="149" t="s">
        <v>203</v>
      </c>
      <c r="G185" s="149" t="s">
        <v>203</v>
      </c>
      <c r="H185" s="149" t="s">
        <v>203</v>
      </c>
      <c r="I185" s="128">
        <v>0.9</v>
      </c>
      <c r="J185" s="129">
        <v>0.928571428571429</v>
      </c>
      <c r="K185" s="129">
        <v>0.952830188679245</v>
      </c>
      <c r="L185" s="130">
        <v>0.971698113207547</v>
      </c>
      <c r="M185" s="129">
        <v>0.948553054662379</v>
      </c>
      <c r="N185" s="131">
        <v>0.9</v>
      </c>
      <c r="O185" s="129">
        <v>0.90072894686361</v>
      </c>
      <c r="P185" s="129">
        <v>0.924669867947179</v>
      </c>
      <c r="Q185" s="129">
        <v>0.927810836204197</v>
      </c>
      <c r="R185" s="129">
        <v>0.916893015377942</v>
      </c>
      <c r="S185" s="131">
        <v>0.9</v>
      </c>
      <c r="T185" s="129">
        <v>0.899577978131594</v>
      </c>
      <c r="U185" s="129">
        <v>0.918817527010804</v>
      </c>
      <c r="V185" s="129">
        <v>0.917319135609145</v>
      </c>
      <c r="W185" s="129">
        <v>0.908238404577236</v>
      </c>
      <c r="X185" s="131">
        <v>0.92</v>
      </c>
      <c r="Y185" s="131">
        <v>0.944537463373797</v>
      </c>
      <c r="Z185" s="131">
        <v>0.941404276814279</v>
      </c>
      <c r="AA185" s="131">
        <v>0.924625468164794</v>
      </c>
      <c r="AB185" s="131">
        <v>0.944777699364855</v>
      </c>
      <c r="AC185" s="131">
        <v>0.92</v>
      </c>
      <c r="AD185" s="129">
        <v>0.994272237196765</v>
      </c>
      <c r="AE185" s="129">
        <v>0.994812164579606</v>
      </c>
      <c r="AF185" s="129">
        <v>0.939716312056738</v>
      </c>
      <c r="AG185" s="129">
        <v>0.9919670581882</v>
      </c>
      <c r="AH185" s="131">
        <v>0.92</v>
      </c>
      <c r="AI185" s="129">
        <v>0.95120347231356</v>
      </c>
      <c r="AJ185" s="129">
        <v>0.959219295461758</v>
      </c>
      <c r="AK185" s="129">
        <v>0.961511382304623</v>
      </c>
      <c r="AL185" s="129">
        <v>0.964598138389688</v>
      </c>
      <c r="AM185" s="128">
        <v>0.99</v>
      </c>
      <c r="AN185" s="133">
        <v>1</v>
      </c>
      <c r="AO185" s="133">
        <v>1</v>
      </c>
      <c r="AP185" s="133">
        <v>1</v>
      </c>
      <c r="AQ185" s="133">
        <v>1</v>
      </c>
      <c r="AR185" s="135">
        <v>0.105261498981944</v>
      </c>
      <c r="AS185" s="137">
        <v>0.0714285714285714</v>
      </c>
      <c r="AT185" s="137">
        <v>0.0625</v>
      </c>
      <c r="AU185" s="137">
        <v>0.125</v>
      </c>
      <c r="AV185" s="137">
        <v>0.0857142857142857</v>
      </c>
      <c r="AW185" s="93"/>
      <c r="AX185" s="91"/>
    </row>
    <row r="186" ht="14.5" spans="1:50">
      <c r="A186" s="89"/>
      <c r="B186" s="93"/>
      <c r="C186" s="148" t="s">
        <v>96</v>
      </c>
      <c r="D186" s="126" t="s">
        <v>97</v>
      </c>
      <c r="E186" s="149" t="s">
        <v>204</v>
      </c>
      <c r="F186" s="149" t="s">
        <v>204</v>
      </c>
      <c r="G186" s="149" t="s">
        <v>204</v>
      </c>
      <c r="H186" s="149" t="s">
        <v>204</v>
      </c>
      <c r="I186" s="128">
        <v>0.9</v>
      </c>
      <c r="J186" s="129" t="s">
        <v>33</v>
      </c>
      <c r="K186" s="129" t="s">
        <v>33</v>
      </c>
      <c r="L186" s="130" t="s">
        <v>33</v>
      </c>
      <c r="M186" s="129">
        <v>0.862745098039216</v>
      </c>
      <c r="N186" s="131">
        <v>0.9</v>
      </c>
      <c r="O186" s="129">
        <v>0</v>
      </c>
      <c r="P186" s="129">
        <v>0.96</v>
      </c>
      <c r="Q186" s="129">
        <v>0.944444444444444</v>
      </c>
      <c r="R186" s="129">
        <v>0.672879967226547</v>
      </c>
      <c r="S186" s="131">
        <v>0.9</v>
      </c>
      <c r="T186" s="129">
        <v>1</v>
      </c>
      <c r="U186" s="129">
        <v>1</v>
      </c>
      <c r="V186" s="129">
        <v>1</v>
      </c>
      <c r="W186" s="129">
        <v>0.8553871364195</v>
      </c>
      <c r="X186" s="131">
        <v>0.92</v>
      </c>
      <c r="Y186" s="131">
        <v>1</v>
      </c>
      <c r="Z186" s="131">
        <v>1</v>
      </c>
      <c r="AA186" s="131">
        <v>1</v>
      </c>
      <c r="AB186" s="131">
        <v>0.97164667393675</v>
      </c>
      <c r="AC186" s="131">
        <v>0.92</v>
      </c>
      <c r="AD186" s="129" t="s">
        <v>33</v>
      </c>
      <c r="AE186" s="129" t="s">
        <v>33</v>
      </c>
      <c r="AF186" s="129" t="s">
        <v>33</v>
      </c>
      <c r="AG186" s="129">
        <v>0.960739030023095</v>
      </c>
      <c r="AH186" s="131">
        <v>0.92</v>
      </c>
      <c r="AI186" s="129">
        <v>1</v>
      </c>
      <c r="AJ186" s="129">
        <v>1</v>
      </c>
      <c r="AK186" s="129">
        <v>1</v>
      </c>
      <c r="AL186" s="129">
        <v>0.983672411558896</v>
      </c>
      <c r="AM186" s="128">
        <v>0.99</v>
      </c>
      <c r="AN186" s="133" t="s">
        <v>33</v>
      </c>
      <c r="AO186" s="133" t="s">
        <v>33</v>
      </c>
      <c r="AP186" s="133" t="s">
        <v>33</v>
      </c>
      <c r="AQ186" s="133">
        <v>1</v>
      </c>
      <c r="AR186" s="135">
        <v>0.105261498981944</v>
      </c>
      <c r="AS186" s="137" t="s">
        <v>33</v>
      </c>
      <c r="AT186" s="137" t="s">
        <v>33</v>
      </c>
      <c r="AU186" s="137" t="s">
        <v>33</v>
      </c>
      <c r="AV186" s="137">
        <v>0.391304347826087</v>
      </c>
      <c r="AW186" s="93"/>
      <c r="AX186" s="91"/>
    </row>
    <row r="187" ht="14.5" spans="1:50">
      <c r="A187" s="89"/>
      <c r="B187" s="93"/>
      <c r="C187" s="148" t="s">
        <v>96</v>
      </c>
      <c r="D187" s="126" t="s">
        <v>97</v>
      </c>
      <c r="E187" s="149" t="s">
        <v>205</v>
      </c>
      <c r="F187" s="149" t="s">
        <v>205</v>
      </c>
      <c r="G187" s="149" t="s">
        <v>205</v>
      </c>
      <c r="H187" s="149" t="s">
        <v>205</v>
      </c>
      <c r="I187" s="128">
        <v>0.9</v>
      </c>
      <c r="J187" s="129" t="s">
        <v>33</v>
      </c>
      <c r="K187" s="129" t="s">
        <v>33</v>
      </c>
      <c r="L187" s="130" t="s">
        <v>33</v>
      </c>
      <c r="M187" s="129" t="s">
        <v>33</v>
      </c>
      <c r="N187" s="131">
        <v>0.9</v>
      </c>
      <c r="O187" s="129" t="s">
        <v>33</v>
      </c>
      <c r="P187" s="129" t="s">
        <v>33</v>
      </c>
      <c r="Q187" s="129" t="s">
        <v>33</v>
      </c>
      <c r="R187" s="129" t="s">
        <v>33</v>
      </c>
      <c r="S187" s="131">
        <v>0.9</v>
      </c>
      <c r="T187" s="129" t="s">
        <v>33</v>
      </c>
      <c r="U187" s="129" t="s">
        <v>33</v>
      </c>
      <c r="V187" s="129" t="s">
        <v>33</v>
      </c>
      <c r="W187" s="129" t="s">
        <v>33</v>
      </c>
      <c r="X187" s="131">
        <v>0.92</v>
      </c>
      <c r="Y187" s="131" t="s">
        <v>33</v>
      </c>
      <c r="Z187" s="131" t="s">
        <v>33</v>
      </c>
      <c r="AA187" s="131" t="s">
        <v>33</v>
      </c>
      <c r="AB187" s="131" t="s">
        <v>33</v>
      </c>
      <c r="AC187" s="131">
        <v>0.92</v>
      </c>
      <c r="AD187" s="129">
        <v>0.333333333333333</v>
      </c>
      <c r="AE187" s="129">
        <v>1</v>
      </c>
      <c r="AF187" s="129">
        <v>0.5</v>
      </c>
      <c r="AG187" s="129">
        <v>0.52</v>
      </c>
      <c r="AH187" s="131">
        <v>0.92</v>
      </c>
      <c r="AI187" s="129" t="s">
        <v>33</v>
      </c>
      <c r="AJ187" s="129" t="s">
        <v>33</v>
      </c>
      <c r="AK187" s="129" t="s">
        <v>33</v>
      </c>
      <c r="AL187" s="129" t="s">
        <v>33</v>
      </c>
      <c r="AM187" s="128">
        <v>0.99</v>
      </c>
      <c r="AN187" s="133" t="s">
        <v>33</v>
      </c>
      <c r="AO187" s="133" t="s">
        <v>33</v>
      </c>
      <c r="AP187" s="133" t="s">
        <v>33</v>
      </c>
      <c r="AQ187" s="133" t="s">
        <v>33</v>
      </c>
      <c r="AR187" s="135">
        <v>0.105261498981944</v>
      </c>
      <c r="AS187" s="137" t="s">
        <v>33</v>
      </c>
      <c r="AT187" s="137" t="s">
        <v>33</v>
      </c>
      <c r="AU187" s="137" t="s">
        <v>33</v>
      </c>
      <c r="AV187" s="137" t="s">
        <v>33</v>
      </c>
      <c r="AW187" s="93"/>
      <c r="AX187" s="91"/>
    </row>
    <row r="188" ht="14.5" spans="1:50">
      <c r="A188" s="89"/>
      <c r="B188" s="93"/>
      <c r="C188" s="150"/>
      <c r="D188" s="151"/>
      <c r="E188" s="151"/>
      <c r="F188" s="151"/>
      <c r="G188" s="151"/>
      <c r="H188" s="151"/>
      <c r="I188" s="142"/>
      <c r="J188" s="143"/>
      <c r="K188" s="143"/>
      <c r="L188" s="130"/>
      <c r="M188" s="143"/>
      <c r="N188" s="146"/>
      <c r="O188" s="143"/>
      <c r="P188" s="143"/>
      <c r="Q188" s="129"/>
      <c r="R188" s="143"/>
      <c r="S188" s="146"/>
      <c r="T188" s="143"/>
      <c r="U188" s="143"/>
      <c r="V188" s="129"/>
      <c r="W188" s="143"/>
      <c r="X188" s="146"/>
      <c r="Y188" s="146"/>
      <c r="Z188" s="146"/>
      <c r="AA188" s="131"/>
      <c r="AB188" s="146"/>
      <c r="AC188" s="146"/>
      <c r="AD188" s="143"/>
      <c r="AE188" s="143"/>
      <c r="AF188" s="129"/>
      <c r="AG188" s="143"/>
      <c r="AH188" s="146"/>
      <c r="AI188" s="143"/>
      <c r="AJ188" s="143"/>
      <c r="AK188" s="129"/>
      <c r="AL188" s="143"/>
      <c r="AM188" s="142"/>
      <c r="AN188" s="142"/>
      <c r="AO188" s="142"/>
      <c r="AP188" s="133"/>
      <c r="AQ188" s="142"/>
      <c r="AR188" s="143"/>
      <c r="AS188" s="142"/>
      <c r="AT188" s="142"/>
      <c r="AU188" s="137"/>
      <c r="AV188" s="142"/>
      <c r="AW188" s="93"/>
      <c r="AX188" s="91"/>
    </row>
    <row r="189" ht="14.5" spans="1:50">
      <c r="A189" s="89"/>
      <c r="B189" s="93"/>
      <c r="C189" s="148" t="s">
        <v>206</v>
      </c>
      <c r="D189" s="126" t="s">
        <v>207</v>
      </c>
      <c r="E189" s="152" t="s">
        <v>208</v>
      </c>
      <c r="F189" s="152" t="s">
        <v>208</v>
      </c>
      <c r="G189" s="152" t="s">
        <v>208</v>
      </c>
      <c r="H189" s="152" t="s">
        <v>208</v>
      </c>
      <c r="I189" s="128">
        <v>0.9</v>
      </c>
      <c r="J189" s="129" t="s">
        <v>33</v>
      </c>
      <c r="K189" s="129" t="s">
        <v>33</v>
      </c>
      <c r="L189" s="130" t="s">
        <v>33</v>
      </c>
      <c r="M189" s="129" t="s">
        <v>33</v>
      </c>
      <c r="N189" s="131">
        <v>0.9</v>
      </c>
      <c r="O189" s="129">
        <v>0</v>
      </c>
      <c r="P189" s="129">
        <v>0</v>
      </c>
      <c r="Q189" s="129" t="s">
        <v>33</v>
      </c>
      <c r="R189" s="129">
        <v>0</v>
      </c>
      <c r="S189" s="131">
        <v>0.9</v>
      </c>
      <c r="T189" s="129">
        <v>1</v>
      </c>
      <c r="U189" s="129">
        <v>0.5</v>
      </c>
      <c r="V189" s="129" t="s">
        <v>33</v>
      </c>
      <c r="W189" s="129">
        <v>0.666666666666667</v>
      </c>
      <c r="X189" s="131">
        <v>0.92</v>
      </c>
      <c r="Y189" s="131">
        <v>0</v>
      </c>
      <c r="Z189" s="131" t="s">
        <v>33</v>
      </c>
      <c r="AA189" s="131" t="s">
        <v>33</v>
      </c>
      <c r="AB189" s="131">
        <v>0.5</v>
      </c>
      <c r="AC189" s="131">
        <v>0.92</v>
      </c>
      <c r="AD189" s="129">
        <v>0.994428969359331</v>
      </c>
      <c r="AE189" s="129">
        <v>0.998978549540347</v>
      </c>
      <c r="AF189" s="129">
        <v>0.998493975903614</v>
      </c>
      <c r="AG189" s="129">
        <v>0.995194040610357</v>
      </c>
      <c r="AH189" s="131">
        <v>0.92</v>
      </c>
      <c r="AI189" s="129">
        <v>0.5</v>
      </c>
      <c r="AJ189" s="129">
        <v>0.666666666666667</v>
      </c>
      <c r="AK189" s="129" t="s">
        <v>33</v>
      </c>
      <c r="AL189" s="129">
        <v>0.666666666666667</v>
      </c>
      <c r="AM189" s="128">
        <v>0.99</v>
      </c>
      <c r="AN189" s="133">
        <v>1</v>
      </c>
      <c r="AO189" s="133">
        <v>1</v>
      </c>
      <c r="AP189" s="133">
        <v>1</v>
      </c>
      <c r="AQ189" s="133">
        <v>1</v>
      </c>
      <c r="AR189" s="153">
        <v>0.0719793575775068</v>
      </c>
      <c r="AS189" s="137" t="s">
        <v>33</v>
      </c>
      <c r="AT189" s="137" t="s">
        <v>33</v>
      </c>
      <c r="AU189" s="137" t="s">
        <v>33</v>
      </c>
      <c r="AV189" s="137" t="s">
        <v>33</v>
      </c>
      <c r="AW189" s="93"/>
      <c r="AX189" s="91"/>
    </row>
    <row r="190" ht="14.5" spans="1:50">
      <c r="A190" s="89"/>
      <c r="B190" s="93"/>
      <c r="C190" s="148" t="s">
        <v>206</v>
      </c>
      <c r="D190" s="126" t="s">
        <v>207</v>
      </c>
      <c r="E190" s="152" t="s">
        <v>209</v>
      </c>
      <c r="F190" s="152" t="s">
        <v>209</v>
      </c>
      <c r="G190" s="152" t="s">
        <v>209</v>
      </c>
      <c r="H190" s="152" t="s">
        <v>209</v>
      </c>
      <c r="I190" s="128">
        <v>0.9</v>
      </c>
      <c r="J190" s="129">
        <v>0.96969696969697</v>
      </c>
      <c r="K190" s="129">
        <v>0.95</v>
      </c>
      <c r="L190" s="130">
        <v>0.927272727272727</v>
      </c>
      <c r="M190" s="129">
        <v>0.962861072902338</v>
      </c>
      <c r="N190" s="131">
        <v>0.9</v>
      </c>
      <c r="O190" s="129">
        <v>0.950019912385504</v>
      </c>
      <c r="P190" s="129">
        <v>0.969688982604112</v>
      </c>
      <c r="Q190" s="129">
        <v>0.958068614993647</v>
      </c>
      <c r="R190" s="129">
        <v>0.957541307581036</v>
      </c>
      <c r="S190" s="131">
        <v>0.9</v>
      </c>
      <c r="T190" s="129">
        <v>0.920549581839904</v>
      </c>
      <c r="U190" s="129">
        <v>0.930152872957301</v>
      </c>
      <c r="V190" s="129">
        <v>0.903430749682338</v>
      </c>
      <c r="W190" s="129">
        <v>0.909907707352851</v>
      </c>
      <c r="X190" s="131">
        <v>0.92</v>
      </c>
      <c r="Y190" s="131">
        <v>0.94169741697417</v>
      </c>
      <c r="Z190" s="131">
        <v>0.95974025974026</v>
      </c>
      <c r="AA190" s="131">
        <v>0.933908045977011</v>
      </c>
      <c r="AB190" s="131">
        <v>0.948432075418443</v>
      </c>
      <c r="AC190" s="131">
        <v>0.92</v>
      </c>
      <c r="AD190" s="129">
        <v>0.998303071440692</v>
      </c>
      <c r="AE190" s="129">
        <v>0.99726443768997</v>
      </c>
      <c r="AF190" s="129">
        <v>0.985473561882626</v>
      </c>
      <c r="AG190" s="129">
        <v>0.995860244606294</v>
      </c>
      <c r="AH190" s="131">
        <v>0.92</v>
      </c>
      <c r="AI190" s="129">
        <v>0.965218515645203</v>
      </c>
      <c r="AJ190" s="129">
        <v>0.971873364730508</v>
      </c>
      <c r="AK190" s="129">
        <v>0.965458982541768</v>
      </c>
      <c r="AL190" s="129">
        <v>0.96630383341221</v>
      </c>
      <c r="AM190" s="128">
        <v>0.99</v>
      </c>
      <c r="AN190" s="133">
        <v>1</v>
      </c>
      <c r="AO190" s="133">
        <v>1</v>
      </c>
      <c r="AP190" s="133">
        <v>1</v>
      </c>
      <c r="AQ190" s="133">
        <v>1</v>
      </c>
      <c r="AR190" s="153">
        <v>0.0719793575775068</v>
      </c>
      <c r="AS190" s="137">
        <v>0</v>
      </c>
      <c r="AT190" s="137">
        <v>0</v>
      </c>
      <c r="AU190" s="137">
        <v>0.137931034482759</v>
      </c>
      <c r="AV190" s="137">
        <v>0.0859375</v>
      </c>
      <c r="AW190" s="93"/>
      <c r="AX190" s="91"/>
    </row>
    <row r="191" ht="14.5" spans="1:50">
      <c r="A191" s="89"/>
      <c r="B191" s="93"/>
      <c r="C191" s="148" t="s">
        <v>206</v>
      </c>
      <c r="D191" s="126" t="s">
        <v>207</v>
      </c>
      <c r="E191" s="152" t="s">
        <v>210</v>
      </c>
      <c r="F191" s="152" t="s">
        <v>210</v>
      </c>
      <c r="G191" s="152" t="s">
        <v>210</v>
      </c>
      <c r="H191" s="152" t="s">
        <v>210</v>
      </c>
      <c r="I191" s="128">
        <v>0.9</v>
      </c>
      <c r="J191" s="129">
        <v>0.985915492957746</v>
      </c>
      <c r="K191" s="129">
        <v>1</v>
      </c>
      <c r="L191" s="130">
        <v>1</v>
      </c>
      <c r="M191" s="129">
        <v>0.989461358313817</v>
      </c>
      <c r="N191" s="131">
        <v>0.9</v>
      </c>
      <c r="O191" s="129">
        <v>0.945126353790614</v>
      </c>
      <c r="P191" s="129">
        <v>0.942546190837763</v>
      </c>
      <c r="Q191" s="129">
        <v>0.945348554772893</v>
      </c>
      <c r="R191" s="129">
        <v>0.954952782055326</v>
      </c>
      <c r="S191" s="131">
        <v>0.9</v>
      </c>
      <c r="T191" s="129">
        <v>0.917328519855596</v>
      </c>
      <c r="U191" s="129">
        <v>0.934446975449253</v>
      </c>
      <c r="V191" s="129">
        <v>0.930289045421423</v>
      </c>
      <c r="W191" s="129">
        <v>0.931111894469285</v>
      </c>
      <c r="X191" s="131">
        <v>0.92</v>
      </c>
      <c r="Y191" s="131">
        <v>0.932501599488164</v>
      </c>
      <c r="Z191" s="131">
        <v>0.965736661771904</v>
      </c>
      <c r="AA191" s="131">
        <v>0.956849315068493</v>
      </c>
      <c r="AB191" s="131">
        <v>0.960965680717304</v>
      </c>
      <c r="AC191" s="131">
        <v>0.92</v>
      </c>
      <c r="AD191" s="129">
        <v>0.996358670914884</v>
      </c>
      <c r="AE191" s="129">
        <v>0.997299382716049</v>
      </c>
      <c r="AF191" s="129">
        <v>0.997789240972734</v>
      </c>
      <c r="AG191" s="129">
        <v>0.998466766119675</v>
      </c>
      <c r="AH191" s="131">
        <v>0.92</v>
      </c>
      <c r="AI191" s="129">
        <v>0.957996768982229</v>
      </c>
      <c r="AJ191" s="129">
        <v>0.976234913524947</v>
      </c>
      <c r="AK191" s="129">
        <v>0.979562567228397</v>
      </c>
      <c r="AL191" s="129">
        <v>0.97585280890394</v>
      </c>
      <c r="AM191" s="128">
        <v>0.99</v>
      </c>
      <c r="AN191" s="133">
        <v>1</v>
      </c>
      <c r="AO191" s="133">
        <v>1</v>
      </c>
      <c r="AP191" s="133">
        <v>1</v>
      </c>
      <c r="AQ191" s="133">
        <v>1</v>
      </c>
      <c r="AR191" s="153">
        <v>0.0719793575775068</v>
      </c>
      <c r="AS191" s="137">
        <v>0.0535714285714286</v>
      </c>
      <c r="AT191" s="137">
        <v>0.1</v>
      </c>
      <c r="AU191" s="137">
        <v>0.0566037735849057</v>
      </c>
      <c r="AV191" s="137">
        <v>0.0570652173913043</v>
      </c>
      <c r="AW191" s="93"/>
      <c r="AX191" s="91"/>
    </row>
    <row r="192" ht="14.5" spans="1:50">
      <c r="A192" s="89"/>
      <c r="B192" s="93"/>
      <c r="C192" s="148" t="s">
        <v>206</v>
      </c>
      <c r="D192" s="126" t="s">
        <v>207</v>
      </c>
      <c r="E192" s="152" t="s">
        <v>211</v>
      </c>
      <c r="F192" s="152" t="s">
        <v>211</v>
      </c>
      <c r="G192" s="152" t="s">
        <v>211</v>
      </c>
      <c r="H192" s="152" t="s">
        <v>211</v>
      </c>
      <c r="I192" s="128">
        <v>0.9</v>
      </c>
      <c r="J192" s="129" t="s">
        <v>33</v>
      </c>
      <c r="K192" s="129" t="s">
        <v>33</v>
      </c>
      <c r="L192" s="130" t="s">
        <v>33</v>
      </c>
      <c r="M192" s="129" t="s">
        <v>33</v>
      </c>
      <c r="N192" s="131">
        <v>0.9</v>
      </c>
      <c r="O192" s="129">
        <v>0</v>
      </c>
      <c r="P192" s="129">
        <v>0</v>
      </c>
      <c r="Q192" s="129">
        <v>0</v>
      </c>
      <c r="R192" s="129">
        <v>0</v>
      </c>
      <c r="S192" s="131">
        <v>0.9</v>
      </c>
      <c r="T192" s="129">
        <v>0.636363636363636</v>
      </c>
      <c r="U192" s="129">
        <v>0.827586206896552</v>
      </c>
      <c r="V192" s="129">
        <v>0.5</v>
      </c>
      <c r="W192" s="129">
        <v>0.759124087591241</v>
      </c>
      <c r="X192" s="131">
        <v>0.92</v>
      </c>
      <c r="Y192" s="131">
        <v>1</v>
      </c>
      <c r="Z192" s="131">
        <v>0.5</v>
      </c>
      <c r="AA192" s="131">
        <v>0</v>
      </c>
      <c r="AB192" s="131">
        <v>0.5625</v>
      </c>
      <c r="AC192" s="131">
        <v>0.92</v>
      </c>
      <c r="AD192" s="129">
        <v>0.998273344489091</v>
      </c>
      <c r="AE192" s="129">
        <v>0.997118284373953</v>
      </c>
      <c r="AF192" s="129">
        <v>0.995681273701965</v>
      </c>
      <c r="AG192" s="129">
        <v>0.995267909974555</v>
      </c>
      <c r="AH192" s="131">
        <v>0.92</v>
      </c>
      <c r="AI192" s="129">
        <v>0.785714285714286</v>
      </c>
      <c r="AJ192" s="129">
        <v>0.810810810810811</v>
      </c>
      <c r="AK192" s="129">
        <v>0.3</v>
      </c>
      <c r="AL192" s="129">
        <v>0.802030456852792</v>
      </c>
      <c r="AM192" s="128">
        <v>0.99</v>
      </c>
      <c r="AN192" s="133">
        <v>1</v>
      </c>
      <c r="AO192" s="133">
        <v>1</v>
      </c>
      <c r="AP192" s="133">
        <v>1</v>
      </c>
      <c r="AQ192" s="133">
        <v>1</v>
      </c>
      <c r="AR192" s="153">
        <v>0.0719793575775068</v>
      </c>
      <c r="AS192" s="137" t="s">
        <v>33</v>
      </c>
      <c r="AT192" s="137" t="s">
        <v>33</v>
      </c>
      <c r="AU192" s="137" t="s">
        <v>33</v>
      </c>
      <c r="AV192" s="137" t="s">
        <v>33</v>
      </c>
      <c r="AW192" s="93"/>
      <c r="AX192" s="91"/>
    </row>
    <row r="193" s="83" customFormat="1" ht="14.5" spans="1:50">
      <c r="A193" s="89"/>
      <c r="C193" s="148" t="s">
        <v>206</v>
      </c>
      <c r="D193" s="126" t="s">
        <v>207</v>
      </c>
      <c r="E193" s="152" t="s">
        <v>212</v>
      </c>
      <c r="F193" s="152" t="s">
        <v>212</v>
      </c>
      <c r="G193" s="152" t="s">
        <v>212</v>
      </c>
      <c r="H193" s="152" t="s">
        <v>212</v>
      </c>
      <c r="I193" s="128">
        <v>0.9</v>
      </c>
      <c r="J193" s="129">
        <v>0.946564885496183</v>
      </c>
      <c r="K193" s="129">
        <v>0.940677966101695</v>
      </c>
      <c r="L193" s="130">
        <v>0.947916666666667</v>
      </c>
      <c r="M193" s="129">
        <v>0.939680232558139</v>
      </c>
      <c r="N193" s="131">
        <v>0.9</v>
      </c>
      <c r="O193" s="129">
        <v>0.991744173894869</v>
      </c>
      <c r="P193" s="129">
        <v>0.98839513161619</v>
      </c>
      <c r="Q193" s="129">
        <v>0.989099446587288</v>
      </c>
      <c r="R193" s="129">
        <v>0.989573140235284</v>
      </c>
      <c r="S193" s="131">
        <v>0.9</v>
      </c>
      <c r="T193" s="129">
        <v>0.916501201797471</v>
      </c>
      <c r="U193" s="129">
        <v>0.935465609963204</v>
      </c>
      <c r="V193" s="129">
        <v>0.929565654871709</v>
      </c>
      <c r="W193" s="129">
        <v>0.927979646421815</v>
      </c>
      <c r="X193" s="131">
        <v>0.92</v>
      </c>
      <c r="Y193" s="131">
        <v>0.963773188659433</v>
      </c>
      <c r="Z193" s="131">
        <v>0.967798202066282</v>
      </c>
      <c r="AA193" s="131">
        <v>0.960186361711139</v>
      </c>
      <c r="AB193" s="131">
        <v>0.966106534557343</v>
      </c>
      <c r="AC193" s="131">
        <v>0.92</v>
      </c>
      <c r="AD193" s="129">
        <v>0.996504906573464</v>
      </c>
      <c r="AE193" s="129">
        <v>0.994669277632724</v>
      </c>
      <c r="AF193" s="129">
        <v>0.996919630355643</v>
      </c>
      <c r="AG193" s="129">
        <v>0.974401769136086</v>
      </c>
      <c r="AH193" s="131">
        <v>0.92</v>
      </c>
      <c r="AI193" s="129">
        <v>0.975922533368228</v>
      </c>
      <c r="AJ193" s="129">
        <v>0.978510916729802</v>
      </c>
      <c r="AK193" s="129">
        <v>0.97993993993994</v>
      </c>
      <c r="AL193" s="129">
        <v>0.978825693055864</v>
      </c>
      <c r="AM193" s="128">
        <v>0.99</v>
      </c>
      <c r="AN193" s="133">
        <v>1</v>
      </c>
      <c r="AO193" s="133">
        <v>1</v>
      </c>
      <c r="AP193" s="133">
        <v>1</v>
      </c>
      <c r="AQ193" s="133">
        <v>1</v>
      </c>
      <c r="AR193" s="153">
        <v>0.0719793575775068</v>
      </c>
      <c r="AS193" s="137">
        <v>0.0769230769230769</v>
      </c>
      <c r="AT193" s="137">
        <v>0.0434782608695652</v>
      </c>
      <c r="AU193" s="137">
        <v>0.205128205128205</v>
      </c>
      <c r="AV193" s="137">
        <v>0.070298769771529</v>
      </c>
      <c r="AW193" s="86"/>
      <c r="AX193" s="91"/>
    </row>
    <row r="194" ht="14.5" spans="1:50">
      <c r="A194" s="89"/>
      <c r="B194" s="93"/>
      <c r="C194" s="148" t="s">
        <v>206</v>
      </c>
      <c r="D194" s="126" t="s">
        <v>207</v>
      </c>
      <c r="E194" s="152" t="s">
        <v>213</v>
      </c>
      <c r="F194" s="152" t="s">
        <v>213</v>
      </c>
      <c r="G194" s="152" t="s">
        <v>213</v>
      </c>
      <c r="H194" s="152" t="s">
        <v>213</v>
      </c>
      <c r="I194" s="128">
        <v>0.9</v>
      </c>
      <c r="J194" s="129">
        <v>0.905882352941176</v>
      </c>
      <c r="K194" s="129">
        <v>0.883116883116883</v>
      </c>
      <c r="L194" s="130">
        <v>0.905405405405405</v>
      </c>
      <c r="M194" s="129">
        <v>0.88364434687157</v>
      </c>
      <c r="N194" s="131">
        <v>0.9</v>
      </c>
      <c r="O194" s="129">
        <v>0.867205366671749</v>
      </c>
      <c r="P194" s="129">
        <v>0.902597402597403</v>
      </c>
      <c r="Q194" s="129">
        <v>0.893617021276596</v>
      </c>
      <c r="R194" s="129">
        <v>0.924185833169517</v>
      </c>
      <c r="S194" s="131">
        <v>0.9</v>
      </c>
      <c r="T194" s="129">
        <v>0.914163744473243</v>
      </c>
      <c r="U194" s="129">
        <v>0.914163961038961</v>
      </c>
      <c r="V194" s="129">
        <v>0.923829787234043</v>
      </c>
      <c r="W194" s="129">
        <v>0.915995019985584</v>
      </c>
      <c r="X194" s="131">
        <v>0.92</v>
      </c>
      <c r="Y194" s="131">
        <v>0.943678849610545</v>
      </c>
      <c r="Z194" s="131">
        <v>0.931041580897489</v>
      </c>
      <c r="AA194" s="131">
        <v>0.916870415647922</v>
      </c>
      <c r="AB194" s="131">
        <v>0.928955892159665</v>
      </c>
      <c r="AC194" s="131">
        <v>0.92</v>
      </c>
      <c r="AD194" s="129">
        <v>0.979513444302177</v>
      </c>
      <c r="AE194" s="129">
        <v>0.976600985221675</v>
      </c>
      <c r="AF194" s="129">
        <v>0.965217391304348</v>
      </c>
      <c r="AG194" s="129">
        <v>0.980398979355138</v>
      </c>
      <c r="AH194" s="131">
        <v>0.92</v>
      </c>
      <c r="AI194" s="129">
        <v>0.963221178134788</v>
      </c>
      <c r="AJ194" s="129">
        <v>0.952794523347297</v>
      </c>
      <c r="AK194" s="129">
        <v>0.963541666666667</v>
      </c>
      <c r="AL194" s="129">
        <v>0.955696386804996</v>
      </c>
      <c r="AM194" s="128">
        <v>0.99</v>
      </c>
      <c r="AN194" s="133">
        <v>1</v>
      </c>
      <c r="AO194" s="133">
        <v>1</v>
      </c>
      <c r="AP194" s="133">
        <v>1</v>
      </c>
      <c r="AQ194" s="133">
        <v>1</v>
      </c>
      <c r="AR194" s="153">
        <v>0.0719793575775068</v>
      </c>
      <c r="AS194" s="137">
        <v>0.0526315789473684</v>
      </c>
      <c r="AT194" s="137">
        <v>0.0625</v>
      </c>
      <c r="AU194" s="137">
        <v>0.2</v>
      </c>
      <c r="AV194" s="137">
        <v>0.0795631825273011</v>
      </c>
      <c r="AW194" s="93"/>
      <c r="AX194" s="91"/>
    </row>
    <row r="195" ht="14.5" spans="1:50">
      <c r="A195" s="89"/>
      <c r="B195" s="93"/>
      <c r="C195" s="148" t="s">
        <v>206</v>
      </c>
      <c r="D195" s="126" t="s">
        <v>207</v>
      </c>
      <c r="E195" s="152" t="s">
        <v>214</v>
      </c>
      <c r="F195" s="152" t="s">
        <v>214</v>
      </c>
      <c r="G195" s="152" t="s">
        <v>214</v>
      </c>
      <c r="H195" s="152" t="s">
        <v>214</v>
      </c>
      <c r="I195" s="128">
        <v>0.9</v>
      </c>
      <c r="J195" s="129">
        <v>0.951219512195122</v>
      </c>
      <c r="K195" s="129">
        <v>1</v>
      </c>
      <c r="L195" s="130">
        <v>0.96969696969697</v>
      </c>
      <c r="M195" s="129">
        <v>0.947483588621444</v>
      </c>
      <c r="N195" s="131">
        <v>0.9</v>
      </c>
      <c r="O195" s="129">
        <v>0.931043807463494</v>
      </c>
      <c r="P195" s="129">
        <v>0.948013367991088</v>
      </c>
      <c r="Q195" s="129">
        <v>0.956117515805132</v>
      </c>
      <c r="R195" s="129">
        <v>0.949998566472663</v>
      </c>
      <c r="S195" s="131">
        <v>0.9</v>
      </c>
      <c r="T195" s="129">
        <v>0.908599242833964</v>
      </c>
      <c r="U195" s="129">
        <v>0.916821388785741</v>
      </c>
      <c r="V195" s="129">
        <v>0.901822238750465</v>
      </c>
      <c r="W195" s="129">
        <v>0.923048252530176</v>
      </c>
      <c r="X195" s="131">
        <v>0.92</v>
      </c>
      <c r="Y195" s="131">
        <v>0.925472747497219</v>
      </c>
      <c r="Z195" s="131">
        <v>0.940286624203822</v>
      </c>
      <c r="AA195" s="131">
        <v>0.938168846611177</v>
      </c>
      <c r="AB195" s="131">
        <v>0.945287557402143</v>
      </c>
      <c r="AC195" s="131">
        <v>0.92</v>
      </c>
      <c r="AD195" s="129">
        <v>0.978653530377668</v>
      </c>
      <c r="AE195" s="129">
        <v>0.767762460233298</v>
      </c>
      <c r="AF195" s="129">
        <v>0.867193675889328</v>
      </c>
      <c r="AG195" s="129">
        <v>0.868381240544629</v>
      </c>
      <c r="AH195" s="131">
        <v>0.92</v>
      </c>
      <c r="AI195" s="129">
        <v>0.95160996907404</v>
      </c>
      <c r="AJ195" s="129">
        <v>0.958885686839577</v>
      </c>
      <c r="AK195" s="129">
        <v>0.965155807365439</v>
      </c>
      <c r="AL195" s="129">
        <v>0.965974025974026</v>
      </c>
      <c r="AM195" s="128">
        <v>0.99</v>
      </c>
      <c r="AN195" s="133">
        <v>1</v>
      </c>
      <c r="AO195" s="133">
        <v>1</v>
      </c>
      <c r="AP195" s="133">
        <v>1</v>
      </c>
      <c r="AQ195" s="133">
        <v>1</v>
      </c>
      <c r="AR195" s="153">
        <v>0.0719793575775068</v>
      </c>
      <c r="AS195" s="137">
        <v>0.153846153846154</v>
      </c>
      <c r="AT195" s="137">
        <v>0</v>
      </c>
      <c r="AU195" s="137">
        <v>0.235294117647059</v>
      </c>
      <c r="AV195" s="137">
        <v>0.0811594202898551</v>
      </c>
      <c r="AW195" s="93"/>
      <c r="AX195" s="91"/>
    </row>
    <row r="196" ht="14.5" spans="1:50">
      <c r="A196" s="89"/>
      <c r="B196" s="93"/>
      <c r="C196" s="148" t="s">
        <v>206</v>
      </c>
      <c r="D196" s="126" t="s">
        <v>207</v>
      </c>
      <c r="E196" s="152" t="s">
        <v>215</v>
      </c>
      <c r="F196" s="152" t="s">
        <v>215</v>
      </c>
      <c r="G196" s="152" t="s">
        <v>215</v>
      </c>
      <c r="H196" s="152" t="s">
        <v>215</v>
      </c>
      <c r="I196" s="128">
        <v>0.9</v>
      </c>
      <c r="J196" s="129" t="s">
        <v>33</v>
      </c>
      <c r="K196" s="129" t="s">
        <v>33</v>
      </c>
      <c r="L196" s="130" t="s">
        <v>33</v>
      </c>
      <c r="M196" s="129" t="s">
        <v>33</v>
      </c>
      <c r="N196" s="131">
        <v>0.9</v>
      </c>
      <c r="O196" s="129">
        <v>0</v>
      </c>
      <c r="P196" s="129">
        <v>0</v>
      </c>
      <c r="Q196" s="129">
        <v>0</v>
      </c>
      <c r="R196" s="129">
        <v>0</v>
      </c>
      <c r="S196" s="131">
        <v>0.9</v>
      </c>
      <c r="T196" s="129">
        <v>1</v>
      </c>
      <c r="U196" s="129">
        <v>0.904761904761905</v>
      </c>
      <c r="V196" s="129">
        <v>0.9</v>
      </c>
      <c r="W196" s="129">
        <v>0.968152866242038</v>
      </c>
      <c r="X196" s="131">
        <v>0.92</v>
      </c>
      <c r="Y196" s="131">
        <v>1</v>
      </c>
      <c r="Z196" s="131">
        <v>0.5</v>
      </c>
      <c r="AA196" s="131">
        <v>1</v>
      </c>
      <c r="AB196" s="131">
        <v>0.962962962962963</v>
      </c>
      <c r="AC196" s="131">
        <v>0.92</v>
      </c>
      <c r="AD196" s="129">
        <v>0.99942726231386</v>
      </c>
      <c r="AE196" s="129">
        <v>0.998119560939345</v>
      </c>
      <c r="AF196" s="129">
        <v>0.998355232063522</v>
      </c>
      <c r="AG196" s="129">
        <v>0.975597853499717</v>
      </c>
      <c r="AH196" s="131">
        <v>0.92</v>
      </c>
      <c r="AI196" s="129">
        <v>1</v>
      </c>
      <c r="AJ196" s="129">
        <v>0.92</v>
      </c>
      <c r="AK196" s="129">
        <v>0.75</v>
      </c>
      <c r="AL196" s="129">
        <v>0.955102040816327</v>
      </c>
      <c r="AM196" s="128">
        <v>0.99</v>
      </c>
      <c r="AN196" s="133">
        <v>1</v>
      </c>
      <c r="AO196" s="133">
        <v>1</v>
      </c>
      <c r="AP196" s="133">
        <v>1</v>
      </c>
      <c r="AQ196" s="133">
        <v>1</v>
      </c>
      <c r="AR196" s="153">
        <v>0.0719793575775068</v>
      </c>
      <c r="AS196" s="137" t="s">
        <v>33</v>
      </c>
      <c r="AT196" s="137" t="s">
        <v>33</v>
      </c>
      <c r="AU196" s="137" t="s">
        <v>33</v>
      </c>
      <c r="AV196" s="137" t="s">
        <v>33</v>
      </c>
      <c r="AW196" s="93"/>
      <c r="AX196" s="91"/>
    </row>
    <row r="197" ht="14.5" spans="1:50">
      <c r="A197" s="89"/>
      <c r="B197" s="93"/>
      <c r="C197" s="148" t="s">
        <v>206</v>
      </c>
      <c r="D197" s="126" t="s">
        <v>207</v>
      </c>
      <c r="E197" s="152" t="s">
        <v>216</v>
      </c>
      <c r="F197" s="152" t="s">
        <v>216</v>
      </c>
      <c r="G197" s="152" t="s">
        <v>216</v>
      </c>
      <c r="H197" s="152" t="s">
        <v>216</v>
      </c>
      <c r="I197" s="128">
        <v>0.9</v>
      </c>
      <c r="J197" s="129">
        <v>0.924050632911392</v>
      </c>
      <c r="K197" s="129">
        <v>0.931506849315068</v>
      </c>
      <c r="L197" s="130">
        <v>0.880597014925373</v>
      </c>
      <c r="M197" s="129">
        <v>0.928327645051195</v>
      </c>
      <c r="N197" s="131">
        <v>0.9</v>
      </c>
      <c r="O197" s="129">
        <v>0.959671907040328</v>
      </c>
      <c r="P197" s="129">
        <v>0.96701786532295</v>
      </c>
      <c r="Q197" s="129">
        <v>0.975492341356674</v>
      </c>
      <c r="R197" s="129">
        <v>0.938167784556271</v>
      </c>
      <c r="S197" s="131">
        <v>0.9</v>
      </c>
      <c r="T197" s="129">
        <v>0.903964456596036</v>
      </c>
      <c r="U197" s="129">
        <v>0.92418689876317</v>
      </c>
      <c r="V197" s="129">
        <v>0.90328227571116</v>
      </c>
      <c r="W197" s="129">
        <v>0.908035323064478</v>
      </c>
      <c r="X197" s="131">
        <v>0.92</v>
      </c>
      <c r="Y197" s="131">
        <v>0.925444789607456</v>
      </c>
      <c r="Z197" s="131">
        <v>0.926270136307311</v>
      </c>
      <c r="AA197" s="131">
        <v>0.930164319248826</v>
      </c>
      <c r="AB197" s="131">
        <v>0.933751664672821</v>
      </c>
      <c r="AC197" s="131">
        <v>0.92</v>
      </c>
      <c r="AD197" s="129">
        <v>0.988045007032349</v>
      </c>
      <c r="AE197" s="129">
        <v>0.988966687884575</v>
      </c>
      <c r="AF197" s="129">
        <v>0.965253426840931</v>
      </c>
      <c r="AG197" s="129">
        <v>0.984989940902804</v>
      </c>
      <c r="AH197" s="131">
        <v>0.92</v>
      </c>
      <c r="AI197" s="129">
        <v>0.94806300553427</v>
      </c>
      <c r="AJ197" s="129">
        <v>0.94646541426865</v>
      </c>
      <c r="AK197" s="129">
        <v>0.957602805227925</v>
      </c>
      <c r="AL197" s="129">
        <v>0.954676571318316</v>
      </c>
      <c r="AM197" s="128">
        <v>0.99</v>
      </c>
      <c r="AN197" s="133">
        <v>1</v>
      </c>
      <c r="AO197" s="133">
        <v>1</v>
      </c>
      <c r="AP197" s="133">
        <v>1</v>
      </c>
      <c r="AQ197" s="133">
        <v>1</v>
      </c>
      <c r="AR197" s="153">
        <v>0.0719793575775068</v>
      </c>
      <c r="AS197" s="137">
        <v>0.0933333333333333</v>
      </c>
      <c r="AT197" s="137">
        <v>0.154929577464789</v>
      </c>
      <c r="AU197" s="137">
        <v>0.0461538461538462</v>
      </c>
      <c r="AV197" s="137">
        <v>0.0572390572390572</v>
      </c>
      <c r="AW197" s="93"/>
      <c r="AX197" s="91"/>
    </row>
    <row r="198" s="84" customFormat="1" ht="14.5" spans="1:50">
      <c r="A198" s="89"/>
      <c r="C198" s="148" t="s">
        <v>206</v>
      </c>
      <c r="D198" s="126" t="s">
        <v>207</v>
      </c>
      <c r="E198" s="152" t="s">
        <v>217</v>
      </c>
      <c r="F198" s="152" t="s">
        <v>217</v>
      </c>
      <c r="G198" s="152" t="s">
        <v>217</v>
      </c>
      <c r="H198" s="152" t="s">
        <v>217</v>
      </c>
      <c r="I198" s="128">
        <v>0.9</v>
      </c>
      <c r="J198" s="129">
        <v>0.976744186046512</v>
      </c>
      <c r="K198" s="129">
        <v>0.973684210526316</v>
      </c>
      <c r="L198" s="130">
        <v>0.941176470588235</v>
      </c>
      <c r="M198" s="129">
        <v>0.964059196617336</v>
      </c>
      <c r="N198" s="131">
        <v>0.9</v>
      </c>
      <c r="O198" s="129">
        <v>0.940808017538365</v>
      </c>
      <c r="P198" s="129">
        <v>0.978032036613272</v>
      </c>
      <c r="Q198" s="129">
        <v>0.973474801061008</v>
      </c>
      <c r="R198" s="129">
        <v>0.972095015319738</v>
      </c>
      <c r="S198" s="131">
        <v>0.9</v>
      </c>
      <c r="T198" s="129">
        <v>0.870341371750705</v>
      </c>
      <c r="U198" s="129">
        <v>0.924485125858124</v>
      </c>
      <c r="V198" s="129">
        <v>0.886383731211317</v>
      </c>
      <c r="W198" s="129">
        <v>0.912990478700623</v>
      </c>
      <c r="X198" s="131">
        <v>0.92</v>
      </c>
      <c r="Y198" s="131">
        <v>0.898277717976319</v>
      </c>
      <c r="Z198" s="131">
        <v>0.934757281553398</v>
      </c>
      <c r="AA198" s="131">
        <v>0.902634593356243</v>
      </c>
      <c r="AB198" s="131">
        <v>0.929281816581588</v>
      </c>
      <c r="AC198" s="131">
        <v>0.92</v>
      </c>
      <c r="AD198" s="129">
        <v>0.666666666666667</v>
      </c>
      <c r="AE198" s="129">
        <v>0.768115942028985</v>
      </c>
      <c r="AF198" s="129">
        <v>0.591836734693878</v>
      </c>
      <c r="AG198" s="129">
        <v>0.807615230460922</v>
      </c>
      <c r="AH198" s="131">
        <v>0.92</v>
      </c>
      <c r="AI198" s="129">
        <v>0.932304038004751</v>
      </c>
      <c r="AJ198" s="129">
        <v>0.951270741440874</v>
      </c>
      <c r="AK198" s="129">
        <v>0.942583732057416</v>
      </c>
      <c r="AL198" s="129">
        <v>0.953278070836473</v>
      </c>
      <c r="AM198" s="128">
        <v>0.99</v>
      </c>
      <c r="AN198" s="133">
        <v>1</v>
      </c>
      <c r="AO198" s="133">
        <v>1</v>
      </c>
      <c r="AP198" s="133">
        <v>1</v>
      </c>
      <c r="AQ198" s="133">
        <v>1</v>
      </c>
      <c r="AR198" s="153">
        <v>0.0719793575775068</v>
      </c>
      <c r="AS198" s="137">
        <v>0.0540540540540541</v>
      </c>
      <c r="AT198" s="137">
        <v>0.192307692307692</v>
      </c>
      <c r="AU198" s="137">
        <v>0.0416666666666667</v>
      </c>
      <c r="AV198" s="137">
        <v>0.0672268907563025</v>
      </c>
      <c r="AW198" s="86"/>
      <c r="AX198" s="91"/>
    </row>
    <row r="199" ht="14.5" spans="1:50">
      <c r="A199" s="89"/>
      <c r="B199" s="93"/>
      <c r="C199" s="148" t="s">
        <v>206</v>
      </c>
      <c r="D199" s="126" t="s">
        <v>207</v>
      </c>
      <c r="E199" s="152" t="s">
        <v>218</v>
      </c>
      <c r="F199" s="152" t="s">
        <v>218</v>
      </c>
      <c r="G199" s="152" t="s">
        <v>218</v>
      </c>
      <c r="H199" s="152" t="s">
        <v>218</v>
      </c>
      <c r="I199" s="128">
        <v>0.9</v>
      </c>
      <c r="J199" s="129">
        <v>1</v>
      </c>
      <c r="K199" s="129">
        <v>0.975609756097561</v>
      </c>
      <c r="L199" s="130">
        <v>0.96969696969697</v>
      </c>
      <c r="M199" s="129">
        <v>0.970982142857143</v>
      </c>
      <c r="N199" s="131">
        <v>0.9</v>
      </c>
      <c r="O199" s="129">
        <v>0.958288336933045</v>
      </c>
      <c r="P199" s="129">
        <v>0.977614820532613</v>
      </c>
      <c r="Q199" s="129">
        <v>0.97007156798959</v>
      </c>
      <c r="R199" s="129">
        <v>0.958675575605396</v>
      </c>
      <c r="S199" s="131">
        <v>0.9</v>
      </c>
      <c r="T199" s="129">
        <v>0.929805615550756</v>
      </c>
      <c r="U199" s="129">
        <v>0.946352759552296</v>
      </c>
      <c r="V199" s="129">
        <v>0.912383430926046</v>
      </c>
      <c r="W199" s="129">
        <v>0.91800371678654</v>
      </c>
      <c r="X199" s="131">
        <v>0.92</v>
      </c>
      <c r="Y199" s="131">
        <v>0.961072261072261</v>
      </c>
      <c r="Z199" s="131">
        <v>0.95750452079566</v>
      </c>
      <c r="AA199" s="131">
        <v>0.95369284876905</v>
      </c>
      <c r="AB199" s="131">
        <v>0.95206913106097</v>
      </c>
      <c r="AC199" s="131">
        <v>0.92</v>
      </c>
      <c r="AD199" s="129">
        <v>0.996503496503496</v>
      </c>
      <c r="AE199" s="129">
        <v>0.994483120977276</v>
      </c>
      <c r="AF199" s="129">
        <v>0.996980255516841</v>
      </c>
      <c r="AG199" s="129">
        <v>0.990847323670759</v>
      </c>
      <c r="AH199" s="131">
        <v>0.92</v>
      </c>
      <c r="AI199" s="129">
        <v>0.973076923076923</v>
      </c>
      <c r="AJ199" s="129">
        <v>0.97143923837969</v>
      </c>
      <c r="AK199" s="129">
        <v>0.970876859765749</v>
      </c>
      <c r="AL199" s="129">
        <v>0.969424548465517</v>
      </c>
      <c r="AM199" s="128">
        <v>0.99</v>
      </c>
      <c r="AN199" s="133">
        <v>1</v>
      </c>
      <c r="AO199" s="133">
        <v>1</v>
      </c>
      <c r="AP199" s="133">
        <v>1</v>
      </c>
      <c r="AQ199" s="133">
        <v>1</v>
      </c>
      <c r="AR199" s="153">
        <v>0.0719793575775068</v>
      </c>
      <c r="AS199" s="137">
        <v>0</v>
      </c>
      <c r="AT199" s="137">
        <v>0.0740740740740741</v>
      </c>
      <c r="AU199" s="137">
        <v>0.103448275862069</v>
      </c>
      <c r="AV199" s="137">
        <v>0.0509554140127389</v>
      </c>
      <c r="AW199" s="93"/>
      <c r="AX199" s="91"/>
    </row>
    <row r="200" ht="14.5" spans="1:50">
      <c r="A200" s="89"/>
      <c r="B200" s="93"/>
      <c r="C200" s="148" t="s">
        <v>206</v>
      </c>
      <c r="D200" s="126" t="s">
        <v>207</v>
      </c>
      <c r="E200" s="152" t="s">
        <v>219</v>
      </c>
      <c r="F200" s="152" t="s">
        <v>219</v>
      </c>
      <c r="G200" s="152" t="s">
        <v>219</v>
      </c>
      <c r="H200" s="152" t="s">
        <v>219</v>
      </c>
      <c r="I200" s="128">
        <v>0.9</v>
      </c>
      <c r="J200" s="129">
        <v>0.978494623655914</v>
      </c>
      <c r="K200" s="129">
        <v>0.964285714285714</v>
      </c>
      <c r="L200" s="130">
        <v>0.95</v>
      </c>
      <c r="M200" s="129">
        <v>0.971509971509972</v>
      </c>
      <c r="N200" s="131">
        <v>0.9</v>
      </c>
      <c r="O200" s="129">
        <v>0.964969185857931</v>
      </c>
      <c r="P200" s="129">
        <v>0.98239518183924</v>
      </c>
      <c r="Q200" s="129">
        <v>0.976956313010082</v>
      </c>
      <c r="R200" s="129">
        <v>0.980945882979432</v>
      </c>
      <c r="S200" s="131">
        <v>0.9</v>
      </c>
      <c r="T200" s="129">
        <v>0.950373013298735</v>
      </c>
      <c r="U200" s="129">
        <v>0.961084086170952</v>
      </c>
      <c r="V200" s="129">
        <v>0.959433509361498</v>
      </c>
      <c r="W200" s="129">
        <v>0.964404579644545</v>
      </c>
      <c r="X200" s="131">
        <v>0.92</v>
      </c>
      <c r="Y200" s="131">
        <v>0.960583567954953</v>
      </c>
      <c r="Z200" s="131">
        <v>0.974212034383954</v>
      </c>
      <c r="AA200" s="131">
        <v>0.961538461538462</v>
      </c>
      <c r="AB200" s="131">
        <v>0.972902520549097</v>
      </c>
      <c r="AC200" s="131">
        <v>0.92</v>
      </c>
      <c r="AD200" s="129">
        <v>0.993568418718119</v>
      </c>
      <c r="AE200" s="129">
        <v>0.995043842927945</v>
      </c>
      <c r="AF200" s="129">
        <v>0.99829238735265</v>
      </c>
      <c r="AG200" s="129">
        <v>0.994246886689711</v>
      </c>
      <c r="AH200" s="131">
        <v>0.92</v>
      </c>
      <c r="AI200" s="129">
        <v>0.971213023625174</v>
      </c>
      <c r="AJ200" s="129">
        <v>0.981203824424163</v>
      </c>
      <c r="AK200" s="129">
        <v>0.980375279738337</v>
      </c>
      <c r="AL200" s="129">
        <v>0.982736044427522</v>
      </c>
      <c r="AM200" s="128">
        <v>0.99</v>
      </c>
      <c r="AN200" s="133">
        <v>1</v>
      </c>
      <c r="AO200" s="133">
        <v>1</v>
      </c>
      <c r="AP200" s="133">
        <v>1</v>
      </c>
      <c r="AQ200" s="133">
        <v>1</v>
      </c>
      <c r="AR200" s="153">
        <v>0.0719793575775068</v>
      </c>
      <c r="AS200" s="137">
        <v>0.0392156862745098</v>
      </c>
      <c r="AT200" s="137">
        <v>0.142857142857143</v>
      </c>
      <c r="AU200" s="137">
        <v>0.1</v>
      </c>
      <c r="AV200" s="137">
        <v>0.062124248496994</v>
      </c>
      <c r="AW200" s="93"/>
      <c r="AX200" s="91"/>
    </row>
    <row r="201" ht="14.5" spans="1:50">
      <c r="A201" s="89"/>
      <c r="B201" s="93"/>
      <c r="C201" s="148" t="s">
        <v>206</v>
      </c>
      <c r="D201" s="126" t="s">
        <v>207</v>
      </c>
      <c r="E201" s="152" t="s">
        <v>220</v>
      </c>
      <c r="F201" s="152" t="s">
        <v>220</v>
      </c>
      <c r="G201" s="152" t="s">
        <v>220</v>
      </c>
      <c r="H201" s="152" t="s">
        <v>220</v>
      </c>
      <c r="I201" s="128">
        <v>0.9</v>
      </c>
      <c r="J201" s="129" t="s">
        <v>33</v>
      </c>
      <c r="K201" s="129" t="s">
        <v>33</v>
      </c>
      <c r="L201" s="130" t="s">
        <v>33</v>
      </c>
      <c r="M201" s="129" t="s">
        <v>33</v>
      </c>
      <c r="N201" s="131">
        <v>0.9</v>
      </c>
      <c r="O201" s="129" t="s">
        <v>33</v>
      </c>
      <c r="P201" s="129" t="s">
        <v>33</v>
      </c>
      <c r="Q201" s="129" t="s">
        <v>33</v>
      </c>
      <c r="R201" s="129" t="s">
        <v>33</v>
      </c>
      <c r="S201" s="131">
        <v>0.9</v>
      </c>
      <c r="T201" s="129" t="s">
        <v>33</v>
      </c>
      <c r="U201" s="129" t="s">
        <v>33</v>
      </c>
      <c r="V201" s="129" t="s">
        <v>33</v>
      </c>
      <c r="W201" s="129" t="s">
        <v>33</v>
      </c>
      <c r="X201" s="131">
        <v>0.92</v>
      </c>
      <c r="Y201" s="131" t="s">
        <v>33</v>
      </c>
      <c r="Z201" s="131" t="s">
        <v>33</v>
      </c>
      <c r="AA201" s="131" t="s">
        <v>33</v>
      </c>
      <c r="AB201" s="131" t="s">
        <v>33</v>
      </c>
      <c r="AC201" s="131">
        <v>0.92</v>
      </c>
      <c r="AD201" s="129">
        <v>0.997333333333333</v>
      </c>
      <c r="AE201" s="129">
        <v>1</v>
      </c>
      <c r="AF201" s="129">
        <v>1</v>
      </c>
      <c r="AG201" s="129">
        <v>0.998537706287863</v>
      </c>
      <c r="AH201" s="131">
        <v>0.92</v>
      </c>
      <c r="AI201" s="129" t="s">
        <v>33</v>
      </c>
      <c r="AJ201" s="129" t="s">
        <v>33</v>
      </c>
      <c r="AK201" s="129" t="s">
        <v>33</v>
      </c>
      <c r="AL201" s="129" t="s">
        <v>33</v>
      </c>
      <c r="AM201" s="128">
        <v>0.99</v>
      </c>
      <c r="AN201" s="133">
        <v>1</v>
      </c>
      <c r="AO201" s="133">
        <v>1</v>
      </c>
      <c r="AP201" s="133">
        <v>1</v>
      </c>
      <c r="AQ201" s="133">
        <v>1</v>
      </c>
      <c r="AR201" s="153">
        <v>0.0719793575775068</v>
      </c>
      <c r="AS201" s="137" t="s">
        <v>33</v>
      </c>
      <c r="AT201" s="137" t="s">
        <v>33</v>
      </c>
      <c r="AU201" s="137" t="s">
        <v>33</v>
      </c>
      <c r="AV201" s="137" t="s">
        <v>33</v>
      </c>
      <c r="AW201" s="93"/>
      <c r="AX201" s="91"/>
    </row>
    <row r="202" ht="14.5" spans="1:50">
      <c r="A202" s="89"/>
      <c r="B202" s="93"/>
      <c r="C202" s="148" t="s">
        <v>206</v>
      </c>
      <c r="D202" s="126" t="s">
        <v>207</v>
      </c>
      <c r="E202" s="152" t="s">
        <v>221</v>
      </c>
      <c r="F202" s="152" t="s">
        <v>221</v>
      </c>
      <c r="G202" s="152" t="s">
        <v>221</v>
      </c>
      <c r="H202" s="152" t="s">
        <v>221</v>
      </c>
      <c r="I202" s="128">
        <v>0.9</v>
      </c>
      <c r="J202" s="129">
        <v>0.993006993006993</v>
      </c>
      <c r="K202" s="129">
        <v>0.968992248062015</v>
      </c>
      <c r="L202" s="130">
        <v>0.972727272727273</v>
      </c>
      <c r="M202" s="129">
        <v>0.975864318330072</v>
      </c>
      <c r="N202" s="131">
        <v>0.9</v>
      </c>
      <c r="O202" s="129">
        <v>0.953056368960469</v>
      </c>
      <c r="P202" s="129">
        <v>0.965650826446281</v>
      </c>
      <c r="Q202" s="129">
        <v>0.931353591160221</v>
      </c>
      <c r="R202" s="129">
        <v>0.952383221207905</v>
      </c>
      <c r="S202" s="131">
        <v>0.9</v>
      </c>
      <c r="T202" s="129">
        <v>0.840867496339678</v>
      </c>
      <c r="U202" s="129">
        <v>0.869576446280992</v>
      </c>
      <c r="V202" s="129">
        <v>0.840745856353591</v>
      </c>
      <c r="W202" s="129">
        <v>0.851279754531074</v>
      </c>
      <c r="X202" s="131">
        <v>0.92</v>
      </c>
      <c r="Y202" s="131">
        <v>0.932051658350455</v>
      </c>
      <c r="Z202" s="131">
        <v>0.948226048769213</v>
      </c>
      <c r="AA202" s="131">
        <v>0.926408450704225</v>
      </c>
      <c r="AB202" s="131">
        <v>0.935135731085849</v>
      </c>
      <c r="AC202" s="131">
        <v>0.92</v>
      </c>
      <c r="AD202" s="129">
        <v>0.983354215142295</v>
      </c>
      <c r="AE202" s="129">
        <v>0.993122633490457</v>
      </c>
      <c r="AF202" s="129">
        <v>0.991251998871226</v>
      </c>
      <c r="AG202" s="129">
        <v>0.989526411657559</v>
      </c>
      <c r="AH202" s="131">
        <v>0.92</v>
      </c>
      <c r="AI202" s="129">
        <v>0.952845070422535</v>
      </c>
      <c r="AJ202" s="129">
        <v>0.958777974266724</v>
      </c>
      <c r="AK202" s="129">
        <v>0.952876984126984</v>
      </c>
      <c r="AL202" s="129">
        <v>0.955147098226247</v>
      </c>
      <c r="AM202" s="128">
        <v>0.99</v>
      </c>
      <c r="AN202" s="133">
        <v>1</v>
      </c>
      <c r="AO202" s="133">
        <v>1</v>
      </c>
      <c r="AP202" s="133">
        <v>1</v>
      </c>
      <c r="AQ202" s="133">
        <v>1</v>
      </c>
      <c r="AR202" s="153">
        <v>0.0719793575775068</v>
      </c>
      <c r="AS202" s="137">
        <v>0.137254901960784</v>
      </c>
      <c r="AT202" s="137">
        <v>0.05</v>
      </c>
      <c r="AU202" s="137">
        <v>0.179487179487179</v>
      </c>
      <c r="AV202" s="137">
        <v>0.0551948051948052</v>
      </c>
      <c r="AW202" s="93"/>
      <c r="AX202" s="91"/>
    </row>
    <row r="203" ht="14.5" spans="1:50">
      <c r="A203" s="89"/>
      <c r="B203" s="93"/>
      <c r="C203" s="148" t="s">
        <v>206</v>
      </c>
      <c r="D203" s="126" t="s">
        <v>207</v>
      </c>
      <c r="E203" s="152" t="s">
        <v>222</v>
      </c>
      <c r="F203" s="152" t="s">
        <v>222</v>
      </c>
      <c r="G203" s="152" t="s">
        <v>222</v>
      </c>
      <c r="H203" s="152" t="s">
        <v>222</v>
      </c>
      <c r="I203" s="128">
        <v>0.9</v>
      </c>
      <c r="J203" s="129" t="s">
        <v>33</v>
      </c>
      <c r="K203" s="129" t="s">
        <v>33</v>
      </c>
      <c r="L203" s="130" t="s">
        <v>33</v>
      </c>
      <c r="M203" s="129" t="s">
        <v>33</v>
      </c>
      <c r="N203" s="131">
        <v>0.9</v>
      </c>
      <c r="O203" s="129">
        <v>0</v>
      </c>
      <c r="P203" s="129">
        <v>0</v>
      </c>
      <c r="Q203" s="129">
        <v>0</v>
      </c>
      <c r="R203" s="129">
        <v>0</v>
      </c>
      <c r="S203" s="131">
        <v>0.9</v>
      </c>
      <c r="T203" s="129">
        <v>0</v>
      </c>
      <c r="U203" s="129">
        <v>1</v>
      </c>
      <c r="V203" s="129">
        <v>1</v>
      </c>
      <c r="W203" s="129">
        <v>0.692307692307692</v>
      </c>
      <c r="X203" s="131">
        <v>0.92</v>
      </c>
      <c r="Y203" s="131">
        <v>0</v>
      </c>
      <c r="Z203" s="131" t="s">
        <v>33</v>
      </c>
      <c r="AA203" s="131" t="s">
        <v>33</v>
      </c>
      <c r="AB203" s="131">
        <v>0</v>
      </c>
      <c r="AC203" s="131">
        <v>0.92</v>
      </c>
      <c r="AD203" s="129">
        <v>0.999680485661794</v>
      </c>
      <c r="AE203" s="129">
        <v>0.999816356513222</v>
      </c>
      <c r="AF203" s="129">
        <v>0.973581518769999</v>
      </c>
      <c r="AG203" s="129">
        <v>0.997655263632538</v>
      </c>
      <c r="AH203" s="131">
        <v>0.92</v>
      </c>
      <c r="AI203" s="129">
        <v>0.333333333333333</v>
      </c>
      <c r="AJ203" s="129">
        <v>1</v>
      </c>
      <c r="AK203" s="129">
        <v>1</v>
      </c>
      <c r="AL203" s="129">
        <v>0.611111111111111</v>
      </c>
      <c r="AM203" s="128">
        <v>0.99</v>
      </c>
      <c r="AN203" s="133">
        <v>1</v>
      </c>
      <c r="AO203" s="133">
        <v>1</v>
      </c>
      <c r="AP203" s="133">
        <v>1</v>
      </c>
      <c r="AQ203" s="133">
        <v>1</v>
      </c>
      <c r="AR203" s="153">
        <v>0.0719793575775068</v>
      </c>
      <c r="AS203" s="137" t="s">
        <v>33</v>
      </c>
      <c r="AT203" s="137" t="s">
        <v>33</v>
      </c>
      <c r="AU203" s="137" t="s">
        <v>33</v>
      </c>
      <c r="AV203" s="137" t="s">
        <v>33</v>
      </c>
      <c r="AW203" s="93"/>
      <c r="AX203" s="91"/>
    </row>
    <row r="204" ht="14.5" spans="1:50">
      <c r="A204" s="89"/>
      <c r="B204" s="93"/>
      <c r="C204" s="148" t="s">
        <v>206</v>
      </c>
      <c r="D204" s="126" t="s">
        <v>207</v>
      </c>
      <c r="E204" s="152" t="s">
        <v>223</v>
      </c>
      <c r="F204" s="152" t="s">
        <v>223</v>
      </c>
      <c r="G204" s="152" t="s">
        <v>223</v>
      </c>
      <c r="H204" s="152" t="s">
        <v>223</v>
      </c>
      <c r="I204" s="128">
        <v>0.9</v>
      </c>
      <c r="J204" s="129">
        <v>0.886075949367089</v>
      </c>
      <c r="K204" s="129">
        <v>0.923076923076923</v>
      </c>
      <c r="L204" s="130">
        <v>0.904761904761905</v>
      </c>
      <c r="M204" s="129">
        <v>0.911534154535274</v>
      </c>
      <c r="N204" s="131">
        <v>0.9</v>
      </c>
      <c r="O204" s="129">
        <v>0.945751751392132</v>
      </c>
      <c r="P204" s="129">
        <v>0.95160070582304</v>
      </c>
      <c r="Q204" s="129">
        <v>0.9568</v>
      </c>
      <c r="R204" s="129">
        <v>0.949957849801804</v>
      </c>
      <c r="S204" s="131">
        <v>0.9</v>
      </c>
      <c r="T204" s="129">
        <v>0.910185018861146</v>
      </c>
      <c r="U204" s="129">
        <v>0.920342828333753</v>
      </c>
      <c r="V204" s="129">
        <v>0.916533333333333</v>
      </c>
      <c r="W204" s="129">
        <v>0.917098631463778</v>
      </c>
      <c r="X204" s="131">
        <v>0.92</v>
      </c>
      <c r="Y204" s="131">
        <v>0.933441999456669</v>
      </c>
      <c r="Z204" s="131">
        <v>0.950873362445415</v>
      </c>
      <c r="AA204" s="131">
        <v>0.92327530625403</v>
      </c>
      <c r="AB204" s="131">
        <v>0.950505804874737</v>
      </c>
      <c r="AC204" s="131">
        <v>0.92</v>
      </c>
      <c r="AD204" s="129">
        <v>0.997408810045844</v>
      </c>
      <c r="AE204" s="129">
        <v>0.998043347381096</v>
      </c>
      <c r="AF204" s="129">
        <v>0.997153700189753</v>
      </c>
      <c r="AG204" s="129">
        <v>0.997332759733276</v>
      </c>
      <c r="AH204" s="131">
        <v>0.92</v>
      </c>
      <c r="AI204" s="129">
        <v>0.960315743944637</v>
      </c>
      <c r="AJ204" s="129">
        <v>0.965605989705194</v>
      </c>
      <c r="AK204" s="129">
        <v>0.960769520935496</v>
      </c>
      <c r="AL204" s="129">
        <v>0.969264632316158</v>
      </c>
      <c r="AM204" s="128">
        <v>0.99</v>
      </c>
      <c r="AN204" s="133">
        <v>1</v>
      </c>
      <c r="AO204" s="133">
        <v>1</v>
      </c>
      <c r="AP204" s="133">
        <v>1</v>
      </c>
      <c r="AQ204" s="133">
        <v>1</v>
      </c>
      <c r="AR204" s="153">
        <v>0.0719793575775068</v>
      </c>
      <c r="AS204" s="137">
        <v>0</v>
      </c>
      <c r="AT204" s="137">
        <v>0.15</v>
      </c>
      <c r="AU204" s="137">
        <v>0.0714285714285714</v>
      </c>
      <c r="AV204" s="137">
        <v>0.0708333333333333</v>
      </c>
      <c r="AW204" s="93"/>
      <c r="AX204" s="91"/>
    </row>
    <row r="205" ht="14.5" spans="1:50">
      <c r="A205" s="89"/>
      <c r="B205" s="93"/>
      <c r="C205" s="148" t="s">
        <v>206</v>
      </c>
      <c r="D205" s="126" t="s">
        <v>207</v>
      </c>
      <c r="E205" s="152" t="s">
        <v>224</v>
      </c>
      <c r="F205" s="152" t="s">
        <v>224</v>
      </c>
      <c r="G205" s="152" t="s">
        <v>224</v>
      </c>
      <c r="H205" s="152" t="s">
        <v>224</v>
      </c>
      <c r="I205" s="128">
        <v>0.9</v>
      </c>
      <c r="J205" s="129" t="s">
        <v>33</v>
      </c>
      <c r="K205" s="129" t="s">
        <v>33</v>
      </c>
      <c r="L205" s="130" t="s">
        <v>33</v>
      </c>
      <c r="M205" s="129" t="s">
        <v>33</v>
      </c>
      <c r="N205" s="131">
        <v>0.9</v>
      </c>
      <c r="O205" s="129">
        <v>0</v>
      </c>
      <c r="P205" s="129">
        <v>0</v>
      </c>
      <c r="Q205" s="129">
        <v>0</v>
      </c>
      <c r="R205" s="129">
        <v>0</v>
      </c>
      <c r="S205" s="131">
        <v>0.9</v>
      </c>
      <c r="T205" s="129">
        <v>0.826086956521739</v>
      </c>
      <c r="U205" s="129">
        <v>0.777777777777778</v>
      </c>
      <c r="V205" s="129">
        <v>1</v>
      </c>
      <c r="W205" s="129">
        <v>0.858267716535433</v>
      </c>
      <c r="X205" s="131">
        <v>0.92</v>
      </c>
      <c r="Y205" s="131">
        <v>0</v>
      </c>
      <c r="Z205" s="131">
        <v>0</v>
      </c>
      <c r="AA205" s="131">
        <v>0</v>
      </c>
      <c r="AB205" s="131">
        <v>0.2</v>
      </c>
      <c r="AC205" s="131">
        <v>0.92</v>
      </c>
      <c r="AD205" s="129">
        <v>0.994369857080987</v>
      </c>
      <c r="AE205" s="129">
        <v>0.971311220362188</v>
      </c>
      <c r="AF205" s="129">
        <v>0.98207450638572</v>
      </c>
      <c r="AG205" s="129">
        <v>0.948199077556954</v>
      </c>
      <c r="AH205" s="131">
        <v>0.92</v>
      </c>
      <c r="AI205" s="129">
        <v>0.796875</v>
      </c>
      <c r="AJ205" s="129">
        <v>0.575757575757576</v>
      </c>
      <c r="AK205" s="129">
        <v>0.25</v>
      </c>
      <c r="AL205" s="129">
        <v>0.783783783783784</v>
      </c>
      <c r="AM205" s="128">
        <v>0.99</v>
      </c>
      <c r="AN205" s="133">
        <v>1</v>
      </c>
      <c r="AO205" s="133">
        <v>1</v>
      </c>
      <c r="AP205" s="133">
        <v>1</v>
      </c>
      <c r="AQ205" s="133">
        <v>1</v>
      </c>
      <c r="AR205" s="153">
        <v>0.0719793575775068</v>
      </c>
      <c r="AS205" s="137" t="s">
        <v>33</v>
      </c>
      <c r="AT205" s="137" t="s">
        <v>33</v>
      </c>
      <c r="AU205" s="137" t="s">
        <v>33</v>
      </c>
      <c r="AV205" s="137" t="s">
        <v>33</v>
      </c>
      <c r="AW205" s="93"/>
      <c r="AX205" s="91"/>
    </row>
    <row r="206" ht="14.5" spans="1:50">
      <c r="A206" s="89"/>
      <c r="B206" s="93"/>
      <c r="C206" s="148" t="s">
        <v>206</v>
      </c>
      <c r="D206" s="126" t="s">
        <v>207</v>
      </c>
      <c r="E206" s="152" t="s">
        <v>225</v>
      </c>
      <c r="F206" s="152" t="s">
        <v>225</v>
      </c>
      <c r="G206" s="152" t="s">
        <v>225</v>
      </c>
      <c r="H206" s="152" t="s">
        <v>225</v>
      </c>
      <c r="I206" s="128">
        <v>0.9</v>
      </c>
      <c r="J206" s="129">
        <v>0.96551724137931</v>
      </c>
      <c r="K206" s="129">
        <v>0.867924528301887</v>
      </c>
      <c r="L206" s="130">
        <v>0.866666666666667</v>
      </c>
      <c r="M206" s="129">
        <v>0.909797822706065</v>
      </c>
      <c r="N206" s="131">
        <v>0.9</v>
      </c>
      <c r="O206" s="129">
        <v>0.991988346686089</v>
      </c>
      <c r="P206" s="129">
        <v>0.99216621253406</v>
      </c>
      <c r="Q206" s="129">
        <v>0.993715083798883</v>
      </c>
      <c r="R206" s="129">
        <v>0.991867390628364</v>
      </c>
      <c r="S206" s="131">
        <v>0.9</v>
      </c>
      <c r="T206" s="129">
        <v>0.914785142024763</v>
      </c>
      <c r="U206" s="129">
        <v>0.906675749318801</v>
      </c>
      <c r="V206" s="129">
        <v>0.889664804469274</v>
      </c>
      <c r="W206" s="129">
        <v>0.915229507020355</v>
      </c>
      <c r="X206" s="131">
        <v>0.92</v>
      </c>
      <c r="Y206" s="131">
        <v>0.940991620111732</v>
      </c>
      <c r="Z206" s="131">
        <v>0.95357833655706</v>
      </c>
      <c r="AA206" s="131">
        <v>0.924385633270321</v>
      </c>
      <c r="AB206" s="131">
        <v>0.951397938632863</v>
      </c>
      <c r="AC206" s="131">
        <v>0.92</v>
      </c>
      <c r="AD206" s="129">
        <v>0.99909338168631</v>
      </c>
      <c r="AE206" s="129">
        <v>1</v>
      </c>
      <c r="AF206" s="129">
        <v>0.995861355406105</v>
      </c>
      <c r="AG206" s="129">
        <v>0.998775279487502</v>
      </c>
      <c r="AH206" s="131">
        <v>0.92</v>
      </c>
      <c r="AI206" s="129">
        <v>0.961191464986396</v>
      </c>
      <c r="AJ206" s="129">
        <v>0.964912280701754</v>
      </c>
      <c r="AK206" s="129">
        <v>0.960489421361203</v>
      </c>
      <c r="AL206" s="129">
        <v>0.968931113875142</v>
      </c>
      <c r="AM206" s="128">
        <v>0.99</v>
      </c>
      <c r="AN206" s="133">
        <v>1</v>
      </c>
      <c r="AO206" s="133">
        <v>1</v>
      </c>
      <c r="AP206" s="133">
        <v>1</v>
      </c>
      <c r="AQ206" s="133">
        <v>1</v>
      </c>
      <c r="AR206" s="153">
        <v>0.0719793575775068</v>
      </c>
      <c r="AS206" s="137">
        <v>0.0526315789473684</v>
      </c>
      <c r="AT206" s="137">
        <v>0.125</v>
      </c>
      <c r="AU206" s="137">
        <v>0.0625</v>
      </c>
      <c r="AV206" s="137">
        <v>0.0805860805860806</v>
      </c>
      <c r="AW206" s="93"/>
      <c r="AX206" s="91"/>
    </row>
    <row r="207" ht="14.5" spans="1:50">
      <c r="A207" s="89"/>
      <c r="B207" s="93"/>
      <c r="C207" s="148" t="s">
        <v>206</v>
      </c>
      <c r="D207" s="126" t="s">
        <v>207</v>
      </c>
      <c r="E207" s="152" t="s">
        <v>226</v>
      </c>
      <c r="F207" s="152" t="s">
        <v>226</v>
      </c>
      <c r="G207" s="152" t="s">
        <v>226</v>
      </c>
      <c r="H207" s="152" t="s">
        <v>226</v>
      </c>
      <c r="I207" s="128">
        <v>0.9</v>
      </c>
      <c r="J207" s="129">
        <v>0.917431192660551</v>
      </c>
      <c r="K207" s="129">
        <v>0.916666666666667</v>
      </c>
      <c r="L207" s="130">
        <v>0.952380952380952</v>
      </c>
      <c r="M207" s="129">
        <v>0.926809210526316</v>
      </c>
      <c r="N207" s="131">
        <v>0.9</v>
      </c>
      <c r="O207" s="129">
        <v>0.889958407605466</v>
      </c>
      <c r="P207" s="129">
        <v>0.957756114246622</v>
      </c>
      <c r="Q207" s="129">
        <v>0.93166245943022</v>
      </c>
      <c r="R207" s="129">
        <v>0.947789610357183</v>
      </c>
      <c r="S207" s="131">
        <v>0.9</v>
      </c>
      <c r="T207" s="129">
        <v>0.899702911467617</v>
      </c>
      <c r="U207" s="129">
        <v>0.921327176329742</v>
      </c>
      <c r="V207" s="129">
        <v>0.886224305805986</v>
      </c>
      <c r="W207" s="129">
        <v>0.905292200901385</v>
      </c>
      <c r="X207" s="131">
        <v>0.92</v>
      </c>
      <c r="Y207" s="131">
        <v>0.916520723876241</v>
      </c>
      <c r="Z207" s="131">
        <v>0.941425215348473</v>
      </c>
      <c r="AA207" s="131">
        <v>0.86692759295499</v>
      </c>
      <c r="AB207" s="131">
        <v>0.923001663242344</v>
      </c>
      <c r="AC207" s="131">
        <v>0.92</v>
      </c>
      <c r="AD207" s="129">
        <v>0.982136519578848</v>
      </c>
      <c r="AE207" s="129">
        <v>0.973895019886841</v>
      </c>
      <c r="AF207" s="129">
        <v>0.869434189708431</v>
      </c>
      <c r="AG207" s="129">
        <v>0.941012565689735</v>
      </c>
      <c r="AH207" s="131">
        <v>0.92</v>
      </c>
      <c r="AI207" s="129">
        <v>0.949118796548927</v>
      </c>
      <c r="AJ207" s="129">
        <v>0.961742826780021</v>
      </c>
      <c r="AK207" s="129">
        <v>0.930057955742887</v>
      </c>
      <c r="AL207" s="129">
        <v>0.951848709791446</v>
      </c>
      <c r="AM207" s="128">
        <v>0.99</v>
      </c>
      <c r="AN207" s="133">
        <v>1</v>
      </c>
      <c r="AO207" s="133">
        <v>1</v>
      </c>
      <c r="AP207" s="133">
        <v>1</v>
      </c>
      <c r="AQ207" s="133">
        <v>1</v>
      </c>
      <c r="AR207" s="153">
        <v>0.0719793575775068</v>
      </c>
      <c r="AS207" s="137">
        <v>0.024390243902439</v>
      </c>
      <c r="AT207" s="137">
        <v>0.0333333333333333</v>
      </c>
      <c r="AU207" s="137">
        <v>0.0645161290322581</v>
      </c>
      <c r="AV207" s="137">
        <v>0.0508130081300813</v>
      </c>
      <c r="AW207" s="93"/>
      <c r="AX207" s="91"/>
    </row>
    <row r="208" ht="14.5" spans="1:50">
      <c r="A208" s="89"/>
      <c r="B208" s="93"/>
      <c r="C208" s="148" t="s">
        <v>206</v>
      </c>
      <c r="D208" s="126" t="s">
        <v>207</v>
      </c>
      <c r="E208" s="152" t="s">
        <v>227</v>
      </c>
      <c r="F208" s="152" t="s">
        <v>227</v>
      </c>
      <c r="G208" s="152" t="s">
        <v>227</v>
      </c>
      <c r="H208" s="152" t="s">
        <v>227</v>
      </c>
      <c r="I208" s="128">
        <v>0.9</v>
      </c>
      <c r="J208" s="129" t="s">
        <v>33</v>
      </c>
      <c r="K208" s="129" t="s">
        <v>33</v>
      </c>
      <c r="L208" s="130" t="s">
        <v>33</v>
      </c>
      <c r="M208" s="129" t="s">
        <v>33</v>
      </c>
      <c r="N208" s="131">
        <v>0.9</v>
      </c>
      <c r="O208" s="129">
        <v>0</v>
      </c>
      <c r="P208" s="129">
        <v>0</v>
      </c>
      <c r="Q208" s="129">
        <v>0</v>
      </c>
      <c r="R208" s="129">
        <v>0</v>
      </c>
      <c r="S208" s="131">
        <v>0.9</v>
      </c>
      <c r="T208" s="129">
        <v>0.777777777777778</v>
      </c>
      <c r="U208" s="129">
        <v>1</v>
      </c>
      <c r="V208" s="129">
        <v>0.888888888888889</v>
      </c>
      <c r="W208" s="129">
        <v>0.843537414965986</v>
      </c>
      <c r="X208" s="131">
        <v>0.92</v>
      </c>
      <c r="Y208" s="131">
        <v>0</v>
      </c>
      <c r="Z208" s="131">
        <v>1</v>
      </c>
      <c r="AA208" s="131">
        <v>1</v>
      </c>
      <c r="AB208" s="131">
        <v>0.478260869565217</v>
      </c>
      <c r="AC208" s="131">
        <v>0.92</v>
      </c>
      <c r="AD208" s="129">
        <v>0.99899033607385</v>
      </c>
      <c r="AE208" s="129">
        <v>0.985145732409068</v>
      </c>
      <c r="AF208" s="129">
        <v>0.986047491180961</v>
      </c>
      <c r="AG208" s="129">
        <v>0.900989069739812</v>
      </c>
      <c r="AH208" s="131">
        <v>0.92</v>
      </c>
      <c r="AI208" s="129">
        <v>0.666666666666667</v>
      </c>
      <c r="AJ208" s="129">
        <v>1</v>
      </c>
      <c r="AK208" s="129">
        <v>0.769230769230769</v>
      </c>
      <c r="AL208" s="129">
        <v>0.802816901408451</v>
      </c>
      <c r="AM208" s="128">
        <v>0.99</v>
      </c>
      <c r="AN208" s="133">
        <v>1</v>
      </c>
      <c r="AO208" s="133">
        <v>1</v>
      </c>
      <c r="AP208" s="133">
        <v>1</v>
      </c>
      <c r="AQ208" s="133">
        <v>1</v>
      </c>
      <c r="AR208" s="153">
        <v>0.0719793575775068</v>
      </c>
      <c r="AS208" s="137" t="s">
        <v>33</v>
      </c>
      <c r="AT208" s="137" t="s">
        <v>33</v>
      </c>
      <c r="AU208" s="137" t="s">
        <v>33</v>
      </c>
      <c r="AV208" s="137" t="s">
        <v>33</v>
      </c>
      <c r="AW208" s="93"/>
      <c r="AX208" s="91"/>
    </row>
    <row r="209" ht="14.5" spans="1:50">
      <c r="A209" s="89"/>
      <c r="C209" s="148" t="s">
        <v>206</v>
      </c>
      <c r="D209" s="126" t="s">
        <v>207</v>
      </c>
      <c r="E209" s="152" t="s">
        <v>228</v>
      </c>
      <c r="F209" s="152" t="s">
        <v>228</v>
      </c>
      <c r="G209" s="152" t="s">
        <v>228</v>
      </c>
      <c r="H209" s="152" t="s">
        <v>228</v>
      </c>
      <c r="I209" s="128">
        <v>0.9</v>
      </c>
      <c r="J209" s="129">
        <v>0.968253968253968</v>
      </c>
      <c r="K209" s="129">
        <v>0.926136363636364</v>
      </c>
      <c r="L209" s="130">
        <v>0.923566878980892</v>
      </c>
      <c r="M209" s="129">
        <v>0.938340287436254</v>
      </c>
      <c r="N209" s="131">
        <v>0.9</v>
      </c>
      <c r="O209" s="129">
        <v>0.928401736708446</v>
      </c>
      <c r="P209" s="129">
        <v>0.950639646779124</v>
      </c>
      <c r="Q209" s="129">
        <v>0.958603004029796</v>
      </c>
      <c r="R209" s="129">
        <v>0.950978895222584</v>
      </c>
      <c r="S209" s="131">
        <v>0.9</v>
      </c>
      <c r="T209" s="129">
        <v>0.900794626034243</v>
      </c>
      <c r="U209" s="129">
        <v>0.915770406430431</v>
      </c>
      <c r="V209" s="129">
        <v>0.914519477347661</v>
      </c>
      <c r="W209" s="129">
        <v>0.919940960912052</v>
      </c>
      <c r="X209" s="131">
        <v>0.92</v>
      </c>
      <c r="Y209" s="131">
        <v>0.928655892786756</v>
      </c>
      <c r="Z209" s="131">
        <v>0.938611473927459</v>
      </c>
      <c r="AA209" s="131">
        <v>0.907697121401752</v>
      </c>
      <c r="AB209" s="131">
        <v>0.941376506246766</v>
      </c>
      <c r="AC209" s="131">
        <v>0.92</v>
      </c>
      <c r="AD209" s="129">
        <v>0.998145572554474</v>
      </c>
      <c r="AE209" s="129">
        <v>0.996156063809341</v>
      </c>
      <c r="AF209" s="129">
        <v>0.987958115183246</v>
      </c>
      <c r="AG209" s="129">
        <v>0.996230215827338</v>
      </c>
      <c r="AH209" s="131">
        <v>0.92</v>
      </c>
      <c r="AI209" s="129">
        <v>0.952421796165489</v>
      </c>
      <c r="AJ209" s="129">
        <v>0.95300191611667</v>
      </c>
      <c r="AK209" s="129">
        <v>0.951163812033377</v>
      </c>
      <c r="AL209" s="129">
        <v>0.961256061824733</v>
      </c>
      <c r="AM209" s="128">
        <v>0.99</v>
      </c>
      <c r="AN209" s="133">
        <v>1</v>
      </c>
      <c r="AO209" s="133">
        <v>1</v>
      </c>
      <c r="AP209" s="133">
        <v>1</v>
      </c>
      <c r="AQ209" s="133">
        <v>1</v>
      </c>
      <c r="AR209" s="153">
        <v>0.0719793575775068</v>
      </c>
      <c r="AS209" s="137">
        <v>0.0625</v>
      </c>
      <c r="AT209" s="137">
        <v>0.09375</v>
      </c>
      <c r="AU209" s="137">
        <v>0.153846153846154</v>
      </c>
      <c r="AV209" s="137">
        <v>0.0629251700680272</v>
      </c>
      <c r="AW209" s="93"/>
      <c r="AX209" s="91"/>
    </row>
    <row r="210" ht="14.5" spans="1:50">
      <c r="A210" s="89"/>
      <c r="C210" s="148" t="s">
        <v>206</v>
      </c>
      <c r="D210" s="126" t="s">
        <v>207</v>
      </c>
      <c r="E210" s="152" t="s">
        <v>229</v>
      </c>
      <c r="F210" s="152" t="s">
        <v>229</v>
      </c>
      <c r="G210" s="152" t="s">
        <v>229</v>
      </c>
      <c r="H210" s="152" t="s">
        <v>229</v>
      </c>
      <c r="I210" s="128">
        <v>0.9</v>
      </c>
      <c r="J210" s="129">
        <v>0.916666666666667</v>
      </c>
      <c r="K210" s="129">
        <v>0.929133858267717</v>
      </c>
      <c r="L210" s="130">
        <v>0.945454545454545</v>
      </c>
      <c r="M210" s="129">
        <v>0.933246921581335</v>
      </c>
      <c r="N210" s="131">
        <v>0.9</v>
      </c>
      <c r="O210" s="129">
        <v>0.919924098671727</v>
      </c>
      <c r="P210" s="129">
        <v>0.962865090403338</v>
      </c>
      <c r="Q210" s="129">
        <v>0.937142017917462</v>
      </c>
      <c r="R210" s="129">
        <v>0.948364923545512</v>
      </c>
      <c r="S210" s="131">
        <v>0.9</v>
      </c>
      <c r="T210" s="129">
        <v>0.864705882352941</v>
      </c>
      <c r="U210" s="129">
        <v>0.906675938803894</v>
      </c>
      <c r="V210" s="129">
        <v>0.875605815831987</v>
      </c>
      <c r="W210" s="129">
        <v>0.895577370294911</v>
      </c>
      <c r="X210" s="131">
        <v>0.92</v>
      </c>
      <c r="Y210" s="131">
        <v>0.921103769918383</v>
      </c>
      <c r="Z210" s="131">
        <v>0.919042347079989</v>
      </c>
      <c r="AA210" s="131">
        <v>0.906288532675709</v>
      </c>
      <c r="AB210" s="131">
        <v>0.92779656885151</v>
      </c>
      <c r="AC210" s="131">
        <v>0.92</v>
      </c>
      <c r="AD210" s="129">
        <v>0.993920498830865</v>
      </c>
      <c r="AE210" s="129">
        <v>0.992035187826914</v>
      </c>
      <c r="AF210" s="129">
        <v>0.974847870182556</v>
      </c>
      <c r="AG210" s="129">
        <v>0.987524235016438</v>
      </c>
      <c r="AH210" s="131">
        <v>0.92</v>
      </c>
      <c r="AI210" s="129">
        <v>0.946342085138924</v>
      </c>
      <c r="AJ210" s="129">
        <v>0.942641143015675</v>
      </c>
      <c r="AK210" s="129">
        <v>0.9439515256438</v>
      </c>
      <c r="AL210" s="129">
        <v>0.953431673585694</v>
      </c>
      <c r="AM210" s="128">
        <v>0.99</v>
      </c>
      <c r="AN210" s="133">
        <v>1</v>
      </c>
      <c r="AO210" s="133">
        <v>1</v>
      </c>
      <c r="AP210" s="133">
        <v>1</v>
      </c>
      <c r="AQ210" s="133">
        <v>1</v>
      </c>
      <c r="AR210" s="153">
        <v>0.0719793575775068</v>
      </c>
      <c r="AS210" s="137">
        <v>0.121951219512195</v>
      </c>
      <c r="AT210" s="137">
        <v>0.0792079207920792</v>
      </c>
      <c r="AU210" s="137">
        <v>0.0816326530612245</v>
      </c>
      <c r="AV210" s="137">
        <v>0.0512024825446082</v>
      </c>
      <c r="AW210" s="93"/>
      <c r="AX210" s="91"/>
    </row>
    <row r="211" ht="14.5" spans="1:50">
      <c r="A211" s="89"/>
      <c r="C211" s="148" t="s">
        <v>206</v>
      </c>
      <c r="D211" s="126" t="s">
        <v>207</v>
      </c>
      <c r="E211" s="152" t="s">
        <v>230</v>
      </c>
      <c r="F211" s="152" t="s">
        <v>230</v>
      </c>
      <c r="G211" s="152" t="s">
        <v>230</v>
      </c>
      <c r="H211" s="152" t="s">
        <v>230</v>
      </c>
      <c r="I211" s="128">
        <v>0.9</v>
      </c>
      <c r="J211" s="129">
        <v>0.948387096774194</v>
      </c>
      <c r="K211" s="129">
        <v>0.909090909090909</v>
      </c>
      <c r="L211" s="130">
        <v>0.931034482758621</v>
      </c>
      <c r="M211" s="129">
        <v>0.92450495049505</v>
      </c>
      <c r="N211" s="131">
        <v>0.9</v>
      </c>
      <c r="O211" s="129">
        <v>0.923350856367645</v>
      </c>
      <c r="P211" s="129">
        <v>0.947910570057357</v>
      </c>
      <c r="Q211" s="129">
        <v>0.947229163604292</v>
      </c>
      <c r="R211" s="129">
        <v>0.939926150350312</v>
      </c>
      <c r="S211" s="131">
        <v>0.9</v>
      </c>
      <c r="T211" s="129">
        <v>0.914024080040699</v>
      </c>
      <c r="U211" s="129">
        <v>0.926957743181552</v>
      </c>
      <c r="V211" s="129">
        <v>0.90533588122887</v>
      </c>
      <c r="W211" s="129">
        <v>0.919541753455785</v>
      </c>
      <c r="X211" s="131">
        <v>0.92</v>
      </c>
      <c r="Y211" s="131">
        <v>0.952236081533313</v>
      </c>
      <c r="Z211" s="131">
        <v>0.947197400487409</v>
      </c>
      <c r="AA211" s="131">
        <v>0.918020679468242</v>
      </c>
      <c r="AB211" s="131">
        <v>0.946994445221238</v>
      </c>
      <c r="AC211" s="131">
        <v>0.92</v>
      </c>
      <c r="AD211" s="129">
        <v>0.992521966722752</v>
      </c>
      <c r="AE211" s="129">
        <v>0.984376185058779</v>
      </c>
      <c r="AF211" s="129">
        <v>0.971929824561404</v>
      </c>
      <c r="AG211" s="129">
        <v>0.987978625336321</v>
      </c>
      <c r="AH211" s="131">
        <v>0.92</v>
      </c>
      <c r="AI211" s="129">
        <v>0.969622733953944</v>
      </c>
      <c r="AJ211" s="129">
        <v>0.965215871351162</v>
      </c>
      <c r="AK211" s="129">
        <v>0.950168208578637</v>
      </c>
      <c r="AL211" s="129">
        <v>0.966112913551579</v>
      </c>
      <c r="AM211" s="128">
        <v>0.99</v>
      </c>
      <c r="AN211" s="133">
        <v>1</v>
      </c>
      <c r="AO211" s="133">
        <v>1</v>
      </c>
      <c r="AP211" s="133">
        <v>1</v>
      </c>
      <c r="AQ211" s="133">
        <v>1</v>
      </c>
      <c r="AR211" s="153">
        <v>0.0719793575775068</v>
      </c>
      <c r="AS211" s="137">
        <v>0.0526315789473684</v>
      </c>
      <c r="AT211" s="137">
        <v>0.116279069767442</v>
      </c>
      <c r="AU211" s="137">
        <v>0.137254901960784</v>
      </c>
      <c r="AV211" s="137">
        <v>0.0639777468706537</v>
      </c>
      <c r="AW211" s="93"/>
      <c r="AX211" s="91"/>
    </row>
    <row r="212" ht="14.5" spans="1:50">
      <c r="A212" s="89"/>
      <c r="C212" s="148" t="s">
        <v>206</v>
      </c>
      <c r="D212" s="126" t="s">
        <v>207</v>
      </c>
      <c r="E212" s="152" t="s">
        <v>231</v>
      </c>
      <c r="F212" s="152" t="s">
        <v>231</v>
      </c>
      <c r="G212" s="152" t="s">
        <v>231</v>
      </c>
      <c r="H212" s="152" t="s">
        <v>231</v>
      </c>
      <c r="I212" s="128">
        <v>0.9</v>
      </c>
      <c r="J212" s="129">
        <v>0.961038961038961</v>
      </c>
      <c r="K212" s="129">
        <v>0.957142857142857</v>
      </c>
      <c r="L212" s="130">
        <v>0.966101694915254</v>
      </c>
      <c r="M212" s="129">
        <v>0.943970767356882</v>
      </c>
      <c r="N212" s="131">
        <v>0.9</v>
      </c>
      <c r="O212" s="129">
        <v>0.969595224771498</v>
      </c>
      <c r="P212" s="129">
        <v>0.980801335559265</v>
      </c>
      <c r="Q212" s="129">
        <v>0.978944156240464</v>
      </c>
      <c r="R212" s="129">
        <v>0.964451625934155</v>
      </c>
      <c r="S212" s="131">
        <v>0.9</v>
      </c>
      <c r="T212" s="129">
        <v>0.91344898339862</v>
      </c>
      <c r="U212" s="129">
        <v>0.924874791318865</v>
      </c>
      <c r="V212" s="129">
        <v>0.901129081476961</v>
      </c>
      <c r="W212" s="129">
        <v>0.926297717632801</v>
      </c>
      <c r="X212" s="131">
        <v>0.92</v>
      </c>
      <c r="Y212" s="131">
        <v>0.943589743589744</v>
      </c>
      <c r="Z212" s="131">
        <v>0.952203929899097</v>
      </c>
      <c r="AA212" s="131">
        <v>0.959791511541325</v>
      </c>
      <c r="AB212" s="131">
        <v>0.962014598540146</v>
      </c>
      <c r="AC212" s="131">
        <v>0.92</v>
      </c>
      <c r="AD212" s="129">
        <v>0.994781653391925</v>
      </c>
      <c r="AE212" s="129">
        <v>0.990802348336595</v>
      </c>
      <c r="AF212" s="129">
        <v>0.997479838709677</v>
      </c>
      <c r="AG212" s="129">
        <v>0.993095853276293</v>
      </c>
      <c r="AH212" s="131">
        <v>0.92</v>
      </c>
      <c r="AI212" s="129">
        <v>0.963914977755808</v>
      </c>
      <c r="AJ212" s="129">
        <v>0.967531585382421</v>
      </c>
      <c r="AK212" s="129">
        <v>0.976195628651807</v>
      </c>
      <c r="AL212" s="129">
        <v>0.976316386338948</v>
      </c>
      <c r="AM212" s="128">
        <v>0.99</v>
      </c>
      <c r="AN212" s="133">
        <v>1</v>
      </c>
      <c r="AO212" s="133">
        <v>1</v>
      </c>
      <c r="AP212" s="133">
        <v>1</v>
      </c>
      <c r="AQ212" s="133">
        <v>1</v>
      </c>
      <c r="AR212" s="153">
        <v>0.0719793575775068</v>
      </c>
      <c r="AS212" s="137">
        <v>0.08</v>
      </c>
      <c r="AT212" s="137">
        <v>0.0263157894736842</v>
      </c>
      <c r="AU212" s="137">
        <v>0.0740740740740741</v>
      </c>
      <c r="AV212" s="137">
        <v>0.0480769230769231</v>
      </c>
      <c r="AW212" s="93"/>
      <c r="AX212" s="91"/>
    </row>
    <row r="213" ht="14.5" spans="1:50">
      <c r="A213" s="89"/>
      <c r="C213" s="148" t="s">
        <v>206</v>
      </c>
      <c r="D213" s="126" t="s">
        <v>207</v>
      </c>
      <c r="E213" s="152" t="s">
        <v>232</v>
      </c>
      <c r="F213" s="152" t="s">
        <v>232</v>
      </c>
      <c r="G213" s="152" t="s">
        <v>232</v>
      </c>
      <c r="H213" s="152" t="s">
        <v>232</v>
      </c>
      <c r="I213" s="128">
        <v>0.9</v>
      </c>
      <c r="J213" s="129">
        <v>0.967741935483871</v>
      </c>
      <c r="K213" s="129">
        <v>0.965811965811966</v>
      </c>
      <c r="L213" s="130">
        <v>0.970588235294118</v>
      </c>
      <c r="M213" s="129">
        <v>0.964231354642314</v>
      </c>
      <c r="N213" s="131">
        <v>0.9</v>
      </c>
      <c r="O213" s="129">
        <v>0.969621401042847</v>
      </c>
      <c r="P213" s="129">
        <v>0.973428386260531</v>
      </c>
      <c r="Q213" s="129">
        <v>0.970497177199053</v>
      </c>
      <c r="R213" s="129">
        <v>0.96920900063861</v>
      </c>
      <c r="S213" s="131">
        <v>0.9</v>
      </c>
      <c r="T213" s="129">
        <v>0.921899795964634</v>
      </c>
      <c r="U213" s="129">
        <v>0.926279974076474</v>
      </c>
      <c r="V213" s="129">
        <v>0.921325805864141</v>
      </c>
      <c r="W213" s="129">
        <v>0.924255894616897</v>
      </c>
      <c r="X213" s="131">
        <v>0.92</v>
      </c>
      <c r="Y213" s="131">
        <v>0.945450324976787</v>
      </c>
      <c r="Z213" s="131">
        <v>0.960221550855992</v>
      </c>
      <c r="AA213" s="131">
        <v>0.946991404011461</v>
      </c>
      <c r="AB213" s="131">
        <v>0.952660760006631</v>
      </c>
      <c r="AC213" s="131">
        <v>0.92</v>
      </c>
      <c r="AD213" s="129">
        <v>0.996597587380142</v>
      </c>
      <c r="AE213" s="129">
        <v>0.995188342040143</v>
      </c>
      <c r="AF213" s="129">
        <v>0.997035371089757</v>
      </c>
      <c r="AG213" s="129">
        <v>0.994479988454878</v>
      </c>
      <c r="AH213" s="131">
        <v>0.92</v>
      </c>
      <c r="AI213" s="129">
        <v>0.966869763899467</v>
      </c>
      <c r="AJ213" s="129">
        <v>0.969414674361088</v>
      </c>
      <c r="AK213" s="129">
        <v>0.974031109939362</v>
      </c>
      <c r="AL213" s="129">
        <v>0.970482125286979</v>
      </c>
      <c r="AM213" s="128">
        <v>0.99</v>
      </c>
      <c r="AN213" s="133">
        <v>1</v>
      </c>
      <c r="AO213" s="133">
        <v>1</v>
      </c>
      <c r="AP213" s="133">
        <v>1</v>
      </c>
      <c r="AQ213" s="133">
        <v>1</v>
      </c>
      <c r="AR213" s="153">
        <v>0.0719793575775068</v>
      </c>
      <c r="AS213" s="137">
        <v>0.0958904109589041</v>
      </c>
      <c r="AT213" s="137">
        <v>0.206896551724138</v>
      </c>
      <c r="AU213" s="137">
        <v>0.19672131147541</v>
      </c>
      <c r="AV213" s="137">
        <v>0.11006711409396</v>
      </c>
      <c r="AW213" s="93"/>
      <c r="AX213" s="91"/>
    </row>
    <row r="214" ht="14.5" spans="1:50">
      <c r="A214" s="89"/>
      <c r="C214" s="148" t="s">
        <v>206</v>
      </c>
      <c r="D214" s="126" t="s">
        <v>207</v>
      </c>
      <c r="E214" s="152" t="s">
        <v>233</v>
      </c>
      <c r="F214" s="152" t="s">
        <v>233</v>
      </c>
      <c r="G214" s="152" t="s">
        <v>233</v>
      </c>
      <c r="H214" s="152" t="s">
        <v>233</v>
      </c>
      <c r="I214" s="128">
        <v>0.9</v>
      </c>
      <c r="J214" s="129">
        <v>0.932584269662921</v>
      </c>
      <c r="K214" s="129">
        <v>0.961038961038961</v>
      </c>
      <c r="L214" s="130">
        <v>0.957746478873239</v>
      </c>
      <c r="M214" s="129">
        <v>0.955882352941177</v>
      </c>
      <c r="N214" s="131">
        <v>0.9</v>
      </c>
      <c r="O214" s="129">
        <v>0.643635848789466</v>
      </c>
      <c r="P214" s="129">
        <v>0.925325287573072</v>
      </c>
      <c r="Q214" s="129">
        <v>0.952477477477477</v>
      </c>
      <c r="R214" s="129">
        <v>0.864650635065713</v>
      </c>
      <c r="S214" s="131">
        <v>0.9</v>
      </c>
      <c r="T214" s="129">
        <v>0.90060880645618</v>
      </c>
      <c r="U214" s="129">
        <v>0.914576654723741</v>
      </c>
      <c r="V214" s="129">
        <v>0.943243243243243</v>
      </c>
      <c r="W214" s="129">
        <v>0.925777679725173</v>
      </c>
      <c r="X214" s="131">
        <v>0.92</v>
      </c>
      <c r="Y214" s="131">
        <v>0.943355119825708</v>
      </c>
      <c r="Z214" s="131">
        <v>0.970903522205207</v>
      </c>
      <c r="AA214" s="131">
        <v>0.978902953586498</v>
      </c>
      <c r="AB214" s="131">
        <v>0.966952862668424</v>
      </c>
      <c r="AC214" s="131">
        <v>0.92</v>
      </c>
      <c r="AD214" s="129">
        <v>0.997047534691467</v>
      </c>
      <c r="AE214" s="129">
        <v>0.995652173913044</v>
      </c>
      <c r="AF214" s="129">
        <v>0.982825484764543</v>
      </c>
      <c r="AG214" s="129">
        <v>0.995656689642149</v>
      </c>
      <c r="AH214" s="131">
        <v>0.92</v>
      </c>
      <c r="AI214" s="129">
        <v>0.952121482804824</v>
      </c>
      <c r="AJ214" s="129">
        <v>0.972172096115491</v>
      </c>
      <c r="AK214" s="129">
        <v>0.982953614161613</v>
      </c>
      <c r="AL214" s="129">
        <v>0.975770845396642</v>
      </c>
      <c r="AM214" s="128">
        <v>0.99</v>
      </c>
      <c r="AN214" s="133">
        <v>1</v>
      </c>
      <c r="AO214" s="133">
        <v>1</v>
      </c>
      <c r="AP214" s="133">
        <v>1</v>
      </c>
      <c r="AQ214" s="133">
        <v>1</v>
      </c>
      <c r="AR214" s="153">
        <v>0.0719793575775068</v>
      </c>
      <c r="AS214" s="137">
        <v>0.238095238095238</v>
      </c>
      <c r="AT214" s="137">
        <v>0.0638297872340425</v>
      </c>
      <c r="AU214" s="137">
        <v>0.037037037037037</v>
      </c>
      <c r="AV214" s="137">
        <v>0.0690789473684211</v>
      </c>
      <c r="AW214" s="93"/>
      <c r="AX214" s="91"/>
    </row>
    <row r="215" s="84" customFormat="1" ht="14.5" spans="1:50">
      <c r="A215" s="89"/>
      <c r="B215" s="86"/>
      <c r="C215" s="148" t="s">
        <v>206</v>
      </c>
      <c r="D215" s="126" t="s">
        <v>207</v>
      </c>
      <c r="E215" s="152" t="s">
        <v>234</v>
      </c>
      <c r="F215" s="152" t="s">
        <v>234</v>
      </c>
      <c r="G215" s="152" t="s">
        <v>234</v>
      </c>
      <c r="H215" s="152" t="s">
        <v>234</v>
      </c>
      <c r="I215" s="128">
        <v>0.9</v>
      </c>
      <c r="J215" s="129">
        <v>0.95</v>
      </c>
      <c r="K215" s="129">
        <v>0.98</v>
      </c>
      <c r="L215" s="130">
        <v>0.956043956043956</v>
      </c>
      <c r="M215" s="129">
        <v>0.956852791878173</v>
      </c>
      <c r="N215" s="131">
        <v>0.9</v>
      </c>
      <c r="O215" s="129">
        <v>0.910408719346049</v>
      </c>
      <c r="P215" s="129">
        <v>0.940123456790123</v>
      </c>
      <c r="Q215" s="129">
        <v>0.95108153078203</v>
      </c>
      <c r="R215" s="129">
        <v>0.931283356885095</v>
      </c>
      <c r="S215" s="131">
        <v>0.9</v>
      </c>
      <c r="T215" s="129">
        <v>0.875531335149864</v>
      </c>
      <c r="U215" s="129">
        <v>0.908179012345679</v>
      </c>
      <c r="V215" s="129">
        <v>0.905158069883527</v>
      </c>
      <c r="W215" s="129">
        <v>0.89179814778049</v>
      </c>
      <c r="X215" s="131">
        <v>0.92</v>
      </c>
      <c r="Y215" s="131">
        <v>0.929122055674518</v>
      </c>
      <c r="Z215" s="131">
        <v>0.953770125936554</v>
      </c>
      <c r="AA215" s="131">
        <v>0.942907334211682</v>
      </c>
      <c r="AB215" s="131">
        <v>0.943923172200825</v>
      </c>
      <c r="AC215" s="131">
        <v>0.92</v>
      </c>
      <c r="AD215" s="129">
        <v>0.995225606885885</v>
      </c>
      <c r="AE215" s="129">
        <v>0.993689903846154</v>
      </c>
      <c r="AF215" s="129">
        <v>0.989884393063584</v>
      </c>
      <c r="AG215" s="129">
        <v>0.976135488837567</v>
      </c>
      <c r="AH215" s="131">
        <v>0.92</v>
      </c>
      <c r="AI215" s="129">
        <v>0.951682796475516</v>
      </c>
      <c r="AJ215" s="129">
        <v>0.965038802226229</v>
      </c>
      <c r="AK215" s="129">
        <v>0.965974903474903</v>
      </c>
      <c r="AL215" s="129">
        <v>0.960481087772929</v>
      </c>
      <c r="AM215" s="128">
        <v>0.99</v>
      </c>
      <c r="AN215" s="133">
        <v>1</v>
      </c>
      <c r="AO215" s="133">
        <v>1</v>
      </c>
      <c r="AP215" s="133">
        <v>1</v>
      </c>
      <c r="AQ215" s="133">
        <v>1</v>
      </c>
      <c r="AR215" s="153">
        <v>0.0719793575775068</v>
      </c>
      <c r="AS215" s="137">
        <v>0.0792079207920792</v>
      </c>
      <c r="AT215" s="137">
        <v>0.1</v>
      </c>
      <c r="AU215" s="137">
        <v>0.0273972602739726</v>
      </c>
      <c r="AV215" s="137">
        <v>0.0542056074766355</v>
      </c>
      <c r="AW215" s="86"/>
      <c r="AX215" s="91"/>
    </row>
    <row r="216" s="84" customFormat="1" ht="14.5" spans="1:50">
      <c r="A216" s="89"/>
      <c r="B216" s="86"/>
      <c r="C216" s="148" t="s">
        <v>206</v>
      </c>
      <c r="D216" s="126" t="s">
        <v>207</v>
      </c>
      <c r="E216" s="152" t="s">
        <v>235</v>
      </c>
      <c r="F216" s="152" t="s">
        <v>235</v>
      </c>
      <c r="G216" s="152" t="s">
        <v>235</v>
      </c>
      <c r="H216" s="152" t="s">
        <v>235</v>
      </c>
      <c r="I216" s="128">
        <v>0.9</v>
      </c>
      <c r="J216" s="129">
        <v>0.973684210526316</v>
      </c>
      <c r="K216" s="129">
        <v>0.958904109589041</v>
      </c>
      <c r="L216" s="130">
        <v>0.955223880597015</v>
      </c>
      <c r="M216" s="129">
        <v>0.95438175270108</v>
      </c>
      <c r="N216" s="131">
        <v>0.9</v>
      </c>
      <c r="O216" s="129">
        <v>0.953925845147219</v>
      </c>
      <c r="P216" s="129">
        <v>0.963587581448831</v>
      </c>
      <c r="Q216" s="129">
        <v>0.94485063714226</v>
      </c>
      <c r="R216" s="129">
        <v>0.94443981327109</v>
      </c>
      <c r="S216" s="131">
        <v>0.9</v>
      </c>
      <c r="T216" s="129">
        <v>0.917393675027263</v>
      </c>
      <c r="U216" s="129">
        <v>0.932349559218091</v>
      </c>
      <c r="V216" s="129">
        <v>0.884896594944642</v>
      </c>
      <c r="W216" s="129">
        <v>0.901161498277203</v>
      </c>
      <c r="X216" s="131">
        <v>0.92</v>
      </c>
      <c r="Y216" s="131">
        <v>0.926128016789087</v>
      </c>
      <c r="Z216" s="131">
        <v>0.942166312694004</v>
      </c>
      <c r="AA216" s="131">
        <v>0.921301154249738</v>
      </c>
      <c r="AB216" s="131">
        <v>0.940855660277454</v>
      </c>
      <c r="AC216" s="131">
        <v>0.92</v>
      </c>
      <c r="AD216" s="129">
        <v>0.998895637769188</v>
      </c>
      <c r="AE216" s="129">
        <v>0.997008547008547</v>
      </c>
      <c r="AF216" s="129">
        <v>0.998897261532806</v>
      </c>
      <c r="AG216" s="129">
        <v>0.997092459779027</v>
      </c>
      <c r="AH216" s="131">
        <v>0.92</v>
      </c>
      <c r="AI216" s="129">
        <v>0.956040323913403</v>
      </c>
      <c r="AJ216" s="129">
        <v>0.960931299056354</v>
      </c>
      <c r="AK216" s="129">
        <v>0.95847027188527</v>
      </c>
      <c r="AL216" s="129">
        <v>0.960148307060908</v>
      </c>
      <c r="AM216" s="128">
        <v>0.99</v>
      </c>
      <c r="AN216" s="133">
        <v>1</v>
      </c>
      <c r="AO216" s="133">
        <v>1</v>
      </c>
      <c r="AP216" s="133">
        <v>1</v>
      </c>
      <c r="AQ216" s="133">
        <v>1</v>
      </c>
      <c r="AR216" s="153">
        <v>0.0719793575775068</v>
      </c>
      <c r="AS216" s="137">
        <v>0.0208333333333333</v>
      </c>
      <c r="AT216" s="137">
        <v>0.0740740740740741</v>
      </c>
      <c r="AU216" s="137">
        <v>0.115384615384615</v>
      </c>
      <c r="AV216" s="137">
        <v>0.0386266094420601</v>
      </c>
      <c r="AW216" s="86"/>
      <c r="AX216" s="91"/>
    </row>
    <row r="217" s="84" customFormat="1" ht="14.5" spans="1:50">
      <c r="A217" s="89"/>
      <c r="B217" s="86"/>
      <c r="C217" s="148" t="s">
        <v>206</v>
      </c>
      <c r="D217" s="126" t="s">
        <v>207</v>
      </c>
      <c r="E217" s="152" t="s">
        <v>236</v>
      </c>
      <c r="F217" s="152" t="s">
        <v>236</v>
      </c>
      <c r="G217" s="152" t="s">
        <v>236</v>
      </c>
      <c r="H217" s="152" t="s">
        <v>236</v>
      </c>
      <c r="I217" s="128">
        <v>0.9</v>
      </c>
      <c r="J217" s="129">
        <v>0.976744186046512</v>
      </c>
      <c r="K217" s="129">
        <v>0.951612903225806</v>
      </c>
      <c r="L217" s="130">
        <v>0.88</v>
      </c>
      <c r="M217" s="129">
        <v>0.936246418338109</v>
      </c>
      <c r="N217" s="131">
        <v>0.9</v>
      </c>
      <c r="O217" s="129">
        <v>0.938272752626197</v>
      </c>
      <c r="P217" s="129">
        <v>0.943608547224681</v>
      </c>
      <c r="Q217" s="129">
        <v>0.913348610713263</v>
      </c>
      <c r="R217" s="129">
        <v>0.924521765905854</v>
      </c>
      <c r="S217" s="131">
        <v>0.9</v>
      </c>
      <c r="T217" s="129">
        <v>0.869201450218462</v>
      </c>
      <c r="U217" s="129">
        <v>0.888102162093817</v>
      </c>
      <c r="V217" s="129">
        <v>0.84417072472071</v>
      </c>
      <c r="W217" s="129">
        <v>0.872320157037835</v>
      </c>
      <c r="X217" s="131">
        <v>0.92</v>
      </c>
      <c r="Y217" s="131">
        <v>0.932737464020603</v>
      </c>
      <c r="Z217" s="131">
        <v>0.930817610062893</v>
      </c>
      <c r="AA217" s="131">
        <v>0.889549108703251</v>
      </c>
      <c r="AB217" s="131">
        <v>0.917088132198297</v>
      </c>
      <c r="AC217" s="131">
        <v>0.92</v>
      </c>
      <c r="AD217" s="129">
        <v>0.991422400493675</v>
      </c>
      <c r="AE217" s="129">
        <v>0.996003666361137</v>
      </c>
      <c r="AF217" s="129">
        <v>0.972035336102498</v>
      </c>
      <c r="AG217" s="129">
        <v>0.982113484062569</v>
      </c>
      <c r="AH217" s="131">
        <v>0.92</v>
      </c>
      <c r="AI217" s="129">
        <v>0.956797235023041</v>
      </c>
      <c r="AJ217" s="129">
        <v>0.951021397829908</v>
      </c>
      <c r="AK217" s="129">
        <v>0.935182363100681</v>
      </c>
      <c r="AL217" s="129">
        <v>0.944427520779842</v>
      </c>
      <c r="AM217" s="128">
        <v>0.99</v>
      </c>
      <c r="AN217" s="133">
        <v>1</v>
      </c>
      <c r="AO217" s="133">
        <v>1</v>
      </c>
      <c r="AP217" s="133">
        <v>1</v>
      </c>
      <c r="AQ217" s="133">
        <v>1</v>
      </c>
      <c r="AR217" s="153">
        <v>0.0719793575775068</v>
      </c>
      <c r="AS217" s="137">
        <v>0.0317460317460317</v>
      </c>
      <c r="AT217" s="137">
        <v>0.0181818181818182</v>
      </c>
      <c r="AU217" s="137">
        <v>0.145833333333333</v>
      </c>
      <c r="AV217" s="137">
        <v>0.0432503276539974</v>
      </c>
      <c r="AW217" s="86"/>
      <c r="AX217" s="91"/>
    </row>
    <row r="218" s="84" customFormat="1" ht="14.5" spans="1:50">
      <c r="A218" s="89"/>
      <c r="B218" s="86"/>
      <c r="C218" s="148" t="s">
        <v>206</v>
      </c>
      <c r="D218" s="126" t="s">
        <v>207</v>
      </c>
      <c r="E218" s="152" t="s">
        <v>237</v>
      </c>
      <c r="F218" s="152" t="s">
        <v>237</v>
      </c>
      <c r="G218" s="152" t="s">
        <v>237</v>
      </c>
      <c r="H218" s="152" t="s">
        <v>237</v>
      </c>
      <c r="I218" s="128">
        <v>0.9</v>
      </c>
      <c r="J218" s="129">
        <v>0.932038834951456</v>
      </c>
      <c r="K218" s="129">
        <v>0.96039603960396</v>
      </c>
      <c r="L218" s="130">
        <v>0.986666666666667</v>
      </c>
      <c r="M218" s="129">
        <v>0.96031746031746</v>
      </c>
      <c r="N218" s="131">
        <v>0.9</v>
      </c>
      <c r="O218" s="129">
        <v>0.946359731247935</v>
      </c>
      <c r="P218" s="129">
        <v>0.951404707668945</v>
      </c>
      <c r="Q218" s="129">
        <v>0.956542889573537</v>
      </c>
      <c r="R218" s="129">
        <v>0.95687953355982</v>
      </c>
      <c r="S218" s="131">
        <v>0.9</v>
      </c>
      <c r="T218" s="129">
        <v>0.908139662958476</v>
      </c>
      <c r="U218" s="129">
        <v>0.925436598329537</v>
      </c>
      <c r="V218" s="129">
        <v>0.913734392735528</v>
      </c>
      <c r="W218" s="129">
        <v>0.921437425397117</v>
      </c>
      <c r="X218" s="131">
        <v>0.92</v>
      </c>
      <c r="Y218" s="131">
        <v>0.937249179131704</v>
      </c>
      <c r="Z218" s="131">
        <v>0.952184098112168</v>
      </c>
      <c r="AA218" s="131">
        <v>0.938775510204082</v>
      </c>
      <c r="AB218" s="131">
        <v>0.951077857619083</v>
      </c>
      <c r="AC218" s="131">
        <v>0.92</v>
      </c>
      <c r="AD218" s="129">
        <v>0.995108695652174</v>
      </c>
      <c r="AE218" s="129">
        <v>0.969958138389559</v>
      </c>
      <c r="AF218" s="129">
        <v>0.995917891299277</v>
      </c>
      <c r="AG218" s="129">
        <v>0.989346718402629</v>
      </c>
      <c r="AH218" s="131">
        <v>0.92</v>
      </c>
      <c r="AI218" s="129">
        <v>0.959703439280566</v>
      </c>
      <c r="AJ218" s="129">
        <v>0.966271847464972</v>
      </c>
      <c r="AK218" s="129">
        <v>0.964148973198747</v>
      </c>
      <c r="AL218" s="129">
        <v>0.967460958970545</v>
      </c>
      <c r="AM218" s="128">
        <v>0.99</v>
      </c>
      <c r="AN218" s="133">
        <v>1</v>
      </c>
      <c r="AO218" s="133">
        <v>1</v>
      </c>
      <c r="AP218" s="133">
        <v>1</v>
      </c>
      <c r="AQ218" s="133">
        <v>1</v>
      </c>
      <c r="AR218" s="153">
        <v>0.0719793575775068</v>
      </c>
      <c r="AS218" s="137">
        <v>0.119047619047619</v>
      </c>
      <c r="AT218" s="137">
        <v>0.111111111111111</v>
      </c>
      <c r="AU218" s="137">
        <v>0.142857142857143</v>
      </c>
      <c r="AV218" s="137">
        <v>0.083011583011583</v>
      </c>
      <c r="AW218" s="86"/>
      <c r="AX218" s="91"/>
    </row>
    <row r="219" s="84" customFormat="1" ht="14.5" spans="1:50">
      <c r="A219" s="89"/>
      <c r="B219" s="86"/>
      <c r="C219" s="148" t="s">
        <v>206</v>
      </c>
      <c r="D219" s="126" t="s">
        <v>207</v>
      </c>
      <c r="E219" s="152" t="s">
        <v>238</v>
      </c>
      <c r="F219" s="152" t="s">
        <v>238</v>
      </c>
      <c r="G219" s="152" t="s">
        <v>238</v>
      </c>
      <c r="H219" s="152" t="s">
        <v>238</v>
      </c>
      <c r="I219" s="128">
        <v>0.9</v>
      </c>
      <c r="J219" s="129">
        <v>0.930232558139535</v>
      </c>
      <c r="K219" s="129">
        <v>0.962962962962963</v>
      </c>
      <c r="L219" s="130">
        <v>0.97037037037037</v>
      </c>
      <c r="M219" s="129">
        <v>0.938676707907477</v>
      </c>
      <c r="N219" s="131">
        <v>0.9</v>
      </c>
      <c r="O219" s="129">
        <v>0.89789156626506</v>
      </c>
      <c r="P219" s="129">
        <v>0.965614491810392</v>
      </c>
      <c r="Q219" s="129">
        <v>0.921808326605928</v>
      </c>
      <c r="R219" s="129">
        <v>0.910913990218373</v>
      </c>
      <c r="S219" s="131">
        <v>0.9</v>
      </c>
      <c r="T219" s="129">
        <v>0.886370481927711</v>
      </c>
      <c r="U219" s="129">
        <v>0.92211736630871</v>
      </c>
      <c r="V219" s="129">
        <v>0.899550224887556</v>
      </c>
      <c r="W219" s="129">
        <v>0.888975421326438</v>
      </c>
      <c r="X219" s="131">
        <v>0.92</v>
      </c>
      <c r="Y219" s="131">
        <v>0.930101058710298</v>
      </c>
      <c r="Z219" s="131">
        <v>0.9357780733422</v>
      </c>
      <c r="AA219" s="131">
        <v>0.877910635619887</v>
      </c>
      <c r="AB219" s="131">
        <v>0.925802192526206</v>
      </c>
      <c r="AC219" s="131">
        <v>0.92</v>
      </c>
      <c r="AD219" s="129">
        <v>0.972745292368682</v>
      </c>
      <c r="AE219" s="129">
        <v>0.991392328601631</v>
      </c>
      <c r="AF219" s="129">
        <v>0.917707267144319</v>
      </c>
      <c r="AG219" s="129">
        <v>0.943826827176572</v>
      </c>
      <c r="AH219" s="131">
        <v>0.92</v>
      </c>
      <c r="AI219" s="129">
        <v>0.959060806742926</v>
      </c>
      <c r="AJ219" s="129">
        <v>0.956094596647592</v>
      </c>
      <c r="AK219" s="129">
        <v>0.946835443037975</v>
      </c>
      <c r="AL219" s="129">
        <v>0.953656475615469</v>
      </c>
      <c r="AM219" s="128">
        <v>0.99</v>
      </c>
      <c r="AN219" s="133">
        <v>1</v>
      </c>
      <c r="AO219" s="133">
        <v>1</v>
      </c>
      <c r="AP219" s="133">
        <v>1</v>
      </c>
      <c r="AQ219" s="133">
        <v>1</v>
      </c>
      <c r="AR219" s="153">
        <v>0.0719793575775068</v>
      </c>
      <c r="AS219" s="137">
        <v>0.0392156862745098</v>
      </c>
      <c r="AT219" s="137">
        <v>0.116279069767442</v>
      </c>
      <c r="AU219" s="137">
        <v>0.0277777777777778</v>
      </c>
      <c r="AV219" s="137">
        <v>0.05</v>
      </c>
      <c r="AW219" s="86"/>
      <c r="AX219" s="91"/>
    </row>
    <row r="220" s="84" customFormat="1" ht="14.5" spans="1:50">
      <c r="A220" s="89"/>
      <c r="B220" s="86"/>
      <c r="C220" s="148" t="s">
        <v>206</v>
      </c>
      <c r="D220" s="126" t="s">
        <v>207</v>
      </c>
      <c r="E220" s="152" t="s">
        <v>239</v>
      </c>
      <c r="F220" s="152" t="s">
        <v>239</v>
      </c>
      <c r="G220" s="152" t="s">
        <v>239</v>
      </c>
      <c r="H220" s="152" t="s">
        <v>239</v>
      </c>
      <c r="I220" s="128">
        <v>0.9</v>
      </c>
      <c r="J220" s="129">
        <v>0.923728813559322</v>
      </c>
      <c r="K220" s="129">
        <v>0.905982905982906</v>
      </c>
      <c r="L220" s="130">
        <v>0.942307692307692</v>
      </c>
      <c r="M220" s="129">
        <v>0.930775018811136</v>
      </c>
      <c r="N220" s="131">
        <v>0.9</v>
      </c>
      <c r="O220" s="129">
        <v>0.954593453009504</v>
      </c>
      <c r="P220" s="129">
        <v>0.967380720545277</v>
      </c>
      <c r="Q220" s="129">
        <v>0.964311463590483</v>
      </c>
      <c r="R220" s="129">
        <v>0.95277392250272</v>
      </c>
      <c r="S220" s="131">
        <v>0.9</v>
      </c>
      <c r="T220" s="129">
        <v>0.854393992725566</v>
      </c>
      <c r="U220" s="129">
        <v>0.904251866277183</v>
      </c>
      <c r="V220" s="129">
        <v>0.900144196106705</v>
      </c>
      <c r="W220" s="129">
        <v>0.896795328656989</v>
      </c>
      <c r="X220" s="131">
        <v>0.92</v>
      </c>
      <c r="Y220" s="131">
        <v>0.919398907103825</v>
      </c>
      <c r="Z220" s="131">
        <v>0.928687459389214</v>
      </c>
      <c r="AA220" s="131">
        <v>0.910047846889952</v>
      </c>
      <c r="AB220" s="131">
        <v>0.934892529793278</v>
      </c>
      <c r="AC220" s="131">
        <v>0.92</v>
      </c>
      <c r="AD220" s="129">
        <v>0.995732378854626</v>
      </c>
      <c r="AE220" s="129">
        <v>0.989895549500454</v>
      </c>
      <c r="AF220" s="129">
        <v>0.992754470024541</v>
      </c>
      <c r="AG220" s="129">
        <v>0.967393019854589</v>
      </c>
      <c r="AH220" s="131">
        <v>0.92</v>
      </c>
      <c r="AI220" s="129">
        <v>0.949210281820997</v>
      </c>
      <c r="AJ220" s="129">
        <v>0.950665368386887</v>
      </c>
      <c r="AK220" s="129">
        <v>0.95143343369551</v>
      </c>
      <c r="AL220" s="129">
        <v>0.95536449752883</v>
      </c>
      <c r="AM220" s="128">
        <v>0.99</v>
      </c>
      <c r="AN220" s="133">
        <v>1</v>
      </c>
      <c r="AO220" s="133">
        <v>1</v>
      </c>
      <c r="AP220" s="133">
        <v>1</v>
      </c>
      <c r="AQ220" s="133">
        <v>1</v>
      </c>
      <c r="AR220" s="153">
        <v>0.0719793575775068</v>
      </c>
      <c r="AS220" s="137">
        <v>0.0461538461538462</v>
      </c>
      <c r="AT220" s="137">
        <v>0</v>
      </c>
      <c r="AU220" s="137">
        <v>0.0238095238095238</v>
      </c>
      <c r="AV220" s="137">
        <v>0.0453257790368272</v>
      </c>
      <c r="AW220" s="86"/>
      <c r="AX220" s="91"/>
    </row>
    <row r="221" s="84" customFormat="1" ht="14.5" spans="1:50">
      <c r="A221" s="89"/>
      <c r="B221" s="86"/>
      <c r="C221" s="148" t="s">
        <v>206</v>
      </c>
      <c r="D221" s="126" t="s">
        <v>207</v>
      </c>
      <c r="E221" s="152" t="s">
        <v>240</v>
      </c>
      <c r="F221" s="152" t="s">
        <v>240</v>
      </c>
      <c r="G221" s="152" t="s">
        <v>240</v>
      </c>
      <c r="H221" s="152" t="s">
        <v>240</v>
      </c>
      <c r="I221" s="128">
        <v>0.9</v>
      </c>
      <c r="J221" s="129">
        <v>1</v>
      </c>
      <c r="K221" s="129">
        <v>0.986301369863014</v>
      </c>
      <c r="L221" s="130">
        <v>1</v>
      </c>
      <c r="M221" s="129">
        <v>0.978622327790974</v>
      </c>
      <c r="N221" s="131">
        <v>0.9</v>
      </c>
      <c r="O221" s="129">
        <v>0.965323741007194</v>
      </c>
      <c r="P221" s="129">
        <v>0.97841726618705</v>
      </c>
      <c r="Q221" s="129">
        <v>0.955171608685501</v>
      </c>
      <c r="R221" s="129">
        <v>0.96076817558299</v>
      </c>
      <c r="S221" s="131">
        <v>0.9</v>
      </c>
      <c r="T221" s="129">
        <v>0.896834532374101</v>
      </c>
      <c r="U221" s="129">
        <v>0.922462030375699</v>
      </c>
      <c r="V221" s="129">
        <v>0.916880691104366</v>
      </c>
      <c r="W221" s="129">
        <v>0.924081694863588</v>
      </c>
      <c r="X221" s="131">
        <v>0.92</v>
      </c>
      <c r="Y221" s="131">
        <v>0.930381303813038</v>
      </c>
      <c r="Z221" s="131">
        <v>0.951016456921588</v>
      </c>
      <c r="AA221" s="131">
        <v>0.927444794952681</v>
      </c>
      <c r="AB221" s="131">
        <v>0.938937185982029</v>
      </c>
      <c r="AC221" s="131">
        <v>0.92</v>
      </c>
      <c r="AD221" s="129">
        <v>0.995240928019036</v>
      </c>
      <c r="AE221" s="129">
        <v>0.988394584139265</v>
      </c>
      <c r="AF221" s="129">
        <v>0.976063829787234</v>
      </c>
      <c r="AG221" s="129">
        <v>0.987693898655636</v>
      </c>
      <c r="AH221" s="131">
        <v>0.92</v>
      </c>
      <c r="AI221" s="129">
        <v>0.956888727536758</v>
      </c>
      <c r="AJ221" s="129">
        <v>0.964310293973061</v>
      </c>
      <c r="AK221" s="129">
        <v>0.955699437723633</v>
      </c>
      <c r="AL221" s="129">
        <v>0.95998661818694</v>
      </c>
      <c r="AM221" s="128">
        <v>0.99</v>
      </c>
      <c r="AN221" s="133">
        <v>1</v>
      </c>
      <c r="AO221" s="133">
        <v>1</v>
      </c>
      <c r="AP221" s="133">
        <v>1</v>
      </c>
      <c r="AQ221" s="133">
        <v>1</v>
      </c>
      <c r="AR221" s="153">
        <v>0.0719793575775068</v>
      </c>
      <c r="AS221" s="137">
        <v>0.0869565217391304</v>
      </c>
      <c r="AT221" s="137">
        <v>0.0625</v>
      </c>
      <c r="AU221" s="137">
        <v>0.315789473684211</v>
      </c>
      <c r="AV221" s="137">
        <v>0.062111801242236</v>
      </c>
      <c r="AW221" s="86"/>
      <c r="AX221" s="91"/>
    </row>
    <row r="222" s="84" customFormat="1" ht="14.5" spans="1:50">
      <c r="A222" s="89"/>
      <c r="B222" s="86"/>
      <c r="C222" s="148" t="s">
        <v>206</v>
      </c>
      <c r="D222" s="126" t="s">
        <v>207</v>
      </c>
      <c r="E222" s="152" t="s">
        <v>241</v>
      </c>
      <c r="F222" s="152" t="s">
        <v>241</v>
      </c>
      <c r="G222" s="152" t="s">
        <v>241</v>
      </c>
      <c r="H222" s="152" t="s">
        <v>241</v>
      </c>
      <c r="I222" s="128">
        <v>0.9</v>
      </c>
      <c r="J222" s="129">
        <v>0.934579439252336</v>
      </c>
      <c r="K222" s="129">
        <v>0.99</v>
      </c>
      <c r="L222" s="130">
        <v>0.955555555555556</v>
      </c>
      <c r="M222" s="129">
        <v>0.964864864864865</v>
      </c>
      <c r="N222" s="131">
        <v>0.9</v>
      </c>
      <c r="O222" s="129">
        <v>0.922454415078877</v>
      </c>
      <c r="P222" s="129">
        <v>0.94951600893522</v>
      </c>
      <c r="Q222" s="129">
        <v>0.844074236446003</v>
      </c>
      <c r="R222" s="129">
        <v>0.871197552447552</v>
      </c>
      <c r="S222" s="131">
        <v>0.9</v>
      </c>
      <c r="T222" s="129">
        <v>0.837328416308134</v>
      </c>
      <c r="U222" s="129">
        <v>0.927475800446761</v>
      </c>
      <c r="V222" s="129">
        <v>0.814116615519509</v>
      </c>
      <c r="W222" s="129">
        <v>0.842307692307692</v>
      </c>
      <c r="X222" s="131">
        <v>0.92</v>
      </c>
      <c r="Y222" s="131">
        <v>0.906953138216884</v>
      </c>
      <c r="Z222" s="131">
        <v>0.91751570132589</v>
      </c>
      <c r="AA222" s="131">
        <v>0.914246196403873</v>
      </c>
      <c r="AB222" s="131">
        <v>0.929469971282307</v>
      </c>
      <c r="AC222" s="131">
        <v>0.92</v>
      </c>
      <c r="AD222" s="129">
        <v>0.992360580595875</v>
      </c>
      <c r="AE222" s="129">
        <v>0.98605577689243</v>
      </c>
      <c r="AF222" s="129">
        <v>0.977947413061917</v>
      </c>
      <c r="AG222" s="129">
        <v>0.974680477315404</v>
      </c>
      <c r="AH222" s="131">
        <v>0.92</v>
      </c>
      <c r="AI222" s="129">
        <v>0.932567783094099</v>
      </c>
      <c r="AJ222" s="129">
        <v>0.946253602305476</v>
      </c>
      <c r="AK222" s="129">
        <v>0.944629383044829</v>
      </c>
      <c r="AL222" s="129">
        <v>0.949759981492549</v>
      </c>
      <c r="AM222" s="128">
        <v>0.99</v>
      </c>
      <c r="AN222" s="133">
        <v>1</v>
      </c>
      <c r="AO222" s="133">
        <v>1</v>
      </c>
      <c r="AP222" s="133">
        <v>1</v>
      </c>
      <c r="AQ222" s="133">
        <v>1</v>
      </c>
      <c r="AR222" s="153">
        <v>0.0719793575775068</v>
      </c>
      <c r="AS222" s="137">
        <v>0.0408163265306122</v>
      </c>
      <c r="AT222" s="137">
        <v>0.0540540540540541</v>
      </c>
      <c r="AU222" s="137">
        <v>0.0416666666666667</v>
      </c>
      <c r="AV222" s="137">
        <v>0.0493827160493827</v>
      </c>
      <c r="AW222" s="86"/>
      <c r="AX222" s="91"/>
    </row>
    <row r="223" ht="14.5" spans="1:50">
      <c r="A223" s="89"/>
      <c r="C223" s="148" t="s">
        <v>206</v>
      </c>
      <c r="D223" s="126" t="s">
        <v>207</v>
      </c>
      <c r="E223" s="152" t="s">
        <v>242</v>
      </c>
      <c r="F223" s="152" t="s">
        <v>242</v>
      </c>
      <c r="G223" s="152" t="s">
        <v>242</v>
      </c>
      <c r="H223" s="152" t="s">
        <v>242</v>
      </c>
      <c r="I223" s="128">
        <v>0.9</v>
      </c>
      <c r="J223" s="129">
        <v>0.912621359223301</v>
      </c>
      <c r="K223" s="129">
        <v>0.910112359550562</v>
      </c>
      <c r="L223" s="130">
        <v>0.921348314606742</v>
      </c>
      <c r="M223" s="129">
        <v>0.914182475158085</v>
      </c>
      <c r="N223" s="131">
        <v>0.9</v>
      </c>
      <c r="O223" s="129">
        <v>0.954254865747976</v>
      </c>
      <c r="P223" s="129">
        <v>0.971964586846543</v>
      </c>
      <c r="Q223" s="129">
        <v>0.965282664790054</v>
      </c>
      <c r="R223" s="129">
        <v>0.964490489336529</v>
      </c>
      <c r="S223" s="131">
        <v>0.9</v>
      </c>
      <c r="T223" s="129">
        <v>0.938485580338116</v>
      </c>
      <c r="U223" s="129">
        <v>0.93212478920742</v>
      </c>
      <c r="V223" s="129">
        <v>0.945343654703261</v>
      </c>
      <c r="W223" s="129">
        <v>0.943027030306708</v>
      </c>
      <c r="X223" s="131">
        <v>0.92</v>
      </c>
      <c r="Y223" s="131">
        <v>0.94130540672187</v>
      </c>
      <c r="Z223" s="131">
        <v>0.947046453832919</v>
      </c>
      <c r="AA223" s="131">
        <v>0.948101265822785</v>
      </c>
      <c r="AB223" s="131">
        <v>0.947999262400885</v>
      </c>
      <c r="AC223" s="131">
        <v>0.92</v>
      </c>
      <c r="AD223" s="129">
        <v>0.994260485651214</v>
      </c>
      <c r="AE223" s="129">
        <v>0.998891352549889</v>
      </c>
      <c r="AF223" s="129">
        <v>0.982583454281567</v>
      </c>
      <c r="AG223" s="129">
        <v>0.991172180855147</v>
      </c>
      <c r="AH223" s="131">
        <v>0.92</v>
      </c>
      <c r="AI223" s="129">
        <v>0.9680631560061</v>
      </c>
      <c r="AJ223" s="129">
        <v>0.962714242758344</v>
      </c>
      <c r="AK223" s="129">
        <v>0.976724285469793</v>
      </c>
      <c r="AL223" s="129">
        <v>0.969377706900909</v>
      </c>
      <c r="AM223" s="128">
        <v>0.99</v>
      </c>
      <c r="AN223" s="133">
        <v>1</v>
      </c>
      <c r="AO223" s="133">
        <v>1</v>
      </c>
      <c r="AP223" s="133">
        <v>1</v>
      </c>
      <c r="AQ223" s="133">
        <v>1</v>
      </c>
      <c r="AR223" s="153">
        <v>0.0719793575775068</v>
      </c>
      <c r="AS223" s="137">
        <v>0.0333333333333333</v>
      </c>
      <c r="AT223" s="137">
        <v>0.235294117647059</v>
      </c>
      <c r="AU223" s="137">
        <v>0.285714285714286</v>
      </c>
      <c r="AV223" s="137">
        <v>0.0716510903426791</v>
      </c>
      <c r="AW223" s="93"/>
      <c r="AX223" s="91"/>
    </row>
    <row r="224" ht="14.5" spans="1:50">
      <c r="A224" s="89"/>
      <c r="C224" s="148" t="s">
        <v>206</v>
      </c>
      <c r="D224" s="126" t="s">
        <v>207</v>
      </c>
      <c r="E224" s="152" t="s">
        <v>243</v>
      </c>
      <c r="F224" s="152" t="s">
        <v>243</v>
      </c>
      <c r="G224" s="152" t="s">
        <v>243</v>
      </c>
      <c r="H224" s="152" t="s">
        <v>243</v>
      </c>
      <c r="I224" s="128">
        <v>0.9</v>
      </c>
      <c r="J224" s="129">
        <v>0.92156862745098</v>
      </c>
      <c r="K224" s="129">
        <v>0.933333333333333</v>
      </c>
      <c r="L224" s="130">
        <v>0.944444444444444</v>
      </c>
      <c r="M224" s="129">
        <v>0.93010752688172</v>
      </c>
      <c r="N224" s="131">
        <v>0.9</v>
      </c>
      <c r="O224" s="129">
        <v>0.943165546866395</v>
      </c>
      <c r="P224" s="129">
        <v>0.962997953078255</v>
      </c>
      <c r="Q224" s="129">
        <v>0.961488852036116</v>
      </c>
      <c r="R224" s="129">
        <v>0.950518658387499</v>
      </c>
      <c r="S224" s="131">
        <v>0.9</v>
      </c>
      <c r="T224" s="129">
        <v>0.875647097697984</v>
      </c>
      <c r="U224" s="129">
        <v>0.915131475358211</v>
      </c>
      <c r="V224" s="129">
        <v>0.916528468767275</v>
      </c>
      <c r="W224" s="129">
        <v>0.904874299478316</v>
      </c>
      <c r="X224" s="131">
        <v>0.92</v>
      </c>
      <c r="Y224" s="131">
        <v>0.926579396698919</v>
      </c>
      <c r="Z224" s="131">
        <v>0.935559369636449</v>
      </c>
      <c r="AA224" s="131">
        <v>0.947817360762669</v>
      </c>
      <c r="AB224" s="131">
        <v>0.939255345496574</v>
      </c>
      <c r="AC224" s="131">
        <v>0.92</v>
      </c>
      <c r="AD224" s="129">
        <v>0.987234042553191</v>
      </c>
      <c r="AE224" s="129">
        <v>0.989655172413793</v>
      </c>
      <c r="AF224" s="129">
        <v>0.99009900990099</v>
      </c>
      <c r="AG224" s="129">
        <v>0.986131290450403</v>
      </c>
      <c r="AH224" s="131">
        <v>0.92</v>
      </c>
      <c r="AI224" s="129">
        <v>0.951853400222965</v>
      </c>
      <c r="AJ224" s="129">
        <v>0.958473713076863</v>
      </c>
      <c r="AK224" s="129">
        <v>0.968198356016709</v>
      </c>
      <c r="AL224" s="129">
        <v>0.962687505237577</v>
      </c>
      <c r="AM224" s="128">
        <v>0.99</v>
      </c>
      <c r="AN224" s="133">
        <v>1</v>
      </c>
      <c r="AO224" s="133">
        <v>1</v>
      </c>
      <c r="AP224" s="133">
        <v>1</v>
      </c>
      <c r="AQ224" s="133">
        <v>1</v>
      </c>
      <c r="AR224" s="153">
        <v>0.0719793575775068</v>
      </c>
      <c r="AS224" s="137">
        <v>0.0344827586206897</v>
      </c>
      <c r="AT224" s="137">
        <v>0.105263157894737</v>
      </c>
      <c r="AU224" s="137">
        <v>0.0555555555555556</v>
      </c>
      <c r="AV224" s="137">
        <v>0.0392670157068063</v>
      </c>
      <c r="AW224" s="93"/>
      <c r="AX224" s="91"/>
    </row>
    <row r="225" ht="14.5" spans="1:50">
      <c r="A225" s="89"/>
      <c r="C225" s="148" t="s">
        <v>206</v>
      </c>
      <c r="D225" s="126" t="s">
        <v>207</v>
      </c>
      <c r="E225" s="152" t="s">
        <v>244</v>
      </c>
      <c r="F225" s="152" t="s">
        <v>244</v>
      </c>
      <c r="G225" s="152" t="s">
        <v>244</v>
      </c>
      <c r="H225" s="152" t="s">
        <v>244</v>
      </c>
      <c r="I225" s="128">
        <v>0.9</v>
      </c>
      <c r="J225" s="129">
        <v>0.97841726618705</v>
      </c>
      <c r="K225" s="129">
        <v>0.938356164383562</v>
      </c>
      <c r="L225" s="130">
        <v>0.975409836065574</v>
      </c>
      <c r="M225" s="129">
        <v>0.962079510703364</v>
      </c>
      <c r="N225" s="131">
        <v>0.9</v>
      </c>
      <c r="O225" s="129">
        <v>0.931706874659895</v>
      </c>
      <c r="P225" s="129">
        <v>0.950431598221292</v>
      </c>
      <c r="Q225" s="129">
        <v>0.939720129171152</v>
      </c>
      <c r="R225" s="129">
        <v>0.920931017351119</v>
      </c>
      <c r="S225" s="131">
        <v>0.9</v>
      </c>
      <c r="T225" s="129">
        <v>0.876655178668602</v>
      </c>
      <c r="U225" s="129">
        <v>0.919696573371698</v>
      </c>
      <c r="V225" s="129">
        <v>0.879305705059203</v>
      </c>
      <c r="W225" s="129">
        <v>0.898246140290029</v>
      </c>
      <c r="X225" s="131">
        <v>0.92</v>
      </c>
      <c r="Y225" s="131">
        <v>0.922544169611307</v>
      </c>
      <c r="Z225" s="131">
        <v>0.94197378738658</v>
      </c>
      <c r="AA225" s="131">
        <v>0.913267181183388</v>
      </c>
      <c r="AB225" s="131">
        <v>0.935260969536676</v>
      </c>
      <c r="AC225" s="131">
        <v>0.92</v>
      </c>
      <c r="AD225" s="129">
        <v>0.996908809891808</v>
      </c>
      <c r="AE225" s="129">
        <v>0.995327102803738</v>
      </c>
      <c r="AF225" s="129">
        <v>0.991614255765199</v>
      </c>
      <c r="AG225" s="129">
        <v>0.995697967660584</v>
      </c>
      <c r="AH225" s="131">
        <v>0.92</v>
      </c>
      <c r="AI225" s="129">
        <v>0.946147473073737</v>
      </c>
      <c r="AJ225" s="129">
        <v>0.955955110413901</v>
      </c>
      <c r="AK225" s="129">
        <v>0.950457992711514</v>
      </c>
      <c r="AL225" s="129">
        <v>0.955269604628838</v>
      </c>
      <c r="AM225" s="128">
        <v>0.99</v>
      </c>
      <c r="AN225" s="133">
        <v>1</v>
      </c>
      <c r="AO225" s="133">
        <v>1</v>
      </c>
      <c r="AP225" s="133">
        <v>1</v>
      </c>
      <c r="AQ225" s="133">
        <v>1</v>
      </c>
      <c r="AR225" s="153">
        <v>0.0719793575775068</v>
      </c>
      <c r="AS225" s="137">
        <v>0.09375</v>
      </c>
      <c r="AT225" s="137">
        <v>0.15625</v>
      </c>
      <c r="AU225" s="137">
        <v>0.09375</v>
      </c>
      <c r="AV225" s="137">
        <v>0.0484848484848485</v>
      </c>
      <c r="AW225" s="93"/>
      <c r="AX225" s="91"/>
    </row>
    <row r="226" ht="14.5" spans="1:50">
      <c r="A226" s="89"/>
      <c r="C226" s="148" t="s">
        <v>206</v>
      </c>
      <c r="D226" s="126" t="s">
        <v>207</v>
      </c>
      <c r="E226" s="152" t="s">
        <v>245</v>
      </c>
      <c r="F226" s="152" t="s">
        <v>245</v>
      </c>
      <c r="G226" s="152" t="s">
        <v>245</v>
      </c>
      <c r="H226" s="152" t="s">
        <v>245</v>
      </c>
      <c r="I226" s="128">
        <v>0.9</v>
      </c>
      <c r="J226" s="129">
        <v>0.947368421052632</v>
      </c>
      <c r="K226" s="129">
        <v>1</v>
      </c>
      <c r="L226" s="130">
        <v>1</v>
      </c>
      <c r="M226" s="129">
        <v>0.986363636363636</v>
      </c>
      <c r="N226" s="131">
        <v>0.9</v>
      </c>
      <c r="O226" s="129">
        <v>0.988186650915535</v>
      </c>
      <c r="P226" s="129">
        <v>0.994565217391304</v>
      </c>
      <c r="Q226" s="129">
        <v>0.991031390134529</v>
      </c>
      <c r="R226" s="129">
        <v>0.984265063323526</v>
      </c>
      <c r="S226" s="131">
        <v>0.9</v>
      </c>
      <c r="T226" s="129">
        <v>0.920850561134081</v>
      </c>
      <c r="U226" s="129">
        <v>0.951086956521739</v>
      </c>
      <c r="V226" s="129">
        <v>0.942600896860987</v>
      </c>
      <c r="W226" s="129">
        <v>0.937252142765767</v>
      </c>
      <c r="X226" s="131">
        <v>0.92</v>
      </c>
      <c r="Y226" s="131">
        <v>0.978701825557809</v>
      </c>
      <c r="Z226" s="131">
        <v>0.957918898240245</v>
      </c>
      <c r="AA226" s="131">
        <v>0.906091370558376</v>
      </c>
      <c r="AB226" s="131">
        <v>0.957107946406</v>
      </c>
      <c r="AC226" s="131">
        <v>0.92</v>
      </c>
      <c r="AD226" s="129">
        <v>1</v>
      </c>
      <c r="AE226" s="129">
        <v>1</v>
      </c>
      <c r="AF226" s="129">
        <v>1</v>
      </c>
      <c r="AG226" s="129">
        <v>0.989230769230769</v>
      </c>
      <c r="AH226" s="131">
        <v>0.92</v>
      </c>
      <c r="AI226" s="129">
        <v>0.979469951474431</v>
      </c>
      <c r="AJ226" s="129">
        <v>0.969307341352136</v>
      </c>
      <c r="AK226" s="129">
        <v>0.964214711729622</v>
      </c>
      <c r="AL226" s="129">
        <v>0.97349380067629</v>
      </c>
      <c r="AM226" s="128">
        <v>0.99</v>
      </c>
      <c r="AN226" s="133">
        <v>1</v>
      </c>
      <c r="AO226" s="133">
        <v>1</v>
      </c>
      <c r="AP226" s="133">
        <v>1</v>
      </c>
      <c r="AQ226" s="133">
        <v>1</v>
      </c>
      <c r="AR226" s="153">
        <v>0.0719793575775068</v>
      </c>
      <c r="AS226" s="137">
        <v>0.333333333333333</v>
      </c>
      <c r="AT226" s="137">
        <v>0.25</v>
      </c>
      <c r="AU226" s="137">
        <v>1</v>
      </c>
      <c r="AV226" s="137">
        <v>0.142857142857143</v>
      </c>
      <c r="AW226" s="93"/>
      <c r="AX226" s="91"/>
    </row>
    <row r="227" ht="14.5" spans="1:50">
      <c r="A227" s="89"/>
      <c r="C227" s="148" t="s">
        <v>206</v>
      </c>
      <c r="D227" s="126" t="s">
        <v>207</v>
      </c>
      <c r="E227" s="152" t="s">
        <v>246</v>
      </c>
      <c r="F227" s="152" t="s">
        <v>246</v>
      </c>
      <c r="G227" s="152" t="s">
        <v>246</v>
      </c>
      <c r="H227" s="152" t="s">
        <v>246</v>
      </c>
      <c r="I227" s="128">
        <v>0.9</v>
      </c>
      <c r="J227" s="129">
        <v>0.908163265306122</v>
      </c>
      <c r="K227" s="129">
        <v>0.965909090909091</v>
      </c>
      <c r="L227" s="130">
        <v>0.972972972972973</v>
      </c>
      <c r="M227" s="129">
        <v>0.957198443579767</v>
      </c>
      <c r="N227" s="131">
        <v>0.9</v>
      </c>
      <c r="O227" s="129">
        <v>0.909268530956161</v>
      </c>
      <c r="P227" s="129">
        <v>0.962284482758621</v>
      </c>
      <c r="Q227" s="129">
        <v>0.911502711076685</v>
      </c>
      <c r="R227" s="129">
        <v>0.89211392472262</v>
      </c>
      <c r="S227" s="131">
        <v>0.9</v>
      </c>
      <c r="T227" s="129">
        <v>0.830626450116009</v>
      </c>
      <c r="U227" s="129">
        <v>0.903556034482759</v>
      </c>
      <c r="V227" s="129">
        <v>0.837529047250194</v>
      </c>
      <c r="W227" s="129">
        <v>0.847374847374847</v>
      </c>
      <c r="X227" s="131">
        <v>0.92</v>
      </c>
      <c r="Y227" s="131">
        <v>0.930828729281768</v>
      </c>
      <c r="Z227" s="131">
        <v>0.93752276867031</v>
      </c>
      <c r="AA227" s="131">
        <v>0.899540757749713</v>
      </c>
      <c r="AB227" s="131">
        <v>0.950453774808018</v>
      </c>
      <c r="AC227" s="131">
        <v>0.92</v>
      </c>
      <c r="AD227" s="129">
        <v>0.997895844292478</v>
      </c>
      <c r="AE227" s="129">
        <v>0.998401420959147</v>
      </c>
      <c r="AF227" s="129">
        <v>0.998327479511624</v>
      </c>
      <c r="AG227" s="129">
        <v>0.994893859030946</v>
      </c>
      <c r="AH227" s="131">
        <v>0.92</v>
      </c>
      <c r="AI227" s="129">
        <v>0.947310474992136</v>
      </c>
      <c r="AJ227" s="129">
        <v>0.958871915393655</v>
      </c>
      <c r="AK227" s="129">
        <v>0.946857804807414</v>
      </c>
      <c r="AL227" s="129">
        <v>0.966453915967458</v>
      </c>
      <c r="AM227" s="128">
        <v>0.99</v>
      </c>
      <c r="AN227" s="133">
        <v>1</v>
      </c>
      <c r="AO227" s="133">
        <v>1</v>
      </c>
      <c r="AP227" s="133">
        <v>1</v>
      </c>
      <c r="AQ227" s="133">
        <v>1</v>
      </c>
      <c r="AR227" s="153">
        <v>0.0719793575775068</v>
      </c>
      <c r="AS227" s="137">
        <v>0.115384615384615</v>
      </c>
      <c r="AT227" s="137">
        <v>0.04</v>
      </c>
      <c r="AU227" s="137">
        <v>0.157894736842105</v>
      </c>
      <c r="AV227" s="137">
        <v>0.0486486486486487</v>
      </c>
      <c r="AW227" s="93"/>
      <c r="AX227" s="91"/>
    </row>
    <row r="228" ht="14.5" spans="1:50">
      <c r="A228" s="89"/>
      <c r="C228" s="148" t="s">
        <v>206</v>
      </c>
      <c r="D228" s="126" t="s">
        <v>207</v>
      </c>
      <c r="E228" s="152" t="s">
        <v>247</v>
      </c>
      <c r="F228" s="152" t="s">
        <v>247</v>
      </c>
      <c r="G228" s="152" t="s">
        <v>247</v>
      </c>
      <c r="H228" s="152" t="s">
        <v>247</v>
      </c>
      <c r="I228" s="128">
        <v>0.9</v>
      </c>
      <c r="J228" s="129" t="s">
        <v>33</v>
      </c>
      <c r="K228" s="129" t="s">
        <v>33</v>
      </c>
      <c r="L228" s="130" t="s">
        <v>33</v>
      </c>
      <c r="M228" s="129" t="s">
        <v>33</v>
      </c>
      <c r="N228" s="131">
        <v>0.9</v>
      </c>
      <c r="O228" s="129" t="s">
        <v>33</v>
      </c>
      <c r="P228" s="129" t="s">
        <v>33</v>
      </c>
      <c r="Q228" s="129" t="s">
        <v>33</v>
      </c>
      <c r="R228" s="129" t="s">
        <v>33</v>
      </c>
      <c r="S228" s="131">
        <v>0.9</v>
      </c>
      <c r="T228" s="129" t="s">
        <v>33</v>
      </c>
      <c r="U228" s="129" t="s">
        <v>33</v>
      </c>
      <c r="V228" s="129" t="s">
        <v>33</v>
      </c>
      <c r="W228" s="129" t="s">
        <v>33</v>
      </c>
      <c r="X228" s="131">
        <v>0.92</v>
      </c>
      <c r="Y228" s="131" t="s">
        <v>33</v>
      </c>
      <c r="Z228" s="131" t="s">
        <v>33</v>
      </c>
      <c r="AA228" s="131" t="s">
        <v>33</v>
      </c>
      <c r="AB228" s="131" t="s">
        <v>33</v>
      </c>
      <c r="AC228" s="131">
        <v>0.92</v>
      </c>
      <c r="AD228" s="129">
        <v>0.998214285714286</v>
      </c>
      <c r="AE228" s="129">
        <v>1</v>
      </c>
      <c r="AF228" s="129">
        <v>0.75</v>
      </c>
      <c r="AG228" s="129">
        <v>0.992890995260663</v>
      </c>
      <c r="AH228" s="131">
        <v>0.92</v>
      </c>
      <c r="AI228" s="129" t="s">
        <v>33</v>
      </c>
      <c r="AJ228" s="129" t="s">
        <v>33</v>
      </c>
      <c r="AK228" s="129" t="s">
        <v>33</v>
      </c>
      <c r="AL228" s="129" t="s">
        <v>33</v>
      </c>
      <c r="AM228" s="128">
        <v>0.99</v>
      </c>
      <c r="AN228" s="133" t="s">
        <v>33</v>
      </c>
      <c r="AO228" s="133" t="s">
        <v>33</v>
      </c>
      <c r="AP228" s="133" t="s">
        <v>33</v>
      </c>
      <c r="AQ228" s="133" t="s">
        <v>33</v>
      </c>
      <c r="AR228" s="153">
        <v>0.0719793575775068</v>
      </c>
      <c r="AS228" s="137" t="s">
        <v>33</v>
      </c>
      <c r="AT228" s="137" t="s">
        <v>33</v>
      </c>
      <c r="AU228" s="137" t="s">
        <v>33</v>
      </c>
      <c r="AV228" s="137" t="s">
        <v>33</v>
      </c>
      <c r="AW228" s="93"/>
      <c r="AX228" s="91"/>
    </row>
    <row r="229" ht="14.5" spans="1:50">
      <c r="A229" s="89"/>
      <c r="C229" s="148" t="s">
        <v>206</v>
      </c>
      <c r="D229" s="126" t="s">
        <v>207</v>
      </c>
      <c r="E229" s="152" t="s">
        <v>248</v>
      </c>
      <c r="F229" s="152" t="s">
        <v>248</v>
      </c>
      <c r="G229" s="152" t="s">
        <v>248</v>
      </c>
      <c r="H229" s="152" t="s">
        <v>248</v>
      </c>
      <c r="I229" s="128">
        <v>0.9</v>
      </c>
      <c r="J229" s="129">
        <v>0.985815602836879</v>
      </c>
      <c r="K229" s="129">
        <v>0.971223021582734</v>
      </c>
      <c r="L229" s="130">
        <v>0.950413223140496</v>
      </c>
      <c r="M229" s="129">
        <v>0.962216624685139</v>
      </c>
      <c r="N229" s="131">
        <v>0.9</v>
      </c>
      <c r="O229" s="129">
        <v>0.912483513073163</v>
      </c>
      <c r="P229" s="129">
        <v>0.963661551577153</v>
      </c>
      <c r="Q229" s="129">
        <v>0.966135211963911</v>
      </c>
      <c r="R229" s="129">
        <v>0.927846403497152</v>
      </c>
      <c r="S229" s="131">
        <v>0.9</v>
      </c>
      <c r="T229" s="129">
        <v>0.914578322600667</v>
      </c>
      <c r="U229" s="129">
        <v>0.927109974424552</v>
      </c>
      <c r="V229" s="129">
        <v>0.924607588678779</v>
      </c>
      <c r="W229" s="129">
        <v>0.911453503775335</v>
      </c>
      <c r="X229" s="131">
        <v>0.92</v>
      </c>
      <c r="Y229" s="131">
        <v>0.937959183673469</v>
      </c>
      <c r="Z229" s="131">
        <v>0.959172383270635</v>
      </c>
      <c r="AA229" s="131">
        <v>0.94627961294628</v>
      </c>
      <c r="AB229" s="131">
        <v>0.948552489811215</v>
      </c>
      <c r="AC229" s="131">
        <v>0.92</v>
      </c>
      <c r="AD229" s="129">
        <v>0.997797982667993</v>
      </c>
      <c r="AE229" s="129">
        <v>0.995537678335743</v>
      </c>
      <c r="AF229" s="129">
        <v>0.978017585931255</v>
      </c>
      <c r="AG229" s="129">
        <v>0.989496072370473</v>
      </c>
      <c r="AH229" s="131">
        <v>0.92</v>
      </c>
      <c r="AI229" s="129">
        <v>0.964873277012005</v>
      </c>
      <c r="AJ229" s="129">
        <v>0.973408585228198</v>
      </c>
      <c r="AK229" s="129">
        <v>0.969519343493552</v>
      </c>
      <c r="AL229" s="129">
        <v>0.968036507536226</v>
      </c>
      <c r="AM229" s="128">
        <v>0.99</v>
      </c>
      <c r="AN229" s="133">
        <v>1</v>
      </c>
      <c r="AO229" s="133">
        <v>1</v>
      </c>
      <c r="AP229" s="133">
        <v>1</v>
      </c>
      <c r="AQ229" s="133">
        <v>1</v>
      </c>
      <c r="AR229" s="153">
        <v>0.0719793575775068</v>
      </c>
      <c r="AS229" s="137">
        <v>0.0930232558139535</v>
      </c>
      <c r="AT229" s="137">
        <v>0.0555555555555556</v>
      </c>
      <c r="AU229" s="137">
        <v>0.103448275862069</v>
      </c>
      <c r="AV229" s="137">
        <v>0.0626349892008639</v>
      </c>
      <c r="AW229" s="93"/>
      <c r="AX229" s="91"/>
    </row>
    <row r="230" ht="14.5" spans="1:50">
      <c r="A230" s="89"/>
      <c r="C230" s="148" t="s">
        <v>206</v>
      </c>
      <c r="D230" s="126" t="s">
        <v>207</v>
      </c>
      <c r="E230" s="152" t="s">
        <v>249</v>
      </c>
      <c r="F230" s="152" t="s">
        <v>249</v>
      </c>
      <c r="G230" s="152" t="s">
        <v>249</v>
      </c>
      <c r="H230" s="152" t="s">
        <v>249</v>
      </c>
      <c r="I230" s="128">
        <v>0.9</v>
      </c>
      <c r="J230" s="129">
        <v>0.906779661016949</v>
      </c>
      <c r="K230" s="129">
        <v>0.926605504587156</v>
      </c>
      <c r="L230" s="130">
        <v>0.935483870967742</v>
      </c>
      <c r="M230" s="129">
        <v>0.93010752688172</v>
      </c>
      <c r="N230" s="131">
        <v>0.9</v>
      </c>
      <c r="O230" s="129">
        <v>0.943132624950807</v>
      </c>
      <c r="P230" s="129">
        <v>0.964320693997481</v>
      </c>
      <c r="Q230" s="129">
        <v>0.953920421299005</v>
      </c>
      <c r="R230" s="129">
        <v>0.954504425054211</v>
      </c>
      <c r="S230" s="131">
        <v>0.9</v>
      </c>
      <c r="T230" s="129">
        <v>0.904171585989768</v>
      </c>
      <c r="U230" s="129">
        <v>0.929061144536169</v>
      </c>
      <c r="V230" s="129">
        <v>0.884289057928613</v>
      </c>
      <c r="W230" s="129">
        <v>0.917661828330722</v>
      </c>
      <c r="X230" s="131">
        <v>0.92</v>
      </c>
      <c r="Y230" s="131">
        <v>0.919158361018826</v>
      </c>
      <c r="Z230" s="131">
        <v>0.941130604288499</v>
      </c>
      <c r="AA230" s="131">
        <v>0.93018643395478</v>
      </c>
      <c r="AB230" s="131">
        <v>0.939009033670955</v>
      </c>
      <c r="AC230" s="131">
        <v>0.92</v>
      </c>
      <c r="AD230" s="129">
        <v>0.993775933609959</v>
      </c>
      <c r="AE230" s="129">
        <v>0.991123595505618</v>
      </c>
      <c r="AF230" s="129">
        <v>0.987425777156829</v>
      </c>
      <c r="AG230" s="129">
        <v>0.98915606910326</v>
      </c>
      <c r="AH230" s="131">
        <v>0.92</v>
      </c>
      <c r="AI230" s="129">
        <v>0.946137534080582</v>
      </c>
      <c r="AJ230" s="129">
        <v>0.958835814862225</v>
      </c>
      <c r="AK230" s="129">
        <v>0.960252163692702</v>
      </c>
      <c r="AL230" s="129">
        <v>0.961639212724784</v>
      </c>
      <c r="AM230" s="128">
        <v>0.99</v>
      </c>
      <c r="AN230" s="133">
        <v>1</v>
      </c>
      <c r="AO230" s="133">
        <v>1</v>
      </c>
      <c r="AP230" s="133">
        <v>1</v>
      </c>
      <c r="AQ230" s="133">
        <v>1</v>
      </c>
      <c r="AR230" s="153">
        <v>0.0719793575775068</v>
      </c>
      <c r="AS230" s="137">
        <v>0.025</v>
      </c>
      <c r="AT230" s="137">
        <v>0.102040816326531</v>
      </c>
      <c r="AU230" s="137">
        <v>0.135135135135135</v>
      </c>
      <c r="AV230" s="137">
        <v>0.056640625</v>
      </c>
      <c r="AW230" s="93"/>
      <c r="AX230" s="91"/>
    </row>
    <row r="231" s="84" customFormat="1" ht="14.5" spans="1:50">
      <c r="A231" s="89"/>
      <c r="B231" s="86"/>
      <c r="C231" s="148" t="s">
        <v>206</v>
      </c>
      <c r="D231" s="126" t="s">
        <v>207</v>
      </c>
      <c r="E231" s="152" t="s">
        <v>250</v>
      </c>
      <c r="F231" s="152" t="s">
        <v>250</v>
      </c>
      <c r="G231" s="152" t="s">
        <v>250</v>
      </c>
      <c r="H231" s="152" t="s">
        <v>250</v>
      </c>
      <c r="I231" s="128">
        <v>0.9</v>
      </c>
      <c r="J231" s="129">
        <v>0.981651376146789</v>
      </c>
      <c r="K231" s="129">
        <v>1</v>
      </c>
      <c r="L231" s="130">
        <v>0.988372093023256</v>
      </c>
      <c r="M231" s="129">
        <v>0.98961937716263</v>
      </c>
      <c r="N231" s="131">
        <v>0.9</v>
      </c>
      <c r="O231" s="129">
        <v>0.921608448415922</v>
      </c>
      <c r="P231" s="129">
        <v>0.920877399138269</v>
      </c>
      <c r="Q231" s="129">
        <v>0.922455573505654</v>
      </c>
      <c r="R231" s="129">
        <v>0.9367523292144</v>
      </c>
      <c r="S231" s="131">
        <v>0.9</v>
      </c>
      <c r="T231" s="129">
        <v>0.895342539940428</v>
      </c>
      <c r="U231" s="129">
        <v>0.911672542107325</v>
      </c>
      <c r="V231" s="129">
        <v>0.907714054927302</v>
      </c>
      <c r="W231" s="129">
        <v>0.904523320291609</v>
      </c>
      <c r="X231" s="131">
        <v>0.92</v>
      </c>
      <c r="Y231" s="131">
        <v>0.941944847605225</v>
      </c>
      <c r="Z231" s="131">
        <v>0.961997645871868</v>
      </c>
      <c r="AA231" s="131">
        <v>0.944890315676833</v>
      </c>
      <c r="AB231" s="131">
        <v>0.945419528325884</v>
      </c>
      <c r="AC231" s="131">
        <v>0.92</v>
      </c>
      <c r="AD231" s="129">
        <v>0.988440152180275</v>
      </c>
      <c r="AE231" s="129">
        <v>0.99321193836871</v>
      </c>
      <c r="AF231" s="129">
        <v>0.987301123923515</v>
      </c>
      <c r="AG231" s="129">
        <v>0.98988475092866</v>
      </c>
      <c r="AH231" s="131">
        <v>0.92</v>
      </c>
      <c r="AI231" s="129">
        <v>0.952579852579853</v>
      </c>
      <c r="AJ231" s="129">
        <v>0.972151898734177</v>
      </c>
      <c r="AK231" s="129">
        <v>0.974351458302799</v>
      </c>
      <c r="AL231" s="129">
        <v>0.963240774512758</v>
      </c>
      <c r="AM231" s="128">
        <v>0.99</v>
      </c>
      <c r="AN231" s="133">
        <v>1</v>
      </c>
      <c r="AO231" s="133">
        <v>1</v>
      </c>
      <c r="AP231" s="133">
        <v>1</v>
      </c>
      <c r="AQ231" s="133">
        <v>1</v>
      </c>
      <c r="AR231" s="153">
        <v>0.0719793575775068</v>
      </c>
      <c r="AS231" s="137">
        <v>0</v>
      </c>
      <c r="AT231" s="137">
        <v>0</v>
      </c>
      <c r="AU231" s="137">
        <v>0.0967741935483871</v>
      </c>
      <c r="AV231" s="137">
        <v>0.0461215932914046</v>
      </c>
      <c r="AW231" s="86"/>
      <c r="AX231" s="91"/>
    </row>
    <row r="232" ht="14.5" spans="1:50">
      <c r="A232" s="89"/>
      <c r="C232" s="148" t="s">
        <v>206</v>
      </c>
      <c r="D232" s="126" t="s">
        <v>207</v>
      </c>
      <c r="E232" s="152" t="s">
        <v>251</v>
      </c>
      <c r="F232" s="152" t="s">
        <v>251</v>
      </c>
      <c r="G232" s="152" t="s">
        <v>251</v>
      </c>
      <c r="H232" s="152" t="s">
        <v>251</v>
      </c>
      <c r="I232" s="128">
        <v>0.9</v>
      </c>
      <c r="J232" s="129">
        <v>0.92</v>
      </c>
      <c r="K232" s="129">
        <v>0.928571428571429</v>
      </c>
      <c r="L232" s="130">
        <v>0.983606557377049</v>
      </c>
      <c r="M232" s="129">
        <v>0.947432024169184</v>
      </c>
      <c r="N232" s="131">
        <v>0.9</v>
      </c>
      <c r="O232" s="129">
        <v>0.839989671199862</v>
      </c>
      <c r="P232" s="129">
        <v>0.942458808618504</v>
      </c>
      <c r="Q232" s="129">
        <v>0.91628701594533</v>
      </c>
      <c r="R232" s="129">
        <v>0.882722482774593</v>
      </c>
      <c r="S232" s="131">
        <v>0.9</v>
      </c>
      <c r="T232" s="129">
        <v>0.87588225167843</v>
      </c>
      <c r="U232" s="129">
        <v>0.901394169835234</v>
      </c>
      <c r="V232" s="129">
        <v>0.884538724373576</v>
      </c>
      <c r="W232" s="129">
        <v>0.880126609152143</v>
      </c>
      <c r="X232" s="131">
        <v>0.92</v>
      </c>
      <c r="Y232" s="131">
        <v>0.902598437749083</v>
      </c>
      <c r="Z232" s="131">
        <v>0.933817804308331</v>
      </c>
      <c r="AA232" s="131">
        <v>0.852354349561053</v>
      </c>
      <c r="AB232" s="131">
        <v>0.911881814984172</v>
      </c>
      <c r="AC232" s="131">
        <v>0.92</v>
      </c>
      <c r="AD232" s="129">
        <v>0.998421260360479</v>
      </c>
      <c r="AE232" s="129">
        <v>0.99585144211774</v>
      </c>
      <c r="AF232" s="129">
        <v>0.96284952079834</v>
      </c>
      <c r="AG232" s="129">
        <v>0.939213749137883</v>
      </c>
      <c r="AH232" s="131">
        <v>0.92</v>
      </c>
      <c r="AI232" s="129">
        <v>0.937852791594478</v>
      </c>
      <c r="AJ232" s="129">
        <v>0.955891780997564</v>
      </c>
      <c r="AK232" s="129">
        <v>0.934949113419368</v>
      </c>
      <c r="AL232" s="129">
        <v>0.945725519822805</v>
      </c>
      <c r="AM232" s="128">
        <v>0.99</v>
      </c>
      <c r="AN232" s="133">
        <v>1</v>
      </c>
      <c r="AO232" s="133">
        <v>1</v>
      </c>
      <c r="AP232" s="133">
        <v>1</v>
      </c>
      <c r="AQ232" s="133">
        <v>1</v>
      </c>
      <c r="AR232" s="153">
        <v>0.0719793575775068</v>
      </c>
      <c r="AS232" s="137">
        <v>0.0344827586206897</v>
      </c>
      <c r="AT232" s="137">
        <v>0.0377358490566038</v>
      </c>
      <c r="AU232" s="137">
        <v>0.172413793103448</v>
      </c>
      <c r="AV232" s="137">
        <v>0.0644122383252818</v>
      </c>
      <c r="AW232" s="93"/>
      <c r="AX232" s="91"/>
    </row>
    <row r="233" ht="14.5" spans="1:50">
      <c r="A233" s="89"/>
      <c r="C233" s="148" t="s">
        <v>206</v>
      </c>
      <c r="D233" s="126" t="s">
        <v>207</v>
      </c>
      <c r="E233" s="152" t="s">
        <v>252</v>
      </c>
      <c r="F233" s="152" t="s">
        <v>252</v>
      </c>
      <c r="G233" s="152" t="s">
        <v>252</v>
      </c>
      <c r="H233" s="152" t="s">
        <v>252</v>
      </c>
      <c r="I233" s="128">
        <v>0.9</v>
      </c>
      <c r="J233" s="129">
        <v>1</v>
      </c>
      <c r="K233" s="129">
        <v>0.963636363636364</v>
      </c>
      <c r="L233" s="130">
        <v>0.98</v>
      </c>
      <c r="M233" s="129">
        <v>0.980597014925373</v>
      </c>
      <c r="N233" s="131">
        <v>0.9</v>
      </c>
      <c r="O233" s="129">
        <v>0.943267923061978</v>
      </c>
      <c r="P233" s="129">
        <v>0.946326061997704</v>
      </c>
      <c r="Q233" s="129">
        <v>0.937971014492754</v>
      </c>
      <c r="R233" s="129">
        <v>0.945773721427397</v>
      </c>
      <c r="S233" s="131">
        <v>0.9</v>
      </c>
      <c r="T233" s="129">
        <v>0.908490382747231</v>
      </c>
      <c r="U233" s="129">
        <v>0.913892078071183</v>
      </c>
      <c r="V233" s="129">
        <v>0.868405797101449</v>
      </c>
      <c r="W233" s="129">
        <v>0.905196513731294</v>
      </c>
      <c r="X233" s="131">
        <v>0.92</v>
      </c>
      <c r="Y233" s="131">
        <v>0.928986442866365</v>
      </c>
      <c r="Z233" s="131">
        <v>0.941545408931259</v>
      </c>
      <c r="AA233" s="131">
        <v>0.887770897832817</v>
      </c>
      <c r="AB233" s="131">
        <v>0.928868162204176</v>
      </c>
      <c r="AC233" s="131">
        <v>0.92</v>
      </c>
      <c r="AD233" s="129">
        <v>0.997814758782989</v>
      </c>
      <c r="AE233" s="129">
        <v>0.997649516845129</v>
      </c>
      <c r="AF233" s="129">
        <v>0.993642814902425</v>
      </c>
      <c r="AG233" s="129">
        <v>0.996576269351521</v>
      </c>
      <c r="AH233" s="131">
        <v>0.92</v>
      </c>
      <c r="AI233" s="129">
        <v>0.957186173438448</v>
      </c>
      <c r="AJ233" s="129">
        <v>0.957179178375485</v>
      </c>
      <c r="AK233" s="129">
        <v>0.94179671024884</v>
      </c>
      <c r="AL233" s="129">
        <v>0.954114034475539</v>
      </c>
      <c r="AM233" s="128">
        <v>0.99</v>
      </c>
      <c r="AN233" s="133">
        <v>1</v>
      </c>
      <c r="AO233" s="133">
        <v>1</v>
      </c>
      <c r="AP233" s="133">
        <v>1</v>
      </c>
      <c r="AQ233" s="133">
        <v>1</v>
      </c>
      <c r="AR233" s="153">
        <v>0.0719793575775068</v>
      </c>
      <c r="AS233" s="137">
        <v>0.105263157894737</v>
      </c>
      <c r="AT233" s="137">
        <v>0.111111111111111</v>
      </c>
      <c r="AU233" s="137">
        <v>0.333333333333333</v>
      </c>
      <c r="AV233" s="137">
        <v>0.1</v>
      </c>
      <c r="AW233" s="93"/>
      <c r="AX233" s="91"/>
    </row>
    <row r="234" s="84" customFormat="1" ht="14.5" spans="1:50">
      <c r="A234" s="89"/>
      <c r="B234" s="86"/>
      <c r="C234" s="148" t="s">
        <v>206</v>
      </c>
      <c r="D234" s="126" t="s">
        <v>207</v>
      </c>
      <c r="E234" s="152" t="s">
        <v>253</v>
      </c>
      <c r="F234" s="152" t="s">
        <v>253</v>
      </c>
      <c r="G234" s="152" t="s">
        <v>253</v>
      </c>
      <c r="H234" s="152" t="s">
        <v>253</v>
      </c>
      <c r="I234" s="128">
        <v>0.9</v>
      </c>
      <c r="J234" s="129">
        <v>0.93</v>
      </c>
      <c r="K234" s="129">
        <v>0.918367346938776</v>
      </c>
      <c r="L234" s="130">
        <v>0.988235294117647</v>
      </c>
      <c r="M234" s="129">
        <v>0.938757655293088</v>
      </c>
      <c r="N234" s="131">
        <v>0.9</v>
      </c>
      <c r="O234" s="129">
        <v>0.916778852037694</v>
      </c>
      <c r="P234" s="129">
        <v>0.962956398440269</v>
      </c>
      <c r="Q234" s="129">
        <v>0.936477748193229</v>
      </c>
      <c r="R234" s="129">
        <v>0.931198945981555</v>
      </c>
      <c r="S234" s="131">
        <v>0.9</v>
      </c>
      <c r="T234" s="129">
        <v>0.89976747032187</v>
      </c>
      <c r="U234" s="129">
        <v>0.944345976604041</v>
      </c>
      <c r="V234" s="129">
        <v>0.926207683529859</v>
      </c>
      <c r="W234" s="129">
        <v>0.91596837944664</v>
      </c>
      <c r="X234" s="131">
        <v>0.92</v>
      </c>
      <c r="Y234" s="131">
        <v>0.910532498042287</v>
      </c>
      <c r="Z234" s="131">
        <v>0.933605220228385</v>
      </c>
      <c r="AA234" s="131">
        <v>0.91245440333507</v>
      </c>
      <c r="AB234" s="131">
        <v>0.926682354593987</v>
      </c>
      <c r="AC234" s="131">
        <v>0.92</v>
      </c>
      <c r="AD234" s="129">
        <v>0.991160049627792</v>
      </c>
      <c r="AE234" s="129">
        <v>0.989206691851052</v>
      </c>
      <c r="AF234" s="129">
        <v>0.952075013023094</v>
      </c>
      <c r="AG234" s="129">
        <v>0.979076101909426</v>
      </c>
      <c r="AH234" s="131">
        <v>0.92</v>
      </c>
      <c r="AI234" s="129">
        <v>0.941871846999473</v>
      </c>
      <c r="AJ234" s="129">
        <v>0.954815695600476</v>
      </c>
      <c r="AK234" s="129">
        <v>0.958066313736417</v>
      </c>
      <c r="AL234" s="129">
        <v>0.953989507831493</v>
      </c>
      <c r="AM234" s="128">
        <v>0.99</v>
      </c>
      <c r="AN234" s="133">
        <v>1</v>
      </c>
      <c r="AO234" s="133">
        <v>1</v>
      </c>
      <c r="AP234" s="133">
        <v>1</v>
      </c>
      <c r="AQ234" s="133">
        <v>1</v>
      </c>
      <c r="AR234" s="153">
        <v>0.0719793575775068</v>
      </c>
      <c r="AS234" s="137">
        <v>0.0232558139534884</v>
      </c>
      <c r="AT234" s="137">
        <v>0.0943396226415094</v>
      </c>
      <c r="AU234" s="137">
        <v>0.119047619047619</v>
      </c>
      <c r="AV234" s="137">
        <v>0.0525291828793774</v>
      </c>
      <c r="AW234" s="86"/>
      <c r="AX234" s="91"/>
    </row>
    <row r="235" s="84" customFormat="1" ht="14.5" spans="1:50">
      <c r="A235" s="89"/>
      <c r="B235" s="86"/>
      <c r="C235" s="148" t="s">
        <v>206</v>
      </c>
      <c r="D235" s="126" t="s">
        <v>207</v>
      </c>
      <c r="E235" s="152" t="s">
        <v>254</v>
      </c>
      <c r="F235" s="152" t="s">
        <v>254</v>
      </c>
      <c r="G235" s="152" t="s">
        <v>254</v>
      </c>
      <c r="H235" s="152" t="s">
        <v>254</v>
      </c>
      <c r="I235" s="128">
        <v>0.9</v>
      </c>
      <c r="J235" s="129">
        <v>0.892307692307692</v>
      </c>
      <c r="K235" s="129">
        <v>0.827586206896552</v>
      </c>
      <c r="L235" s="130">
        <v>0.925925925925926</v>
      </c>
      <c r="M235" s="129">
        <v>0.955686853766617</v>
      </c>
      <c r="N235" s="131">
        <v>0.9</v>
      </c>
      <c r="O235" s="129">
        <v>0.875490837696335</v>
      </c>
      <c r="P235" s="129">
        <v>0.951179630927353</v>
      </c>
      <c r="Q235" s="129">
        <v>0.889587525150905</v>
      </c>
      <c r="R235" s="129">
        <v>0.910907182283025</v>
      </c>
      <c r="S235" s="131">
        <v>0.9</v>
      </c>
      <c r="T235" s="129">
        <v>0.803337696335079</v>
      </c>
      <c r="U235" s="129">
        <v>0.888343844896052</v>
      </c>
      <c r="V235" s="129">
        <v>0.867203219315895</v>
      </c>
      <c r="W235" s="129">
        <v>0.854373370356574</v>
      </c>
      <c r="X235" s="131">
        <v>0.92</v>
      </c>
      <c r="Y235" s="131">
        <v>0.915682504806372</v>
      </c>
      <c r="Z235" s="131">
        <v>0.924322051713265</v>
      </c>
      <c r="AA235" s="131">
        <v>0.928216062544421</v>
      </c>
      <c r="AB235" s="131">
        <v>0.911589253187614</v>
      </c>
      <c r="AC235" s="131">
        <v>0.92</v>
      </c>
      <c r="AD235" s="129">
        <v>1</v>
      </c>
      <c r="AE235" s="129">
        <v>0.989010989010989</v>
      </c>
      <c r="AF235" s="129">
        <v>1</v>
      </c>
      <c r="AG235" s="129">
        <v>0.956076134699854</v>
      </c>
      <c r="AH235" s="131">
        <v>0.92</v>
      </c>
      <c r="AI235" s="129">
        <v>0.943709627806829</v>
      </c>
      <c r="AJ235" s="129">
        <v>0.948224361101892</v>
      </c>
      <c r="AK235" s="129">
        <v>0.956715586104403</v>
      </c>
      <c r="AL235" s="129">
        <v>0.94316118571165</v>
      </c>
      <c r="AM235" s="128">
        <v>0.99</v>
      </c>
      <c r="AN235" s="133">
        <v>1</v>
      </c>
      <c r="AO235" s="133">
        <v>1</v>
      </c>
      <c r="AP235" s="133">
        <v>1</v>
      </c>
      <c r="AQ235" s="133">
        <v>1</v>
      </c>
      <c r="AR235" s="153">
        <v>0.0719793575775068</v>
      </c>
      <c r="AS235" s="137">
        <v>0.0434782608695652</v>
      </c>
      <c r="AT235" s="137">
        <v>0.117647058823529</v>
      </c>
      <c r="AU235" s="137">
        <v>0.230769230769231</v>
      </c>
      <c r="AV235" s="137">
        <v>0.0476190476190476</v>
      </c>
      <c r="AW235" s="86"/>
      <c r="AX235" s="91"/>
    </row>
    <row r="236" s="84" customFormat="1" ht="14.5" spans="1:50">
      <c r="A236" s="89"/>
      <c r="B236" s="86"/>
      <c r="C236" s="148" t="s">
        <v>206</v>
      </c>
      <c r="D236" s="126" t="s">
        <v>207</v>
      </c>
      <c r="E236" s="152" t="s">
        <v>255</v>
      </c>
      <c r="F236" s="152" t="s">
        <v>255</v>
      </c>
      <c r="G236" s="152" t="s">
        <v>255</v>
      </c>
      <c r="H236" s="152" t="s">
        <v>255</v>
      </c>
      <c r="I236" s="128">
        <v>0.9</v>
      </c>
      <c r="J236" s="129">
        <v>0.927272727272727</v>
      </c>
      <c r="K236" s="129">
        <v>1</v>
      </c>
      <c r="L236" s="130">
        <v>0.977272727272727</v>
      </c>
      <c r="M236" s="129">
        <v>0.955631399317406</v>
      </c>
      <c r="N236" s="131">
        <v>0.9</v>
      </c>
      <c r="O236" s="129">
        <v>0.792124039517014</v>
      </c>
      <c r="P236" s="129">
        <v>0.980976863753213</v>
      </c>
      <c r="Q236" s="129">
        <v>0.978819969742814</v>
      </c>
      <c r="R236" s="129">
        <v>0.959060713733972</v>
      </c>
      <c r="S236" s="131">
        <v>0.9</v>
      </c>
      <c r="T236" s="129">
        <v>0.936608122941822</v>
      </c>
      <c r="U236" s="129">
        <v>0.94293059125964</v>
      </c>
      <c r="V236" s="129">
        <v>0.938350983358548</v>
      </c>
      <c r="W236" s="129">
        <v>0.950888305268036</v>
      </c>
      <c r="X236" s="131">
        <v>0.92</v>
      </c>
      <c r="Y236" s="131">
        <v>0.230769230769231</v>
      </c>
      <c r="Z236" s="131" t="s">
        <v>33</v>
      </c>
      <c r="AA236" s="131" t="s">
        <v>33</v>
      </c>
      <c r="AB236" s="131">
        <v>0.5</v>
      </c>
      <c r="AC236" s="131">
        <v>0.92</v>
      </c>
      <c r="AD236" s="129">
        <v>0.994897959183674</v>
      </c>
      <c r="AE236" s="129">
        <v>0.991428571428571</v>
      </c>
      <c r="AF236" s="129">
        <v>0.997929606625259</v>
      </c>
      <c r="AG236" s="129">
        <v>0.986436498150432</v>
      </c>
      <c r="AH236" s="131">
        <v>0.92</v>
      </c>
      <c r="AI236" s="129">
        <v>0.983700862895494</v>
      </c>
      <c r="AJ236" s="129">
        <v>0.982005141388175</v>
      </c>
      <c r="AK236" s="129">
        <v>0.985438729198185</v>
      </c>
      <c r="AL236" s="129">
        <v>0.987244031256756</v>
      </c>
      <c r="AM236" s="128">
        <v>0.99</v>
      </c>
      <c r="AN236" s="133">
        <v>1</v>
      </c>
      <c r="AO236" s="133">
        <v>1</v>
      </c>
      <c r="AP236" s="133">
        <v>1</v>
      </c>
      <c r="AQ236" s="133">
        <v>1</v>
      </c>
      <c r="AR236" s="153">
        <v>0.0719793575775068</v>
      </c>
      <c r="AS236" s="137">
        <v>0</v>
      </c>
      <c r="AT236" s="137">
        <v>0</v>
      </c>
      <c r="AU236" s="137">
        <v>0.125</v>
      </c>
      <c r="AV236" s="137">
        <v>0.066147859922179</v>
      </c>
      <c r="AW236" s="86"/>
      <c r="AX236" s="91"/>
    </row>
    <row r="237" s="85" customFormat="1" ht="14.5" spans="1:50">
      <c r="A237" s="89"/>
      <c r="C237" s="154"/>
      <c r="D237" s="155"/>
      <c r="E237" s="155"/>
      <c r="F237" s="155"/>
      <c r="G237" s="155"/>
      <c r="H237" s="155"/>
      <c r="I237" s="156"/>
      <c r="J237" s="143"/>
      <c r="K237" s="143"/>
      <c r="L237" s="130"/>
      <c r="M237" s="143"/>
      <c r="N237" s="146"/>
      <c r="O237" s="143"/>
      <c r="P237" s="143"/>
      <c r="Q237" s="129"/>
      <c r="R237" s="143"/>
      <c r="S237" s="146"/>
      <c r="T237" s="143"/>
      <c r="U237" s="143"/>
      <c r="V237" s="129"/>
      <c r="W237" s="143"/>
      <c r="X237" s="146"/>
      <c r="Y237" s="146"/>
      <c r="Z237" s="146"/>
      <c r="AA237" s="131"/>
      <c r="AB237" s="146"/>
      <c r="AC237" s="146"/>
      <c r="AD237" s="143"/>
      <c r="AE237" s="143"/>
      <c r="AF237" s="129"/>
      <c r="AG237" s="143"/>
      <c r="AH237" s="146"/>
      <c r="AI237" s="143"/>
      <c r="AJ237" s="143"/>
      <c r="AK237" s="129"/>
      <c r="AL237" s="143"/>
      <c r="AM237" s="142"/>
      <c r="AN237" s="142"/>
      <c r="AO237" s="142"/>
      <c r="AP237" s="133"/>
      <c r="AQ237" s="142"/>
      <c r="AR237" s="143"/>
      <c r="AS237" s="142"/>
      <c r="AT237" s="142"/>
      <c r="AU237" s="137"/>
      <c r="AV237" s="142"/>
      <c r="AW237" s="86"/>
      <c r="AX237" s="91"/>
    </row>
    <row r="238" ht="14.5" spans="1:50">
      <c r="A238" s="89"/>
      <c r="B238" s="93"/>
      <c r="C238" s="157" t="s">
        <v>256</v>
      </c>
      <c r="D238" s="126" t="s">
        <v>257</v>
      </c>
      <c r="E238" s="158" t="s">
        <v>258</v>
      </c>
      <c r="F238" s="158" t="s">
        <v>258</v>
      </c>
      <c r="G238" s="158" t="s">
        <v>258</v>
      </c>
      <c r="H238" s="158" t="s">
        <v>258</v>
      </c>
      <c r="I238" s="128">
        <v>0.9</v>
      </c>
      <c r="J238" s="129">
        <v>0.969072164948454</v>
      </c>
      <c r="K238" s="129">
        <v>0.978260869565217</v>
      </c>
      <c r="L238" s="130">
        <v>0.941176470588235</v>
      </c>
      <c r="M238" s="129">
        <v>0.967961165048544</v>
      </c>
      <c r="N238" s="131">
        <v>0.9</v>
      </c>
      <c r="O238" s="129">
        <v>0.875215146299484</v>
      </c>
      <c r="P238" s="129">
        <v>0.960033538289547</v>
      </c>
      <c r="Q238" s="129">
        <v>0.961663066954644</v>
      </c>
      <c r="R238" s="129">
        <v>0.914775610817081</v>
      </c>
      <c r="S238" s="131">
        <v>0.9</v>
      </c>
      <c r="T238" s="129">
        <v>0.867986230636833</v>
      </c>
      <c r="U238" s="129">
        <v>0.923420905533818</v>
      </c>
      <c r="V238" s="129">
        <v>0.883099352051836</v>
      </c>
      <c r="W238" s="129">
        <v>0.876459073443051</v>
      </c>
      <c r="X238" s="131">
        <v>0.92</v>
      </c>
      <c r="Y238" s="131">
        <v>0.951687624090007</v>
      </c>
      <c r="Z238" s="131">
        <v>0.943795326349718</v>
      </c>
      <c r="AA238" s="131">
        <v>0.942953020134228</v>
      </c>
      <c r="AB238" s="131">
        <v>0.945968745386676</v>
      </c>
      <c r="AC238" s="131">
        <v>0.92</v>
      </c>
      <c r="AD238" s="129">
        <v>0.928149373670527</v>
      </c>
      <c r="AE238" s="129">
        <v>0.950471321297332</v>
      </c>
      <c r="AF238" s="129">
        <v>0.937865497076023</v>
      </c>
      <c r="AG238" s="129">
        <v>0.947109906086683</v>
      </c>
      <c r="AH238" s="131">
        <v>0.92</v>
      </c>
      <c r="AI238" s="129">
        <v>0.969547563805104</v>
      </c>
      <c r="AJ238" s="129">
        <v>0.960908239700375</v>
      </c>
      <c r="AK238" s="129">
        <v>0.962220762155059</v>
      </c>
      <c r="AL238" s="129">
        <v>0.965166371025906</v>
      </c>
      <c r="AM238" s="128">
        <v>0.99</v>
      </c>
      <c r="AN238" s="133">
        <v>1</v>
      </c>
      <c r="AO238" s="133">
        <v>1</v>
      </c>
      <c r="AP238" s="133">
        <v>1</v>
      </c>
      <c r="AQ238" s="133">
        <v>1</v>
      </c>
      <c r="AR238" s="153">
        <v>0.0922287257019438</v>
      </c>
      <c r="AS238" s="137">
        <v>0.133333333333333</v>
      </c>
      <c r="AT238" s="137">
        <v>0.0714285714285714</v>
      </c>
      <c r="AU238" s="137">
        <v>0.222222222222222</v>
      </c>
      <c r="AV238" s="137">
        <v>0.09375</v>
      </c>
      <c r="AW238" s="93"/>
      <c r="AX238" s="91"/>
    </row>
    <row r="239" ht="14.5" spans="1:50">
      <c r="A239" s="89"/>
      <c r="B239" s="93"/>
      <c r="C239" s="157" t="s">
        <v>256</v>
      </c>
      <c r="D239" s="126" t="s">
        <v>257</v>
      </c>
      <c r="E239" s="158" t="s">
        <v>259</v>
      </c>
      <c r="F239" s="158" t="s">
        <v>259</v>
      </c>
      <c r="G239" s="158" t="s">
        <v>259</v>
      </c>
      <c r="H239" s="158" t="s">
        <v>259</v>
      </c>
      <c r="I239" s="128">
        <v>0.9</v>
      </c>
      <c r="J239" s="129">
        <v>0.818181818181818</v>
      </c>
      <c r="K239" s="129">
        <v>0.758064516129032</v>
      </c>
      <c r="L239" s="130">
        <v>0.764705882352941</v>
      </c>
      <c r="M239" s="129">
        <v>0.819444444444444</v>
      </c>
      <c r="N239" s="131">
        <v>0.9</v>
      </c>
      <c r="O239" s="129">
        <v>0.974083586271305</v>
      </c>
      <c r="P239" s="129">
        <v>0.960791925465838</v>
      </c>
      <c r="Q239" s="129">
        <v>0.965957446808511</v>
      </c>
      <c r="R239" s="129">
        <v>0.936896006425864</v>
      </c>
      <c r="S239" s="131">
        <v>0.9</v>
      </c>
      <c r="T239" s="129">
        <v>0.915246322671025</v>
      </c>
      <c r="U239" s="129">
        <v>0.944875776397516</v>
      </c>
      <c r="V239" s="129">
        <v>0.933075435203095</v>
      </c>
      <c r="W239" s="129">
        <v>0.932578628981651</v>
      </c>
      <c r="X239" s="131">
        <v>0.92</v>
      </c>
      <c r="Y239" s="131">
        <v>0.968802984062394</v>
      </c>
      <c r="Z239" s="131">
        <v>0.984753811547113</v>
      </c>
      <c r="AA239" s="131">
        <v>0.972633136094675</v>
      </c>
      <c r="AB239" s="131">
        <v>0.97799662851566</v>
      </c>
      <c r="AC239" s="131">
        <v>0.92</v>
      </c>
      <c r="AD239" s="129">
        <v>0.988372093023256</v>
      </c>
      <c r="AE239" s="129">
        <v>0.982316152684926</v>
      </c>
      <c r="AF239" s="129">
        <v>0.981695568400771</v>
      </c>
      <c r="AG239" s="129">
        <v>0.987979342277098</v>
      </c>
      <c r="AH239" s="131">
        <v>0.92</v>
      </c>
      <c r="AI239" s="129">
        <v>0.979950221238938</v>
      </c>
      <c r="AJ239" s="129">
        <v>0.988603555690625</v>
      </c>
      <c r="AK239" s="129">
        <v>0.986283972567945</v>
      </c>
      <c r="AL239" s="129">
        <v>0.986751191171081</v>
      </c>
      <c r="AM239" s="128">
        <v>0.99</v>
      </c>
      <c r="AN239" s="133">
        <v>1</v>
      </c>
      <c r="AO239" s="133">
        <v>1</v>
      </c>
      <c r="AP239" s="133">
        <v>1</v>
      </c>
      <c r="AQ239" s="133">
        <v>1</v>
      </c>
      <c r="AR239" s="153">
        <v>0.0922287257019438</v>
      </c>
      <c r="AS239" s="137">
        <v>0.111111111111111</v>
      </c>
      <c r="AT239" s="137">
        <v>0</v>
      </c>
      <c r="AU239" s="137">
        <v>0</v>
      </c>
      <c r="AV239" s="137">
        <v>0.0816326530612245</v>
      </c>
      <c r="AW239" s="93"/>
      <c r="AX239" s="91"/>
    </row>
    <row r="240" ht="14.5" spans="1:50">
      <c r="A240" s="89"/>
      <c r="B240" s="93"/>
      <c r="C240" s="157" t="s">
        <v>256</v>
      </c>
      <c r="D240" s="126" t="s">
        <v>257</v>
      </c>
      <c r="E240" s="158" t="s">
        <v>260</v>
      </c>
      <c r="F240" s="158" t="s">
        <v>260</v>
      </c>
      <c r="G240" s="158" t="s">
        <v>260</v>
      </c>
      <c r="H240" s="158" t="s">
        <v>260</v>
      </c>
      <c r="I240" s="128">
        <v>0.9</v>
      </c>
      <c r="J240" s="129">
        <v>0.975903614457831</v>
      </c>
      <c r="K240" s="129">
        <v>1</v>
      </c>
      <c r="L240" s="130">
        <v>0.971830985915493</v>
      </c>
      <c r="M240" s="129">
        <v>0.977824709609292</v>
      </c>
      <c r="N240" s="131">
        <v>0.9</v>
      </c>
      <c r="O240" s="129">
        <v>0.917408030776629</v>
      </c>
      <c r="P240" s="129">
        <v>0.978674615913781</v>
      </c>
      <c r="Q240" s="129">
        <v>0.973493516399695</v>
      </c>
      <c r="R240" s="129">
        <v>0.958132002336325</v>
      </c>
      <c r="S240" s="131">
        <v>0.9</v>
      </c>
      <c r="T240" s="129">
        <v>0.947343111324838</v>
      </c>
      <c r="U240" s="129">
        <v>0.95390965374914</v>
      </c>
      <c r="V240" s="129">
        <v>0.938024408848207</v>
      </c>
      <c r="W240" s="129">
        <v>0.959061222322519</v>
      </c>
      <c r="X240" s="131">
        <v>0.92</v>
      </c>
      <c r="Y240" s="131">
        <v>0.960669077757685</v>
      </c>
      <c r="Z240" s="131">
        <v>0.949983760961351</v>
      </c>
      <c r="AA240" s="131">
        <v>0.95405669599218</v>
      </c>
      <c r="AB240" s="131">
        <v>0.9597439369691</v>
      </c>
      <c r="AC240" s="131">
        <v>0.92</v>
      </c>
      <c r="AD240" s="129">
        <v>0.992407809110629</v>
      </c>
      <c r="AE240" s="129">
        <v>0.986693091732729</v>
      </c>
      <c r="AF240" s="129">
        <v>0.873716632443532</v>
      </c>
      <c r="AG240" s="129">
        <v>0.939964639864709</v>
      </c>
      <c r="AH240" s="131">
        <v>0.92</v>
      </c>
      <c r="AI240" s="129">
        <v>0.981956315289649</v>
      </c>
      <c r="AJ240" s="129">
        <v>0.973252688172043</v>
      </c>
      <c r="AK240" s="129">
        <v>0.985639061752034</v>
      </c>
      <c r="AL240" s="129">
        <v>0.983301407094645</v>
      </c>
      <c r="AM240" s="128">
        <v>0.99</v>
      </c>
      <c r="AN240" s="133">
        <v>1</v>
      </c>
      <c r="AO240" s="133">
        <v>1</v>
      </c>
      <c r="AP240" s="133">
        <v>1</v>
      </c>
      <c r="AQ240" s="133">
        <v>1</v>
      </c>
      <c r="AR240" s="153">
        <v>0.0922287257019438</v>
      </c>
      <c r="AS240" s="137">
        <v>0.19047619047619</v>
      </c>
      <c r="AT240" s="137">
        <v>0</v>
      </c>
      <c r="AU240" s="137">
        <v>0.333333333333333</v>
      </c>
      <c r="AV240" s="137">
        <v>0.141592920353982</v>
      </c>
      <c r="AW240" s="93"/>
      <c r="AX240" s="91"/>
    </row>
    <row r="241" ht="14.5" spans="1:50">
      <c r="A241" s="89"/>
      <c r="B241" s="93"/>
      <c r="C241" s="157" t="s">
        <v>256</v>
      </c>
      <c r="D241" s="126" t="s">
        <v>257</v>
      </c>
      <c r="E241" s="158" t="s">
        <v>261</v>
      </c>
      <c r="F241" s="158" t="s">
        <v>261</v>
      </c>
      <c r="G241" s="158" t="s">
        <v>261</v>
      </c>
      <c r="H241" s="158" t="s">
        <v>261</v>
      </c>
      <c r="I241" s="128">
        <v>0.9</v>
      </c>
      <c r="J241" s="129">
        <v>1</v>
      </c>
      <c r="K241" s="129">
        <v>1</v>
      </c>
      <c r="L241" s="130">
        <v>1</v>
      </c>
      <c r="M241" s="129">
        <v>0.998679867986799</v>
      </c>
      <c r="N241" s="131">
        <v>0.9</v>
      </c>
      <c r="O241" s="129">
        <v>0.911723329425557</v>
      </c>
      <c r="P241" s="129">
        <v>0.975265665078783</v>
      </c>
      <c r="Q241" s="129">
        <v>0.959117702985358</v>
      </c>
      <c r="R241" s="129">
        <v>0.923099383189168</v>
      </c>
      <c r="S241" s="131">
        <v>0.9</v>
      </c>
      <c r="T241" s="129">
        <v>0.907737397420868</v>
      </c>
      <c r="U241" s="129">
        <v>0.944118724807622</v>
      </c>
      <c r="V241" s="129">
        <v>0.935348925651264</v>
      </c>
      <c r="W241" s="129">
        <v>0.933708042872611</v>
      </c>
      <c r="X241" s="131">
        <v>0.92</v>
      </c>
      <c r="Y241" s="131">
        <v>0.963562753036437</v>
      </c>
      <c r="Z241" s="131">
        <v>0.973712510455252</v>
      </c>
      <c r="AA241" s="131">
        <v>0.942954287873064</v>
      </c>
      <c r="AB241" s="131">
        <v>0.967000606288073</v>
      </c>
      <c r="AC241" s="131">
        <v>0.92</v>
      </c>
      <c r="AD241" s="129">
        <v>0.977441745166088</v>
      </c>
      <c r="AE241" s="129">
        <v>0.991059689718643</v>
      </c>
      <c r="AF241" s="129">
        <v>0.695007800312012</v>
      </c>
      <c r="AG241" s="129">
        <v>0.95667357958992</v>
      </c>
      <c r="AH241" s="131">
        <v>0.92</v>
      </c>
      <c r="AI241" s="129">
        <v>0.975587828492393</v>
      </c>
      <c r="AJ241" s="129">
        <v>0.980692747125606</v>
      </c>
      <c r="AK241" s="129">
        <v>0.972306525037936</v>
      </c>
      <c r="AL241" s="129">
        <v>0.979365655632199</v>
      </c>
      <c r="AM241" s="128">
        <v>0.99</v>
      </c>
      <c r="AN241" s="133">
        <v>1</v>
      </c>
      <c r="AO241" s="133">
        <v>1</v>
      </c>
      <c r="AP241" s="133">
        <v>1</v>
      </c>
      <c r="AQ241" s="133">
        <v>1</v>
      </c>
      <c r="AR241" s="153">
        <v>0.0922287257019438</v>
      </c>
      <c r="AS241" s="137">
        <v>0.1</v>
      </c>
      <c r="AT241" s="137">
        <v>0.0384615384615385</v>
      </c>
      <c r="AU241" s="137">
        <v>0.0833333333333333</v>
      </c>
      <c r="AV241" s="137">
        <v>0.0563380281690141</v>
      </c>
      <c r="AW241" s="93"/>
      <c r="AX241" s="91"/>
    </row>
    <row r="242" ht="14.5" spans="1:50">
      <c r="A242" s="89"/>
      <c r="B242" s="93"/>
      <c r="C242" s="157" t="s">
        <v>256</v>
      </c>
      <c r="D242" s="126" t="s">
        <v>257</v>
      </c>
      <c r="E242" s="158" t="s">
        <v>262</v>
      </c>
      <c r="F242" s="158" t="s">
        <v>262</v>
      </c>
      <c r="G242" s="158" t="s">
        <v>262</v>
      </c>
      <c r="H242" s="158" t="s">
        <v>262</v>
      </c>
      <c r="I242" s="128">
        <v>0.9</v>
      </c>
      <c r="J242" s="129">
        <v>0.990825688073395</v>
      </c>
      <c r="K242" s="129">
        <v>1</v>
      </c>
      <c r="L242" s="130">
        <v>0.97752808988764</v>
      </c>
      <c r="M242" s="129">
        <v>0.982658959537572</v>
      </c>
      <c r="N242" s="131">
        <v>0.9</v>
      </c>
      <c r="O242" s="129">
        <v>0.974506350236396</v>
      </c>
      <c r="P242" s="129">
        <v>0.973556019485038</v>
      </c>
      <c r="Q242" s="129">
        <v>0.980730802169569</v>
      </c>
      <c r="R242" s="129">
        <v>0.976382914874462</v>
      </c>
      <c r="S242" s="131">
        <v>0.9</v>
      </c>
      <c r="T242" s="129">
        <v>0.950959488272921</v>
      </c>
      <c r="U242" s="129">
        <v>0.952157272094642</v>
      </c>
      <c r="V242" s="129">
        <v>0.964744504710248</v>
      </c>
      <c r="W242" s="129">
        <v>0.958317495248575</v>
      </c>
      <c r="X242" s="131">
        <v>0.92</v>
      </c>
      <c r="Y242" s="131">
        <v>0.971914008321775</v>
      </c>
      <c r="Z242" s="131">
        <v>0.980147620259608</v>
      </c>
      <c r="AA242" s="131">
        <v>0.96875</v>
      </c>
      <c r="AB242" s="131">
        <v>0.976527709054923</v>
      </c>
      <c r="AC242" s="131">
        <v>0.92</v>
      </c>
      <c r="AD242" s="129">
        <v>0.990520882214923</v>
      </c>
      <c r="AE242" s="129">
        <v>0.988803475935829</v>
      </c>
      <c r="AF242" s="129">
        <v>0.837141937560348</v>
      </c>
      <c r="AG242" s="129">
        <v>0.953555628238453</v>
      </c>
      <c r="AH242" s="131">
        <v>0.92</v>
      </c>
      <c r="AI242" s="129">
        <v>0.98324921366396</v>
      </c>
      <c r="AJ242" s="129">
        <v>0.986362227502841</v>
      </c>
      <c r="AK242" s="129">
        <v>0.985738055621583</v>
      </c>
      <c r="AL242" s="129">
        <v>0.987098675857065</v>
      </c>
      <c r="AM242" s="128">
        <v>0.99</v>
      </c>
      <c r="AN242" s="133">
        <v>1</v>
      </c>
      <c r="AO242" s="133">
        <v>1</v>
      </c>
      <c r="AP242" s="133">
        <v>1</v>
      </c>
      <c r="AQ242" s="133">
        <v>1</v>
      </c>
      <c r="AR242" s="153">
        <v>0.0922287257019438</v>
      </c>
      <c r="AS242" s="137">
        <v>0.0769230769230769</v>
      </c>
      <c r="AT242" s="137">
        <v>0</v>
      </c>
      <c r="AU242" s="137">
        <v>0.214285714285714</v>
      </c>
      <c r="AV242" s="137">
        <v>0.119170984455959</v>
      </c>
      <c r="AW242" s="93"/>
      <c r="AX242" s="91"/>
    </row>
    <row r="243" ht="14.5" spans="1:50">
      <c r="A243" s="89"/>
      <c r="B243" s="93"/>
      <c r="C243" s="157" t="s">
        <v>256</v>
      </c>
      <c r="D243" s="126" t="s">
        <v>257</v>
      </c>
      <c r="E243" s="158" t="s">
        <v>263</v>
      </c>
      <c r="F243" s="158" t="s">
        <v>263</v>
      </c>
      <c r="G243" s="158" t="s">
        <v>263</v>
      </c>
      <c r="H243" s="158" t="s">
        <v>263</v>
      </c>
      <c r="I243" s="128">
        <v>0.9</v>
      </c>
      <c r="J243" s="129">
        <v>0.763157894736842</v>
      </c>
      <c r="K243" s="129">
        <v>0.726415094339623</v>
      </c>
      <c r="L243" s="130">
        <v>0.7</v>
      </c>
      <c r="M243" s="129">
        <v>0.734991423670669</v>
      </c>
      <c r="N243" s="131">
        <v>0.9</v>
      </c>
      <c r="O243" s="129">
        <v>0.949650718333992</v>
      </c>
      <c r="P243" s="129">
        <v>0.954418789808917</v>
      </c>
      <c r="Q243" s="129">
        <v>0.932879182528551</v>
      </c>
      <c r="R243" s="129">
        <v>0.922557879567402</v>
      </c>
      <c r="S243" s="131">
        <v>0.9</v>
      </c>
      <c r="T243" s="129">
        <v>0.929616449189403</v>
      </c>
      <c r="U243" s="129">
        <v>0.928742038216561</v>
      </c>
      <c r="V243" s="129">
        <v>0.910438789821679</v>
      </c>
      <c r="W243" s="129">
        <v>0.926382846907029</v>
      </c>
      <c r="X243" s="131">
        <v>0.92</v>
      </c>
      <c r="Y243" s="131">
        <v>0.951219512195122</v>
      </c>
      <c r="Z243" s="131">
        <v>0.957935263082846</v>
      </c>
      <c r="AA243" s="131">
        <v>0.951239669421488</v>
      </c>
      <c r="AB243" s="131">
        <v>0.95612261535953</v>
      </c>
      <c r="AC243" s="131">
        <v>0.92</v>
      </c>
      <c r="AD243" s="129">
        <v>0.986541554959786</v>
      </c>
      <c r="AE243" s="129">
        <v>0.934967592424956</v>
      </c>
      <c r="AF243" s="129">
        <v>0.8963528902984</v>
      </c>
      <c r="AG243" s="129">
        <v>0.927894994387035</v>
      </c>
      <c r="AH243" s="131">
        <v>0.92</v>
      </c>
      <c r="AI243" s="129">
        <v>0.968261340764824</v>
      </c>
      <c r="AJ243" s="129">
        <v>0.968765575677023</v>
      </c>
      <c r="AK243" s="129">
        <v>0.968429573664328</v>
      </c>
      <c r="AL243" s="129">
        <v>0.971315434361013</v>
      </c>
      <c r="AM243" s="128">
        <v>0.99</v>
      </c>
      <c r="AN243" s="133">
        <v>1</v>
      </c>
      <c r="AO243" s="133">
        <v>1</v>
      </c>
      <c r="AP243" s="133">
        <v>1</v>
      </c>
      <c r="AQ243" s="133">
        <v>1</v>
      </c>
      <c r="AR243" s="153">
        <v>0.0922287257019438</v>
      </c>
      <c r="AS243" s="137">
        <v>0.136363636363636</v>
      </c>
      <c r="AT243" s="137">
        <v>0.0869565217391304</v>
      </c>
      <c r="AU243" s="137">
        <v>0.0454545454545455</v>
      </c>
      <c r="AV243" s="137">
        <v>0.088339222614841</v>
      </c>
      <c r="AW243" s="93"/>
      <c r="AX243" s="91"/>
    </row>
    <row r="244" ht="14.5" spans="1:50">
      <c r="A244" s="89"/>
      <c r="B244" s="93"/>
      <c r="C244" s="157" t="s">
        <v>256</v>
      </c>
      <c r="D244" s="126" t="s">
        <v>257</v>
      </c>
      <c r="E244" s="158" t="s">
        <v>264</v>
      </c>
      <c r="F244" s="158" t="s">
        <v>264</v>
      </c>
      <c r="G244" s="158" t="s">
        <v>264</v>
      </c>
      <c r="H244" s="158" t="s">
        <v>264</v>
      </c>
      <c r="I244" s="128">
        <v>0.9</v>
      </c>
      <c r="J244" s="129">
        <v>0.901785714285714</v>
      </c>
      <c r="K244" s="129">
        <v>0.931372549019608</v>
      </c>
      <c r="L244" s="130">
        <v>0.952941176470588</v>
      </c>
      <c r="M244" s="129">
        <v>0.933333333333333</v>
      </c>
      <c r="N244" s="131">
        <v>0.9</v>
      </c>
      <c r="O244" s="129">
        <v>0.929050237252391</v>
      </c>
      <c r="P244" s="129">
        <v>0.954152629266149</v>
      </c>
      <c r="Q244" s="129">
        <v>0.966613477353627</v>
      </c>
      <c r="R244" s="129">
        <v>0.942358213568227</v>
      </c>
      <c r="S244" s="131">
        <v>0.9</v>
      </c>
      <c r="T244" s="129">
        <v>0.933343375762597</v>
      </c>
      <c r="U244" s="129">
        <v>0.943313314779552</v>
      </c>
      <c r="V244" s="129">
        <v>0.936786547195287</v>
      </c>
      <c r="W244" s="129">
        <v>0.928518690224764</v>
      </c>
      <c r="X244" s="131">
        <v>0.92</v>
      </c>
      <c r="Y244" s="131">
        <v>0.974316024567281</v>
      </c>
      <c r="Z244" s="131">
        <v>0.968712151796528</v>
      </c>
      <c r="AA244" s="131">
        <v>0.958508719182201</v>
      </c>
      <c r="AB244" s="131">
        <v>0.97399870382372</v>
      </c>
      <c r="AC244" s="131">
        <v>0.92</v>
      </c>
      <c r="AD244" s="129">
        <v>0.99215965787598</v>
      </c>
      <c r="AE244" s="129">
        <v>0.848110736999626</v>
      </c>
      <c r="AF244" s="129">
        <v>0.949263502454992</v>
      </c>
      <c r="AG244" s="129">
        <v>0.946273446577768</v>
      </c>
      <c r="AH244" s="131">
        <v>0.92</v>
      </c>
      <c r="AI244" s="129">
        <v>0.982622620247909</v>
      </c>
      <c r="AJ244" s="129">
        <v>0.97920733259781</v>
      </c>
      <c r="AK244" s="129">
        <v>0.984405259402711</v>
      </c>
      <c r="AL244" s="129">
        <v>0.984458431139887</v>
      </c>
      <c r="AM244" s="128">
        <v>0.99</v>
      </c>
      <c r="AN244" s="133">
        <v>1</v>
      </c>
      <c r="AO244" s="133">
        <v>1</v>
      </c>
      <c r="AP244" s="133">
        <v>1</v>
      </c>
      <c r="AQ244" s="133">
        <v>1</v>
      </c>
      <c r="AR244" s="153">
        <v>0.0922287257019438</v>
      </c>
      <c r="AS244" s="137">
        <v>0.0344827586206897</v>
      </c>
      <c r="AT244" s="137">
        <v>0.115384615384615</v>
      </c>
      <c r="AU244" s="137">
        <v>0.0555555555555556</v>
      </c>
      <c r="AV244" s="137">
        <v>0.116883116883117</v>
      </c>
      <c r="AW244" s="93"/>
      <c r="AX244" s="91"/>
    </row>
    <row r="245" ht="14.5" spans="1:50">
      <c r="A245" s="89"/>
      <c r="B245" s="93"/>
      <c r="C245" s="157" t="s">
        <v>256</v>
      </c>
      <c r="D245" s="126" t="s">
        <v>257</v>
      </c>
      <c r="E245" s="158" t="s">
        <v>265</v>
      </c>
      <c r="F245" s="158" t="s">
        <v>265</v>
      </c>
      <c r="G245" s="158" t="s">
        <v>265</v>
      </c>
      <c r="H245" s="158" t="s">
        <v>265</v>
      </c>
      <c r="I245" s="128">
        <v>0.9</v>
      </c>
      <c r="J245" s="129">
        <v>0.919191919191919</v>
      </c>
      <c r="K245" s="129">
        <v>0.947368421052632</v>
      </c>
      <c r="L245" s="130">
        <v>0.884615384615385</v>
      </c>
      <c r="M245" s="129">
        <v>0.910946196660482</v>
      </c>
      <c r="N245" s="131">
        <v>0.9</v>
      </c>
      <c r="O245" s="129">
        <v>0.969536636203303</v>
      </c>
      <c r="P245" s="129">
        <v>0.978847556528082</v>
      </c>
      <c r="Q245" s="129">
        <v>0.984</v>
      </c>
      <c r="R245" s="129">
        <v>0.961114817044401</v>
      </c>
      <c r="S245" s="131">
        <v>0.9</v>
      </c>
      <c r="T245" s="129">
        <v>0.913740580407247</v>
      </c>
      <c r="U245" s="129">
        <v>0.939703379528325</v>
      </c>
      <c r="V245" s="129">
        <v>0.909090909090909</v>
      </c>
      <c r="W245" s="129">
        <v>0.91733237882954</v>
      </c>
      <c r="X245" s="131">
        <v>0.92</v>
      </c>
      <c r="Y245" s="131">
        <v>0.961129943502825</v>
      </c>
      <c r="Z245" s="131">
        <v>0.978282828282828</v>
      </c>
      <c r="AA245" s="131">
        <v>0.9585</v>
      </c>
      <c r="AB245" s="131">
        <v>0.972977634680619</v>
      </c>
      <c r="AC245" s="131">
        <v>0.92</v>
      </c>
      <c r="AD245" s="129">
        <v>0.997988663375389</v>
      </c>
      <c r="AE245" s="129">
        <v>0.990435086900735</v>
      </c>
      <c r="AF245" s="129">
        <v>0.906474820143885</v>
      </c>
      <c r="AG245" s="129">
        <v>0.977897008223013</v>
      </c>
      <c r="AH245" s="131">
        <v>0.92</v>
      </c>
      <c r="AI245" s="129">
        <v>0.972146675419675</v>
      </c>
      <c r="AJ245" s="129">
        <v>0.983691328560064</v>
      </c>
      <c r="AK245" s="129">
        <v>0.978456014362657</v>
      </c>
      <c r="AL245" s="129">
        <v>0.982782284316658</v>
      </c>
      <c r="AM245" s="128">
        <v>0.99</v>
      </c>
      <c r="AN245" s="133">
        <v>1</v>
      </c>
      <c r="AO245" s="133">
        <v>1</v>
      </c>
      <c r="AP245" s="133">
        <v>1</v>
      </c>
      <c r="AQ245" s="133">
        <v>1</v>
      </c>
      <c r="AR245" s="153">
        <v>0.0922287257019438</v>
      </c>
      <c r="AS245" s="137">
        <v>0.15</v>
      </c>
      <c r="AT245" s="137">
        <v>0</v>
      </c>
      <c r="AU245" s="137">
        <v>0</v>
      </c>
      <c r="AV245" s="137">
        <v>0.1</v>
      </c>
      <c r="AW245" s="93"/>
      <c r="AX245" s="91"/>
    </row>
    <row r="246" ht="14.5" spans="1:50">
      <c r="A246" s="89"/>
      <c r="B246" s="93"/>
      <c r="C246" s="157" t="s">
        <v>256</v>
      </c>
      <c r="D246" s="126" t="s">
        <v>257</v>
      </c>
      <c r="E246" s="158" t="s">
        <v>266</v>
      </c>
      <c r="F246" s="158" t="s">
        <v>266</v>
      </c>
      <c r="G246" s="158" t="s">
        <v>266</v>
      </c>
      <c r="H246" s="158" t="s">
        <v>266</v>
      </c>
      <c r="I246" s="128">
        <v>0.9</v>
      </c>
      <c r="J246" s="129" t="s">
        <v>33</v>
      </c>
      <c r="K246" s="129" t="s">
        <v>33</v>
      </c>
      <c r="L246" s="130" t="s">
        <v>33</v>
      </c>
      <c r="M246" s="129" t="s">
        <v>33</v>
      </c>
      <c r="N246" s="131">
        <v>0.9</v>
      </c>
      <c r="O246" s="129">
        <v>0</v>
      </c>
      <c r="P246" s="129" t="s">
        <v>33</v>
      </c>
      <c r="Q246" s="129" t="s">
        <v>33</v>
      </c>
      <c r="R246" s="129">
        <v>0</v>
      </c>
      <c r="S246" s="131">
        <v>0.9</v>
      </c>
      <c r="T246" s="129">
        <v>1</v>
      </c>
      <c r="U246" s="129" t="s">
        <v>33</v>
      </c>
      <c r="V246" s="129" t="s">
        <v>33</v>
      </c>
      <c r="W246" s="129">
        <v>1</v>
      </c>
      <c r="X246" s="131">
        <v>0.92</v>
      </c>
      <c r="Y246" s="131" t="s">
        <v>33</v>
      </c>
      <c r="Z246" s="131" t="s">
        <v>33</v>
      </c>
      <c r="AA246" s="131" t="s">
        <v>33</v>
      </c>
      <c r="AB246" s="131" t="s">
        <v>33</v>
      </c>
      <c r="AC246" s="131">
        <v>0.92</v>
      </c>
      <c r="AD246" s="129">
        <v>1</v>
      </c>
      <c r="AE246" s="129">
        <v>1</v>
      </c>
      <c r="AF246" s="129">
        <v>0.946745562130177</v>
      </c>
      <c r="AG246" s="129">
        <v>0.981979695431472</v>
      </c>
      <c r="AH246" s="131">
        <v>0.92</v>
      </c>
      <c r="AI246" s="129">
        <v>1</v>
      </c>
      <c r="AJ246" s="129" t="s">
        <v>33</v>
      </c>
      <c r="AK246" s="129" t="s">
        <v>33</v>
      </c>
      <c r="AL246" s="129">
        <v>1</v>
      </c>
      <c r="AM246" s="128">
        <v>0.99</v>
      </c>
      <c r="AN246" s="133">
        <v>1</v>
      </c>
      <c r="AO246" s="133">
        <v>1</v>
      </c>
      <c r="AP246" s="133">
        <v>1</v>
      </c>
      <c r="AQ246" s="133">
        <v>1</v>
      </c>
      <c r="AR246" s="153">
        <v>0.0922287257019438</v>
      </c>
      <c r="AS246" s="137" t="s">
        <v>33</v>
      </c>
      <c r="AT246" s="137" t="s">
        <v>33</v>
      </c>
      <c r="AU246" s="137" t="s">
        <v>33</v>
      </c>
      <c r="AV246" s="137" t="s">
        <v>33</v>
      </c>
      <c r="AW246" s="93"/>
      <c r="AX246" s="91"/>
    </row>
    <row r="247" ht="14.5" spans="1:50">
      <c r="A247" s="89"/>
      <c r="B247" s="93"/>
      <c r="C247" s="157" t="s">
        <v>256</v>
      </c>
      <c r="D247" s="126" t="s">
        <v>257</v>
      </c>
      <c r="E247" s="158" t="s">
        <v>267</v>
      </c>
      <c r="F247" s="158" t="s">
        <v>267</v>
      </c>
      <c r="G247" s="158" t="s">
        <v>267</v>
      </c>
      <c r="H247" s="158" t="s">
        <v>267</v>
      </c>
      <c r="I247" s="128">
        <v>0.9</v>
      </c>
      <c r="J247" s="129">
        <v>1</v>
      </c>
      <c r="K247" s="129">
        <v>0.857142857142857</v>
      </c>
      <c r="L247" s="130">
        <v>0.615384615384615</v>
      </c>
      <c r="M247" s="129">
        <v>0.823529411764706</v>
      </c>
      <c r="N247" s="131">
        <v>0.9</v>
      </c>
      <c r="O247" s="129">
        <v>0.967105263157895</v>
      </c>
      <c r="P247" s="129">
        <v>0.984259259259259</v>
      </c>
      <c r="Q247" s="129">
        <v>0.983050847457627</v>
      </c>
      <c r="R247" s="129">
        <v>0.955858531317495</v>
      </c>
      <c r="S247" s="131">
        <v>0.9</v>
      </c>
      <c r="T247" s="129">
        <v>0.9125</v>
      </c>
      <c r="U247" s="129">
        <v>0.94537037037037</v>
      </c>
      <c r="V247" s="129">
        <v>0.919020715630885</v>
      </c>
      <c r="W247" s="129">
        <v>0.929063174946004</v>
      </c>
      <c r="X247" s="131">
        <v>0.92</v>
      </c>
      <c r="Y247" s="131">
        <v>0.938217122683142</v>
      </c>
      <c r="Z247" s="131">
        <v>0.955619183965641</v>
      </c>
      <c r="AA247" s="131">
        <v>0.94949494949495</v>
      </c>
      <c r="AB247" s="131">
        <v>0.949697682230433</v>
      </c>
      <c r="AC247" s="131">
        <v>0.92</v>
      </c>
      <c r="AD247" s="129">
        <v>0.998596350511329</v>
      </c>
      <c r="AE247" s="129">
        <v>0.999288825673393</v>
      </c>
      <c r="AF247" s="129">
        <v>0.991808579435223</v>
      </c>
      <c r="AG247" s="129">
        <v>0.990911401413104</v>
      </c>
      <c r="AH247" s="131">
        <v>0.92</v>
      </c>
      <c r="AI247" s="129">
        <v>0.95212966453072</v>
      </c>
      <c r="AJ247" s="129">
        <v>0.970528865563181</v>
      </c>
      <c r="AK247" s="129">
        <v>0.967307692307692</v>
      </c>
      <c r="AL247" s="129">
        <v>0.967381139415703</v>
      </c>
      <c r="AM247" s="128">
        <v>0.99</v>
      </c>
      <c r="AN247" s="133">
        <v>1</v>
      </c>
      <c r="AO247" s="133">
        <v>1</v>
      </c>
      <c r="AP247" s="133">
        <v>1</v>
      </c>
      <c r="AQ247" s="133">
        <v>1</v>
      </c>
      <c r="AR247" s="153">
        <v>0.0922287257019438</v>
      </c>
      <c r="AS247" s="137">
        <v>0</v>
      </c>
      <c r="AT247" s="137">
        <v>0.272727272727273</v>
      </c>
      <c r="AU247" s="137">
        <v>0</v>
      </c>
      <c r="AV247" s="137">
        <v>0.0779220779220779</v>
      </c>
      <c r="AW247" s="93"/>
      <c r="AX247" s="91"/>
    </row>
    <row r="248" ht="14.5" spans="1:50">
      <c r="A248" s="89"/>
      <c r="B248" s="93"/>
      <c r="C248" s="157" t="s">
        <v>256</v>
      </c>
      <c r="D248" s="126" t="s">
        <v>257</v>
      </c>
      <c r="E248" s="158" t="s">
        <v>268</v>
      </c>
      <c r="F248" s="158" t="s">
        <v>268</v>
      </c>
      <c r="G248" s="158" t="s">
        <v>268</v>
      </c>
      <c r="H248" s="158" t="s">
        <v>268</v>
      </c>
      <c r="I248" s="128">
        <v>0.9</v>
      </c>
      <c r="J248" s="129" t="s">
        <v>33</v>
      </c>
      <c r="K248" s="129" t="s">
        <v>33</v>
      </c>
      <c r="L248" s="130" t="s">
        <v>33</v>
      </c>
      <c r="M248" s="129" t="s">
        <v>33</v>
      </c>
      <c r="N248" s="131">
        <v>0.9</v>
      </c>
      <c r="O248" s="129">
        <v>1</v>
      </c>
      <c r="P248" s="129" t="s">
        <v>33</v>
      </c>
      <c r="Q248" s="129" t="s">
        <v>33</v>
      </c>
      <c r="R248" s="129">
        <v>0.4</v>
      </c>
      <c r="S248" s="131">
        <v>0.9</v>
      </c>
      <c r="T248" s="129">
        <v>1</v>
      </c>
      <c r="U248" s="129" t="s">
        <v>33</v>
      </c>
      <c r="V248" s="129" t="s">
        <v>33</v>
      </c>
      <c r="W248" s="129">
        <v>0.4</v>
      </c>
      <c r="X248" s="131">
        <v>0.92</v>
      </c>
      <c r="Y248" s="131" t="s">
        <v>33</v>
      </c>
      <c r="Z248" s="131">
        <v>0</v>
      </c>
      <c r="AA248" s="131" t="s">
        <v>33</v>
      </c>
      <c r="AB248" s="131">
        <v>0</v>
      </c>
      <c r="AC248" s="131">
        <v>0.92</v>
      </c>
      <c r="AD248" s="129">
        <v>0.982608040957687</v>
      </c>
      <c r="AE248" s="129">
        <v>0.988805325034578</v>
      </c>
      <c r="AF248" s="129">
        <v>0.632124352331606</v>
      </c>
      <c r="AG248" s="129">
        <v>0.959904931988774</v>
      </c>
      <c r="AH248" s="131">
        <v>0.92</v>
      </c>
      <c r="AI248" s="129">
        <v>1</v>
      </c>
      <c r="AJ248" s="129">
        <v>0.5</v>
      </c>
      <c r="AK248" s="129" t="s">
        <v>33</v>
      </c>
      <c r="AL248" s="129">
        <v>0.444444444444444</v>
      </c>
      <c r="AM248" s="128">
        <v>0.99</v>
      </c>
      <c r="AN248" s="133">
        <v>1</v>
      </c>
      <c r="AO248" s="133" t="s">
        <v>33</v>
      </c>
      <c r="AP248" s="133" t="s">
        <v>33</v>
      </c>
      <c r="AQ248" s="133">
        <v>1</v>
      </c>
      <c r="AR248" s="153">
        <v>0.0922287257019438</v>
      </c>
      <c r="AS248" s="137" t="s">
        <v>33</v>
      </c>
      <c r="AT248" s="137" t="s">
        <v>33</v>
      </c>
      <c r="AU248" s="137" t="s">
        <v>33</v>
      </c>
      <c r="AV248" s="137" t="s">
        <v>33</v>
      </c>
      <c r="AW248" s="93"/>
      <c r="AX248" s="91"/>
    </row>
    <row r="249" ht="14.5" spans="1:50">
      <c r="A249" s="89"/>
      <c r="B249" s="93"/>
      <c r="C249" s="157" t="s">
        <v>256</v>
      </c>
      <c r="D249" s="126" t="s">
        <v>257</v>
      </c>
      <c r="E249" s="158" t="s">
        <v>269</v>
      </c>
      <c r="F249" s="158" t="s">
        <v>269</v>
      </c>
      <c r="G249" s="158" t="s">
        <v>269</v>
      </c>
      <c r="H249" s="158" t="s">
        <v>269</v>
      </c>
      <c r="I249" s="128">
        <v>0.9</v>
      </c>
      <c r="J249" s="129" t="s">
        <v>33</v>
      </c>
      <c r="K249" s="129" t="s">
        <v>33</v>
      </c>
      <c r="L249" s="130" t="s">
        <v>33</v>
      </c>
      <c r="M249" s="129" t="s">
        <v>33</v>
      </c>
      <c r="N249" s="131">
        <v>0.9</v>
      </c>
      <c r="O249" s="129" t="s">
        <v>33</v>
      </c>
      <c r="P249" s="129" t="s">
        <v>33</v>
      </c>
      <c r="Q249" s="129" t="s">
        <v>33</v>
      </c>
      <c r="R249" s="129">
        <v>1</v>
      </c>
      <c r="S249" s="131">
        <v>0.9</v>
      </c>
      <c r="T249" s="129" t="s">
        <v>33</v>
      </c>
      <c r="U249" s="129" t="s">
        <v>33</v>
      </c>
      <c r="V249" s="129" t="s">
        <v>33</v>
      </c>
      <c r="W249" s="129">
        <v>1</v>
      </c>
      <c r="X249" s="131">
        <v>0.92</v>
      </c>
      <c r="Y249" s="131" t="s">
        <v>33</v>
      </c>
      <c r="Z249" s="131" t="s">
        <v>33</v>
      </c>
      <c r="AA249" s="131" t="s">
        <v>33</v>
      </c>
      <c r="AB249" s="131" t="s">
        <v>33</v>
      </c>
      <c r="AC249" s="131">
        <v>0.92</v>
      </c>
      <c r="AD249" s="129">
        <v>0.997251236943375</v>
      </c>
      <c r="AE249" s="129">
        <v>1</v>
      </c>
      <c r="AF249" s="129">
        <v>1</v>
      </c>
      <c r="AG249" s="129">
        <v>0.999132974354294</v>
      </c>
      <c r="AH249" s="131">
        <v>0.92</v>
      </c>
      <c r="AI249" s="129" t="s">
        <v>33</v>
      </c>
      <c r="AJ249" s="129" t="s">
        <v>33</v>
      </c>
      <c r="AK249" s="129">
        <v>1</v>
      </c>
      <c r="AL249" s="129">
        <v>0.666666666666667</v>
      </c>
      <c r="AM249" s="128">
        <v>0.99</v>
      </c>
      <c r="AN249" s="133">
        <v>1</v>
      </c>
      <c r="AO249" s="133">
        <v>1</v>
      </c>
      <c r="AP249" s="133">
        <v>1</v>
      </c>
      <c r="AQ249" s="133">
        <v>1</v>
      </c>
      <c r="AR249" s="153">
        <v>0.0922287257019438</v>
      </c>
      <c r="AS249" s="137" t="s">
        <v>33</v>
      </c>
      <c r="AT249" s="137" t="s">
        <v>33</v>
      </c>
      <c r="AU249" s="137" t="s">
        <v>33</v>
      </c>
      <c r="AV249" s="137">
        <v>1</v>
      </c>
      <c r="AW249" s="93"/>
      <c r="AX249" s="91"/>
    </row>
    <row r="250" ht="14.5" spans="1:50">
      <c r="A250" s="89"/>
      <c r="B250" s="93"/>
      <c r="C250" s="157" t="s">
        <v>256</v>
      </c>
      <c r="D250" s="126" t="s">
        <v>257</v>
      </c>
      <c r="E250" s="158" t="s">
        <v>270</v>
      </c>
      <c r="F250" s="158" t="s">
        <v>270</v>
      </c>
      <c r="G250" s="158" t="s">
        <v>270</v>
      </c>
      <c r="H250" s="158" t="s">
        <v>270</v>
      </c>
      <c r="I250" s="128">
        <v>0.9</v>
      </c>
      <c r="J250" s="129" t="s">
        <v>33</v>
      </c>
      <c r="K250" s="129" t="s">
        <v>33</v>
      </c>
      <c r="L250" s="130" t="s">
        <v>33</v>
      </c>
      <c r="M250" s="129" t="s">
        <v>33</v>
      </c>
      <c r="N250" s="131">
        <v>0.9</v>
      </c>
      <c r="O250" s="129">
        <v>0.590909090909091</v>
      </c>
      <c r="P250" s="129">
        <v>0.5</v>
      </c>
      <c r="Q250" s="129">
        <v>0.6</v>
      </c>
      <c r="R250" s="129">
        <v>0.657342657342657</v>
      </c>
      <c r="S250" s="131">
        <v>0.9</v>
      </c>
      <c r="T250" s="129">
        <v>0.545454545454545</v>
      </c>
      <c r="U250" s="129">
        <v>0.7</v>
      </c>
      <c r="V250" s="129">
        <v>0.5</v>
      </c>
      <c r="W250" s="129">
        <v>0.72027972027972</v>
      </c>
      <c r="X250" s="131">
        <v>0.92</v>
      </c>
      <c r="Y250" s="131">
        <v>0</v>
      </c>
      <c r="Z250" s="131">
        <v>0</v>
      </c>
      <c r="AA250" s="131" t="s">
        <v>33</v>
      </c>
      <c r="AB250" s="131">
        <v>0.368421052631579</v>
      </c>
      <c r="AC250" s="131">
        <v>0.92</v>
      </c>
      <c r="AD250" s="129">
        <v>0.998504273504274</v>
      </c>
      <c r="AE250" s="129">
        <v>0.665403410790865</v>
      </c>
      <c r="AF250" s="129">
        <v>0.149653281728753</v>
      </c>
      <c r="AG250" s="129">
        <v>0.776626524867063</v>
      </c>
      <c r="AH250" s="131">
        <v>0.92</v>
      </c>
      <c r="AI250" s="129">
        <v>0.538461538461538</v>
      </c>
      <c r="AJ250" s="129">
        <v>0.5</v>
      </c>
      <c r="AK250" s="129">
        <v>0.5</v>
      </c>
      <c r="AL250" s="129">
        <v>0.722222222222222</v>
      </c>
      <c r="AM250" s="128">
        <v>0.99</v>
      </c>
      <c r="AN250" s="133">
        <v>1</v>
      </c>
      <c r="AO250" s="133">
        <v>1</v>
      </c>
      <c r="AP250" s="133">
        <v>1</v>
      </c>
      <c r="AQ250" s="133">
        <v>1</v>
      </c>
      <c r="AR250" s="153">
        <v>0.0922287257019438</v>
      </c>
      <c r="AS250" s="137" t="s">
        <v>33</v>
      </c>
      <c r="AT250" s="137" t="s">
        <v>33</v>
      </c>
      <c r="AU250" s="137" t="s">
        <v>33</v>
      </c>
      <c r="AV250" s="137" t="s">
        <v>33</v>
      </c>
      <c r="AW250" s="93"/>
      <c r="AX250" s="91"/>
    </row>
    <row r="251" ht="14.5" spans="1:50">
      <c r="A251" s="89"/>
      <c r="B251" s="93"/>
      <c r="C251" s="157" t="s">
        <v>256</v>
      </c>
      <c r="D251" s="126" t="s">
        <v>257</v>
      </c>
      <c r="E251" s="158" t="s">
        <v>271</v>
      </c>
      <c r="F251" s="158" t="s">
        <v>271</v>
      </c>
      <c r="G251" s="158" t="s">
        <v>271</v>
      </c>
      <c r="H251" s="158" t="s">
        <v>271</v>
      </c>
      <c r="I251" s="128">
        <v>0.9</v>
      </c>
      <c r="J251" s="129" t="s">
        <v>33</v>
      </c>
      <c r="K251" s="129" t="s">
        <v>33</v>
      </c>
      <c r="L251" s="130" t="s">
        <v>33</v>
      </c>
      <c r="M251" s="129" t="s">
        <v>33</v>
      </c>
      <c r="N251" s="131">
        <v>0.9</v>
      </c>
      <c r="O251" s="129" t="s">
        <v>33</v>
      </c>
      <c r="P251" s="129" t="s">
        <v>33</v>
      </c>
      <c r="Q251" s="129">
        <v>1</v>
      </c>
      <c r="R251" s="129">
        <v>1</v>
      </c>
      <c r="S251" s="131">
        <v>0.9</v>
      </c>
      <c r="T251" s="129" t="s">
        <v>33</v>
      </c>
      <c r="U251" s="129" t="s">
        <v>33</v>
      </c>
      <c r="V251" s="129">
        <v>1</v>
      </c>
      <c r="W251" s="129">
        <v>0.666666666666667</v>
      </c>
      <c r="X251" s="131">
        <v>0.92</v>
      </c>
      <c r="Y251" s="131">
        <v>0</v>
      </c>
      <c r="Z251" s="131" t="s">
        <v>33</v>
      </c>
      <c r="AA251" s="131" t="s">
        <v>33</v>
      </c>
      <c r="AB251" s="131">
        <v>0.5</v>
      </c>
      <c r="AC251" s="131">
        <v>0.92</v>
      </c>
      <c r="AD251" s="129">
        <v>0.993473895582329</v>
      </c>
      <c r="AE251" s="129">
        <v>0.992015642822226</v>
      </c>
      <c r="AF251" s="129">
        <v>0.998946259220232</v>
      </c>
      <c r="AG251" s="129">
        <v>0.956051329363415</v>
      </c>
      <c r="AH251" s="131">
        <v>0.92</v>
      </c>
      <c r="AI251" s="129">
        <v>0</v>
      </c>
      <c r="AJ251" s="129" t="s">
        <v>33</v>
      </c>
      <c r="AK251" s="129">
        <v>1</v>
      </c>
      <c r="AL251" s="129">
        <v>0.666666666666667</v>
      </c>
      <c r="AM251" s="128">
        <v>0.99</v>
      </c>
      <c r="AN251" s="133" t="s">
        <v>33</v>
      </c>
      <c r="AO251" s="133">
        <v>1</v>
      </c>
      <c r="AP251" s="133" t="s">
        <v>33</v>
      </c>
      <c r="AQ251" s="133">
        <v>1</v>
      </c>
      <c r="AR251" s="153">
        <v>0.0922287257019438</v>
      </c>
      <c r="AS251" s="137" t="s">
        <v>33</v>
      </c>
      <c r="AT251" s="137" t="s">
        <v>33</v>
      </c>
      <c r="AU251" s="137" t="s">
        <v>33</v>
      </c>
      <c r="AV251" s="137">
        <v>0</v>
      </c>
      <c r="AW251" s="93"/>
      <c r="AX251" s="91"/>
    </row>
    <row r="252" ht="14.5" spans="1:50">
      <c r="A252" s="89"/>
      <c r="B252" s="93"/>
      <c r="C252" s="157" t="s">
        <v>256</v>
      </c>
      <c r="D252" s="126" t="s">
        <v>257</v>
      </c>
      <c r="E252" s="158" t="s">
        <v>272</v>
      </c>
      <c r="F252" s="158" t="s">
        <v>272</v>
      </c>
      <c r="G252" s="158" t="s">
        <v>272</v>
      </c>
      <c r="H252" s="158" t="s">
        <v>272</v>
      </c>
      <c r="I252" s="128">
        <v>0.9</v>
      </c>
      <c r="J252" s="129">
        <v>0.987951807228916</v>
      </c>
      <c r="K252" s="129">
        <v>0.952941176470588</v>
      </c>
      <c r="L252" s="130">
        <v>0.951612903225806</v>
      </c>
      <c r="M252" s="129">
        <v>0.94136460554371</v>
      </c>
      <c r="N252" s="131">
        <v>0.9</v>
      </c>
      <c r="O252" s="129">
        <v>0.878023133543638</v>
      </c>
      <c r="P252" s="129">
        <v>0.926315789473684</v>
      </c>
      <c r="Q252" s="129">
        <v>0.930715935334873</v>
      </c>
      <c r="R252" s="129">
        <v>0.892092782616194</v>
      </c>
      <c r="S252" s="131">
        <v>0.9</v>
      </c>
      <c r="T252" s="129">
        <v>0.928671573781984</v>
      </c>
      <c r="U252" s="129">
        <v>0.925</v>
      </c>
      <c r="V252" s="129">
        <v>0.917628945342571</v>
      </c>
      <c r="W252" s="129">
        <v>0.928136587048375</v>
      </c>
      <c r="X252" s="131">
        <v>0.92</v>
      </c>
      <c r="Y252" s="131">
        <v>0.965873588079789</v>
      </c>
      <c r="Z252" s="131">
        <v>0.98625130525583</v>
      </c>
      <c r="AA252" s="131">
        <v>0.97635814889336</v>
      </c>
      <c r="AB252" s="131">
        <v>0.982972622648179</v>
      </c>
      <c r="AC252" s="131">
        <v>0.92</v>
      </c>
      <c r="AD252" s="129">
        <v>0.976389572060994</v>
      </c>
      <c r="AE252" s="129">
        <v>0.989974937343358</v>
      </c>
      <c r="AF252" s="129">
        <v>0.954744525547445</v>
      </c>
      <c r="AG252" s="129">
        <v>0.98406374501992</v>
      </c>
      <c r="AH252" s="131">
        <v>0.92</v>
      </c>
      <c r="AI252" s="129">
        <v>0.980036481556546</v>
      </c>
      <c r="AJ252" s="129">
        <v>0.988480469159074</v>
      </c>
      <c r="AK252" s="129">
        <v>0.988956846755012</v>
      </c>
      <c r="AL252" s="129">
        <v>0.989404776113922</v>
      </c>
      <c r="AM252" s="128">
        <v>0.99</v>
      </c>
      <c r="AN252" s="133">
        <v>1</v>
      </c>
      <c r="AO252" s="133">
        <v>1</v>
      </c>
      <c r="AP252" s="133">
        <v>1</v>
      </c>
      <c r="AQ252" s="133">
        <v>1</v>
      </c>
      <c r="AR252" s="153">
        <v>0.0922287257019438</v>
      </c>
      <c r="AS252" s="137">
        <v>0.037037037037037</v>
      </c>
      <c r="AT252" s="137">
        <v>0.227272727272727</v>
      </c>
      <c r="AU252" s="137">
        <v>0.0833333333333333</v>
      </c>
      <c r="AV252" s="137">
        <v>0.0857142857142857</v>
      </c>
      <c r="AW252" s="93"/>
      <c r="AX252" s="91"/>
    </row>
    <row r="253" ht="14.5" spans="1:50">
      <c r="A253" s="89"/>
      <c r="B253" s="93"/>
      <c r="C253" s="157" t="s">
        <v>256</v>
      </c>
      <c r="D253" s="126" t="s">
        <v>257</v>
      </c>
      <c r="E253" s="158" t="s">
        <v>273</v>
      </c>
      <c r="F253" s="158" t="s">
        <v>273</v>
      </c>
      <c r="G253" s="158" t="s">
        <v>273</v>
      </c>
      <c r="H253" s="158" t="s">
        <v>273</v>
      </c>
      <c r="I253" s="128">
        <v>0.9</v>
      </c>
      <c r="J253" s="129">
        <v>0.953125</v>
      </c>
      <c r="K253" s="129">
        <v>0.968</v>
      </c>
      <c r="L253" s="130">
        <v>0.972222222222222</v>
      </c>
      <c r="M253" s="129">
        <v>0.968033356497568</v>
      </c>
      <c r="N253" s="131">
        <v>0.9</v>
      </c>
      <c r="O253" s="129">
        <v>0.88399835458659</v>
      </c>
      <c r="P253" s="129">
        <v>0.962563312045805</v>
      </c>
      <c r="Q253" s="129">
        <v>0.857912976511359</v>
      </c>
      <c r="R253" s="129">
        <v>0.938120735204781</v>
      </c>
      <c r="S253" s="131">
        <v>0.9</v>
      </c>
      <c r="T253" s="129">
        <v>0.887563416975182</v>
      </c>
      <c r="U253" s="129">
        <v>0.926007487337591</v>
      </c>
      <c r="V253" s="129">
        <v>0.881016557566423</v>
      </c>
      <c r="W253" s="129">
        <v>0.915912012771428</v>
      </c>
      <c r="X253" s="131">
        <v>0.92</v>
      </c>
      <c r="Y253" s="131">
        <v>0.929783623249894</v>
      </c>
      <c r="Z253" s="131">
        <v>0.963592233009709</v>
      </c>
      <c r="AA253" s="131">
        <v>0.942718838241226</v>
      </c>
      <c r="AB253" s="131">
        <v>0.954099082320274</v>
      </c>
      <c r="AC253" s="131">
        <v>0.92</v>
      </c>
      <c r="AD253" s="129">
        <v>0.989263531499556</v>
      </c>
      <c r="AE253" s="129">
        <v>0.956085797690062</v>
      </c>
      <c r="AF253" s="129">
        <v>0.715313081215127</v>
      </c>
      <c r="AG253" s="129">
        <v>0.925257746928818</v>
      </c>
      <c r="AH253" s="131">
        <v>0.92</v>
      </c>
      <c r="AI253" s="129">
        <v>0.956608644957108</v>
      </c>
      <c r="AJ253" s="129">
        <v>0.972434228248182</v>
      </c>
      <c r="AK253" s="129">
        <v>0.96599348534202</v>
      </c>
      <c r="AL253" s="129">
        <v>0.969306823957002</v>
      </c>
      <c r="AM253" s="128">
        <v>0.99</v>
      </c>
      <c r="AN253" s="133">
        <v>1</v>
      </c>
      <c r="AO253" s="133">
        <v>1</v>
      </c>
      <c r="AP253" s="133">
        <v>1</v>
      </c>
      <c r="AQ253" s="133">
        <v>1</v>
      </c>
      <c r="AR253" s="153">
        <v>0.0922287257019438</v>
      </c>
      <c r="AS253" s="137">
        <v>0.0576923076923077</v>
      </c>
      <c r="AT253" s="137">
        <v>0.179487179487179</v>
      </c>
      <c r="AU253" s="137">
        <v>0.0540540540540541</v>
      </c>
      <c r="AV253" s="137">
        <v>0.0552763819095477</v>
      </c>
      <c r="AW253" s="93"/>
      <c r="AX253" s="91"/>
    </row>
    <row r="254" ht="14.5" spans="1:50">
      <c r="A254" s="89"/>
      <c r="B254" s="93"/>
      <c r="C254" s="157" t="s">
        <v>256</v>
      </c>
      <c r="D254" s="126" t="s">
        <v>257</v>
      </c>
      <c r="E254" s="158" t="s">
        <v>274</v>
      </c>
      <c r="F254" s="158" t="s">
        <v>274</v>
      </c>
      <c r="G254" s="158" t="s">
        <v>274</v>
      </c>
      <c r="H254" s="158" t="s">
        <v>274</v>
      </c>
      <c r="I254" s="128">
        <v>0.9</v>
      </c>
      <c r="J254" s="129">
        <v>0.954545454545455</v>
      </c>
      <c r="K254" s="129">
        <v>0.961165048543689</v>
      </c>
      <c r="L254" s="130">
        <v>0.9875</v>
      </c>
      <c r="M254" s="129">
        <v>0.949251247920133</v>
      </c>
      <c r="N254" s="131">
        <v>0.9</v>
      </c>
      <c r="O254" s="129">
        <v>0.924549193293262</v>
      </c>
      <c r="P254" s="129">
        <v>0.97062423500612</v>
      </c>
      <c r="Q254" s="129">
        <v>0.971335177269298</v>
      </c>
      <c r="R254" s="129">
        <v>0.948244890032529</v>
      </c>
      <c r="S254" s="131">
        <v>0.9</v>
      </c>
      <c r="T254" s="129">
        <v>0.936887061056628</v>
      </c>
      <c r="U254" s="129">
        <v>0.949571603427173</v>
      </c>
      <c r="V254" s="129">
        <v>0.943424691978879</v>
      </c>
      <c r="W254" s="129">
        <v>0.945477496722824</v>
      </c>
      <c r="X254" s="131">
        <v>0.92</v>
      </c>
      <c r="Y254" s="131">
        <v>0.971870604781997</v>
      </c>
      <c r="Z254" s="131">
        <v>0.984949546776125</v>
      </c>
      <c r="AA254" s="131">
        <v>0.975278720310228</v>
      </c>
      <c r="AB254" s="131">
        <v>0.98386280464066</v>
      </c>
      <c r="AC254" s="131">
        <v>0.92</v>
      </c>
      <c r="AD254" s="129">
        <v>0.983496199782845</v>
      </c>
      <c r="AE254" s="129">
        <v>0.972418509231821</v>
      </c>
      <c r="AF254" s="129">
        <v>0.977396021699819</v>
      </c>
      <c r="AG254" s="129">
        <v>0.984959055205838</v>
      </c>
      <c r="AH254" s="131">
        <v>0.92</v>
      </c>
      <c r="AI254" s="129">
        <v>0.983567853432808</v>
      </c>
      <c r="AJ254" s="129">
        <v>0.989226741844543</v>
      </c>
      <c r="AK254" s="129">
        <v>0.985596026490066</v>
      </c>
      <c r="AL254" s="129">
        <v>0.989697189258922</v>
      </c>
      <c r="AM254" s="128">
        <v>0.99</v>
      </c>
      <c r="AN254" s="133">
        <v>1</v>
      </c>
      <c r="AO254" s="133">
        <v>1</v>
      </c>
      <c r="AP254" s="133">
        <v>1</v>
      </c>
      <c r="AQ254" s="133">
        <v>1</v>
      </c>
      <c r="AR254" s="153">
        <v>0.0922287257019438</v>
      </c>
      <c r="AS254" s="137">
        <v>0.0833333333333333</v>
      </c>
      <c r="AT254" s="137">
        <v>0.185185185185185</v>
      </c>
      <c r="AU254" s="137">
        <v>0.222222222222222</v>
      </c>
      <c r="AV254" s="137">
        <v>0.121693121693122</v>
      </c>
      <c r="AW254" s="93"/>
      <c r="AX254" s="91"/>
    </row>
    <row r="255" ht="14.5" spans="1:50">
      <c r="A255" s="89"/>
      <c r="B255" s="93"/>
      <c r="C255" s="157" t="s">
        <v>256</v>
      </c>
      <c r="D255" s="126" t="s">
        <v>257</v>
      </c>
      <c r="E255" s="158" t="s">
        <v>275</v>
      </c>
      <c r="F255" s="158" t="s">
        <v>275</v>
      </c>
      <c r="G255" s="158" t="s">
        <v>275</v>
      </c>
      <c r="H255" s="158" t="s">
        <v>275</v>
      </c>
      <c r="I255" s="128">
        <v>0.9</v>
      </c>
      <c r="J255" s="129" t="s">
        <v>33</v>
      </c>
      <c r="K255" s="129" t="s">
        <v>33</v>
      </c>
      <c r="L255" s="130" t="s">
        <v>33</v>
      </c>
      <c r="M255" s="129" t="s">
        <v>33</v>
      </c>
      <c r="N255" s="131">
        <v>0.9</v>
      </c>
      <c r="O255" s="129" t="s">
        <v>33</v>
      </c>
      <c r="P255" s="129" t="s">
        <v>33</v>
      </c>
      <c r="Q255" s="129" t="s">
        <v>33</v>
      </c>
      <c r="R255" s="129" t="s">
        <v>33</v>
      </c>
      <c r="S255" s="131">
        <v>0.9</v>
      </c>
      <c r="T255" s="129" t="s">
        <v>33</v>
      </c>
      <c r="U255" s="129" t="s">
        <v>33</v>
      </c>
      <c r="V255" s="129" t="s">
        <v>33</v>
      </c>
      <c r="W255" s="129" t="s">
        <v>33</v>
      </c>
      <c r="X255" s="131">
        <v>0.92</v>
      </c>
      <c r="Y255" s="131" t="s">
        <v>33</v>
      </c>
      <c r="Z255" s="131" t="s">
        <v>33</v>
      </c>
      <c r="AA255" s="131" t="s">
        <v>33</v>
      </c>
      <c r="AB255" s="131" t="s">
        <v>33</v>
      </c>
      <c r="AC255" s="131">
        <v>0.92</v>
      </c>
      <c r="AD255" s="129">
        <v>1</v>
      </c>
      <c r="AE255" s="129">
        <v>1</v>
      </c>
      <c r="AF255" s="129">
        <v>1</v>
      </c>
      <c r="AG255" s="129">
        <v>0.999678422124558</v>
      </c>
      <c r="AH255" s="131">
        <v>0.92</v>
      </c>
      <c r="AI255" s="129" t="s">
        <v>33</v>
      </c>
      <c r="AJ255" s="129" t="s">
        <v>33</v>
      </c>
      <c r="AK255" s="129" t="s">
        <v>33</v>
      </c>
      <c r="AL255" s="129">
        <v>1</v>
      </c>
      <c r="AM255" s="128">
        <v>0.99</v>
      </c>
      <c r="AN255" s="133">
        <v>1</v>
      </c>
      <c r="AO255" s="133">
        <v>1</v>
      </c>
      <c r="AP255" s="133">
        <v>1</v>
      </c>
      <c r="AQ255" s="133">
        <v>1</v>
      </c>
      <c r="AR255" s="153">
        <v>0.0922287257019438</v>
      </c>
      <c r="AS255" s="137" t="s">
        <v>33</v>
      </c>
      <c r="AT255" s="137" t="s">
        <v>33</v>
      </c>
      <c r="AU255" s="137" t="s">
        <v>33</v>
      </c>
      <c r="AV255" s="137" t="s">
        <v>33</v>
      </c>
      <c r="AW255" s="93"/>
      <c r="AX255" s="91"/>
    </row>
    <row r="256" ht="14.5" spans="1:50">
      <c r="A256" s="89"/>
      <c r="B256" s="93"/>
      <c r="C256" s="157" t="s">
        <v>256</v>
      </c>
      <c r="D256" s="126" t="s">
        <v>257</v>
      </c>
      <c r="E256" s="158" t="s">
        <v>276</v>
      </c>
      <c r="F256" s="158" t="s">
        <v>276</v>
      </c>
      <c r="G256" s="158" t="s">
        <v>276</v>
      </c>
      <c r="H256" s="158" t="s">
        <v>276</v>
      </c>
      <c r="I256" s="128">
        <v>0.9</v>
      </c>
      <c r="J256" s="129" t="s">
        <v>33</v>
      </c>
      <c r="K256" s="129" t="s">
        <v>33</v>
      </c>
      <c r="L256" s="130" t="s">
        <v>33</v>
      </c>
      <c r="M256" s="129" t="s">
        <v>33</v>
      </c>
      <c r="N256" s="131">
        <v>0.9</v>
      </c>
      <c r="O256" s="129" t="s">
        <v>33</v>
      </c>
      <c r="P256" s="129" t="s">
        <v>33</v>
      </c>
      <c r="Q256" s="129" t="s">
        <v>33</v>
      </c>
      <c r="R256" s="129">
        <v>0</v>
      </c>
      <c r="S256" s="131">
        <v>0.9</v>
      </c>
      <c r="T256" s="129" t="s">
        <v>33</v>
      </c>
      <c r="U256" s="129" t="s">
        <v>33</v>
      </c>
      <c r="V256" s="129" t="s">
        <v>33</v>
      </c>
      <c r="W256" s="129">
        <v>1</v>
      </c>
      <c r="X256" s="131">
        <v>0.92</v>
      </c>
      <c r="Y256" s="131" t="s">
        <v>33</v>
      </c>
      <c r="Z256" s="131" t="s">
        <v>33</v>
      </c>
      <c r="AA256" s="131" t="s">
        <v>33</v>
      </c>
      <c r="AB256" s="131" t="s">
        <v>33</v>
      </c>
      <c r="AC256" s="131">
        <v>0.92</v>
      </c>
      <c r="AD256" s="129">
        <v>1</v>
      </c>
      <c r="AE256" s="129">
        <v>0.98015873015873</v>
      </c>
      <c r="AF256" s="129">
        <v>1</v>
      </c>
      <c r="AG256" s="129">
        <v>0.984807167900273</v>
      </c>
      <c r="AH256" s="131">
        <v>0.92</v>
      </c>
      <c r="AI256" s="129" t="s">
        <v>33</v>
      </c>
      <c r="AJ256" s="129" t="s">
        <v>33</v>
      </c>
      <c r="AK256" s="129" t="s">
        <v>33</v>
      </c>
      <c r="AL256" s="129">
        <v>1</v>
      </c>
      <c r="AM256" s="128">
        <v>0.99</v>
      </c>
      <c r="AN256" s="133" t="s">
        <v>33</v>
      </c>
      <c r="AO256" s="133" t="s">
        <v>33</v>
      </c>
      <c r="AP256" s="133" t="s">
        <v>33</v>
      </c>
      <c r="AQ256" s="133">
        <v>1</v>
      </c>
      <c r="AR256" s="153">
        <v>0.0922287257019438</v>
      </c>
      <c r="AS256" s="137" t="s">
        <v>33</v>
      </c>
      <c r="AT256" s="137" t="s">
        <v>33</v>
      </c>
      <c r="AU256" s="137" t="s">
        <v>33</v>
      </c>
      <c r="AV256" s="137" t="s">
        <v>33</v>
      </c>
      <c r="AW256" s="93"/>
      <c r="AX256" s="91"/>
    </row>
    <row r="257" ht="14.5" spans="1:50">
      <c r="A257" s="89"/>
      <c r="B257" s="93"/>
      <c r="C257" s="157" t="s">
        <v>256</v>
      </c>
      <c r="D257" s="126" t="s">
        <v>257</v>
      </c>
      <c r="E257" s="158" t="s">
        <v>277</v>
      </c>
      <c r="F257" s="158" t="s">
        <v>277</v>
      </c>
      <c r="G257" s="158" t="s">
        <v>277</v>
      </c>
      <c r="H257" s="158" t="s">
        <v>277</v>
      </c>
      <c r="I257" s="128">
        <v>0.9</v>
      </c>
      <c r="J257" s="129">
        <v>0.710526315789474</v>
      </c>
      <c r="K257" s="129">
        <v>0.8</v>
      </c>
      <c r="L257" s="130">
        <v>0.7</v>
      </c>
      <c r="M257" s="129">
        <v>0.766169154228856</v>
      </c>
      <c r="N257" s="131">
        <v>0.9</v>
      </c>
      <c r="O257" s="129">
        <v>0.914728682170543</v>
      </c>
      <c r="P257" s="129">
        <v>0.950913242009132</v>
      </c>
      <c r="Q257" s="129">
        <v>0.927624309392265</v>
      </c>
      <c r="R257" s="129">
        <v>0.927164607144363</v>
      </c>
      <c r="S257" s="131">
        <v>0.9</v>
      </c>
      <c r="T257" s="129">
        <v>0.89405684754522</v>
      </c>
      <c r="U257" s="129">
        <v>0.942922374429224</v>
      </c>
      <c r="V257" s="129">
        <v>0.879005524861878</v>
      </c>
      <c r="W257" s="129">
        <v>0.914174855552275</v>
      </c>
      <c r="X257" s="131">
        <v>0.92</v>
      </c>
      <c r="Y257" s="131">
        <v>0.912074303405573</v>
      </c>
      <c r="Z257" s="131">
        <v>0.944223107569721</v>
      </c>
      <c r="AA257" s="131">
        <v>0.926238145416228</v>
      </c>
      <c r="AB257" s="131">
        <v>0.936521919369883</v>
      </c>
      <c r="AC257" s="131">
        <v>0.92</v>
      </c>
      <c r="AD257" s="129">
        <v>0.999153976311337</v>
      </c>
      <c r="AE257" s="129">
        <v>0.9995009624296</v>
      </c>
      <c r="AF257" s="129">
        <v>0.999158438061041</v>
      </c>
      <c r="AG257" s="129">
        <v>0.995734964285393</v>
      </c>
      <c r="AH257" s="131">
        <v>0.92</v>
      </c>
      <c r="AI257" s="129">
        <v>0.937039857831937</v>
      </c>
      <c r="AJ257" s="129">
        <v>0.957865868860633</v>
      </c>
      <c r="AK257" s="129">
        <v>0.95260492040521</v>
      </c>
      <c r="AL257" s="129">
        <v>0.956334820598624</v>
      </c>
      <c r="AM257" s="128">
        <v>0.99</v>
      </c>
      <c r="AN257" s="133">
        <v>1</v>
      </c>
      <c r="AO257" s="133">
        <v>1</v>
      </c>
      <c r="AP257" s="133">
        <v>1</v>
      </c>
      <c r="AQ257" s="133">
        <v>1</v>
      </c>
      <c r="AR257" s="153">
        <v>0.0922287257019438</v>
      </c>
      <c r="AS257" s="137">
        <v>0.166666666666667</v>
      </c>
      <c r="AT257" s="137">
        <v>0.266666666666667</v>
      </c>
      <c r="AU257" s="137">
        <v>0.157894736842105</v>
      </c>
      <c r="AV257" s="137">
        <v>0.101063829787234</v>
      </c>
      <c r="AW257" s="93"/>
      <c r="AX257" s="91"/>
    </row>
    <row r="258" ht="14.5" spans="1:50">
      <c r="A258" s="89"/>
      <c r="B258" s="93"/>
      <c r="C258" s="157" t="s">
        <v>256</v>
      </c>
      <c r="D258" s="126" t="s">
        <v>257</v>
      </c>
      <c r="E258" s="158" t="s">
        <v>278</v>
      </c>
      <c r="F258" s="158" t="s">
        <v>278</v>
      </c>
      <c r="G258" s="158" t="s">
        <v>278</v>
      </c>
      <c r="H258" s="158" t="s">
        <v>278</v>
      </c>
      <c r="I258" s="128">
        <v>0.9</v>
      </c>
      <c r="J258" s="129">
        <v>0.983050847457627</v>
      </c>
      <c r="K258" s="129">
        <v>0.98</v>
      </c>
      <c r="L258" s="130">
        <v>1</v>
      </c>
      <c r="M258" s="129">
        <v>0.980424143556281</v>
      </c>
      <c r="N258" s="131">
        <v>0.9</v>
      </c>
      <c r="O258" s="129">
        <v>0.909985096870343</v>
      </c>
      <c r="P258" s="129">
        <v>0.963097949886105</v>
      </c>
      <c r="Q258" s="129">
        <v>0.949281867145422</v>
      </c>
      <c r="R258" s="129">
        <v>0.950053910065326</v>
      </c>
      <c r="S258" s="131">
        <v>0.9</v>
      </c>
      <c r="T258" s="129">
        <v>0.885245901639344</v>
      </c>
      <c r="U258" s="129">
        <v>0.938496583143508</v>
      </c>
      <c r="V258" s="129">
        <v>0.927289048473968</v>
      </c>
      <c r="W258" s="129">
        <v>0.92189382888311</v>
      </c>
      <c r="X258" s="131">
        <v>0.92</v>
      </c>
      <c r="Y258" s="131">
        <v>0.92645104120514</v>
      </c>
      <c r="Z258" s="131">
        <v>0.958773424190801</v>
      </c>
      <c r="AA258" s="131">
        <v>0.948623853211009</v>
      </c>
      <c r="AB258" s="131">
        <v>0.952179336937209</v>
      </c>
      <c r="AC258" s="131">
        <v>0.92</v>
      </c>
      <c r="AD258" s="129">
        <v>0.988242770892914</v>
      </c>
      <c r="AE258" s="129">
        <v>0.982951564958909</v>
      </c>
      <c r="AF258" s="129">
        <v>0.897621509824199</v>
      </c>
      <c r="AG258" s="129">
        <v>0.986043907705842</v>
      </c>
      <c r="AH258" s="131">
        <v>0.92</v>
      </c>
      <c r="AI258" s="129">
        <v>0.933368964902904</v>
      </c>
      <c r="AJ258" s="129">
        <v>0.969608416130918</v>
      </c>
      <c r="AK258" s="129">
        <v>0.9704730340464</v>
      </c>
      <c r="AL258" s="129">
        <v>0.966964378082003</v>
      </c>
      <c r="AM258" s="128">
        <v>0.99</v>
      </c>
      <c r="AN258" s="133">
        <v>1</v>
      </c>
      <c r="AO258" s="133">
        <v>1</v>
      </c>
      <c r="AP258" s="133">
        <v>1</v>
      </c>
      <c r="AQ258" s="133">
        <v>1</v>
      </c>
      <c r="AR258" s="153">
        <v>0.0922287257019438</v>
      </c>
      <c r="AS258" s="137">
        <v>0.0833333333333333</v>
      </c>
      <c r="AT258" s="137">
        <v>0</v>
      </c>
      <c r="AU258" s="137">
        <v>0.2</v>
      </c>
      <c r="AV258" s="137">
        <v>0.089171974522293</v>
      </c>
      <c r="AW258" s="93"/>
      <c r="AX258" s="91"/>
    </row>
    <row r="259" ht="14.5" spans="1:50">
      <c r="A259" s="89"/>
      <c r="B259" s="93"/>
      <c r="C259" s="157" t="s">
        <v>256</v>
      </c>
      <c r="D259" s="126" t="s">
        <v>257</v>
      </c>
      <c r="E259" s="158" t="s">
        <v>279</v>
      </c>
      <c r="F259" s="158" t="s">
        <v>279</v>
      </c>
      <c r="G259" s="158" t="s">
        <v>279</v>
      </c>
      <c r="H259" s="158" t="s">
        <v>279</v>
      </c>
      <c r="I259" s="128">
        <v>0.9</v>
      </c>
      <c r="J259" s="129" t="s">
        <v>33</v>
      </c>
      <c r="K259" s="129" t="s">
        <v>33</v>
      </c>
      <c r="L259" s="130" t="s">
        <v>33</v>
      </c>
      <c r="M259" s="129" t="s">
        <v>33</v>
      </c>
      <c r="N259" s="131">
        <v>0.9</v>
      </c>
      <c r="O259" s="129">
        <v>0.930555555555556</v>
      </c>
      <c r="P259" s="129">
        <v>0.985714285714286</v>
      </c>
      <c r="Q259" s="129">
        <v>0.932515337423313</v>
      </c>
      <c r="R259" s="129">
        <v>0.971153846153846</v>
      </c>
      <c r="S259" s="131">
        <v>0.9</v>
      </c>
      <c r="T259" s="129">
        <v>1</v>
      </c>
      <c r="U259" s="129">
        <v>0.978571428571429</v>
      </c>
      <c r="V259" s="129">
        <v>0.94478527607362</v>
      </c>
      <c r="W259" s="129">
        <v>0.964102564102564</v>
      </c>
      <c r="X259" s="131">
        <v>0.92</v>
      </c>
      <c r="Y259" s="131">
        <v>0.987951807228916</v>
      </c>
      <c r="Z259" s="131">
        <v>1</v>
      </c>
      <c r="AA259" s="131">
        <v>1</v>
      </c>
      <c r="AB259" s="131">
        <v>0.964017991004498</v>
      </c>
      <c r="AC259" s="131">
        <v>0.92</v>
      </c>
      <c r="AD259" s="129">
        <v>0.99955042709426</v>
      </c>
      <c r="AE259" s="129">
        <v>0.997542745981366</v>
      </c>
      <c r="AF259" s="129">
        <v>0.998385360602799</v>
      </c>
      <c r="AG259" s="129">
        <v>0.998906650580606</v>
      </c>
      <c r="AH259" s="131">
        <v>0.92</v>
      </c>
      <c r="AI259" s="129">
        <v>0.995594713656388</v>
      </c>
      <c r="AJ259" s="129">
        <v>0.98695652173913</v>
      </c>
      <c r="AK259" s="129">
        <v>0.958333333333333</v>
      </c>
      <c r="AL259" s="129">
        <v>0.978923766816143</v>
      </c>
      <c r="AM259" s="128">
        <v>0.99</v>
      </c>
      <c r="AN259" s="133">
        <v>1</v>
      </c>
      <c r="AO259" s="133">
        <v>1</v>
      </c>
      <c r="AP259" s="133">
        <v>1</v>
      </c>
      <c r="AQ259" s="133">
        <v>1</v>
      </c>
      <c r="AR259" s="153">
        <v>0.0922287257019438</v>
      </c>
      <c r="AS259" s="137" t="s">
        <v>33</v>
      </c>
      <c r="AT259" s="137" t="s">
        <v>33</v>
      </c>
      <c r="AU259" s="137" t="s">
        <v>33</v>
      </c>
      <c r="AV259" s="137" t="s">
        <v>33</v>
      </c>
      <c r="AW259" s="93"/>
      <c r="AX259" s="91"/>
    </row>
    <row r="260" ht="14.5" spans="1:50">
      <c r="A260" s="89"/>
      <c r="B260" s="93"/>
      <c r="C260" s="157" t="s">
        <v>256</v>
      </c>
      <c r="D260" s="126" t="s">
        <v>257</v>
      </c>
      <c r="E260" s="158" t="s">
        <v>280</v>
      </c>
      <c r="F260" s="158" t="s">
        <v>280</v>
      </c>
      <c r="G260" s="158" t="s">
        <v>280</v>
      </c>
      <c r="H260" s="158" t="s">
        <v>280</v>
      </c>
      <c r="I260" s="128">
        <v>0.9</v>
      </c>
      <c r="J260" s="129" t="s">
        <v>33</v>
      </c>
      <c r="K260" s="129" t="s">
        <v>33</v>
      </c>
      <c r="L260" s="130" t="s">
        <v>33</v>
      </c>
      <c r="M260" s="129" t="s">
        <v>33</v>
      </c>
      <c r="N260" s="131">
        <v>0.9</v>
      </c>
      <c r="O260" s="129" t="s">
        <v>33</v>
      </c>
      <c r="P260" s="129" t="s">
        <v>33</v>
      </c>
      <c r="Q260" s="129" t="s">
        <v>33</v>
      </c>
      <c r="R260" s="129">
        <v>0</v>
      </c>
      <c r="S260" s="131">
        <v>0.9</v>
      </c>
      <c r="T260" s="129" t="s">
        <v>33</v>
      </c>
      <c r="U260" s="129" t="s">
        <v>33</v>
      </c>
      <c r="V260" s="129" t="s">
        <v>33</v>
      </c>
      <c r="W260" s="129">
        <v>0</v>
      </c>
      <c r="X260" s="131">
        <v>0.92</v>
      </c>
      <c r="Y260" s="131" t="s">
        <v>33</v>
      </c>
      <c r="Z260" s="131" t="s">
        <v>33</v>
      </c>
      <c r="AA260" s="131" t="s">
        <v>33</v>
      </c>
      <c r="AB260" s="131" t="s">
        <v>33</v>
      </c>
      <c r="AC260" s="131">
        <v>0.92</v>
      </c>
      <c r="AD260" s="129">
        <v>1</v>
      </c>
      <c r="AE260" s="129">
        <v>1</v>
      </c>
      <c r="AF260" s="129">
        <v>0.999237223493516</v>
      </c>
      <c r="AG260" s="129">
        <v>0.999940842404165</v>
      </c>
      <c r="AH260" s="131">
        <v>0.92</v>
      </c>
      <c r="AI260" s="129" t="s">
        <v>33</v>
      </c>
      <c r="AJ260" s="129" t="s">
        <v>33</v>
      </c>
      <c r="AK260" s="129" t="s">
        <v>33</v>
      </c>
      <c r="AL260" s="129">
        <v>0</v>
      </c>
      <c r="AM260" s="128">
        <v>0.99</v>
      </c>
      <c r="AN260" s="133">
        <v>1</v>
      </c>
      <c r="AO260" s="133">
        <v>1</v>
      </c>
      <c r="AP260" s="133">
        <v>1</v>
      </c>
      <c r="AQ260" s="133">
        <v>1</v>
      </c>
      <c r="AR260" s="153">
        <v>0.0922287257019438</v>
      </c>
      <c r="AS260" s="137" t="s">
        <v>33</v>
      </c>
      <c r="AT260" s="137">
        <v>0</v>
      </c>
      <c r="AU260" s="137">
        <v>0</v>
      </c>
      <c r="AV260" s="137">
        <v>0</v>
      </c>
      <c r="AW260" s="93"/>
      <c r="AX260" s="91"/>
    </row>
    <row r="261" ht="14.5" spans="1:50">
      <c r="A261" s="89"/>
      <c r="B261" s="93"/>
      <c r="C261" s="157" t="s">
        <v>256</v>
      </c>
      <c r="D261" s="126" t="s">
        <v>257</v>
      </c>
      <c r="E261" s="158" t="s">
        <v>281</v>
      </c>
      <c r="F261" s="158" t="s">
        <v>281</v>
      </c>
      <c r="G261" s="158" t="s">
        <v>281</v>
      </c>
      <c r="H261" s="158" t="s">
        <v>281</v>
      </c>
      <c r="I261" s="128">
        <v>0.9</v>
      </c>
      <c r="J261" s="129" t="s">
        <v>33</v>
      </c>
      <c r="K261" s="129" t="s">
        <v>33</v>
      </c>
      <c r="L261" s="130" t="s">
        <v>33</v>
      </c>
      <c r="M261" s="129" t="s">
        <v>33</v>
      </c>
      <c r="N261" s="131">
        <v>0.9</v>
      </c>
      <c r="O261" s="129">
        <v>0.8</v>
      </c>
      <c r="P261" s="129">
        <v>0.75</v>
      </c>
      <c r="Q261" s="129">
        <v>1</v>
      </c>
      <c r="R261" s="129">
        <v>0.704918032786885</v>
      </c>
      <c r="S261" s="131">
        <v>0.9</v>
      </c>
      <c r="T261" s="129">
        <v>1</v>
      </c>
      <c r="U261" s="129">
        <v>0.75</v>
      </c>
      <c r="V261" s="129">
        <v>1</v>
      </c>
      <c r="W261" s="129">
        <v>0.967213114754098</v>
      </c>
      <c r="X261" s="131">
        <v>0.92</v>
      </c>
      <c r="Y261" s="131">
        <v>1</v>
      </c>
      <c r="Z261" s="131" t="s">
        <v>33</v>
      </c>
      <c r="AA261" s="131" t="s">
        <v>33</v>
      </c>
      <c r="AB261" s="131">
        <v>0.588235294117647</v>
      </c>
      <c r="AC261" s="131">
        <v>0.92</v>
      </c>
      <c r="AD261" s="129">
        <v>0.997995866474604</v>
      </c>
      <c r="AE261" s="129">
        <v>0.993753646566222</v>
      </c>
      <c r="AF261" s="129">
        <v>0.965975297133535</v>
      </c>
      <c r="AG261" s="129">
        <v>0.923301296848113</v>
      </c>
      <c r="AH261" s="131">
        <v>0.92</v>
      </c>
      <c r="AI261" s="129">
        <v>0.75</v>
      </c>
      <c r="AJ261" s="129">
        <v>0.666666666666667</v>
      </c>
      <c r="AK261" s="129">
        <v>1</v>
      </c>
      <c r="AL261" s="129">
        <v>0.877551020408163</v>
      </c>
      <c r="AM261" s="128">
        <v>0.99</v>
      </c>
      <c r="AN261" s="133">
        <v>1</v>
      </c>
      <c r="AO261" s="133">
        <v>1</v>
      </c>
      <c r="AP261" s="133">
        <v>1</v>
      </c>
      <c r="AQ261" s="133">
        <v>1</v>
      </c>
      <c r="AR261" s="153">
        <v>0.0922287257019438</v>
      </c>
      <c r="AS261" s="137">
        <v>0</v>
      </c>
      <c r="AT261" s="137" t="s">
        <v>33</v>
      </c>
      <c r="AU261" s="137" t="s">
        <v>33</v>
      </c>
      <c r="AV261" s="137">
        <v>0</v>
      </c>
      <c r="AW261" s="93"/>
      <c r="AX261" s="91"/>
    </row>
    <row r="262" ht="14.5" spans="1:50">
      <c r="A262" s="89"/>
      <c r="B262" s="93"/>
      <c r="C262" s="157" t="s">
        <v>256</v>
      </c>
      <c r="D262" s="126" t="s">
        <v>257</v>
      </c>
      <c r="E262" s="158" t="s">
        <v>282</v>
      </c>
      <c r="F262" s="158" t="s">
        <v>282</v>
      </c>
      <c r="G262" s="158" t="s">
        <v>282</v>
      </c>
      <c r="H262" s="158" t="s">
        <v>282</v>
      </c>
      <c r="I262" s="128">
        <v>0.9</v>
      </c>
      <c r="J262" s="129" t="s">
        <v>33</v>
      </c>
      <c r="K262" s="129" t="s">
        <v>33</v>
      </c>
      <c r="L262" s="130" t="s">
        <v>33</v>
      </c>
      <c r="M262" s="129" t="s">
        <v>33</v>
      </c>
      <c r="N262" s="131">
        <v>0.9</v>
      </c>
      <c r="O262" s="129" t="s">
        <v>33</v>
      </c>
      <c r="P262" s="129">
        <v>0</v>
      </c>
      <c r="Q262" s="129" t="s">
        <v>33</v>
      </c>
      <c r="R262" s="129">
        <v>0</v>
      </c>
      <c r="S262" s="131">
        <v>0.9</v>
      </c>
      <c r="T262" s="129" t="s">
        <v>33</v>
      </c>
      <c r="U262" s="129">
        <v>0</v>
      </c>
      <c r="V262" s="129" t="s">
        <v>33</v>
      </c>
      <c r="W262" s="129">
        <v>0.666666666666667</v>
      </c>
      <c r="X262" s="131">
        <v>0.92</v>
      </c>
      <c r="Y262" s="131" t="s">
        <v>33</v>
      </c>
      <c r="Z262" s="131" t="s">
        <v>33</v>
      </c>
      <c r="AA262" s="131" t="s">
        <v>33</v>
      </c>
      <c r="AB262" s="131" t="s">
        <v>33</v>
      </c>
      <c r="AC262" s="131">
        <v>0.92</v>
      </c>
      <c r="AD262" s="129">
        <v>0.974410774410774</v>
      </c>
      <c r="AE262" s="129">
        <v>0.979953739398612</v>
      </c>
      <c r="AF262" s="129">
        <v>0.819407008086253</v>
      </c>
      <c r="AG262" s="129">
        <v>0.970640406141048</v>
      </c>
      <c r="AH262" s="131">
        <v>0.92</v>
      </c>
      <c r="AI262" s="129" t="s">
        <v>33</v>
      </c>
      <c r="AJ262" s="129">
        <v>0</v>
      </c>
      <c r="AK262" s="129" t="s">
        <v>33</v>
      </c>
      <c r="AL262" s="129">
        <v>0.666666666666667</v>
      </c>
      <c r="AM262" s="128">
        <v>0.99</v>
      </c>
      <c r="AN262" s="133">
        <v>1</v>
      </c>
      <c r="AO262" s="133">
        <v>1</v>
      </c>
      <c r="AP262" s="133">
        <v>1</v>
      </c>
      <c r="AQ262" s="133">
        <v>1</v>
      </c>
      <c r="AR262" s="153">
        <v>0.0922287257019438</v>
      </c>
      <c r="AS262" s="137" t="s">
        <v>33</v>
      </c>
      <c r="AT262" s="137" t="s">
        <v>33</v>
      </c>
      <c r="AU262" s="137" t="s">
        <v>33</v>
      </c>
      <c r="AV262" s="137" t="s">
        <v>33</v>
      </c>
      <c r="AW262" s="93"/>
      <c r="AX262" s="91"/>
    </row>
    <row r="263" ht="14.5" spans="1:50">
      <c r="A263" s="89"/>
      <c r="B263" s="93"/>
      <c r="C263" s="157" t="s">
        <v>256</v>
      </c>
      <c r="D263" s="126" t="s">
        <v>257</v>
      </c>
      <c r="E263" s="158" t="s">
        <v>283</v>
      </c>
      <c r="F263" s="158" t="s">
        <v>283</v>
      </c>
      <c r="G263" s="158" t="s">
        <v>283</v>
      </c>
      <c r="H263" s="158" t="s">
        <v>283</v>
      </c>
      <c r="I263" s="128">
        <v>0.9</v>
      </c>
      <c r="J263" s="129" t="s">
        <v>33</v>
      </c>
      <c r="K263" s="129" t="s">
        <v>33</v>
      </c>
      <c r="L263" s="130" t="s">
        <v>33</v>
      </c>
      <c r="M263" s="129" t="s">
        <v>33</v>
      </c>
      <c r="N263" s="131">
        <v>0.9</v>
      </c>
      <c r="O263" s="129" t="s">
        <v>33</v>
      </c>
      <c r="P263" s="129" t="s">
        <v>33</v>
      </c>
      <c r="Q263" s="129" t="s">
        <v>33</v>
      </c>
      <c r="R263" s="129">
        <v>0</v>
      </c>
      <c r="S263" s="131">
        <v>0.9</v>
      </c>
      <c r="T263" s="129" t="s">
        <v>33</v>
      </c>
      <c r="U263" s="129" t="s">
        <v>33</v>
      </c>
      <c r="V263" s="129" t="s">
        <v>33</v>
      </c>
      <c r="W263" s="129">
        <v>0.5</v>
      </c>
      <c r="X263" s="131">
        <v>0.92</v>
      </c>
      <c r="Y263" s="131" t="s">
        <v>33</v>
      </c>
      <c r="Z263" s="131" t="s">
        <v>33</v>
      </c>
      <c r="AA263" s="131" t="s">
        <v>33</v>
      </c>
      <c r="AB263" s="131" t="s">
        <v>33</v>
      </c>
      <c r="AC263" s="131">
        <v>0.92</v>
      </c>
      <c r="AD263" s="129">
        <v>0.998909487459106</v>
      </c>
      <c r="AE263" s="129">
        <v>0.998129442573887</v>
      </c>
      <c r="AF263" s="129">
        <v>0.908791208791209</v>
      </c>
      <c r="AG263" s="129">
        <v>0.959521812080537</v>
      </c>
      <c r="AH263" s="131">
        <v>0.92</v>
      </c>
      <c r="AI263" s="129" t="s">
        <v>33</v>
      </c>
      <c r="AJ263" s="129" t="s">
        <v>33</v>
      </c>
      <c r="AK263" s="129">
        <v>0</v>
      </c>
      <c r="AL263" s="129">
        <v>0.571428571428571</v>
      </c>
      <c r="AM263" s="128">
        <v>0.99</v>
      </c>
      <c r="AN263" s="133">
        <v>1</v>
      </c>
      <c r="AO263" s="133">
        <v>1</v>
      </c>
      <c r="AP263" s="133" t="s">
        <v>33</v>
      </c>
      <c r="AQ263" s="133">
        <v>1</v>
      </c>
      <c r="AR263" s="153">
        <v>0.0922287257019438</v>
      </c>
      <c r="AS263" s="137" t="s">
        <v>33</v>
      </c>
      <c r="AT263" s="137" t="s">
        <v>33</v>
      </c>
      <c r="AU263" s="137" t="s">
        <v>33</v>
      </c>
      <c r="AV263" s="137" t="s">
        <v>33</v>
      </c>
      <c r="AW263" s="93"/>
      <c r="AX263" s="91"/>
    </row>
    <row r="264" ht="14.5" spans="1:50">
      <c r="A264" s="89"/>
      <c r="B264" s="93"/>
      <c r="C264" s="157" t="s">
        <v>256</v>
      </c>
      <c r="D264" s="126" t="s">
        <v>257</v>
      </c>
      <c r="E264" s="158" t="s">
        <v>284</v>
      </c>
      <c r="F264" s="158" t="s">
        <v>284</v>
      </c>
      <c r="G264" s="158" t="s">
        <v>284</v>
      </c>
      <c r="H264" s="158" t="s">
        <v>284</v>
      </c>
      <c r="I264" s="128">
        <v>0.9</v>
      </c>
      <c r="J264" s="129" t="s">
        <v>33</v>
      </c>
      <c r="K264" s="129" t="s">
        <v>33</v>
      </c>
      <c r="L264" s="130" t="s">
        <v>33</v>
      </c>
      <c r="M264" s="129" t="s">
        <v>33</v>
      </c>
      <c r="N264" s="131">
        <v>0.9</v>
      </c>
      <c r="O264" s="129" t="s">
        <v>33</v>
      </c>
      <c r="P264" s="129">
        <v>0</v>
      </c>
      <c r="Q264" s="129" t="s">
        <v>33</v>
      </c>
      <c r="R264" s="129">
        <v>0</v>
      </c>
      <c r="S264" s="131">
        <v>0.9</v>
      </c>
      <c r="T264" s="129" t="s">
        <v>33</v>
      </c>
      <c r="U264" s="129">
        <v>1</v>
      </c>
      <c r="V264" s="129" t="s">
        <v>33</v>
      </c>
      <c r="W264" s="129">
        <v>0.733333333333333</v>
      </c>
      <c r="X264" s="131">
        <v>0.92</v>
      </c>
      <c r="Y264" s="131">
        <v>0</v>
      </c>
      <c r="Z264" s="131">
        <v>0</v>
      </c>
      <c r="AA264" s="131" t="s">
        <v>33</v>
      </c>
      <c r="AB264" s="131">
        <v>0.125</v>
      </c>
      <c r="AC264" s="131">
        <v>0.92</v>
      </c>
      <c r="AD264" s="129">
        <v>0.994847131569907</v>
      </c>
      <c r="AE264" s="129">
        <v>0.814863365937279</v>
      </c>
      <c r="AF264" s="129">
        <v>0.875253412623327</v>
      </c>
      <c r="AG264" s="129">
        <v>0.92806070974251</v>
      </c>
      <c r="AH264" s="131">
        <v>0.92</v>
      </c>
      <c r="AI264" s="129">
        <v>0</v>
      </c>
      <c r="AJ264" s="129">
        <v>0.25</v>
      </c>
      <c r="AK264" s="129" t="s">
        <v>33</v>
      </c>
      <c r="AL264" s="129">
        <v>0.541666666666667</v>
      </c>
      <c r="AM264" s="128">
        <v>0.99</v>
      </c>
      <c r="AN264" s="133">
        <v>1</v>
      </c>
      <c r="AO264" s="133">
        <v>1</v>
      </c>
      <c r="AP264" s="133">
        <v>1</v>
      </c>
      <c r="AQ264" s="133">
        <v>1</v>
      </c>
      <c r="AR264" s="153">
        <v>0.0922287257019438</v>
      </c>
      <c r="AS264" s="137" t="s">
        <v>33</v>
      </c>
      <c r="AT264" s="137" t="s">
        <v>33</v>
      </c>
      <c r="AU264" s="137" t="s">
        <v>33</v>
      </c>
      <c r="AV264" s="137" t="s">
        <v>33</v>
      </c>
      <c r="AW264" s="93"/>
      <c r="AX264" s="91"/>
    </row>
    <row r="265" ht="14.5" spans="1:50">
      <c r="A265" s="89"/>
      <c r="B265" s="93"/>
      <c r="C265" s="157" t="s">
        <v>256</v>
      </c>
      <c r="D265" s="126" t="s">
        <v>257</v>
      </c>
      <c r="E265" s="158" t="s">
        <v>285</v>
      </c>
      <c r="F265" s="158" t="s">
        <v>285</v>
      </c>
      <c r="G265" s="158" t="s">
        <v>285</v>
      </c>
      <c r="H265" s="158" t="s">
        <v>285</v>
      </c>
      <c r="I265" s="128">
        <v>0.9</v>
      </c>
      <c r="J265" s="129" t="s">
        <v>33</v>
      </c>
      <c r="K265" s="129" t="s">
        <v>33</v>
      </c>
      <c r="L265" s="130" t="s">
        <v>33</v>
      </c>
      <c r="M265" s="129" t="s">
        <v>33</v>
      </c>
      <c r="N265" s="131">
        <v>0.9</v>
      </c>
      <c r="O265" s="129">
        <v>0.5</v>
      </c>
      <c r="P265" s="129">
        <v>1</v>
      </c>
      <c r="Q265" s="129">
        <v>0.25</v>
      </c>
      <c r="R265" s="129">
        <v>0.346153846153846</v>
      </c>
      <c r="S265" s="131">
        <v>0.9</v>
      </c>
      <c r="T265" s="129">
        <v>0.333333333333333</v>
      </c>
      <c r="U265" s="129">
        <v>1</v>
      </c>
      <c r="V265" s="129">
        <v>0.5</v>
      </c>
      <c r="W265" s="129">
        <v>0.384615384615385</v>
      </c>
      <c r="X265" s="131">
        <v>0.92</v>
      </c>
      <c r="Y265" s="131">
        <v>0</v>
      </c>
      <c r="Z265" s="131" t="s">
        <v>33</v>
      </c>
      <c r="AA265" s="131" t="s">
        <v>33</v>
      </c>
      <c r="AB265" s="131">
        <v>0</v>
      </c>
      <c r="AC265" s="131">
        <v>0.92</v>
      </c>
      <c r="AD265" s="129">
        <v>0.999480669359492</v>
      </c>
      <c r="AE265" s="129">
        <v>0.995797789637349</v>
      </c>
      <c r="AF265" s="129">
        <v>0.999031342973777</v>
      </c>
      <c r="AG265" s="129">
        <v>0.983742191701485</v>
      </c>
      <c r="AH265" s="131">
        <v>0.92</v>
      </c>
      <c r="AI265" s="129">
        <v>0.222222222222222</v>
      </c>
      <c r="AJ265" s="129">
        <v>0.666666666666667</v>
      </c>
      <c r="AK265" s="129">
        <v>0.5</v>
      </c>
      <c r="AL265" s="129">
        <v>0.382352941176471</v>
      </c>
      <c r="AM265" s="128">
        <v>0.99</v>
      </c>
      <c r="AN265" s="133">
        <v>1</v>
      </c>
      <c r="AO265" s="133">
        <v>1</v>
      </c>
      <c r="AP265" s="133" t="s">
        <v>33</v>
      </c>
      <c r="AQ265" s="133">
        <v>1</v>
      </c>
      <c r="AR265" s="153">
        <v>0.0922287257019438</v>
      </c>
      <c r="AS265" s="137" t="s">
        <v>33</v>
      </c>
      <c r="AT265" s="137" t="s">
        <v>33</v>
      </c>
      <c r="AU265" s="137" t="s">
        <v>33</v>
      </c>
      <c r="AV265" s="137" t="s">
        <v>33</v>
      </c>
      <c r="AW265" s="93"/>
      <c r="AX265" s="91"/>
    </row>
    <row r="266" ht="14.5" spans="1:50">
      <c r="A266" s="89"/>
      <c r="B266" s="93"/>
      <c r="C266" s="157" t="s">
        <v>256</v>
      </c>
      <c r="D266" s="126" t="s">
        <v>257</v>
      </c>
      <c r="E266" s="158" t="s">
        <v>286</v>
      </c>
      <c r="F266" s="158" t="s">
        <v>286</v>
      </c>
      <c r="G266" s="158" t="s">
        <v>286</v>
      </c>
      <c r="H266" s="158" t="s">
        <v>286</v>
      </c>
      <c r="I266" s="128">
        <v>0.9</v>
      </c>
      <c r="J266" s="129" t="s">
        <v>33</v>
      </c>
      <c r="K266" s="129" t="s">
        <v>33</v>
      </c>
      <c r="L266" s="130" t="s">
        <v>33</v>
      </c>
      <c r="M266" s="129" t="s">
        <v>33</v>
      </c>
      <c r="N266" s="131">
        <v>0.9</v>
      </c>
      <c r="O266" s="129" t="s">
        <v>33</v>
      </c>
      <c r="P266" s="129" t="s">
        <v>33</v>
      </c>
      <c r="Q266" s="129" t="s">
        <v>33</v>
      </c>
      <c r="R266" s="129" t="s">
        <v>33</v>
      </c>
      <c r="S266" s="131">
        <v>0.9</v>
      </c>
      <c r="T266" s="129" t="s">
        <v>33</v>
      </c>
      <c r="U266" s="129" t="s">
        <v>33</v>
      </c>
      <c r="V266" s="129" t="s">
        <v>33</v>
      </c>
      <c r="W266" s="129" t="s">
        <v>33</v>
      </c>
      <c r="X266" s="131">
        <v>0.92</v>
      </c>
      <c r="Y266" s="131" t="s">
        <v>33</v>
      </c>
      <c r="Z266" s="131" t="s">
        <v>33</v>
      </c>
      <c r="AA266" s="131" t="s">
        <v>33</v>
      </c>
      <c r="AB266" s="131" t="s">
        <v>33</v>
      </c>
      <c r="AC266" s="131">
        <v>0.92</v>
      </c>
      <c r="AD266" s="129">
        <v>0.998257839721254</v>
      </c>
      <c r="AE266" s="129">
        <v>0.952296819787986</v>
      </c>
      <c r="AF266" s="129">
        <v>1</v>
      </c>
      <c r="AG266" s="129">
        <v>0.976094890510949</v>
      </c>
      <c r="AH266" s="131">
        <v>0.92</v>
      </c>
      <c r="AI266" s="129" t="s">
        <v>33</v>
      </c>
      <c r="AJ266" s="129" t="s">
        <v>33</v>
      </c>
      <c r="AK266" s="129" t="s">
        <v>33</v>
      </c>
      <c r="AL266" s="129" t="s">
        <v>33</v>
      </c>
      <c r="AM266" s="128">
        <v>0.99</v>
      </c>
      <c r="AN266" s="133">
        <v>1</v>
      </c>
      <c r="AO266" s="133" t="s">
        <v>33</v>
      </c>
      <c r="AP266" s="133">
        <v>1</v>
      </c>
      <c r="AQ266" s="133">
        <v>1</v>
      </c>
      <c r="AR266" s="153">
        <v>0.0922287257019438</v>
      </c>
      <c r="AS266" s="137" t="s">
        <v>33</v>
      </c>
      <c r="AT266" s="137" t="s">
        <v>33</v>
      </c>
      <c r="AU266" s="137" t="s">
        <v>33</v>
      </c>
      <c r="AV266" s="137" t="s">
        <v>33</v>
      </c>
      <c r="AW266" s="93"/>
      <c r="AX266" s="91"/>
    </row>
    <row r="267" ht="14.5" spans="1:50">
      <c r="A267" s="89"/>
      <c r="B267" s="93"/>
      <c r="C267" s="157" t="s">
        <v>256</v>
      </c>
      <c r="D267" s="126" t="s">
        <v>257</v>
      </c>
      <c r="E267" s="158" t="s">
        <v>287</v>
      </c>
      <c r="F267" s="158" t="s">
        <v>287</v>
      </c>
      <c r="G267" s="158" t="s">
        <v>287</v>
      </c>
      <c r="H267" s="158" t="s">
        <v>287</v>
      </c>
      <c r="I267" s="128">
        <v>0.9</v>
      </c>
      <c r="J267" s="129">
        <v>0.947368421052632</v>
      </c>
      <c r="K267" s="129">
        <v>0.962264150943396</v>
      </c>
      <c r="L267" s="130">
        <v>1</v>
      </c>
      <c r="M267" s="129">
        <v>0.96</v>
      </c>
      <c r="N267" s="131">
        <v>0.9</v>
      </c>
      <c r="O267" s="129">
        <v>0.951269035532995</v>
      </c>
      <c r="P267" s="129">
        <v>0.970111555462008</v>
      </c>
      <c r="Q267" s="129">
        <v>0.96451541361721</v>
      </c>
      <c r="R267" s="129">
        <v>0.962869185517618</v>
      </c>
      <c r="S267" s="131">
        <v>0.9</v>
      </c>
      <c r="T267" s="129">
        <v>0.928788977519942</v>
      </c>
      <c r="U267" s="129">
        <v>0.938328772889918</v>
      </c>
      <c r="V267" s="129">
        <v>0.940785096473719</v>
      </c>
      <c r="W267" s="129">
        <v>0.935957304869913</v>
      </c>
      <c r="X267" s="131">
        <v>0.92</v>
      </c>
      <c r="Y267" s="131">
        <v>0.967917939764295</v>
      </c>
      <c r="Z267" s="131">
        <v>0.975047679593134</v>
      </c>
      <c r="AA267" s="131">
        <v>0.973791233619521</v>
      </c>
      <c r="AB267" s="131">
        <v>0.973731802961663</v>
      </c>
      <c r="AC267" s="131">
        <v>0.92</v>
      </c>
      <c r="AD267" s="129">
        <v>0.995407318174974</v>
      </c>
      <c r="AE267" s="129">
        <v>0.886449115044248</v>
      </c>
      <c r="AF267" s="129">
        <v>0.918292275108683</v>
      </c>
      <c r="AG267" s="129">
        <v>0.958973278690618</v>
      </c>
      <c r="AH267" s="131">
        <v>0.92</v>
      </c>
      <c r="AI267" s="129">
        <v>0.977433127123813</v>
      </c>
      <c r="AJ267" s="129">
        <v>0.980985150307859</v>
      </c>
      <c r="AK267" s="129">
        <v>0.985123475156203</v>
      </c>
      <c r="AL267" s="129">
        <v>0.982744750365299</v>
      </c>
      <c r="AM267" s="128">
        <v>0.99</v>
      </c>
      <c r="AN267" s="133">
        <v>1</v>
      </c>
      <c r="AO267" s="133">
        <v>1</v>
      </c>
      <c r="AP267" s="133">
        <v>1</v>
      </c>
      <c r="AQ267" s="133">
        <v>1</v>
      </c>
      <c r="AR267" s="153">
        <v>0.0922287257019438</v>
      </c>
      <c r="AS267" s="137">
        <v>0.0333333333333333</v>
      </c>
      <c r="AT267" s="137">
        <v>0.0434782608695652</v>
      </c>
      <c r="AU267" s="137">
        <v>0.176470588235294</v>
      </c>
      <c r="AV267" s="137">
        <v>0.105263157894737</v>
      </c>
      <c r="AW267" s="93"/>
      <c r="AX267" s="91"/>
    </row>
    <row r="268" ht="14.5" spans="1:50">
      <c r="A268" s="89"/>
      <c r="B268" s="93"/>
      <c r="C268" s="157" t="s">
        <v>256</v>
      </c>
      <c r="D268" s="126" t="s">
        <v>257</v>
      </c>
      <c r="E268" s="158" t="s">
        <v>288</v>
      </c>
      <c r="F268" s="158" t="s">
        <v>288</v>
      </c>
      <c r="G268" s="158" t="s">
        <v>288</v>
      </c>
      <c r="H268" s="158" t="s">
        <v>288</v>
      </c>
      <c r="I268" s="128">
        <v>0.9</v>
      </c>
      <c r="J268" s="129">
        <v>0.946428571428571</v>
      </c>
      <c r="K268" s="129">
        <v>0.929203539823009</v>
      </c>
      <c r="L268" s="130">
        <v>0.872093023255814</v>
      </c>
      <c r="M268" s="129">
        <v>0.924860111910472</v>
      </c>
      <c r="N268" s="131">
        <v>0.9</v>
      </c>
      <c r="O268" s="129">
        <v>0.990375512780057</v>
      </c>
      <c r="P268" s="129">
        <v>0.988190836088805</v>
      </c>
      <c r="Q268" s="129">
        <v>0.990118100747168</v>
      </c>
      <c r="R268" s="129">
        <v>0.98713308566782</v>
      </c>
      <c r="S268" s="131">
        <v>0.9</v>
      </c>
      <c r="T268" s="129">
        <v>0.952508677816346</v>
      </c>
      <c r="U268" s="129">
        <v>0.957250826641474</v>
      </c>
      <c r="V268" s="129">
        <v>0.959026271390697</v>
      </c>
      <c r="W268" s="129">
        <v>0.957923436279277</v>
      </c>
      <c r="X268" s="131">
        <v>0.92</v>
      </c>
      <c r="Y268" s="131">
        <v>0.958926487747958</v>
      </c>
      <c r="Z268" s="131">
        <v>0.971373119844736</v>
      </c>
      <c r="AA268" s="131">
        <v>0.957555970149254</v>
      </c>
      <c r="AB268" s="131">
        <v>0.968028938378062</v>
      </c>
      <c r="AC268" s="131">
        <v>0.92</v>
      </c>
      <c r="AD268" s="129">
        <v>0.977821782178218</v>
      </c>
      <c r="AE268" s="129">
        <v>0.982722513089005</v>
      </c>
      <c r="AF268" s="129">
        <v>0.92588420815499</v>
      </c>
      <c r="AG268" s="129">
        <v>0.964273668370392</v>
      </c>
      <c r="AH268" s="131">
        <v>0.92</v>
      </c>
      <c r="AI268" s="129">
        <v>0.97496234939759</v>
      </c>
      <c r="AJ268" s="129">
        <v>0.97964865124316</v>
      </c>
      <c r="AK268" s="129">
        <v>0.97870649928492</v>
      </c>
      <c r="AL268" s="129">
        <v>0.979773731389024</v>
      </c>
      <c r="AM268" s="128">
        <v>0.99</v>
      </c>
      <c r="AN268" s="133">
        <v>1</v>
      </c>
      <c r="AO268" s="133">
        <v>1</v>
      </c>
      <c r="AP268" s="133">
        <v>1</v>
      </c>
      <c r="AQ268" s="133">
        <v>0.999396863691194</v>
      </c>
      <c r="AR268" s="153">
        <v>0.0922287257019438</v>
      </c>
      <c r="AS268" s="137">
        <v>0.0384615384615385</v>
      </c>
      <c r="AT268" s="137">
        <v>0.0714285714285714</v>
      </c>
      <c r="AU268" s="137">
        <v>0.15</v>
      </c>
      <c r="AV268" s="137">
        <v>0.0649717514124294</v>
      </c>
      <c r="AW268" s="93"/>
      <c r="AX268" s="91"/>
    </row>
    <row r="269" ht="14.5" spans="1:50">
      <c r="A269" s="89"/>
      <c r="B269" s="93"/>
      <c r="C269" s="157" t="s">
        <v>256</v>
      </c>
      <c r="D269" s="126" t="s">
        <v>257</v>
      </c>
      <c r="E269" s="158" t="s">
        <v>289</v>
      </c>
      <c r="F269" s="158" t="s">
        <v>289</v>
      </c>
      <c r="G269" s="158" t="s">
        <v>289</v>
      </c>
      <c r="H269" s="158" t="s">
        <v>289</v>
      </c>
      <c r="I269" s="128">
        <v>0.9</v>
      </c>
      <c r="J269" s="129" t="s">
        <v>33</v>
      </c>
      <c r="K269" s="129" t="s">
        <v>33</v>
      </c>
      <c r="L269" s="130" t="s">
        <v>33</v>
      </c>
      <c r="M269" s="129" t="s">
        <v>33</v>
      </c>
      <c r="N269" s="131">
        <v>0.9</v>
      </c>
      <c r="O269" s="129">
        <v>0.25</v>
      </c>
      <c r="P269" s="129">
        <v>0</v>
      </c>
      <c r="Q269" s="129">
        <v>0</v>
      </c>
      <c r="R269" s="129">
        <v>0.0769230769230769</v>
      </c>
      <c r="S269" s="131">
        <v>0.9</v>
      </c>
      <c r="T269" s="129">
        <v>0</v>
      </c>
      <c r="U269" s="129">
        <v>0.5</v>
      </c>
      <c r="V269" s="129">
        <v>0.8</v>
      </c>
      <c r="W269" s="129">
        <v>0.538461538461538</v>
      </c>
      <c r="X269" s="131">
        <v>0.92</v>
      </c>
      <c r="Y269" s="131" t="s">
        <v>33</v>
      </c>
      <c r="Z269" s="131">
        <v>0.5</v>
      </c>
      <c r="AA269" s="131">
        <v>0</v>
      </c>
      <c r="AB269" s="131">
        <v>0.538461538461538</v>
      </c>
      <c r="AC269" s="131">
        <v>0.92</v>
      </c>
      <c r="AD269" s="129">
        <v>0.996430165104864</v>
      </c>
      <c r="AE269" s="129">
        <v>0.996836909988275</v>
      </c>
      <c r="AF269" s="129">
        <v>0.996514771505814</v>
      </c>
      <c r="AG269" s="129">
        <v>0.995764513341897</v>
      </c>
      <c r="AH269" s="131">
        <v>0.92</v>
      </c>
      <c r="AI269" s="129">
        <v>0</v>
      </c>
      <c r="AJ269" s="129">
        <v>0.5</v>
      </c>
      <c r="AK269" s="129">
        <v>0.666666666666667</v>
      </c>
      <c r="AL269" s="129">
        <v>0.571428571428571</v>
      </c>
      <c r="AM269" s="128">
        <v>0.99</v>
      </c>
      <c r="AN269" s="133">
        <v>1</v>
      </c>
      <c r="AO269" s="133">
        <v>1</v>
      </c>
      <c r="AP269" s="133">
        <v>1</v>
      </c>
      <c r="AQ269" s="133">
        <v>1</v>
      </c>
      <c r="AR269" s="153">
        <v>0.0922287257019438</v>
      </c>
      <c r="AS269" s="137" t="s">
        <v>33</v>
      </c>
      <c r="AT269" s="137" t="s">
        <v>33</v>
      </c>
      <c r="AU269" s="137" t="s">
        <v>33</v>
      </c>
      <c r="AV269" s="137" t="s">
        <v>33</v>
      </c>
      <c r="AW269" s="93"/>
      <c r="AX269" s="91"/>
    </row>
    <row r="270" ht="14.5" spans="1:50">
      <c r="A270" s="89"/>
      <c r="B270" s="93"/>
      <c r="C270" s="157" t="s">
        <v>256</v>
      </c>
      <c r="D270" s="126" t="s">
        <v>257</v>
      </c>
      <c r="E270" s="158" t="s">
        <v>290</v>
      </c>
      <c r="F270" s="158" t="s">
        <v>290</v>
      </c>
      <c r="G270" s="158" t="s">
        <v>290</v>
      </c>
      <c r="H270" s="158" t="s">
        <v>290</v>
      </c>
      <c r="I270" s="128">
        <v>0.9</v>
      </c>
      <c r="J270" s="129">
        <v>0.896825396825397</v>
      </c>
      <c r="K270" s="129">
        <v>0.884297520661157</v>
      </c>
      <c r="L270" s="130">
        <v>0.950980392156863</v>
      </c>
      <c r="M270" s="129">
        <v>0.885187810063785</v>
      </c>
      <c r="N270" s="131">
        <v>0.9</v>
      </c>
      <c r="O270" s="129">
        <v>0.910698198198198</v>
      </c>
      <c r="P270" s="129">
        <v>0.960302125417179</v>
      </c>
      <c r="Q270" s="129">
        <v>0.969279463787004</v>
      </c>
      <c r="R270" s="129">
        <v>0.900001174798228</v>
      </c>
      <c r="S270" s="131">
        <v>0.9</v>
      </c>
      <c r="T270" s="129">
        <v>0.907432432432432</v>
      </c>
      <c r="U270" s="129">
        <v>0.937467064816441</v>
      </c>
      <c r="V270" s="129">
        <v>0.939676037981754</v>
      </c>
      <c r="W270" s="129">
        <v>0.921734942023707</v>
      </c>
      <c r="X270" s="131">
        <v>0.92</v>
      </c>
      <c r="Y270" s="131">
        <v>0.9755088532186</v>
      </c>
      <c r="Z270" s="131">
        <v>0.973855375589848</v>
      </c>
      <c r="AA270" s="131">
        <v>0.971078976640712</v>
      </c>
      <c r="AB270" s="131">
        <v>0.973184937431521</v>
      </c>
      <c r="AC270" s="131">
        <v>0.92</v>
      </c>
      <c r="AD270" s="129">
        <v>0.995735607675906</v>
      </c>
      <c r="AE270" s="129">
        <v>0.813961426864653</v>
      </c>
      <c r="AF270" s="129">
        <v>0.937180083759888</v>
      </c>
      <c r="AG270" s="129">
        <v>0.941776182562183</v>
      </c>
      <c r="AH270" s="131">
        <v>0.92</v>
      </c>
      <c r="AI270" s="129">
        <v>0.983653781737791</v>
      </c>
      <c r="AJ270" s="129">
        <v>0.980495012929442</v>
      </c>
      <c r="AK270" s="129">
        <v>0.984382746653446</v>
      </c>
      <c r="AL270" s="129">
        <v>0.983153193968028</v>
      </c>
      <c r="AM270" s="128">
        <v>0.99</v>
      </c>
      <c r="AN270" s="133">
        <v>1</v>
      </c>
      <c r="AO270" s="133">
        <v>1</v>
      </c>
      <c r="AP270" s="133">
        <v>1</v>
      </c>
      <c r="AQ270" s="133">
        <v>1</v>
      </c>
      <c r="AR270" s="153">
        <v>0.0922287257019438</v>
      </c>
      <c r="AS270" s="137">
        <v>0.032258064516129</v>
      </c>
      <c r="AT270" s="137">
        <v>0.0588235294117647</v>
      </c>
      <c r="AU270" s="137">
        <v>0.0416666666666667</v>
      </c>
      <c r="AV270" s="137">
        <v>0.0671140939597315</v>
      </c>
      <c r="AW270" s="93"/>
      <c r="AX270" s="91"/>
    </row>
    <row r="271" ht="14.5" spans="1:50">
      <c r="A271" s="89"/>
      <c r="B271" s="93"/>
      <c r="C271" s="157" t="s">
        <v>256</v>
      </c>
      <c r="D271" s="126" t="s">
        <v>257</v>
      </c>
      <c r="E271" s="158" t="s">
        <v>291</v>
      </c>
      <c r="F271" s="158" t="s">
        <v>291</v>
      </c>
      <c r="G271" s="158" t="s">
        <v>291</v>
      </c>
      <c r="H271" s="158" t="s">
        <v>291</v>
      </c>
      <c r="I271" s="128">
        <v>0.9</v>
      </c>
      <c r="J271" s="129">
        <v>0.958333333333333</v>
      </c>
      <c r="K271" s="129">
        <v>0.971428571428571</v>
      </c>
      <c r="L271" s="130">
        <v>0.942028985507246</v>
      </c>
      <c r="M271" s="129">
        <v>0.959381044487427</v>
      </c>
      <c r="N271" s="131">
        <v>0.9</v>
      </c>
      <c r="O271" s="129">
        <v>0.94908569379706</v>
      </c>
      <c r="P271" s="129">
        <v>0.982655672448109</v>
      </c>
      <c r="Q271" s="129">
        <v>0.982271129451322</v>
      </c>
      <c r="R271" s="129">
        <v>0.972754256543136</v>
      </c>
      <c r="S271" s="131">
        <v>0.9</v>
      </c>
      <c r="T271" s="129">
        <v>0.931158121190391</v>
      </c>
      <c r="U271" s="129">
        <v>0.955501848166051</v>
      </c>
      <c r="V271" s="129">
        <v>0.963013907993275</v>
      </c>
      <c r="W271" s="129">
        <v>0.943671504123602</v>
      </c>
      <c r="X271" s="131">
        <v>0.92</v>
      </c>
      <c r="Y271" s="131">
        <v>0.984494120687427</v>
      </c>
      <c r="Z271" s="131">
        <v>0.992579743663872</v>
      </c>
      <c r="AA271" s="131">
        <v>0.993661768942668</v>
      </c>
      <c r="AB271" s="131">
        <v>0.98962670077916</v>
      </c>
      <c r="AC271" s="131">
        <v>0.92</v>
      </c>
      <c r="AD271" s="129">
        <v>0.996674057649667</v>
      </c>
      <c r="AE271" s="129">
        <v>0.999234771962045</v>
      </c>
      <c r="AF271" s="129">
        <v>0.973631284916201</v>
      </c>
      <c r="AG271" s="129">
        <v>0.995842698279788</v>
      </c>
      <c r="AH271" s="131">
        <v>0.92</v>
      </c>
      <c r="AI271" s="129">
        <v>0.987619047619048</v>
      </c>
      <c r="AJ271" s="129">
        <v>0.994257164187676</v>
      </c>
      <c r="AK271" s="129">
        <v>0.995207189216176</v>
      </c>
      <c r="AL271" s="129">
        <v>0.992857783854263</v>
      </c>
      <c r="AM271" s="128">
        <v>0.99</v>
      </c>
      <c r="AN271" s="133">
        <v>1</v>
      </c>
      <c r="AO271" s="133">
        <v>1</v>
      </c>
      <c r="AP271" s="133">
        <v>1</v>
      </c>
      <c r="AQ271" s="133">
        <v>1</v>
      </c>
      <c r="AR271" s="153">
        <v>0.0922287257019438</v>
      </c>
      <c r="AS271" s="137">
        <v>0.0333333333333333</v>
      </c>
      <c r="AT271" s="137">
        <v>0.121212121212121</v>
      </c>
      <c r="AU271" s="137">
        <v>0.0476190476190476</v>
      </c>
      <c r="AV271" s="137">
        <v>0.108910891089109</v>
      </c>
      <c r="AW271" s="93"/>
      <c r="AX271" s="91"/>
    </row>
    <row r="272" ht="14.5" spans="1:50">
      <c r="A272" s="89"/>
      <c r="B272" s="93"/>
      <c r="C272" s="157" t="s">
        <v>256</v>
      </c>
      <c r="D272" s="126" t="s">
        <v>257</v>
      </c>
      <c r="E272" s="158" t="s">
        <v>292</v>
      </c>
      <c r="F272" s="158" t="s">
        <v>292</v>
      </c>
      <c r="G272" s="158" t="s">
        <v>292</v>
      </c>
      <c r="H272" s="158" t="s">
        <v>292</v>
      </c>
      <c r="I272" s="128">
        <v>0.9</v>
      </c>
      <c r="J272" s="129">
        <v>0.995121951219512</v>
      </c>
      <c r="K272" s="129">
        <v>0.984293193717278</v>
      </c>
      <c r="L272" s="130">
        <v>0.974358974358974</v>
      </c>
      <c r="M272" s="129">
        <v>0.976331360946746</v>
      </c>
      <c r="N272" s="131">
        <v>0.9</v>
      </c>
      <c r="O272" s="129">
        <v>0.972537603105289</v>
      </c>
      <c r="P272" s="129">
        <v>0.980418138987044</v>
      </c>
      <c r="Q272" s="129">
        <v>0.970933734939759</v>
      </c>
      <c r="R272" s="129">
        <v>0.973697906241243</v>
      </c>
      <c r="S272" s="131">
        <v>0.9</v>
      </c>
      <c r="T272" s="129">
        <v>0.945269286754003</v>
      </c>
      <c r="U272" s="129">
        <v>0.954210836277974</v>
      </c>
      <c r="V272" s="129">
        <v>0.956626506024096</v>
      </c>
      <c r="W272" s="129">
        <v>0.951739461147364</v>
      </c>
      <c r="X272" s="131">
        <v>0.92</v>
      </c>
      <c r="Y272" s="131">
        <v>0.984740857669035</v>
      </c>
      <c r="Z272" s="131">
        <v>0.993790716612378</v>
      </c>
      <c r="AA272" s="131">
        <v>0.988192296879393</v>
      </c>
      <c r="AB272" s="131">
        <v>0.991777406738181</v>
      </c>
      <c r="AC272" s="131">
        <v>0.92</v>
      </c>
      <c r="AD272" s="129">
        <v>0.998892988929889</v>
      </c>
      <c r="AE272" s="129">
        <v>0.998705780845557</v>
      </c>
      <c r="AF272" s="129">
        <v>0.993355481727575</v>
      </c>
      <c r="AG272" s="129">
        <v>0.989014719042182</v>
      </c>
      <c r="AH272" s="131">
        <v>0.92</v>
      </c>
      <c r="AI272" s="129">
        <v>0.99039749888343</v>
      </c>
      <c r="AJ272" s="129">
        <v>0.995787193066923</v>
      </c>
      <c r="AK272" s="129">
        <v>0.994410120623713</v>
      </c>
      <c r="AL272" s="129">
        <v>0.994988873056787</v>
      </c>
      <c r="AM272" s="128">
        <v>0.99</v>
      </c>
      <c r="AN272" s="133">
        <v>1</v>
      </c>
      <c r="AO272" s="133">
        <v>1</v>
      </c>
      <c r="AP272" s="133">
        <v>1</v>
      </c>
      <c r="AQ272" s="133">
        <v>1</v>
      </c>
      <c r="AR272" s="153">
        <v>0.0922287257019438</v>
      </c>
      <c r="AS272" s="137">
        <v>0.0833333333333333</v>
      </c>
      <c r="AT272" s="137">
        <v>0.111111111111111</v>
      </c>
      <c r="AU272" s="137">
        <v>0.125</v>
      </c>
      <c r="AV272" s="137">
        <v>0.103932584269663</v>
      </c>
      <c r="AW272" s="93"/>
      <c r="AX272" s="91"/>
    </row>
    <row r="273" ht="14.5" spans="1:50">
      <c r="A273" s="89"/>
      <c r="B273" s="93"/>
      <c r="C273" s="157" t="s">
        <v>256</v>
      </c>
      <c r="D273" s="126" t="s">
        <v>257</v>
      </c>
      <c r="E273" s="158" t="s">
        <v>293</v>
      </c>
      <c r="F273" s="158" t="s">
        <v>293</v>
      </c>
      <c r="G273" s="158" t="s">
        <v>293</v>
      </c>
      <c r="H273" s="158" t="s">
        <v>293</v>
      </c>
      <c r="I273" s="128">
        <v>0.9</v>
      </c>
      <c r="J273" s="129">
        <v>0.974358974358974</v>
      </c>
      <c r="K273" s="129">
        <v>0.982300884955752</v>
      </c>
      <c r="L273" s="130">
        <v>0.981981981981982</v>
      </c>
      <c r="M273" s="129">
        <v>0.968578161822467</v>
      </c>
      <c r="N273" s="131">
        <v>0.9</v>
      </c>
      <c r="O273" s="129">
        <v>0.974410436527847</v>
      </c>
      <c r="P273" s="129">
        <v>0.98367724052972</v>
      </c>
      <c r="Q273" s="129">
        <v>0.982568656470975</v>
      </c>
      <c r="R273" s="129">
        <v>0.97617541640312</v>
      </c>
      <c r="S273" s="131">
        <v>0.9</v>
      </c>
      <c r="T273" s="129">
        <v>0.962870045158053</v>
      </c>
      <c r="U273" s="129">
        <v>0.975053895903911</v>
      </c>
      <c r="V273" s="129">
        <v>0.980924190100312</v>
      </c>
      <c r="W273" s="129">
        <v>0.968796120598777</v>
      </c>
      <c r="X273" s="131">
        <v>0.92</v>
      </c>
      <c r="Y273" s="131">
        <v>0.992298916143754</v>
      </c>
      <c r="Z273" s="131">
        <v>0.994434931506849</v>
      </c>
      <c r="AA273" s="131">
        <v>0.997110754414125</v>
      </c>
      <c r="AB273" s="131">
        <v>0.995416183568366</v>
      </c>
      <c r="AC273" s="131">
        <v>0.92</v>
      </c>
      <c r="AD273" s="129">
        <v>0.984108457532771</v>
      </c>
      <c r="AE273" s="129">
        <v>0.987280127925571</v>
      </c>
      <c r="AF273" s="129">
        <v>0.991052309574794</v>
      </c>
      <c r="AG273" s="129">
        <v>0.986135501768853</v>
      </c>
      <c r="AH273" s="131">
        <v>0.92</v>
      </c>
      <c r="AI273" s="129">
        <v>0.99293244596266</v>
      </c>
      <c r="AJ273" s="129">
        <v>0.996590909090909</v>
      </c>
      <c r="AK273" s="129">
        <v>0.99869522670436</v>
      </c>
      <c r="AL273" s="129">
        <v>0.996841394168447</v>
      </c>
      <c r="AM273" s="128">
        <v>0.99</v>
      </c>
      <c r="AN273" s="133">
        <v>1</v>
      </c>
      <c r="AO273" s="133">
        <v>1</v>
      </c>
      <c r="AP273" s="133">
        <v>1</v>
      </c>
      <c r="AQ273" s="133">
        <v>1</v>
      </c>
      <c r="AR273" s="153">
        <v>0.0922287257019438</v>
      </c>
      <c r="AS273" s="137">
        <v>0.1</v>
      </c>
      <c r="AT273" s="137">
        <v>0</v>
      </c>
      <c r="AU273" s="137">
        <v>0.125</v>
      </c>
      <c r="AV273" s="137">
        <v>0.0949554896142433</v>
      </c>
      <c r="AW273" s="93"/>
      <c r="AX273" s="91"/>
    </row>
    <row r="274" ht="14.5" spans="1:50">
      <c r="A274" s="89"/>
      <c r="B274" s="93"/>
      <c r="C274" s="157" t="s">
        <v>256</v>
      </c>
      <c r="D274" s="126" t="s">
        <v>257</v>
      </c>
      <c r="E274" s="158" t="s">
        <v>294</v>
      </c>
      <c r="F274" s="158" t="s">
        <v>294</v>
      </c>
      <c r="G274" s="158" t="s">
        <v>294</v>
      </c>
      <c r="H274" s="158" t="s">
        <v>294</v>
      </c>
      <c r="I274" s="128">
        <v>0.9</v>
      </c>
      <c r="J274" s="129">
        <v>0.979381443298969</v>
      </c>
      <c r="K274" s="129">
        <v>0.989130434782609</v>
      </c>
      <c r="L274" s="130">
        <v>0.975308641975309</v>
      </c>
      <c r="M274" s="129">
        <v>0.985198889916744</v>
      </c>
      <c r="N274" s="131">
        <v>0.9</v>
      </c>
      <c r="O274" s="129">
        <v>0.975294455616202</v>
      </c>
      <c r="P274" s="129">
        <v>0.980157835400225</v>
      </c>
      <c r="Q274" s="129">
        <v>0.987073170731707</v>
      </c>
      <c r="R274" s="129">
        <v>0.978611273769532</v>
      </c>
      <c r="S274" s="131">
        <v>0.9</v>
      </c>
      <c r="T274" s="129">
        <v>0.957339844872163</v>
      </c>
      <c r="U274" s="129">
        <v>0.967531003382187</v>
      </c>
      <c r="V274" s="129">
        <v>0.960487804878049</v>
      </c>
      <c r="W274" s="129">
        <v>0.962122846488119</v>
      </c>
      <c r="X274" s="131">
        <v>0.92</v>
      </c>
      <c r="Y274" s="131">
        <v>0.987620064034152</v>
      </c>
      <c r="Z274" s="131">
        <v>0.994083761482173</v>
      </c>
      <c r="AA274" s="131">
        <v>0.985365853658537</v>
      </c>
      <c r="AB274" s="131">
        <v>0.990923691779031</v>
      </c>
      <c r="AC274" s="131">
        <v>0.92</v>
      </c>
      <c r="AD274" s="129">
        <v>0.998630136986301</v>
      </c>
      <c r="AE274" s="129">
        <v>0.996858937749857</v>
      </c>
      <c r="AF274" s="129">
        <v>0.9877769289534</v>
      </c>
      <c r="AG274" s="129">
        <v>0.993433092905587</v>
      </c>
      <c r="AH274" s="131">
        <v>0.92</v>
      </c>
      <c r="AI274" s="129">
        <v>0.991243883595158</v>
      </c>
      <c r="AJ274" s="129">
        <v>0.995212227235061</v>
      </c>
      <c r="AK274" s="129">
        <v>0.991871240448708</v>
      </c>
      <c r="AL274" s="129">
        <v>0.993770469662694</v>
      </c>
      <c r="AM274" s="128">
        <v>0.99</v>
      </c>
      <c r="AN274" s="133">
        <v>1</v>
      </c>
      <c r="AO274" s="133">
        <v>1</v>
      </c>
      <c r="AP274" s="133">
        <v>1</v>
      </c>
      <c r="AQ274" s="133">
        <v>1</v>
      </c>
      <c r="AR274" s="153">
        <v>0.0922287257019438</v>
      </c>
      <c r="AS274" s="137">
        <v>0.151515151515152</v>
      </c>
      <c r="AT274" s="137">
        <v>0</v>
      </c>
      <c r="AU274" s="137">
        <v>0.181818181818182</v>
      </c>
      <c r="AV274" s="137">
        <v>0.0941176470588235</v>
      </c>
      <c r="AW274" s="93"/>
      <c r="AX274" s="91"/>
    </row>
    <row r="275" ht="14.5" spans="1:50">
      <c r="A275" s="89"/>
      <c r="B275" s="93"/>
      <c r="C275" s="157" t="s">
        <v>256</v>
      </c>
      <c r="D275" s="126" t="s">
        <v>257</v>
      </c>
      <c r="E275" s="158" t="s">
        <v>295</v>
      </c>
      <c r="F275" s="158" t="s">
        <v>295</v>
      </c>
      <c r="G275" s="158" t="s">
        <v>295</v>
      </c>
      <c r="H275" s="158" t="s">
        <v>295</v>
      </c>
      <c r="I275" s="128">
        <v>0.9</v>
      </c>
      <c r="J275" s="129">
        <v>0.954022988505747</v>
      </c>
      <c r="K275" s="129">
        <v>0.949367088607595</v>
      </c>
      <c r="L275" s="130">
        <v>0.946666666666667</v>
      </c>
      <c r="M275" s="129">
        <v>0.941921858500528</v>
      </c>
      <c r="N275" s="131">
        <v>0.9</v>
      </c>
      <c r="O275" s="129">
        <v>0.971584451011594</v>
      </c>
      <c r="P275" s="129">
        <v>0.98626577579807</v>
      </c>
      <c r="Q275" s="129">
        <v>0.987254187909687</v>
      </c>
      <c r="R275" s="129">
        <v>0.980185487208198</v>
      </c>
      <c r="S275" s="131">
        <v>0.9</v>
      </c>
      <c r="T275" s="129">
        <v>0.961354853375767</v>
      </c>
      <c r="U275" s="129">
        <v>0.957683741648107</v>
      </c>
      <c r="V275" s="129">
        <v>0.962126729788784</v>
      </c>
      <c r="W275" s="129">
        <v>0.959786762737032</v>
      </c>
      <c r="X275" s="131">
        <v>0.92</v>
      </c>
      <c r="Y275" s="131">
        <v>0.983214977404777</v>
      </c>
      <c r="Z275" s="131">
        <v>0.9907019990702</v>
      </c>
      <c r="AA275" s="131">
        <v>0.975929978118162</v>
      </c>
      <c r="AB275" s="131">
        <v>0.989171133798454</v>
      </c>
      <c r="AC275" s="131">
        <v>0.92</v>
      </c>
      <c r="AD275" s="129">
        <v>0.998583569405099</v>
      </c>
      <c r="AE275" s="129">
        <v>0.969483568075117</v>
      </c>
      <c r="AF275" s="129">
        <v>0.975655430711611</v>
      </c>
      <c r="AG275" s="129">
        <v>0.984426732066217</v>
      </c>
      <c r="AH275" s="131">
        <v>0.92</v>
      </c>
      <c r="AI275" s="129">
        <v>0.989065208694493</v>
      </c>
      <c r="AJ275" s="129">
        <v>0.992996998713734</v>
      </c>
      <c r="AK275" s="129">
        <v>0.990769978139422</v>
      </c>
      <c r="AL275" s="129">
        <v>0.993134397054311</v>
      </c>
      <c r="AM275" s="128">
        <v>0.99</v>
      </c>
      <c r="AN275" s="133">
        <v>1</v>
      </c>
      <c r="AO275" s="133">
        <v>1</v>
      </c>
      <c r="AP275" s="133">
        <v>1</v>
      </c>
      <c r="AQ275" s="133">
        <v>1</v>
      </c>
      <c r="AR275" s="153">
        <v>0.0922287257019438</v>
      </c>
      <c r="AS275" s="137">
        <v>0.222222222222222</v>
      </c>
      <c r="AT275" s="137">
        <v>0.1</v>
      </c>
      <c r="AU275" s="137">
        <v>0.333333333333333</v>
      </c>
      <c r="AV275" s="137">
        <v>0.116666666666667</v>
      </c>
      <c r="AW275" s="93"/>
      <c r="AX275" s="91"/>
    </row>
    <row r="276" ht="14.5" spans="1:50">
      <c r="A276" s="89"/>
      <c r="B276" s="93"/>
      <c r="C276" s="157" t="s">
        <v>256</v>
      </c>
      <c r="D276" s="126" t="s">
        <v>257</v>
      </c>
      <c r="E276" s="158" t="s">
        <v>296</v>
      </c>
      <c r="F276" s="158" t="s">
        <v>296</v>
      </c>
      <c r="G276" s="158" t="s">
        <v>296</v>
      </c>
      <c r="H276" s="158" t="s">
        <v>296</v>
      </c>
      <c r="I276" s="128">
        <v>0.9</v>
      </c>
      <c r="J276" s="129">
        <v>0.934640522875817</v>
      </c>
      <c r="K276" s="129">
        <v>0.904761904761905</v>
      </c>
      <c r="L276" s="130">
        <v>0.868852459016393</v>
      </c>
      <c r="M276" s="129">
        <v>0.909845788849348</v>
      </c>
      <c r="N276" s="131">
        <v>0.9</v>
      </c>
      <c r="O276" s="129">
        <v>0.730206438345329</v>
      </c>
      <c r="P276" s="129">
        <v>0.965596054372669</v>
      </c>
      <c r="Q276" s="129">
        <v>0.936609778005903</v>
      </c>
      <c r="R276" s="129">
        <v>0.844353448275862</v>
      </c>
      <c r="S276" s="131">
        <v>0.9</v>
      </c>
      <c r="T276" s="129">
        <v>0.895278019457407</v>
      </c>
      <c r="U276" s="129">
        <v>0.943341753879466</v>
      </c>
      <c r="V276" s="129">
        <v>0.931990247658155</v>
      </c>
      <c r="W276" s="129">
        <v>0.918689655172414</v>
      </c>
      <c r="X276" s="131">
        <v>0.92</v>
      </c>
      <c r="Y276" s="131">
        <v>0.969782813975449</v>
      </c>
      <c r="Z276" s="131">
        <v>0.98220493295812</v>
      </c>
      <c r="AA276" s="131">
        <v>0.981424936386768</v>
      </c>
      <c r="AB276" s="131">
        <v>0.982261372016203</v>
      </c>
      <c r="AC276" s="131">
        <v>0.92</v>
      </c>
      <c r="AD276" s="129">
        <v>0.994619799139168</v>
      </c>
      <c r="AE276" s="129">
        <v>0.784495610402518</v>
      </c>
      <c r="AF276" s="129">
        <v>0.875</v>
      </c>
      <c r="AG276" s="129">
        <v>0.933228921952493</v>
      </c>
      <c r="AH276" s="131">
        <v>0.92</v>
      </c>
      <c r="AI276" s="129">
        <v>0.977411564142634</v>
      </c>
      <c r="AJ276" s="129">
        <v>0.985732496567954</v>
      </c>
      <c r="AK276" s="129">
        <v>0.988740083596349</v>
      </c>
      <c r="AL276" s="129">
        <v>0.98731175696598</v>
      </c>
      <c r="AM276" s="128">
        <v>0.99</v>
      </c>
      <c r="AN276" s="133">
        <v>1</v>
      </c>
      <c r="AO276" s="133">
        <v>1</v>
      </c>
      <c r="AP276" s="133">
        <v>1</v>
      </c>
      <c r="AQ276" s="133">
        <v>1</v>
      </c>
      <c r="AR276" s="153">
        <v>0.0922287257019438</v>
      </c>
      <c r="AS276" s="137">
        <v>0.12962962962963</v>
      </c>
      <c r="AT276" s="137">
        <v>0.119402985074627</v>
      </c>
      <c r="AU276" s="137">
        <v>0.0196078431372549</v>
      </c>
      <c r="AV276" s="137">
        <v>0.0802919708029197</v>
      </c>
      <c r="AW276" s="93"/>
      <c r="AX276" s="91"/>
    </row>
    <row r="277" ht="14.5" spans="1:50">
      <c r="A277" s="89"/>
      <c r="B277" s="93"/>
      <c r="C277" s="157" t="s">
        <v>256</v>
      </c>
      <c r="D277" s="126" t="s">
        <v>257</v>
      </c>
      <c r="E277" s="158" t="s">
        <v>297</v>
      </c>
      <c r="F277" s="158" t="s">
        <v>297</v>
      </c>
      <c r="G277" s="158" t="s">
        <v>297</v>
      </c>
      <c r="H277" s="158" t="s">
        <v>297</v>
      </c>
      <c r="I277" s="128">
        <v>0.9</v>
      </c>
      <c r="J277" s="129" t="s">
        <v>33</v>
      </c>
      <c r="K277" s="129" t="s">
        <v>33</v>
      </c>
      <c r="L277" s="130" t="s">
        <v>33</v>
      </c>
      <c r="M277" s="129" t="s">
        <v>33</v>
      </c>
      <c r="N277" s="131">
        <v>0.9</v>
      </c>
      <c r="O277" s="129">
        <v>0</v>
      </c>
      <c r="P277" s="129" t="s">
        <v>33</v>
      </c>
      <c r="Q277" s="129" t="s">
        <v>33</v>
      </c>
      <c r="R277" s="129">
        <v>0</v>
      </c>
      <c r="S277" s="131">
        <v>0.9</v>
      </c>
      <c r="T277" s="129">
        <v>1</v>
      </c>
      <c r="U277" s="129" t="s">
        <v>33</v>
      </c>
      <c r="V277" s="129" t="s">
        <v>33</v>
      </c>
      <c r="W277" s="129">
        <v>1</v>
      </c>
      <c r="X277" s="131">
        <v>0.92</v>
      </c>
      <c r="Y277" s="131" t="s">
        <v>33</v>
      </c>
      <c r="Z277" s="131" t="s">
        <v>33</v>
      </c>
      <c r="AA277" s="131" t="s">
        <v>33</v>
      </c>
      <c r="AB277" s="131" t="s">
        <v>33</v>
      </c>
      <c r="AC277" s="131">
        <v>0.92</v>
      </c>
      <c r="AD277" s="129">
        <v>1</v>
      </c>
      <c r="AE277" s="129">
        <v>0.983703703703704</v>
      </c>
      <c r="AF277" s="129">
        <v>0.976109215017065</v>
      </c>
      <c r="AG277" s="129">
        <v>0.899260925449871</v>
      </c>
      <c r="AH277" s="131">
        <v>0.92</v>
      </c>
      <c r="AI277" s="129">
        <v>1</v>
      </c>
      <c r="AJ277" s="129" t="s">
        <v>33</v>
      </c>
      <c r="AK277" s="129" t="s">
        <v>33</v>
      </c>
      <c r="AL277" s="129">
        <v>1</v>
      </c>
      <c r="AM277" s="128">
        <v>0.99</v>
      </c>
      <c r="AN277" s="133">
        <v>1</v>
      </c>
      <c r="AO277" s="133">
        <v>1</v>
      </c>
      <c r="AP277" s="133">
        <v>1</v>
      </c>
      <c r="AQ277" s="133">
        <v>1</v>
      </c>
      <c r="AR277" s="153">
        <v>0.0922287257019438</v>
      </c>
      <c r="AS277" s="137" t="s">
        <v>33</v>
      </c>
      <c r="AT277" s="137" t="s">
        <v>33</v>
      </c>
      <c r="AU277" s="137" t="s">
        <v>33</v>
      </c>
      <c r="AV277" s="137" t="s">
        <v>33</v>
      </c>
      <c r="AW277" s="93"/>
      <c r="AX277" s="91"/>
    </row>
    <row r="278" ht="14.5" spans="1:50">
      <c r="A278" s="89"/>
      <c r="B278" s="93"/>
      <c r="C278" s="157" t="s">
        <v>256</v>
      </c>
      <c r="D278" s="126" t="s">
        <v>257</v>
      </c>
      <c r="E278" s="158" t="s">
        <v>298</v>
      </c>
      <c r="F278" s="158" t="s">
        <v>298</v>
      </c>
      <c r="G278" s="158" t="s">
        <v>298</v>
      </c>
      <c r="H278" s="158" t="s">
        <v>298</v>
      </c>
      <c r="I278" s="128">
        <v>0.9</v>
      </c>
      <c r="J278" s="129" t="s">
        <v>33</v>
      </c>
      <c r="K278" s="129" t="s">
        <v>33</v>
      </c>
      <c r="L278" s="130" t="s">
        <v>33</v>
      </c>
      <c r="M278" s="129" t="s">
        <v>33</v>
      </c>
      <c r="N278" s="131">
        <v>0.9</v>
      </c>
      <c r="O278" s="129" t="s">
        <v>33</v>
      </c>
      <c r="P278" s="129" t="s">
        <v>33</v>
      </c>
      <c r="Q278" s="129" t="s">
        <v>33</v>
      </c>
      <c r="R278" s="129" t="s">
        <v>33</v>
      </c>
      <c r="S278" s="131">
        <v>0.9</v>
      </c>
      <c r="T278" s="129" t="s">
        <v>33</v>
      </c>
      <c r="U278" s="129" t="s">
        <v>33</v>
      </c>
      <c r="V278" s="129" t="s">
        <v>33</v>
      </c>
      <c r="W278" s="129" t="s">
        <v>33</v>
      </c>
      <c r="X278" s="131">
        <v>0.92</v>
      </c>
      <c r="Y278" s="131" t="s">
        <v>33</v>
      </c>
      <c r="Z278" s="131" t="s">
        <v>33</v>
      </c>
      <c r="AA278" s="131" t="s">
        <v>33</v>
      </c>
      <c r="AB278" s="131" t="s">
        <v>33</v>
      </c>
      <c r="AC278" s="131">
        <v>0.92</v>
      </c>
      <c r="AD278" s="129">
        <v>0.994579945799458</v>
      </c>
      <c r="AE278" s="129">
        <v>0.733887733887734</v>
      </c>
      <c r="AF278" s="129">
        <v>0.253968253968254</v>
      </c>
      <c r="AG278" s="129">
        <v>0.71618337923214</v>
      </c>
      <c r="AH278" s="131">
        <v>0.92</v>
      </c>
      <c r="AI278" s="129" t="s">
        <v>33</v>
      </c>
      <c r="AJ278" s="129" t="s">
        <v>33</v>
      </c>
      <c r="AK278" s="129" t="s">
        <v>33</v>
      </c>
      <c r="AL278" s="129" t="s">
        <v>33</v>
      </c>
      <c r="AM278" s="128">
        <v>0.99</v>
      </c>
      <c r="AN278" s="133" t="s">
        <v>33</v>
      </c>
      <c r="AO278" s="133">
        <v>1</v>
      </c>
      <c r="AP278" s="133" t="s">
        <v>33</v>
      </c>
      <c r="AQ278" s="133">
        <v>1</v>
      </c>
      <c r="AR278" s="153">
        <v>0.0922287257019438</v>
      </c>
      <c r="AS278" s="137" t="s">
        <v>33</v>
      </c>
      <c r="AT278" s="137" t="s">
        <v>33</v>
      </c>
      <c r="AU278" s="137" t="s">
        <v>33</v>
      </c>
      <c r="AV278" s="137" t="s">
        <v>33</v>
      </c>
      <c r="AW278" s="93"/>
      <c r="AX278" s="91"/>
    </row>
    <row r="279" ht="14.5" spans="1:50">
      <c r="A279" s="89"/>
      <c r="B279" s="93"/>
      <c r="C279" s="157" t="s">
        <v>256</v>
      </c>
      <c r="D279" s="126" t="s">
        <v>257</v>
      </c>
      <c r="E279" s="158" t="s">
        <v>299</v>
      </c>
      <c r="F279" s="158" t="s">
        <v>299</v>
      </c>
      <c r="G279" s="158" t="s">
        <v>299</v>
      </c>
      <c r="H279" s="158" t="s">
        <v>299</v>
      </c>
      <c r="I279" s="128">
        <v>0.9</v>
      </c>
      <c r="J279" s="129" t="s">
        <v>33</v>
      </c>
      <c r="K279" s="129" t="s">
        <v>33</v>
      </c>
      <c r="L279" s="130" t="s">
        <v>33</v>
      </c>
      <c r="M279" s="129" t="s">
        <v>33</v>
      </c>
      <c r="N279" s="131">
        <v>0.9</v>
      </c>
      <c r="O279" s="129" t="s">
        <v>33</v>
      </c>
      <c r="P279" s="129">
        <v>0</v>
      </c>
      <c r="Q279" s="129" t="s">
        <v>33</v>
      </c>
      <c r="R279" s="129">
        <v>0</v>
      </c>
      <c r="S279" s="131">
        <v>0.9</v>
      </c>
      <c r="T279" s="129" t="s">
        <v>33</v>
      </c>
      <c r="U279" s="129">
        <v>1</v>
      </c>
      <c r="V279" s="129" t="s">
        <v>33</v>
      </c>
      <c r="W279" s="129">
        <v>1</v>
      </c>
      <c r="X279" s="131">
        <v>0.92</v>
      </c>
      <c r="Y279" s="131" t="s">
        <v>33</v>
      </c>
      <c r="Z279" s="131" t="s">
        <v>33</v>
      </c>
      <c r="AA279" s="131" t="s">
        <v>33</v>
      </c>
      <c r="AB279" s="131" t="s">
        <v>33</v>
      </c>
      <c r="AC279" s="131">
        <v>0.92</v>
      </c>
      <c r="AD279" s="129">
        <v>0.999016715830875</v>
      </c>
      <c r="AE279" s="129">
        <v>0.99740932642487</v>
      </c>
      <c r="AF279" s="129">
        <v>0.997929606625259</v>
      </c>
      <c r="AG279" s="129">
        <v>0.93088116410671</v>
      </c>
      <c r="AH279" s="131">
        <v>0.92</v>
      </c>
      <c r="AI279" s="129" t="s">
        <v>33</v>
      </c>
      <c r="AJ279" s="129">
        <v>1</v>
      </c>
      <c r="AK279" s="129" t="s">
        <v>33</v>
      </c>
      <c r="AL279" s="129">
        <v>1</v>
      </c>
      <c r="AM279" s="128">
        <v>0.99</v>
      </c>
      <c r="AN279" s="133" t="s">
        <v>33</v>
      </c>
      <c r="AO279" s="133">
        <v>1</v>
      </c>
      <c r="AP279" s="133">
        <v>1</v>
      </c>
      <c r="AQ279" s="133">
        <v>1</v>
      </c>
      <c r="AR279" s="153">
        <v>0.0922287257019438</v>
      </c>
      <c r="AS279" s="137" t="s">
        <v>33</v>
      </c>
      <c r="AT279" s="137" t="s">
        <v>33</v>
      </c>
      <c r="AU279" s="137" t="s">
        <v>33</v>
      </c>
      <c r="AV279" s="137" t="s">
        <v>33</v>
      </c>
      <c r="AW279" s="93"/>
      <c r="AX279" s="91"/>
    </row>
    <row r="280" ht="14.5" spans="1:50">
      <c r="A280" s="89"/>
      <c r="B280" s="93"/>
      <c r="C280" s="157" t="s">
        <v>256</v>
      </c>
      <c r="D280" s="126" t="s">
        <v>257</v>
      </c>
      <c r="E280" s="158" t="s">
        <v>300</v>
      </c>
      <c r="F280" s="158" t="s">
        <v>300</v>
      </c>
      <c r="G280" s="158" t="s">
        <v>300</v>
      </c>
      <c r="H280" s="158" t="s">
        <v>300</v>
      </c>
      <c r="I280" s="128">
        <v>0.9</v>
      </c>
      <c r="J280" s="129" t="s">
        <v>33</v>
      </c>
      <c r="K280" s="129" t="s">
        <v>33</v>
      </c>
      <c r="L280" s="130" t="s">
        <v>33</v>
      </c>
      <c r="M280" s="129" t="s">
        <v>33</v>
      </c>
      <c r="N280" s="131">
        <v>0.9</v>
      </c>
      <c r="O280" s="129">
        <v>0</v>
      </c>
      <c r="P280" s="129">
        <v>0</v>
      </c>
      <c r="Q280" s="129" t="s">
        <v>33</v>
      </c>
      <c r="R280" s="129">
        <v>0</v>
      </c>
      <c r="S280" s="131">
        <v>0.9</v>
      </c>
      <c r="T280" s="129">
        <v>0</v>
      </c>
      <c r="U280" s="129">
        <v>0</v>
      </c>
      <c r="V280" s="129" t="s">
        <v>33</v>
      </c>
      <c r="W280" s="129">
        <v>0</v>
      </c>
      <c r="X280" s="131">
        <v>0.92</v>
      </c>
      <c r="Y280" s="131" t="s">
        <v>33</v>
      </c>
      <c r="Z280" s="131" t="s">
        <v>33</v>
      </c>
      <c r="AA280" s="131" t="s">
        <v>33</v>
      </c>
      <c r="AB280" s="131">
        <v>0</v>
      </c>
      <c r="AC280" s="131">
        <v>0.92</v>
      </c>
      <c r="AD280" s="129">
        <v>1</v>
      </c>
      <c r="AE280" s="129">
        <v>0.949367088607595</v>
      </c>
      <c r="AF280" s="129">
        <v>1</v>
      </c>
      <c r="AG280" s="129">
        <v>0.842608206857785</v>
      </c>
      <c r="AH280" s="131">
        <v>0.92</v>
      </c>
      <c r="AI280" s="129">
        <v>0</v>
      </c>
      <c r="AJ280" s="129">
        <v>0</v>
      </c>
      <c r="AK280" s="129" t="s">
        <v>33</v>
      </c>
      <c r="AL280" s="129">
        <v>0</v>
      </c>
      <c r="AM280" s="128">
        <v>0.99</v>
      </c>
      <c r="AN280" s="133" t="s">
        <v>33</v>
      </c>
      <c r="AO280" s="133">
        <v>1</v>
      </c>
      <c r="AP280" s="133" t="s">
        <v>33</v>
      </c>
      <c r="AQ280" s="133">
        <v>1</v>
      </c>
      <c r="AR280" s="153">
        <v>0.0922287257019438</v>
      </c>
      <c r="AS280" s="137" t="s">
        <v>33</v>
      </c>
      <c r="AT280" s="137" t="s">
        <v>33</v>
      </c>
      <c r="AU280" s="137" t="s">
        <v>33</v>
      </c>
      <c r="AV280" s="137" t="s">
        <v>33</v>
      </c>
      <c r="AW280" s="93"/>
      <c r="AX280" s="91"/>
    </row>
    <row r="281" ht="14.5" spans="1:50">
      <c r="A281" s="89"/>
      <c r="B281" s="93"/>
      <c r="C281" s="157" t="s">
        <v>256</v>
      </c>
      <c r="D281" s="126" t="s">
        <v>257</v>
      </c>
      <c r="E281" s="158" t="s">
        <v>301</v>
      </c>
      <c r="F281" s="158" t="s">
        <v>301</v>
      </c>
      <c r="G281" s="158" t="s">
        <v>301</v>
      </c>
      <c r="H281" s="158" t="s">
        <v>301</v>
      </c>
      <c r="I281" s="128">
        <v>0.9</v>
      </c>
      <c r="J281" s="129">
        <v>0.875</v>
      </c>
      <c r="K281" s="129">
        <v>0.882352941176471</v>
      </c>
      <c r="L281" s="130">
        <v>0.785714285714286</v>
      </c>
      <c r="M281" s="129">
        <v>0.89119170984456</v>
      </c>
      <c r="N281" s="131">
        <v>0.9</v>
      </c>
      <c r="O281" s="129">
        <v>0.987608426270136</v>
      </c>
      <c r="P281" s="129">
        <v>0.992006394884093</v>
      </c>
      <c r="Q281" s="129">
        <v>0.982891360136869</v>
      </c>
      <c r="R281" s="129">
        <v>0.98535692495424</v>
      </c>
      <c r="S281" s="131">
        <v>0.9</v>
      </c>
      <c r="T281" s="129">
        <v>0.918835192069393</v>
      </c>
      <c r="U281" s="129">
        <v>0.932054356514788</v>
      </c>
      <c r="V281" s="129">
        <v>0.925577416595381</v>
      </c>
      <c r="W281" s="129">
        <v>0.923550945698597</v>
      </c>
      <c r="X281" s="131">
        <v>0.92</v>
      </c>
      <c r="Y281" s="131">
        <v>0.979381443298969</v>
      </c>
      <c r="Z281" s="131">
        <v>0.993127147766323</v>
      </c>
      <c r="AA281" s="131">
        <v>0.979362101313321</v>
      </c>
      <c r="AB281" s="131">
        <v>0.984540465331993</v>
      </c>
      <c r="AC281" s="131">
        <v>0.92</v>
      </c>
      <c r="AD281" s="129">
        <v>0.996343692870201</v>
      </c>
      <c r="AE281" s="129">
        <v>0.998622499180059</v>
      </c>
      <c r="AF281" s="129">
        <v>0.997880947794259</v>
      </c>
      <c r="AG281" s="129">
        <v>0.952932082931467</v>
      </c>
      <c r="AH281" s="131">
        <v>0.92</v>
      </c>
      <c r="AI281" s="129">
        <v>0.981641468682505</v>
      </c>
      <c r="AJ281" s="129">
        <v>0.992245199409158</v>
      </c>
      <c r="AK281" s="129">
        <v>0.987661574618096</v>
      </c>
      <c r="AL281" s="129">
        <v>0.98950023863094</v>
      </c>
      <c r="AM281" s="128">
        <v>0.99</v>
      </c>
      <c r="AN281" s="133">
        <v>1</v>
      </c>
      <c r="AO281" s="133">
        <v>1</v>
      </c>
      <c r="AP281" s="133">
        <v>1</v>
      </c>
      <c r="AQ281" s="133">
        <v>1</v>
      </c>
      <c r="AR281" s="153">
        <v>0.0922287257019438</v>
      </c>
      <c r="AS281" s="137">
        <v>0</v>
      </c>
      <c r="AT281" s="137">
        <v>0.166666666666667</v>
      </c>
      <c r="AU281" s="137">
        <v>0.4</v>
      </c>
      <c r="AV281" s="137">
        <v>0.120689655172414</v>
      </c>
      <c r="AW281" s="93"/>
      <c r="AX281" s="91"/>
    </row>
    <row r="282" ht="14.5" spans="1:50">
      <c r="A282" s="89"/>
      <c r="B282" s="93"/>
      <c r="C282" s="157" t="s">
        <v>256</v>
      </c>
      <c r="D282" s="126" t="s">
        <v>257</v>
      </c>
      <c r="E282" s="158" t="s">
        <v>302</v>
      </c>
      <c r="F282" s="158" t="s">
        <v>302</v>
      </c>
      <c r="G282" s="158" t="s">
        <v>302</v>
      </c>
      <c r="H282" s="158" t="s">
        <v>302</v>
      </c>
      <c r="I282" s="128">
        <v>0.9</v>
      </c>
      <c r="J282" s="129" t="s">
        <v>33</v>
      </c>
      <c r="K282" s="129" t="s">
        <v>33</v>
      </c>
      <c r="L282" s="130" t="s">
        <v>33</v>
      </c>
      <c r="M282" s="129" t="s">
        <v>33</v>
      </c>
      <c r="N282" s="131">
        <v>0.9</v>
      </c>
      <c r="O282" s="129" t="s">
        <v>33</v>
      </c>
      <c r="P282" s="129">
        <v>0</v>
      </c>
      <c r="Q282" s="129" t="s">
        <v>33</v>
      </c>
      <c r="R282" s="129">
        <v>0</v>
      </c>
      <c r="S282" s="131">
        <v>0.9</v>
      </c>
      <c r="T282" s="129" t="s">
        <v>33</v>
      </c>
      <c r="U282" s="129">
        <v>0</v>
      </c>
      <c r="V282" s="129" t="s">
        <v>33</v>
      </c>
      <c r="W282" s="129">
        <v>0</v>
      </c>
      <c r="X282" s="131">
        <v>0.92</v>
      </c>
      <c r="Y282" s="131" t="s">
        <v>33</v>
      </c>
      <c r="Z282" s="131" t="s">
        <v>33</v>
      </c>
      <c r="AA282" s="131" t="s">
        <v>33</v>
      </c>
      <c r="AB282" s="131" t="s">
        <v>33</v>
      </c>
      <c r="AC282" s="131">
        <v>0.92</v>
      </c>
      <c r="AD282" s="129">
        <v>0.998719590268886</v>
      </c>
      <c r="AE282" s="129">
        <v>0.99907063197026</v>
      </c>
      <c r="AF282" s="129">
        <v>0.985401459854015</v>
      </c>
      <c r="AG282" s="129">
        <v>0.997697974217311</v>
      </c>
      <c r="AH282" s="131">
        <v>0.92</v>
      </c>
      <c r="AI282" s="129" t="s">
        <v>33</v>
      </c>
      <c r="AJ282" s="129">
        <v>0</v>
      </c>
      <c r="AK282" s="129" t="s">
        <v>33</v>
      </c>
      <c r="AL282" s="129">
        <v>0.142857142857143</v>
      </c>
      <c r="AM282" s="128">
        <v>0.99</v>
      </c>
      <c r="AN282" s="133">
        <v>1</v>
      </c>
      <c r="AO282" s="133">
        <v>1</v>
      </c>
      <c r="AP282" s="133">
        <v>1</v>
      </c>
      <c r="AQ282" s="133">
        <v>1</v>
      </c>
      <c r="AR282" s="153">
        <v>0.0922287257019438</v>
      </c>
      <c r="AS282" s="137" t="s">
        <v>33</v>
      </c>
      <c r="AT282" s="137" t="s">
        <v>33</v>
      </c>
      <c r="AU282" s="137" t="s">
        <v>33</v>
      </c>
      <c r="AV282" s="137" t="s">
        <v>33</v>
      </c>
      <c r="AW282" s="93"/>
      <c r="AX282" s="91"/>
    </row>
    <row r="283" s="84" customFormat="1" ht="14.5" spans="1:50">
      <c r="A283" s="89"/>
      <c r="B283" s="86"/>
      <c r="C283" s="157" t="s">
        <v>256</v>
      </c>
      <c r="D283" s="126" t="s">
        <v>257</v>
      </c>
      <c r="E283" s="158" t="s">
        <v>303</v>
      </c>
      <c r="F283" s="158" t="s">
        <v>303</v>
      </c>
      <c r="G283" s="158" t="s">
        <v>303</v>
      </c>
      <c r="H283" s="158" t="s">
        <v>303</v>
      </c>
      <c r="I283" s="128">
        <v>0.9</v>
      </c>
      <c r="J283" s="129">
        <v>0.987730061349693</v>
      </c>
      <c r="K283" s="129">
        <v>0.932098765432099</v>
      </c>
      <c r="L283" s="130">
        <v>0.978723404255319</v>
      </c>
      <c r="M283" s="129">
        <v>0.97741935483871</v>
      </c>
      <c r="N283" s="131">
        <v>0.9</v>
      </c>
      <c r="O283" s="129">
        <v>0.80345045614669</v>
      </c>
      <c r="P283" s="129">
        <v>0.973193166885677</v>
      </c>
      <c r="Q283" s="129">
        <v>0.955796820473052</v>
      </c>
      <c r="R283" s="129">
        <v>0.925840017140355</v>
      </c>
      <c r="S283" s="131">
        <v>0.9</v>
      </c>
      <c r="T283" s="129">
        <v>0.888898925119682</v>
      </c>
      <c r="U283" s="129">
        <v>0.926675427069645</v>
      </c>
      <c r="V283" s="129">
        <v>0.895437508078066</v>
      </c>
      <c r="W283" s="129">
        <v>0.910069027191683</v>
      </c>
      <c r="X283" s="131">
        <v>0.92</v>
      </c>
      <c r="Y283" s="131">
        <v>0.968271485722169</v>
      </c>
      <c r="Z283" s="131">
        <v>0.985747498231072</v>
      </c>
      <c r="AA283" s="131">
        <v>0.980902777777778</v>
      </c>
      <c r="AB283" s="131">
        <v>0.979337653816491</v>
      </c>
      <c r="AC283" s="131">
        <v>0.92</v>
      </c>
      <c r="AD283" s="129">
        <v>0.996093071713839</v>
      </c>
      <c r="AE283" s="129">
        <v>0.991266090923904</v>
      </c>
      <c r="AF283" s="129">
        <v>0.984494862615649</v>
      </c>
      <c r="AG283" s="129">
        <v>0.986277472495394</v>
      </c>
      <c r="AH283" s="131">
        <v>0.92</v>
      </c>
      <c r="AI283" s="129">
        <v>0.983301500682128</v>
      </c>
      <c r="AJ283" s="129">
        <v>0.988863506567676</v>
      </c>
      <c r="AK283" s="129">
        <v>0.990443015362629</v>
      </c>
      <c r="AL283" s="129">
        <v>0.987229179857004</v>
      </c>
      <c r="AM283" s="128">
        <v>0.99</v>
      </c>
      <c r="AN283" s="133">
        <v>1</v>
      </c>
      <c r="AO283" s="133">
        <v>1</v>
      </c>
      <c r="AP283" s="133">
        <v>1</v>
      </c>
      <c r="AQ283" s="133">
        <v>1</v>
      </c>
      <c r="AR283" s="153">
        <v>0.0922287257019438</v>
      </c>
      <c r="AS283" s="137">
        <v>0</v>
      </c>
      <c r="AT283" s="137">
        <v>0.137931034482759</v>
      </c>
      <c r="AU283" s="137">
        <v>0.21875</v>
      </c>
      <c r="AV283" s="137">
        <v>0.0736607142857143</v>
      </c>
      <c r="AW283" s="86"/>
      <c r="AX283" s="91"/>
    </row>
    <row r="284" s="84" customFormat="1" ht="14.5" spans="1:50">
      <c r="A284" s="89"/>
      <c r="B284" s="86"/>
      <c r="C284" s="157" t="s">
        <v>256</v>
      </c>
      <c r="D284" s="126" t="s">
        <v>257</v>
      </c>
      <c r="E284" s="158" t="s">
        <v>304</v>
      </c>
      <c r="F284" s="158" t="s">
        <v>304</v>
      </c>
      <c r="G284" s="158" t="s">
        <v>304</v>
      </c>
      <c r="H284" s="158" t="s">
        <v>304</v>
      </c>
      <c r="I284" s="128">
        <v>0.9</v>
      </c>
      <c r="J284" s="129">
        <v>0.928571428571429</v>
      </c>
      <c r="K284" s="129">
        <v>0.916666666666667</v>
      </c>
      <c r="L284" s="130">
        <v>0.964285714285714</v>
      </c>
      <c r="M284" s="129">
        <v>0.915900131406045</v>
      </c>
      <c r="N284" s="131">
        <v>0.9</v>
      </c>
      <c r="O284" s="129">
        <v>0.954230235783634</v>
      </c>
      <c r="P284" s="129">
        <v>0.97598627787307</v>
      </c>
      <c r="Q284" s="129">
        <v>0.978056426332288</v>
      </c>
      <c r="R284" s="129">
        <v>0.967489107785565</v>
      </c>
      <c r="S284" s="131">
        <v>0.9</v>
      </c>
      <c r="T284" s="129">
        <v>0.920943134535368</v>
      </c>
      <c r="U284" s="129">
        <v>0.939965694682676</v>
      </c>
      <c r="V284" s="129">
        <v>0.934169278996865</v>
      </c>
      <c r="W284" s="129">
        <v>0.930053040348551</v>
      </c>
      <c r="X284" s="131">
        <v>0.92</v>
      </c>
      <c r="Y284" s="131">
        <v>0.984789644012945</v>
      </c>
      <c r="Z284" s="131">
        <v>0.994821092278719</v>
      </c>
      <c r="AA284" s="131">
        <v>0.98062792251169</v>
      </c>
      <c r="AB284" s="131">
        <v>0.99172457694552</v>
      </c>
      <c r="AC284" s="131">
        <v>0.92</v>
      </c>
      <c r="AD284" s="129">
        <v>0.991272393201654</v>
      </c>
      <c r="AE284" s="129">
        <v>0.995761330290186</v>
      </c>
      <c r="AF284" s="129">
        <v>0.995038979447201</v>
      </c>
      <c r="AG284" s="129">
        <v>0.991293221819997</v>
      </c>
      <c r="AH284" s="131">
        <v>0.92</v>
      </c>
      <c r="AI284" s="129">
        <v>0.990697047323716</v>
      </c>
      <c r="AJ284" s="129">
        <v>0.994556113902848</v>
      </c>
      <c r="AK284" s="129">
        <v>0.990384615384615</v>
      </c>
      <c r="AL284" s="129">
        <v>0.993483264121679</v>
      </c>
      <c r="AM284" s="128">
        <v>0.99</v>
      </c>
      <c r="AN284" s="133">
        <v>1</v>
      </c>
      <c r="AO284" s="133">
        <v>1</v>
      </c>
      <c r="AP284" s="133">
        <v>1</v>
      </c>
      <c r="AQ284" s="133">
        <v>1</v>
      </c>
      <c r="AR284" s="153">
        <v>0.0922287257019438</v>
      </c>
      <c r="AS284" s="137">
        <v>0.0714285714285714</v>
      </c>
      <c r="AT284" s="137">
        <v>0.272727272727273</v>
      </c>
      <c r="AU284" s="137">
        <v>0</v>
      </c>
      <c r="AV284" s="137">
        <v>0.0636942675159236</v>
      </c>
      <c r="AW284" s="86"/>
      <c r="AX284" s="91"/>
    </row>
    <row r="285" s="84" customFormat="1" ht="14.5" spans="1:50">
      <c r="A285" s="89"/>
      <c r="B285" s="86"/>
      <c r="C285" s="157" t="s">
        <v>256</v>
      </c>
      <c r="D285" s="126" t="s">
        <v>257</v>
      </c>
      <c r="E285" s="158" t="s">
        <v>305</v>
      </c>
      <c r="F285" s="158" t="s">
        <v>305</v>
      </c>
      <c r="G285" s="158" t="s">
        <v>305</v>
      </c>
      <c r="H285" s="158" t="s">
        <v>305</v>
      </c>
      <c r="I285" s="128">
        <v>0.9</v>
      </c>
      <c r="J285" s="129">
        <v>0.96</v>
      </c>
      <c r="K285" s="129">
        <v>0.930434782608696</v>
      </c>
      <c r="L285" s="130">
        <v>0.938775510204082</v>
      </c>
      <c r="M285" s="129">
        <v>0.918518518518519</v>
      </c>
      <c r="N285" s="131">
        <v>0.9</v>
      </c>
      <c r="O285" s="129">
        <v>0.95414734672849</v>
      </c>
      <c r="P285" s="129">
        <v>0.972502099076406</v>
      </c>
      <c r="Q285" s="129">
        <v>0.959196484620213</v>
      </c>
      <c r="R285" s="129">
        <v>0.932835310375022</v>
      </c>
      <c r="S285" s="131">
        <v>0.9</v>
      </c>
      <c r="T285" s="129">
        <v>0.914734672849047</v>
      </c>
      <c r="U285" s="129">
        <v>0.922334172963896</v>
      </c>
      <c r="V285" s="129">
        <v>0.918392969240427</v>
      </c>
      <c r="W285" s="129">
        <v>0.922560166372505</v>
      </c>
      <c r="X285" s="131">
        <v>0.92</v>
      </c>
      <c r="Y285" s="131">
        <v>0.982765080554515</v>
      </c>
      <c r="Z285" s="131">
        <v>0.989938817131203</v>
      </c>
      <c r="AA285" s="131">
        <v>0.984521384928717</v>
      </c>
      <c r="AB285" s="131">
        <v>0.988906867473629</v>
      </c>
      <c r="AC285" s="131">
        <v>0.92</v>
      </c>
      <c r="AD285" s="129">
        <v>0.978615863141524</v>
      </c>
      <c r="AE285" s="129">
        <v>0.940176991150443</v>
      </c>
      <c r="AF285" s="129">
        <v>0.693018955154877</v>
      </c>
      <c r="AG285" s="129">
        <v>0.851931462261254</v>
      </c>
      <c r="AH285" s="131">
        <v>0.92</v>
      </c>
      <c r="AI285" s="129">
        <v>0.988782051282051</v>
      </c>
      <c r="AJ285" s="129">
        <v>0.992986798679868</v>
      </c>
      <c r="AK285" s="129">
        <v>0.991015894955079</v>
      </c>
      <c r="AL285" s="129">
        <v>0.992881008014325</v>
      </c>
      <c r="AM285" s="128">
        <v>0.99</v>
      </c>
      <c r="AN285" s="133">
        <v>1</v>
      </c>
      <c r="AO285" s="133">
        <v>1</v>
      </c>
      <c r="AP285" s="133">
        <v>1</v>
      </c>
      <c r="AQ285" s="133">
        <v>1</v>
      </c>
      <c r="AR285" s="153">
        <v>0.0922287257019438</v>
      </c>
      <c r="AS285" s="137">
        <v>0</v>
      </c>
      <c r="AT285" s="137">
        <v>0.0869565217391304</v>
      </c>
      <c r="AU285" s="137">
        <v>0.210526315789474</v>
      </c>
      <c r="AV285" s="137">
        <v>0.0916030534351145</v>
      </c>
      <c r="AW285" s="86"/>
      <c r="AX285" s="91"/>
    </row>
    <row r="286" s="84" customFormat="1" ht="14.5" spans="1:50">
      <c r="A286" s="89"/>
      <c r="B286" s="86"/>
      <c r="C286" s="157" t="s">
        <v>256</v>
      </c>
      <c r="D286" s="126" t="s">
        <v>257</v>
      </c>
      <c r="E286" s="158" t="s">
        <v>306</v>
      </c>
      <c r="F286" s="158" t="s">
        <v>306</v>
      </c>
      <c r="G286" s="158" t="s">
        <v>306</v>
      </c>
      <c r="H286" s="158" t="s">
        <v>306</v>
      </c>
      <c r="I286" s="128">
        <v>0.9</v>
      </c>
      <c r="J286" s="129">
        <v>0.921052631578947</v>
      </c>
      <c r="K286" s="129">
        <v>0.912621359223301</v>
      </c>
      <c r="L286" s="130">
        <v>0.879518072289157</v>
      </c>
      <c r="M286" s="129">
        <v>0.891105569409809</v>
      </c>
      <c r="N286" s="131">
        <v>0.9</v>
      </c>
      <c r="O286" s="129">
        <v>0.902463054187192</v>
      </c>
      <c r="P286" s="129">
        <v>0.954493742889647</v>
      </c>
      <c r="Q286" s="129">
        <v>0.907292659675882</v>
      </c>
      <c r="R286" s="129">
        <v>0.912137584658702</v>
      </c>
      <c r="S286" s="131">
        <v>0.9</v>
      </c>
      <c r="T286" s="129">
        <v>0.917100633356791</v>
      </c>
      <c r="U286" s="129">
        <v>0.931968145620023</v>
      </c>
      <c r="V286" s="129">
        <v>0.928026692087703</v>
      </c>
      <c r="W286" s="129">
        <v>0.9295639601248</v>
      </c>
      <c r="X286" s="131">
        <v>0.92</v>
      </c>
      <c r="Y286" s="131">
        <v>0.96484375</v>
      </c>
      <c r="Z286" s="131">
        <v>0.969937182171702</v>
      </c>
      <c r="AA286" s="131">
        <v>0.962564342536266</v>
      </c>
      <c r="AB286" s="131">
        <v>0.970611695056455</v>
      </c>
      <c r="AC286" s="131">
        <v>0.92</v>
      </c>
      <c r="AD286" s="129">
        <v>0.990961380443714</v>
      </c>
      <c r="AE286" s="129">
        <v>0.99703012303776</v>
      </c>
      <c r="AF286" s="129">
        <v>0.913907284768212</v>
      </c>
      <c r="AG286" s="129">
        <v>0.988822558109996</v>
      </c>
      <c r="AH286" s="131">
        <v>0.92</v>
      </c>
      <c r="AI286" s="129">
        <v>0.973602873611227</v>
      </c>
      <c r="AJ286" s="129">
        <v>0.978072550081213</v>
      </c>
      <c r="AK286" s="129">
        <v>0.980104216011369</v>
      </c>
      <c r="AL286" s="129">
        <v>0.981162659331483</v>
      </c>
      <c r="AM286" s="128">
        <v>0.99</v>
      </c>
      <c r="AN286" s="133">
        <v>1</v>
      </c>
      <c r="AO286" s="133">
        <v>1</v>
      </c>
      <c r="AP286" s="133">
        <v>1</v>
      </c>
      <c r="AQ286" s="133">
        <v>1</v>
      </c>
      <c r="AR286" s="153">
        <v>0.0922287257019438</v>
      </c>
      <c r="AS286" s="137">
        <v>0.0476190476190476</v>
      </c>
      <c r="AT286" s="137">
        <v>0.0526315789473684</v>
      </c>
      <c r="AU286" s="137">
        <v>0.0909090909090909</v>
      </c>
      <c r="AV286" s="137">
        <v>0.0630252100840336</v>
      </c>
      <c r="AW286" s="86"/>
      <c r="AX286" s="91"/>
    </row>
    <row r="287" s="84" customFormat="1" ht="14.5" spans="1:50">
      <c r="A287" s="89"/>
      <c r="B287" s="86"/>
      <c r="C287" s="157" t="s">
        <v>256</v>
      </c>
      <c r="D287" s="126" t="s">
        <v>257</v>
      </c>
      <c r="E287" s="158" t="s">
        <v>307</v>
      </c>
      <c r="F287" s="158" t="s">
        <v>307</v>
      </c>
      <c r="G287" s="158" t="s">
        <v>307</v>
      </c>
      <c r="H287" s="158" t="s">
        <v>307</v>
      </c>
      <c r="I287" s="128">
        <v>0.9</v>
      </c>
      <c r="J287" s="129">
        <v>0.918918918918919</v>
      </c>
      <c r="K287" s="129">
        <v>0.87962962962963</v>
      </c>
      <c r="L287" s="130">
        <v>0.835294117647059</v>
      </c>
      <c r="M287" s="129">
        <v>0.915584415584416</v>
      </c>
      <c r="N287" s="131">
        <v>0.9</v>
      </c>
      <c r="O287" s="129">
        <v>0.91571251207063</v>
      </c>
      <c r="P287" s="129">
        <v>0.977525589675122</v>
      </c>
      <c r="Q287" s="129">
        <v>0.936590909090909</v>
      </c>
      <c r="R287" s="129">
        <v>0.926600187252003</v>
      </c>
      <c r="S287" s="131">
        <v>0.9</v>
      </c>
      <c r="T287" s="129">
        <v>0.92412746585736</v>
      </c>
      <c r="U287" s="129">
        <v>0.947930574098798</v>
      </c>
      <c r="V287" s="129">
        <v>0.929545454545455</v>
      </c>
      <c r="W287" s="129">
        <v>0.930746481594317</v>
      </c>
      <c r="X287" s="131">
        <v>0.92</v>
      </c>
      <c r="Y287" s="131">
        <v>0.964725184577523</v>
      </c>
      <c r="Z287" s="131">
        <v>0.980524344569288</v>
      </c>
      <c r="AA287" s="131">
        <v>0.956795679567957</v>
      </c>
      <c r="AB287" s="131">
        <v>0.973683283424344</v>
      </c>
      <c r="AC287" s="131">
        <v>0.92</v>
      </c>
      <c r="AD287" s="129">
        <v>0.997150997150997</v>
      </c>
      <c r="AE287" s="129">
        <v>0.996340825927862</v>
      </c>
      <c r="AF287" s="129">
        <v>0.993073593073593</v>
      </c>
      <c r="AG287" s="129">
        <v>0.992489636673982</v>
      </c>
      <c r="AH287" s="131">
        <v>0.92</v>
      </c>
      <c r="AI287" s="129">
        <v>0.979053273956787</v>
      </c>
      <c r="AJ287" s="129">
        <v>0.985047900438714</v>
      </c>
      <c r="AK287" s="129">
        <v>0.977801268498943</v>
      </c>
      <c r="AL287" s="129">
        <v>0.983163002127797</v>
      </c>
      <c r="AM287" s="128">
        <v>0.99</v>
      </c>
      <c r="AN287" s="133">
        <v>1</v>
      </c>
      <c r="AO287" s="133">
        <v>1</v>
      </c>
      <c r="AP287" s="133">
        <v>1</v>
      </c>
      <c r="AQ287" s="133">
        <v>1</v>
      </c>
      <c r="AR287" s="153">
        <v>0.0922287257019438</v>
      </c>
      <c r="AS287" s="137">
        <v>0.0740740740740741</v>
      </c>
      <c r="AT287" s="137">
        <v>0.0714285714285714</v>
      </c>
      <c r="AU287" s="137">
        <v>0.25</v>
      </c>
      <c r="AV287" s="137">
        <v>0.0823970037453183</v>
      </c>
      <c r="AW287" s="86"/>
      <c r="AX287" s="91"/>
    </row>
    <row r="288" s="84" customFormat="1" ht="14.5" spans="1:50">
      <c r="A288" s="89"/>
      <c r="B288" s="86"/>
      <c r="C288" s="157" t="s">
        <v>256</v>
      </c>
      <c r="D288" s="126" t="s">
        <v>257</v>
      </c>
      <c r="E288" s="158" t="s">
        <v>308</v>
      </c>
      <c r="F288" s="158" t="s">
        <v>308</v>
      </c>
      <c r="G288" s="158" t="s">
        <v>308</v>
      </c>
      <c r="H288" s="158" t="s">
        <v>308</v>
      </c>
      <c r="I288" s="128">
        <v>0.9</v>
      </c>
      <c r="J288" s="129">
        <v>0.948717948717949</v>
      </c>
      <c r="K288" s="129">
        <v>0.944444444444444</v>
      </c>
      <c r="L288" s="130">
        <v>0.907216494845361</v>
      </c>
      <c r="M288" s="129">
        <v>0.957015409570154</v>
      </c>
      <c r="N288" s="131">
        <v>0.9</v>
      </c>
      <c r="O288" s="129">
        <v>0.810064436943848</v>
      </c>
      <c r="P288" s="129">
        <v>0.980123504438441</v>
      </c>
      <c r="Q288" s="129">
        <v>0.979376498800959</v>
      </c>
      <c r="R288" s="129">
        <v>0.887727238111816</v>
      </c>
      <c r="S288" s="131">
        <v>0.9</v>
      </c>
      <c r="T288" s="129">
        <v>0.921857420476629</v>
      </c>
      <c r="U288" s="129">
        <v>0.94654573523736</v>
      </c>
      <c r="V288" s="129">
        <v>0.955395683453237</v>
      </c>
      <c r="W288" s="129">
        <v>0.942743067265745</v>
      </c>
      <c r="X288" s="131">
        <v>0.92</v>
      </c>
      <c r="Y288" s="131">
        <v>0.960173501577287</v>
      </c>
      <c r="Z288" s="131">
        <v>0.969615728328865</v>
      </c>
      <c r="AA288" s="131">
        <v>0.975980784627702</v>
      </c>
      <c r="AB288" s="131">
        <v>0.974906567004805</v>
      </c>
      <c r="AC288" s="131">
        <v>0.92</v>
      </c>
      <c r="AD288" s="129">
        <v>0.995225694444444</v>
      </c>
      <c r="AE288" s="129">
        <v>0.990994236311239</v>
      </c>
      <c r="AF288" s="129">
        <v>0.988683989941324</v>
      </c>
      <c r="AG288" s="129">
        <v>0.990836044890099</v>
      </c>
      <c r="AH288" s="131">
        <v>0.92</v>
      </c>
      <c r="AI288" s="129">
        <v>0.975716722163567</v>
      </c>
      <c r="AJ288" s="129">
        <v>0.977749150954444</v>
      </c>
      <c r="AK288" s="129">
        <v>0.9852078891258</v>
      </c>
      <c r="AL288" s="129">
        <v>0.984856067007391</v>
      </c>
      <c r="AM288" s="128">
        <v>0.99</v>
      </c>
      <c r="AN288" s="133">
        <v>1</v>
      </c>
      <c r="AO288" s="133">
        <v>1</v>
      </c>
      <c r="AP288" s="133">
        <v>1</v>
      </c>
      <c r="AQ288" s="133">
        <v>1</v>
      </c>
      <c r="AR288" s="153">
        <v>0.0922287257019438</v>
      </c>
      <c r="AS288" s="137">
        <v>0</v>
      </c>
      <c r="AT288" s="137">
        <v>0.133333333333333</v>
      </c>
      <c r="AU288" s="137">
        <v>0.0476190476190476</v>
      </c>
      <c r="AV288" s="137">
        <v>0.0481927710843374</v>
      </c>
      <c r="AW288" s="86"/>
      <c r="AX288" s="91"/>
    </row>
    <row r="289" s="84" customFormat="1" ht="14.5" spans="1:50">
      <c r="A289" s="89"/>
      <c r="B289" s="86"/>
      <c r="C289" s="157" t="s">
        <v>256</v>
      </c>
      <c r="D289" s="126" t="s">
        <v>257</v>
      </c>
      <c r="E289" s="158" t="s">
        <v>309</v>
      </c>
      <c r="F289" s="158" t="s">
        <v>309</v>
      </c>
      <c r="G289" s="158" t="s">
        <v>309</v>
      </c>
      <c r="H289" s="158" t="s">
        <v>309</v>
      </c>
      <c r="I289" s="128">
        <v>0.9</v>
      </c>
      <c r="J289" s="129">
        <v>0.953703703703704</v>
      </c>
      <c r="K289" s="129">
        <v>0.924731182795699</v>
      </c>
      <c r="L289" s="130">
        <v>0.953488372093023</v>
      </c>
      <c r="M289" s="129">
        <v>0.938099389712293</v>
      </c>
      <c r="N289" s="131">
        <v>0.9</v>
      </c>
      <c r="O289" s="129">
        <v>0.851379489849037</v>
      </c>
      <c r="P289" s="129">
        <v>0.969664828171404</v>
      </c>
      <c r="Q289" s="129">
        <v>0.954033149171271</v>
      </c>
      <c r="R289" s="129">
        <v>0.908320924577533</v>
      </c>
      <c r="S289" s="131">
        <v>0.9</v>
      </c>
      <c r="T289" s="129">
        <v>0.929984383133785</v>
      </c>
      <c r="U289" s="129">
        <v>0.949512091641918</v>
      </c>
      <c r="V289" s="129">
        <v>0.943425414364641</v>
      </c>
      <c r="W289" s="129">
        <v>0.936790481004358</v>
      </c>
      <c r="X289" s="131">
        <v>0.92</v>
      </c>
      <c r="Y289" s="131">
        <v>0.976779309042854</v>
      </c>
      <c r="Z289" s="131">
        <v>0.987147595356551</v>
      </c>
      <c r="AA289" s="131">
        <v>0.980091248444629</v>
      </c>
      <c r="AB289" s="131">
        <v>0.983055497280811</v>
      </c>
      <c r="AC289" s="131">
        <v>0.92</v>
      </c>
      <c r="AD289" s="129">
        <v>0.999406293291114</v>
      </c>
      <c r="AE289" s="129">
        <v>0.997457513716044</v>
      </c>
      <c r="AF289" s="129">
        <v>0.989786443825441</v>
      </c>
      <c r="AG289" s="129">
        <v>0.994681573788311</v>
      </c>
      <c r="AH289" s="131">
        <v>0.92</v>
      </c>
      <c r="AI289" s="129">
        <v>0.985517294507357</v>
      </c>
      <c r="AJ289" s="129">
        <v>0.989375052288128</v>
      </c>
      <c r="AK289" s="129">
        <v>0.986163159411934</v>
      </c>
      <c r="AL289" s="129">
        <v>0.988682259997337</v>
      </c>
      <c r="AM289" s="128">
        <v>0.99</v>
      </c>
      <c r="AN289" s="133">
        <v>1</v>
      </c>
      <c r="AO289" s="133">
        <v>1</v>
      </c>
      <c r="AP289" s="133">
        <v>1</v>
      </c>
      <c r="AQ289" s="133">
        <v>1</v>
      </c>
      <c r="AR289" s="153">
        <v>0.0922287257019438</v>
      </c>
      <c r="AS289" s="137">
        <v>0.032258064516129</v>
      </c>
      <c r="AT289" s="137">
        <v>0.1</v>
      </c>
      <c r="AU289" s="137">
        <v>0</v>
      </c>
      <c r="AV289" s="137">
        <v>0.0769230769230769</v>
      </c>
      <c r="AW289" s="86"/>
      <c r="AX289" s="91"/>
    </row>
    <row r="290" s="84" customFormat="1" ht="14.5" spans="1:50">
      <c r="A290" s="89"/>
      <c r="B290" s="86"/>
      <c r="C290" s="157" t="s">
        <v>256</v>
      </c>
      <c r="D290" s="126" t="s">
        <v>257</v>
      </c>
      <c r="E290" s="158" t="s">
        <v>310</v>
      </c>
      <c r="F290" s="158" t="s">
        <v>310</v>
      </c>
      <c r="G290" s="158" t="s">
        <v>310</v>
      </c>
      <c r="H290" s="158" t="s">
        <v>310</v>
      </c>
      <c r="I290" s="128">
        <v>0.9</v>
      </c>
      <c r="J290" s="129" t="s">
        <v>33</v>
      </c>
      <c r="K290" s="129" t="s">
        <v>33</v>
      </c>
      <c r="L290" s="130" t="s">
        <v>33</v>
      </c>
      <c r="M290" s="129" t="s">
        <v>33</v>
      </c>
      <c r="N290" s="131">
        <v>0.9</v>
      </c>
      <c r="O290" s="129" t="s">
        <v>33</v>
      </c>
      <c r="P290" s="129" t="s">
        <v>33</v>
      </c>
      <c r="Q290" s="129" t="s">
        <v>33</v>
      </c>
      <c r="R290" s="129" t="s">
        <v>33</v>
      </c>
      <c r="S290" s="131">
        <v>0.9</v>
      </c>
      <c r="T290" s="129" t="s">
        <v>33</v>
      </c>
      <c r="U290" s="129" t="s">
        <v>33</v>
      </c>
      <c r="V290" s="129" t="s">
        <v>33</v>
      </c>
      <c r="W290" s="129" t="s">
        <v>33</v>
      </c>
      <c r="X290" s="131">
        <v>0.92</v>
      </c>
      <c r="Y290" s="131" t="s">
        <v>33</v>
      </c>
      <c r="Z290" s="131" t="s">
        <v>33</v>
      </c>
      <c r="AA290" s="131" t="s">
        <v>33</v>
      </c>
      <c r="AB290" s="131" t="s">
        <v>33</v>
      </c>
      <c r="AC290" s="131">
        <v>0.92</v>
      </c>
      <c r="AD290" s="129">
        <v>1</v>
      </c>
      <c r="AE290" s="129">
        <v>0.987012987012987</v>
      </c>
      <c r="AF290" s="129">
        <v>1</v>
      </c>
      <c r="AG290" s="129">
        <v>0.993371819542442</v>
      </c>
      <c r="AH290" s="131">
        <v>0.92</v>
      </c>
      <c r="AI290" s="129" t="s">
        <v>33</v>
      </c>
      <c r="AJ290" s="129" t="s">
        <v>33</v>
      </c>
      <c r="AK290" s="129" t="s">
        <v>33</v>
      </c>
      <c r="AL290" s="129" t="s">
        <v>33</v>
      </c>
      <c r="AM290" s="128">
        <v>0.99</v>
      </c>
      <c r="AN290" s="133" t="s">
        <v>33</v>
      </c>
      <c r="AO290" s="133" t="s">
        <v>33</v>
      </c>
      <c r="AP290" s="133" t="s">
        <v>33</v>
      </c>
      <c r="AQ290" s="133">
        <v>1</v>
      </c>
      <c r="AR290" s="153">
        <v>0.0922287257019438</v>
      </c>
      <c r="AS290" s="137" t="s">
        <v>33</v>
      </c>
      <c r="AT290" s="137" t="s">
        <v>33</v>
      </c>
      <c r="AU290" s="137" t="s">
        <v>33</v>
      </c>
      <c r="AV290" s="137" t="s">
        <v>33</v>
      </c>
      <c r="AW290" s="86"/>
      <c r="AX290" s="91"/>
    </row>
    <row r="291" s="84" customFormat="1" ht="14.5" spans="1:50">
      <c r="A291" s="89"/>
      <c r="B291" s="86"/>
      <c r="C291" s="157" t="s">
        <v>256</v>
      </c>
      <c r="D291" s="126" t="s">
        <v>257</v>
      </c>
      <c r="E291" s="158" t="s">
        <v>311</v>
      </c>
      <c r="F291" s="158" t="s">
        <v>311</v>
      </c>
      <c r="G291" s="158" t="s">
        <v>311</v>
      </c>
      <c r="H291" s="158" t="s">
        <v>311</v>
      </c>
      <c r="I291" s="128">
        <v>0.9</v>
      </c>
      <c r="J291" s="129" t="s">
        <v>33</v>
      </c>
      <c r="K291" s="129" t="s">
        <v>33</v>
      </c>
      <c r="L291" s="130" t="s">
        <v>33</v>
      </c>
      <c r="M291" s="129" t="s">
        <v>33</v>
      </c>
      <c r="N291" s="131">
        <v>0.9</v>
      </c>
      <c r="O291" s="129" t="s">
        <v>33</v>
      </c>
      <c r="P291" s="129">
        <v>0</v>
      </c>
      <c r="Q291" s="129" t="s">
        <v>33</v>
      </c>
      <c r="R291" s="129">
        <v>0.5</v>
      </c>
      <c r="S291" s="131">
        <v>0.9</v>
      </c>
      <c r="T291" s="129" t="s">
        <v>33</v>
      </c>
      <c r="U291" s="129">
        <v>1</v>
      </c>
      <c r="V291" s="129" t="s">
        <v>33</v>
      </c>
      <c r="W291" s="129">
        <v>1</v>
      </c>
      <c r="X291" s="131">
        <v>0.92</v>
      </c>
      <c r="Y291" s="131" t="s">
        <v>33</v>
      </c>
      <c r="Z291" s="131">
        <v>0</v>
      </c>
      <c r="AA291" s="131" t="s">
        <v>33</v>
      </c>
      <c r="AB291" s="131">
        <v>0</v>
      </c>
      <c r="AC291" s="131">
        <v>0.92</v>
      </c>
      <c r="AD291" s="129">
        <v>0.997606510292006</v>
      </c>
      <c r="AE291" s="129">
        <v>0.997943595769683</v>
      </c>
      <c r="AF291" s="129">
        <v>0</v>
      </c>
      <c r="AG291" s="129">
        <v>0.997434342491953</v>
      </c>
      <c r="AH291" s="131">
        <v>0.92</v>
      </c>
      <c r="AI291" s="129" t="s">
        <v>33</v>
      </c>
      <c r="AJ291" s="129">
        <v>0.5</v>
      </c>
      <c r="AK291" s="129" t="s">
        <v>33</v>
      </c>
      <c r="AL291" s="129">
        <v>0.8</v>
      </c>
      <c r="AM291" s="128">
        <v>0.99</v>
      </c>
      <c r="AN291" s="133">
        <v>1</v>
      </c>
      <c r="AO291" s="133">
        <v>1</v>
      </c>
      <c r="AP291" s="133">
        <v>1</v>
      </c>
      <c r="AQ291" s="133">
        <v>1</v>
      </c>
      <c r="AR291" s="153">
        <v>0.0922287257019438</v>
      </c>
      <c r="AS291" s="137" t="s">
        <v>33</v>
      </c>
      <c r="AT291" s="137" t="s">
        <v>33</v>
      </c>
      <c r="AU291" s="137" t="s">
        <v>33</v>
      </c>
      <c r="AV291" s="137" t="s">
        <v>33</v>
      </c>
      <c r="AW291" s="86"/>
      <c r="AX291" s="91"/>
    </row>
    <row r="292" s="84" customFormat="1" ht="14.5" spans="1:50">
      <c r="A292" s="89"/>
      <c r="B292" s="86"/>
      <c r="C292" s="157" t="s">
        <v>256</v>
      </c>
      <c r="D292" s="126" t="s">
        <v>257</v>
      </c>
      <c r="E292" s="158" t="s">
        <v>312</v>
      </c>
      <c r="F292" s="158" t="s">
        <v>312</v>
      </c>
      <c r="G292" s="158" t="s">
        <v>312</v>
      </c>
      <c r="H292" s="158" t="s">
        <v>312</v>
      </c>
      <c r="I292" s="128">
        <v>0.9</v>
      </c>
      <c r="J292" s="129" t="s">
        <v>33</v>
      </c>
      <c r="K292" s="129" t="s">
        <v>33</v>
      </c>
      <c r="L292" s="130" t="s">
        <v>33</v>
      </c>
      <c r="M292" s="129" t="s">
        <v>33</v>
      </c>
      <c r="N292" s="131">
        <v>0.9</v>
      </c>
      <c r="O292" s="129">
        <v>0</v>
      </c>
      <c r="P292" s="129">
        <v>0</v>
      </c>
      <c r="Q292" s="129">
        <v>0</v>
      </c>
      <c r="R292" s="129">
        <v>0.230769230769231</v>
      </c>
      <c r="S292" s="131">
        <v>0.9</v>
      </c>
      <c r="T292" s="129">
        <v>0.5</v>
      </c>
      <c r="U292" s="129">
        <v>0</v>
      </c>
      <c r="V292" s="129">
        <v>0</v>
      </c>
      <c r="W292" s="129">
        <v>0.538461538461538</v>
      </c>
      <c r="X292" s="131">
        <v>0.92</v>
      </c>
      <c r="Y292" s="131">
        <v>0.333333333333333</v>
      </c>
      <c r="Z292" s="131">
        <v>0</v>
      </c>
      <c r="AA292" s="131" t="s">
        <v>33</v>
      </c>
      <c r="AB292" s="131">
        <v>0.25</v>
      </c>
      <c r="AC292" s="131">
        <v>0.92</v>
      </c>
      <c r="AD292" s="129">
        <v>0.927790178571429</v>
      </c>
      <c r="AE292" s="129">
        <v>0.994375059586233</v>
      </c>
      <c r="AF292" s="129">
        <v>0.987672018348624</v>
      </c>
      <c r="AG292" s="129">
        <v>0.891672620227644</v>
      </c>
      <c r="AH292" s="131">
        <v>0.92</v>
      </c>
      <c r="AI292" s="129">
        <v>0.333333333333333</v>
      </c>
      <c r="AJ292" s="129">
        <v>0.333333333333333</v>
      </c>
      <c r="AK292" s="129">
        <v>0</v>
      </c>
      <c r="AL292" s="129">
        <v>0.51063829787234</v>
      </c>
      <c r="AM292" s="128">
        <v>0.99</v>
      </c>
      <c r="AN292" s="133">
        <v>1</v>
      </c>
      <c r="AO292" s="133">
        <v>1</v>
      </c>
      <c r="AP292" s="133">
        <v>1</v>
      </c>
      <c r="AQ292" s="133">
        <v>1</v>
      </c>
      <c r="AR292" s="153">
        <v>0.0922287257019438</v>
      </c>
      <c r="AS292" s="137" t="s">
        <v>33</v>
      </c>
      <c r="AT292" s="137" t="s">
        <v>33</v>
      </c>
      <c r="AU292" s="137" t="s">
        <v>33</v>
      </c>
      <c r="AV292" s="137" t="s">
        <v>33</v>
      </c>
      <c r="AW292" s="86"/>
      <c r="AX292" s="91"/>
    </row>
    <row r="293" s="84" customFormat="1" ht="14.5" spans="1:50">
      <c r="A293" s="89"/>
      <c r="B293" s="86"/>
      <c r="C293" s="157" t="s">
        <v>256</v>
      </c>
      <c r="D293" s="126" t="s">
        <v>257</v>
      </c>
      <c r="E293" s="158" t="s">
        <v>313</v>
      </c>
      <c r="F293" s="158" t="s">
        <v>313</v>
      </c>
      <c r="G293" s="158" t="s">
        <v>313</v>
      </c>
      <c r="H293" s="158" t="s">
        <v>313</v>
      </c>
      <c r="I293" s="128">
        <v>0.9</v>
      </c>
      <c r="J293" s="129" t="s">
        <v>33</v>
      </c>
      <c r="K293" s="129" t="s">
        <v>33</v>
      </c>
      <c r="L293" s="130" t="s">
        <v>33</v>
      </c>
      <c r="M293" s="129" t="s">
        <v>33</v>
      </c>
      <c r="N293" s="131">
        <v>0.9</v>
      </c>
      <c r="O293" s="129" t="s">
        <v>33</v>
      </c>
      <c r="P293" s="129" t="s">
        <v>33</v>
      </c>
      <c r="Q293" s="129" t="s">
        <v>33</v>
      </c>
      <c r="R293" s="129">
        <v>0</v>
      </c>
      <c r="S293" s="131">
        <v>0.9</v>
      </c>
      <c r="T293" s="129" t="s">
        <v>33</v>
      </c>
      <c r="U293" s="129" t="s">
        <v>33</v>
      </c>
      <c r="V293" s="129" t="s">
        <v>33</v>
      </c>
      <c r="W293" s="129">
        <v>1</v>
      </c>
      <c r="X293" s="131">
        <v>0.92</v>
      </c>
      <c r="Y293" s="131" t="s">
        <v>33</v>
      </c>
      <c r="Z293" s="131" t="s">
        <v>33</v>
      </c>
      <c r="AA293" s="131" t="s">
        <v>33</v>
      </c>
      <c r="AB293" s="131" t="s">
        <v>33</v>
      </c>
      <c r="AC293" s="131">
        <v>0.92</v>
      </c>
      <c r="AD293" s="129">
        <v>0.993095512082854</v>
      </c>
      <c r="AE293" s="129">
        <v>0.997789240972734</v>
      </c>
      <c r="AF293" s="129">
        <v>0.997134670487106</v>
      </c>
      <c r="AG293" s="129">
        <v>0.968934911242604</v>
      </c>
      <c r="AH293" s="131">
        <v>0.92</v>
      </c>
      <c r="AI293" s="129" t="s">
        <v>33</v>
      </c>
      <c r="AJ293" s="129" t="s">
        <v>33</v>
      </c>
      <c r="AK293" s="129" t="s">
        <v>33</v>
      </c>
      <c r="AL293" s="129">
        <v>1</v>
      </c>
      <c r="AM293" s="128">
        <v>0.99</v>
      </c>
      <c r="AN293" s="133" t="s">
        <v>33</v>
      </c>
      <c r="AO293" s="133">
        <v>1</v>
      </c>
      <c r="AP293" s="133" t="s">
        <v>33</v>
      </c>
      <c r="AQ293" s="133">
        <v>1</v>
      </c>
      <c r="AR293" s="153">
        <v>0.0922287257019438</v>
      </c>
      <c r="AS293" s="137" t="s">
        <v>33</v>
      </c>
      <c r="AT293" s="137" t="s">
        <v>33</v>
      </c>
      <c r="AU293" s="137" t="s">
        <v>33</v>
      </c>
      <c r="AV293" s="137" t="s">
        <v>33</v>
      </c>
      <c r="AW293" s="86"/>
      <c r="AX293" s="91"/>
    </row>
    <row r="294" s="84" customFormat="1" ht="14.5" spans="1:50">
      <c r="A294" s="89"/>
      <c r="B294" s="86"/>
      <c r="C294" s="157" t="s">
        <v>256</v>
      </c>
      <c r="D294" s="126" t="s">
        <v>257</v>
      </c>
      <c r="E294" s="158" t="s">
        <v>314</v>
      </c>
      <c r="F294" s="158" t="s">
        <v>314</v>
      </c>
      <c r="G294" s="158" t="s">
        <v>314</v>
      </c>
      <c r="H294" s="158" t="s">
        <v>314</v>
      </c>
      <c r="I294" s="128">
        <v>0.9</v>
      </c>
      <c r="J294" s="129" t="s">
        <v>33</v>
      </c>
      <c r="K294" s="129" t="s">
        <v>33</v>
      </c>
      <c r="L294" s="130" t="s">
        <v>33</v>
      </c>
      <c r="M294" s="129" t="s">
        <v>33</v>
      </c>
      <c r="N294" s="131">
        <v>0.9</v>
      </c>
      <c r="O294" s="129" t="s">
        <v>33</v>
      </c>
      <c r="P294" s="129" t="s">
        <v>33</v>
      </c>
      <c r="Q294" s="129" t="s">
        <v>33</v>
      </c>
      <c r="R294" s="129">
        <v>0</v>
      </c>
      <c r="S294" s="131">
        <v>0.9</v>
      </c>
      <c r="T294" s="129" t="s">
        <v>33</v>
      </c>
      <c r="U294" s="129" t="s">
        <v>33</v>
      </c>
      <c r="V294" s="129" t="s">
        <v>33</v>
      </c>
      <c r="W294" s="129">
        <v>0</v>
      </c>
      <c r="X294" s="131">
        <v>0.92</v>
      </c>
      <c r="Y294" s="131" t="s">
        <v>33</v>
      </c>
      <c r="Z294" s="131" t="s">
        <v>33</v>
      </c>
      <c r="AA294" s="131" t="s">
        <v>33</v>
      </c>
      <c r="AB294" s="131" t="s">
        <v>33</v>
      </c>
      <c r="AC294" s="131">
        <v>0.92</v>
      </c>
      <c r="AD294" s="129">
        <v>0.997167138810198</v>
      </c>
      <c r="AE294" s="129">
        <v>0.923387096774194</v>
      </c>
      <c r="AF294" s="129">
        <v>1</v>
      </c>
      <c r="AG294" s="129">
        <v>0.93839966130398</v>
      </c>
      <c r="AH294" s="131">
        <v>0.92</v>
      </c>
      <c r="AI294" s="129" t="s">
        <v>33</v>
      </c>
      <c r="AJ294" s="129" t="s">
        <v>33</v>
      </c>
      <c r="AK294" s="129" t="s">
        <v>33</v>
      </c>
      <c r="AL294" s="129">
        <v>0</v>
      </c>
      <c r="AM294" s="128">
        <v>0.99</v>
      </c>
      <c r="AN294" s="133" t="s">
        <v>33</v>
      </c>
      <c r="AO294" s="133" t="s">
        <v>33</v>
      </c>
      <c r="AP294" s="133" t="s">
        <v>33</v>
      </c>
      <c r="AQ294" s="133">
        <v>1</v>
      </c>
      <c r="AR294" s="153">
        <v>0.0922287257019438</v>
      </c>
      <c r="AS294" s="137" t="s">
        <v>33</v>
      </c>
      <c r="AT294" s="137" t="s">
        <v>33</v>
      </c>
      <c r="AU294" s="137" t="s">
        <v>33</v>
      </c>
      <c r="AV294" s="137" t="s">
        <v>33</v>
      </c>
      <c r="AW294" s="86"/>
      <c r="AX294" s="91"/>
    </row>
    <row r="295" s="84" customFormat="1" ht="14.5" spans="1:50">
      <c r="A295" s="89"/>
      <c r="B295" s="86"/>
      <c r="C295" s="157" t="s">
        <v>256</v>
      </c>
      <c r="D295" s="126" t="s">
        <v>257</v>
      </c>
      <c r="E295" s="158" t="s">
        <v>315</v>
      </c>
      <c r="F295" s="158" t="s">
        <v>315</v>
      </c>
      <c r="G295" s="158" t="s">
        <v>315</v>
      </c>
      <c r="H295" s="158" t="s">
        <v>315</v>
      </c>
      <c r="I295" s="128">
        <v>0.9</v>
      </c>
      <c r="J295" s="129" t="s">
        <v>33</v>
      </c>
      <c r="K295" s="129" t="s">
        <v>33</v>
      </c>
      <c r="L295" s="130" t="s">
        <v>33</v>
      </c>
      <c r="M295" s="129" t="s">
        <v>33</v>
      </c>
      <c r="N295" s="131">
        <v>0.9</v>
      </c>
      <c r="O295" s="129" t="s">
        <v>33</v>
      </c>
      <c r="P295" s="129" t="s">
        <v>33</v>
      </c>
      <c r="Q295" s="129" t="s">
        <v>33</v>
      </c>
      <c r="R295" s="129">
        <v>0</v>
      </c>
      <c r="S295" s="131">
        <v>0.9</v>
      </c>
      <c r="T295" s="129" t="s">
        <v>33</v>
      </c>
      <c r="U295" s="129" t="s">
        <v>33</v>
      </c>
      <c r="V295" s="129" t="s">
        <v>33</v>
      </c>
      <c r="W295" s="129">
        <v>0.888888888888889</v>
      </c>
      <c r="X295" s="131">
        <v>0.92</v>
      </c>
      <c r="Y295" s="131" t="s">
        <v>33</v>
      </c>
      <c r="Z295" s="131" t="s">
        <v>33</v>
      </c>
      <c r="AA295" s="131" t="s">
        <v>33</v>
      </c>
      <c r="AB295" s="131">
        <v>1</v>
      </c>
      <c r="AC295" s="131">
        <v>0.92</v>
      </c>
      <c r="AD295" s="129">
        <v>0.999754661432777</v>
      </c>
      <c r="AE295" s="129">
        <v>0.999551502466736</v>
      </c>
      <c r="AF295" s="129">
        <v>0.999552171965965</v>
      </c>
      <c r="AG295" s="129">
        <v>0.991404884463046</v>
      </c>
      <c r="AH295" s="131">
        <v>0.92</v>
      </c>
      <c r="AI295" s="129" t="s">
        <v>33</v>
      </c>
      <c r="AJ295" s="129">
        <v>1</v>
      </c>
      <c r="AK295" s="129" t="s">
        <v>33</v>
      </c>
      <c r="AL295" s="129">
        <v>0.909090909090909</v>
      </c>
      <c r="AM295" s="128">
        <v>0.99</v>
      </c>
      <c r="AN295" s="133" t="s">
        <v>33</v>
      </c>
      <c r="AO295" s="133" t="s">
        <v>33</v>
      </c>
      <c r="AP295" s="133" t="s">
        <v>33</v>
      </c>
      <c r="AQ295" s="133">
        <v>1</v>
      </c>
      <c r="AR295" s="153">
        <v>0.0922287257019438</v>
      </c>
      <c r="AS295" s="137" t="s">
        <v>33</v>
      </c>
      <c r="AT295" s="137" t="s">
        <v>33</v>
      </c>
      <c r="AU295" s="137" t="s">
        <v>33</v>
      </c>
      <c r="AV295" s="137" t="s">
        <v>33</v>
      </c>
      <c r="AW295" s="86"/>
      <c r="AX295" s="91"/>
    </row>
    <row r="296" s="84" customFormat="1" ht="14.5" spans="1:50">
      <c r="A296" s="89"/>
      <c r="B296" s="86"/>
      <c r="C296" s="157" t="s">
        <v>256</v>
      </c>
      <c r="D296" s="126" t="s">
        <v>257</v>
      </c>
      <c r="E296" s="158" t="s">
        <v>316</v>
      </c>
      <c r="F296" s="158" t="s">
        <v>316</v>
      </c>
      <c r="G296" s="158" t="s">
        <v>316</v>
      </c>
      <c r="H296" s="158" t="s">
        <v>316</v>
      </c>
      <c r="I296" s="128">
        <v>0.9</v>
      </c>
      <c r="J296" s="129">
        <v>0.942148760330578</v>
      </c>
      <c r="K296" s="129">
        <v>0.914285714285714</v>
      </c>
      <c r="L296" s="130">
        <v>0.938775510204082</v>
      </c>
      <c r="M296" s="129">
        <v>0.943529411764706</v>
      </c>
      <c r="N296" s="131">
        <v>0.9</v>
      </c>
      <c r="O296" s="129">
        <v>0.919008796395623</v>
      </c>
      <c r="P296" s="129">
        <v>0.971131879543095</v>
      </c>
      <c r="Q296" s="129">
        <v>0.936883970257652</v>
      </c>
      <c r="R296" s="129">
        <v>0.886961624222509</v>
      </c>
      <c r="S296" s="131">
        <v>0.9</v>
      </c>
      <c r="T296" s="129">
        <v>0.860008581849389</v>
      </c>
      <c r="U296" s="129">
        <v>0.92128764278297</v>
      </c>
      <c r="V296" s="129">
        <v>0.885699463946049</v>
      </c>
      <c r="W296" s="129">
        <v>0.862856472245042</v>
      </c>
      <c r="X296" s="131">
        <v>0.92</v>
      </c>
      <c r="Y296" s="131">
        <v>0.926647326978865</v>
      </c>
      <c r="Z296" s="131">
        <v>0.942251886244922</v>
      </c>
      <c r="AA296" s="131">
        <v>0.900833333333333</v>
      </c>
      <c r="AB296" s="131">
        <v>0.933271974229176</v>
      </c>
      <c r="AC296" s="131">
        <v>0.92</v>
      </c>
      <c r="AD296" s="129">
        <v>0.998500749625187</v>
      </c>
      <c r="AE296" s="129">
        <v>0.997858672376874</v>
      </c>
      <c r="AF296" s="129">
        <v>0.986754966887417</v>
      </c>
      <c r="AG296" s="129">
        <v>0.994195795176061</v>
      </c>
      <c r="AH296" s="131">
        <v>0.92</v>
      </c>
      <c r="AI296" s="129">
        <v>0.966595654026417</v>
      </c>
      <c r="AJ296" s="129">
        <v>0.965513068731849</v>
      </c>
      <c r="AK296" s="129">
        <v>0.964914793068882</v>
      </c>
      <c r="AL296" s="129">
        <v>0.967348197761523</v>
      </c>
      <c r="AM296" s="128">
        <v>0.99</v>
      </c>
      <c r="AN296" s="133">
        <v>1</v>
      </c>
      <c r="AO296" s="133">
        <v>1</v>
      </c>
      <c r="AP296" s="133">
        <v>1</v>
      </c>
      <c r="AQ296" s="133">
        <v>1</v>
      </c>
      <c r="AR296" s="153">
        <v>0.0922287257019438</v>
      </c>
      <c r="AS296" s="137">
        <v>0</v>
      </c>
      <c r="AT296" s="137">
        <v>0</v>
      </c>
      <c r="AU296" s="137">
        <v>0.142857142857143</v>
      </c>
      <c r="AV296" s="137">
        <v>0.0880503144654088</v>
      </c>
      <c r="AW296" s="86"/>
      <c r="AX296" s="91"/>
    </row>
    <row r="297" s="84" customFormat="1" ht="14.5" spans="1:50">
      <c r="A297" s="89"/>
      <c r="B297" s="86"/>
      <c r="C297" s="157" t="s">
        <v>256</v>
      </c>
      <c r="D297" s="126" t="s">
        <v>257</v>
      </c>
      <c r="E297" s="159" t="s">
        <v>317</v>
      </c>
      <c r="F297" s="159" t="s">
        <v>317</v>
      </c>
      <c r="G297" s="159" t="s">
        <v>317</v>
      </c>
      <c r="H297" s="159" t="s">
        <v>317</v>
      </c>
      <c r="I297" s="128">
        <v>0.9</v>
      </c>
      <c r="J297" s="129" t="s">
        <v>33</v>
      </c>
      <c r="K297" s="129" t="s">
        <v>33</v>
      </c>
      <c r="L297" s="130" t="s">
        <v>33</v>
      </c>
      <c r="M297" s="129" t="s">
        <v>33</v>
      </c>
      <c r="N297" s="131">
        <v>0.9</v>
      </c>
      <c r="O297" s="129" t="s">
        <v>33</v>
      </c>
      <c r="P297" s="129" t="s">
        <v>33</v>
      </c>
      <c r="Q297" s="129" t="s">
        <v>33</v>
      </c>
      <c r="R297" s="129" t="s">
        <v>33</v>
      </c>
      <c r="S297" s="131">
        <v>0.9</v>
      </c>
      <c r="T297" s="129" t="s">
        <v>33</v>
      </c>
      <c r="U297" s="129" t="s">
        <v>33</v>
      </c>
      <c r="V297" s="129" t="s">
        <v>33</v>
      </c>
      <c r="W297" s="129" t="s">
        <v>33</v>
      </c>
      <c r="X297" s="131">
        <v>0.92</v>
      </c>
      <c r="Y297" s="131" t="s">
        <v>33</v>
      </c>
      <c r="Z297" s="131" t="s">
        <v>33</v>
      </c>
      <c r="AA297" s="131" t="s">
        <v>33</v>
      </c>
      <c r="AB297" s="131" t="s">
        <v>33</v>
      </c>
      <c r="AC297" s="131">
        <v>0.92</v>
      </c>
      <c r="AD297" s="129" t="s">
        <v>33</v>
      </c>
      <c r="AE297" s="129" t="s">
        <v>33</v>
      </c>
      <c r="AF297" s="129" t="s">
        <v>33</v>
      </c>
      <c r="AG297" s="129" t="s">
        <v>33</v>
      </c>
      <c r="AH297" s="131">
        <v>0.92</v>
      </c>
      <c r="AI297" s="129" t="s">
        <v>33</v>
      </c>
      <c r="AJ297" s="129" t="s">
        <v>33</v>
      </c>
      <c r="AK297" s="129" t="s">
        <v>33</v>
      </c>
      <c r="AL297" s="129" t="s">
        <v>33</v>
      </c>
      <c r="AM297" s="128">
        <v>0.99</v>
      </c>
      <c r="AN297" s="133" t="s">
        <v>33</v>
      </c>
      <c r="AO297" s="133" t="s">
        <v>33</v>
      </c>
      <c r="AP297" s="133" t="s">
        <v>33</v>
      </c>
      <c r="AQ297" s="133" t="s">
        <v>33</v>
      </c>
      <c r="AR297" s="153">
        <v>0.0922287257019438</v>
      </c>
      <c r="AS297" s="137" t="s">
        <v>33</v>
      </c>
      <c r="AT297" s="137" t="s">
        <v>33</v>
      </c>
      <c r="AU297" s="137" t="s">
        <v>33</v>
      </c>
      <c r="AV297" s="137" t="s">
        <v>33</v>
      </c>
      <c r="AW297" s="86"/>
      <c r="AX297" s="91"/>
    </row>
    <row r="298" s="84" customFormat="1" ht="14.5" spans="1:50">
      <c r="A298" s="89"/>
      <c r="B298" s="86"/>
      <c r="C298" s="157" t="s">
        <v>256</v>
      </c>
      <c r="D298" s="126" t="s">
        <v>257</v>
      </c>
      <c r="E298" s="158" t="s">
        <v>318</v>
      </c>
      <c r="F298" s="158" t="s">
        <v>318</v>
      </c>
      <c r="G298" s="158" t="s">
        <v>318</v>
      </c>
      <c r="H298" s="158" t="s">
        <v>318</v>
      </c>
      <c r="I298" s="128">
        <v>0.9</v>
      </c>
      <c r="J298" s="129">
        <v>0.978723404255319</v>
      </c>
      <c r="K298" s="129">
        <v>0.962686567164179</v>
      </c>
      <c r="L298" s="130">
        <v>0.917431192660551</v>
      </c>
      <c r="M298" s="129">
        <v>0.956151832460733</v>
      </c>
      <c r="N298" s="131">
        <v>0.9</v>
      </c>
      <c r="O298" s="129">
        <v>0.908799469378731</v>
      </c>
      <c r="P298" s="129">
        <v>0.961883014227999</v>
      </c>
      <c r="Q298" s="129">
        <v>0.947292678539306</v>
      </c>
      <c r="R298" s="129">
        <v>0.915864503116978</v>
      </c>
      <c r="S298" s="131">
        <v>0.9</v>
      </c>
      <c r="T298" s="129">
        <v>0.927923944284767</v>
      </c>
      <c r="U298" s="129">
        <v>0.936413138942561</v>
      </c>
      <c r="V298" s="129">
        <v>0.918510523475445</v>
      </c>
      <c r="W298" s="129">
        <v>0.916529152915292</v>
      </c>
      <c r="X298" s="131">
        <v>0.92</v>
      </c>
      <c r="Y298" s="131">
        <v>0.969081972411606</v>
      </c>
      <c r="Z298" s="131">
        <v>0.987907959614933</v>
      </c>
      <c r="AA298" s="131">
        <v>0.945682451253482</v>
      </c>
      <c r="AB298" s="131">
        <v>0.980226180917516</v>
      </c>
      <c r="AC298" s="131">
        <v>0.92</v>
      </c>
      <c r="AD298" s="129">
        <v>0.996667777407531</v>
      </c>
      <c r="AE298" s="129">
        <v>0.995790872840053</v>
      </c>
      <c r="AF298" s="129">
        <v>0.54768703597944</v>
      </c>
      <c r="AG298" s="129">
        <v>0.948091408145027</v>
      </c>
      <c r="AH298" s="131">
        <v>0.92</v>
      </c>
      <c r="AI298" s="129">
        <v>0.983651403634469</v>
      </c>
      <c r="AJ298" s="129">
        <v>0.991204615817619</v>
      </c>
      <c r="AK298" s="129">
        <v>0.97841299964417</v>
      </c>
      <c r="AL298" s="129">
        <v>0.987628519714131</v>
      </c>
      <c r="AM298" s="128">
        <v>0.99</v>
      </c>
      <c r="AN298" s="133">
        <v>1</v>
      </c>
      <c r="AO298" s="133">
        <v>1</v>
      </c>
      <c r="AP298" s="133">
        <v>1</v>
      </c>
      <c r="AQ298" s="133">
        <v>1</v>
      </c>
      <c r="AR298" s="153">
        <v>0.0922287257019438</v>
      </c>
      <c r="AS298" s="137">
        <v>0.15625</v>
      </c>
      <c r="AT298" s="137">
        <v>0.0625</v>
      </c>
      <c r="AU298" s="137">
        <v>0.217391304347826</v>
      </c>
      <c r="AV298" s="137">
        <v>0.0740740740740741</v>
      </c>
      <c r="AW298" s="86"/>
      <c r="AX298" s="91"/>
    </row>
    <row r="299" s="84" customFormat="1" ht="14.5" spans="1:50">
      <c r="A299" s="89"/>
      <c r="B299" s="86"/>
      <c r="C299" s="157" t="s">
        <v>256</v>
      </c>
      <c r="D299" s="126" t="s">
        <v>257</v>
      </c>
      <c r="E299" s="158" t="s">
        <v>319</v>
      </c>
      <c r="F299" s="158" t="s">
        <v>319</v>
      </c>
      <c r="G299" s="158" t="s">
        <v>319</v>
      </c>
      <c r="H299" s="158" t="s">
        <v>319</v>
      </c>
      <c r="I299" s="128">
        <v>0.9</v>
      </c>
      <c r="J299" s="129">
        <v>0.955223880597015</v>
      </c>
      <c r="K299" s="129">
        <v>0.967032967032967</v>
      </c>
      <c r="L299" s="130">
        <v>0.961538461538462</v>
      </c>
      <c r="M299" s="129">
        <v>0.958677685950413</v>
      </c>
      <c r="N299" s="131">
        <v>0.9</v>
      </c>
      <c r="O299" s="129">
        <v>0.925500078752559</v>
      </c>
      <c r="P299" s="129">
        <v>0.960992023928215</v>
      </c>
      <c r="Q299" s="129">
        <v>0.934660112696319</v>
      </c>
      <c r="R299" s="129">
        <v>0.927774844925432</v>
      </c>
      <c r="S299" s="131">
        <v>0.9</v>
      </c>
      <c r="T299" s="129">
        <v>0.92416128524177</v>
      </c>
      <c r="U299" s="129">
        <v>0.943918245264207</v>
      </c>
      <c r="V299" s="129">
        <v>0.934660112696319</v>
      </c>
      <c r="W299" s="129">
        <v>0.923906229378382</v>
      </c>
      <c r="X299" s="131">
        <v>0.92</v>
      </c>
      <c r="Y299" s="131">
        <v>0.976803823289428</v>
      </c>
      <c r="Z299" s="131">
        <v>0.987865093313248</v>
      </c>
      <c r="AA299" s="131">
        <v>0.983756577442233</v>
      </c>
      <c r="AB299" s="131">
        <v>0.981601784784126</v>
      </c>
      <c r="AC299" s="131">
        <v>0.92</v>
      </c>
      <c r="AD299" s="129">
        <v>0.964250444400553</v>
      </c>
      <c r="AE299" s="129">
        <v>0.989066059225512</v>
      </c>
      <c r="AF299" s="129">
        <v>0.552072800808898</v>
      </c>
      <c r="AG299" s="129">
        <v>0.970355800027851</v>
      </c>
      <c r="AH299" s="131">
        <v>0.92</v>
      </c>
      <c r="AI299" s="129">
        <v>0.984305986279485</v>
      </c>
      <c r="AJ299" s="129">
        <v>0.991289547456948</v>
      </c>
      <c r="AK299" s="129">
        <v>0.990168318389177</v>
      </c>
      <c r="AL299" s="129">
        <v>0.987598192187668</v>
      </c>
      <c r="AM299" s="128">
        <v>0.99</v>
      </c>
      <c r="AN299" s="133">
        <v>1</v>
      </c>
      <c r="AO299" s="133">
        <v>1</v>
      </c>
      <c r="AP299" s="133">
        <v>1</v>
      </c>
      <c r="AQ299" s="133">
        <v>1</v>
      </c>
      <c r="AR299" s="153">
        <v>0.0922287257019438</v>
      </c>
      <c r="AS299" s="137">
        <v>0.0704225352112676</v>
      </c>
      <c r="AT299" s="137">
        <v>0.04</v>
      </c>
      <c r="AU299" s="137">
        <v>0.117647058823529</v>
      </c>
      <c r="AV299" s="137">
        <v>0.114832535885167</v>
      </c>
      <c r="AW299" s="86"/>
      <c r="AX299" s="91"/>
    </row>
    <row r="300" s="84" customFormat="1" ht="14.5" spans="1:50">
      <c r="A300" s="89"/>
      <c r="B300" s="86"/>
      <c r="C300" s="157" t="s">
        <v>256</v>
      </c>
      <c r="D300" s="126" t="s">
        <v>257</v>
      </c>
      <c r="E300" s="158" t="s">
        <v>320</v>
      </c>
      <c r="F300" s="158" t="s">
        <v>320</v>
      </c>
      <c r="G300" s="158" t="s">
        <v>320</v>
      </c>
      <c r="H300" s="158" t="s">
        <v>320</v>
      </c>
      <c r="I300" s="128">
        <v>0.9</v>
      </c>
      <c r="J300" s="129" t="s">
        <v>33</v>
      </c>
      <c r="K300" s="129" t="s">
        <v>33</v>
      </c>
      <c r="L300" s="130" t="s">
        <v>33</v>
      </c>
      <c r="M300" s="129" t="s">
        <v>33</v>
      </c>
      <c r="N300" s="131">
        <v>0.9</v>
      </c>
      <c r="O300" s="129" t="s">
        <v>33</v>
      </c>
      <c r="P300" s="129">
        <v>0</v>
      </c>
      <c r="Q300" s="129" t="s">
        <v>33</v>
      </c>
      <c r="R300" s="129">
        <v>0</v>
      </c>
      <c r="S300" s="131">
        <v>0.9</v>
      </c>
      <c r="T300" s="129" t="s">
        <v>33</v>
      </c>
      <c r="U300" s="129">
        <v>1</v>
      </c>
      <c r="V300" s="129" t="s">
        <v>33</v>
      </c>
      <c r="W300" s="129">
        <v>1</v>
      </c>
      <c r="X300" s="131">
        <v>0.92</v>
      </c>
      <c r="Y300" s="131" t="s">
        <v>33</v>
      </c>
      <c r="Z300" s="131" t="s">
        <v>33</v>
      </c>
      <c r="AA300" s="131" t="s">
        <v>33</v>
      </c>
      <c r="AB300" s="131" t="s">
        <v>33</v>
      </c>
      <c r="AC300" s="131">
        <v>0.92</v>
      </c>
      <c r="AD300" s="129">
        <v>0.947802197802198</v>
      </c>
      <c r="AE300" s="129">
        <v>0.97179253867152</v>
      </c>
      <c r="AF300" s="129">
        <v>0.936746987951807</v>
      </c>
      <c r="AG300" s="129">
        <v>0.958564341990079</v>
      </c>
      <c r="AH300" s="131">
        <v>0.92</v>
      </c>
      <c r="AI300" s="129" t="s">
        <v>33</v>
      </c>
      <c r="AJ300" s="129">
        <v>1</v>
      </c>
      <c r="AK300" s="129" t="s">
        <v>33</v>
      </c>
      <c r="AL300" s="129">
        <v>1</v>
      </c>
      <c r="AM300" s="128">
        <v>0.99</v>
      </c>
      <c r="AN300" s="133">
        <v>1</v>
      </c>
      <c r="AO300" s="133">
        <v>1</v>
      </c>
      <c r="AP300" s="133" t="s">
        <v>33</v>
      </c>
      <c r="AQ300" s="133">
        <v>1</v>
      </c>
      <c r="AR300" s="153">
        <v>0.0922287257019438</v>
      </c>
      <c r="AS300" s="137" t="s">
        <v>33</v>
      </c>
      <c r="AT300" s="137" t="s">
        <v>33</v>
      </c>
      <c r="AU300" s="137" t="s">
        <v>33</v>
      </c>
      <c r="AV300" s="137" t="s">
        <v>33</v>
      </c>
      <c r="AW300" s="86"/>
      <c r="AX300" s="91"/>
    </row>
    <row r="301" s="84" customFormat="1" ht="14.5" spans="1:50">
      <c r="A301" s="89"/>
      <c r="B301" s="86"/>
      <c r="C301" s="157" t="s">
        <v>256</v>
      </c>
      <c r="D301" s="126" t="s">
        <v>257</v>
      </c>
      <c r="E301" s="158" t="s">
        <v>321</v>
      </c>
      <c r="F301" s="158" t="s">
        <v>321</v>
      </c>
      <c r="G301" s="158" t="s">
        <v>321</v>
      </c>
      <c r="H301" s="158" t="s">
        <v>321</v>
      </c>
      <c r="I301" s="128">
        <v>0.9</v>
      </c>
      <c r="J301" s="129" t="s">
        <v>33</v>
      </c>
      <c r="K301" s="129" t="s">
        <v>33</v>
      </c>
      <c r="L301" s="130" t="s">
        <v>33</v>
      </c>
      <c r="M301" s="129" t="s">
        <v>33</v>
      </c>
      <c r="N301" s="131">
        <v>0.9</v>
      </c>
      <c r="O301" s="129" t="s">
        <v>33</v>
      </c>
      <c r="P301" s="129" t="s">
        <v>33</v>
      </c>
      <c r="Q301" s="129" t="s">
        <v>33</v>
      </c>
      <c r="R301" s="129" t="s">
        <v>33</v>
      </c>
      <c r="S301" s="131">
        <v>0.9</v>
      </c>
      <c r="T301" s="129" t="s">
        <v>33</v>
      </c>
      <c r="U301" s="129" t="s">
        <v>33</v>
      </c>
      <c r="V301" s="129" t="s">
        <v>33</v>
      </c>
      <c r="W301" s="129" t="s">
        <v>33</v>
      </c>
      <c r="X301" s="131">
        <v>0.92</v>
      </c>
      <c r="Y301" s="131" t="s">
        <v>33</v>
      </c>
      <c r="Z301" s="131" t="s">
        <v>33</v>
      </c>
      <c r="AA301" s="131" t="s">
        <v>33</v>
      </c>
      <c r="AB301" s="131" t="s">
        <v>33</v>
      </c>
      <c r="AC301" s="131">
        <v>0.92</v>
      </c>
      <c r="AD301" s="129">
        <v>1</v>
      </c>
      <c r="AE301" s="129">
        <v>0.994252873563218</v>
      </c>
      <c r="AF301" s="129">
        <v>0.993031358885017</v>
      </c>
      <c r="AG301" s="129">
        <v>0.99548264384213</v>
      </c>
      <c r="AH301" s="131">
        <v>0.92</v>
      </c>
      <c r="AI301" s="129" t="s">
        <v>33</v>
      </c>
      <c r="AJ301" s="129" t="s">
        <v>33</v>
      </c>
      <c r="AK301" s="129" t="s">
        <v>33</v>
      </c>
      <c r="AL301" s="129" t="s">
        <v>33</v>
      </c>
      <c r="AM301" s="128">
        <v>0.99</v>
      </c>
      <c r="AN301" s="133" t="s">
        <v>33</v>
      </c>
      <c r="AO301" s="133">
        <v>1</v>
      </c>
      <c r="AP301" s="133" t="s">
        <v>33</v>
      </c>
      <c r="AQ301" s="133">
        <v>1</v>
      </c>
      <c r="AR301" s="153">
        <v>0.0922287257019438</v>
      </c>
      <c r="AS301" s="137" t="s">
        <v>33</v>
      </c>
      <c r="AT301" s="137" t="s">
        <v>33</v>
      </c>
      <c r="AU301" s="137" t="s">
        <v>33</v>
      </c>
      <c r="AV301" s="137" t="s">
        <v>33</v>
      </c>
      <c r="AW301" s="86"/>
      <c r="AX301" s="91"/>
    </row>
    <row r="302" s="84" customFormat="1" ht="14.5" spans="1:50">
      <c r="A302" s="89"/>
      <c r="B302" s="86"/>
      <c r="C302" s="157" t="s">
        <v>256</v>
      </c>
      <c r="D302" s="126" t="s">
        <v>257</v>
      </c>
      <c r="E302" s="158" t="s">
        <v>322</v>
      </c>
      <c r="F302" s="158" t="s">
        <v>322</v>
      </c>
      <c r="G302" s="158" t="s">
        <v>322</v>
      </c>
      <c r="H302" s="158" t="s">
        <v>322</v>
      </c>
      <c r="I302" s="128">
        <v>0.9</v>
      </c>
      <c r="J302" s="129" t="s">
        <v>33</v>
      </c>
      <c r="K302" s="129" t="s">
        <v>33</v>
      </c>
      <c r="L302" s="130" t="s">
        <v>33</v>
      </c>
      <c r="M302" s="129" t="s">
        <v>33</v>
      </c>
      <c r="N302" s="131">
        <v>0.9</v>
      </c>
      <c r="O302" s="129">
        <v>1</v>
      </c>
      <c r="P302" s="129">
        <v>0.951219512195122</v>
      </c>
      <c r="Q302" s="129">
        <v>0.939393939393939</v>
      </c>
      <c r="R302" s="129">
        <v>0.974063400576369</v>
      </c>
      <c r="S302" s="131">
        <v>0.9</v>
      </c>
      <c r="T302" s="129">
        <v>1</v>
      </c>
      <c r="U302" s="129">
        <v>0.951219512195122</v>
      </c>
      <c r="V302" s="129">
        <v>0.909090909090909</v>
      </c>
      <c r="W302" s="129">
        <v>0.976945244956772</v>
      </c>
      <c r="X302" s="131">
        <v>0.92</v>
      </c>
      <c r="Y302" s="131">
        <v>1</v>
      </c>
      <c r="Z302" s="131">
        <v>1</v>
      </c>
      <c r="AA302" s="131">
        <v>1</v>
      </c>
      <c r="AB302" s="131">
        <v>0.982352941176471</v>
      </c>
      <c r="AC302" s="131">
        <v>0.92</v>
      </c>
      <c r="AD302" s="129">
        <v>0.997154600063231</v>
      </c>
      <c r="AE302" s="129">
        <v>0.476073619631902</v>
      </c>
      <c r="AF302" s="129">
        <v>0.998425196850394</v>
      </c>
      <c r="AG302" s="129">
        <v>0.938748998037536</v>
      </c>
      <c r="AH302" s="131">
        <v>0.92</v>
      </c>
      <c r="AI302" s="129">
        <v>1</v>
      </c>
      <c r="AJ302" s="129">
        <v>0.981481481481482</v>
      </c>
      <c r="AK302" s="129">
        <v>0.951612903225806</v>
      </c>
      <c r="AL302" s="129">
        <v>0.981515711645102</v>
      </c>
      <c r="AM302" s="128">
        <v>0.99</v>
      </c>
      <c r="AN302" s="133">
        <v>1</v>
      </c>
      <c r="AO302" s="133" t="s">
        <v>33</v>
      </c>
      <c r="AP302" s="133">
        <v>1</v>
      </c>
      <c r="AQ302" s="133">
        <v>1</v>
      </c>
      <c r="AR302" s="153">
        <v>0.0922287257019438</v>
      </c>
      <c r="AS302" s="137">
        <v>0</v>
      </c>
      <c r="AT302" s="137">
        <v>0</v>
      </c>
      <c r="AU302" s="137" t="s">
        <v>33</v>
      </c>
      <c r="AV302" s="137">
        <v>0</v>
      </c>
      <c r="AW302" s="86"/>
      <c r="AX302" s="91"/>
    </row>
    <row r="303" s="84" customFormat="1" ht="14.5" spans="1:50">
      <c r="A303" s="89"/>
      <c r="B303" s="86"/>
      <c r="C303" s="157" t="s">
        <v>256</v>
      </c>
      <c r="D303" s="126" t="s">
        <v>257</v>
      </c>
      <c r="E303" s="158" t="s">
        <v>323</v>
      </c>
      <c r="F303" s="158" t="s">
        <v>323</v>
      </c>
      <c r="G303" s="158" t="s">
        <v>323</v>
      </c>
      <c r="H303" s="158" t="s">
        <v>323</v>
      </c>
      <c r="I303" s="128">
        <v>0.9</v>
      </c>
      <c r="J303" s="129" t="s">
        <v>33</v>
      </c>
      <c r="K303" s="129" t="s">
        <v>33</v>
      </c>
      <c r="L303" s="130" t="s">
        <v>33</v>
      </c>
      <c r="M303" s="129" t="s">
        <v>33</v>
      </c>
      <c r="N303" s="131">
        <v>0.9</v>
      </c>
      <c r="O303" s="129" t="s">
        <v>33</v>
      </c>
      <c r="P303" s="129">
        <v>0</v>
      </c>
      <c r="Q303" s="129" t="s">
        <v>33</v>
      </c>
      <c r="R303" s="129">
        <v>0.5</v>
      </c>
      <c r="S303" s="131">
        <v>0.9</v>
      </c>
      <c r="T303" s="129" t="s">
        <v>33</v>
      </c>
      <c r="U303" s="129">
        <v>0</v>
      </c>
      <c r="V303" s="129" t="s">
        <v>33</v>
      </c>
      <c r="W303" s="129">
        <v>0</v>
      </c>
      <c r="X303" s="131">
        <v>0.92</v>
      </c>
      <c r="Y303" s="131" t="s">
        <v>33</v>
      </c>
      <c r="Z303" s="131" t="s">
        <v>33</v>
      </c>
      <c r="AA303" s="131" t="s">
        <v>33</v>
      </c>
      <c r="AB303" s="131">
        <v>0</v>
      </c>
      <c r="AC303" s="131">
        <v>0.92</v>
      </c>
      <c r="AD303" s="129">
        <v>0.99734096952342</v>
      </c>
      <c r="AE303" s="129">
        <v>0.998451479697178</v>
      </c>
      <c r="AF303" s="129">
        <v>0.998503740648379</v>
      </c>
      <c r="AG303" s="129">
        <v>0.993015268277196</v>
      </c>
      <c r="AH303" s="131">
        <v>0.92</v>
      </c>
      <c r="AI303" s="129" t="s">
        <v>33</v>
      </c>
      <c r="AJ303" s="129">
        <v>0</v>
      </c>
      <c r="AK303" s="129" t="s">
        <v>33</v>
      </c>
      <c r="AL303" s="129">
        <v>0.25</v>
      </c>
      <c r="AM303" s="128">
        <v>0.99</v>
      </c>
      <c r="AN303" s="133" t="s">
        <v>33</v>
      </c>
      <c r="AO303" s="133">
        <v>1</v>
      </c>
      <c r="AP303" s="133">
        <v>1</v>
      </c>
      <c r="AQ303" s="133">
        <v>1</v>
      </c>
      <c r="AR303" s="153">
        <v>0.0922287257019438</v>
      </c>
      <c r="AS303" s="137" t="s">
        <v>33</v>
      </c>
      <c r="AT303" s="137" t="s">
        <v>33</v>
      </c>
      <c r="AU303" s="137" t="s">
        <v>33</v>
      </c>
      <c r="AV303" s="137" t="s">
        <v>33</v>
      </c>
      <c r="AW303" s="86"/>
      <c r="AX303" s="91"/>
    </row>
    <row r="304" s="84" customFormat="1" ht="14.5" spans="1:50">
      <c r="A304" s="89"/>
      <c r="B304" s="86"/>
      <c r="C304" s="157" t="s">
        <v>256</v>
      </c>
      <c r="D304" s="126" t="s">
        <v>257</v>
      </c>
      <c r="E304" s="158" t="s">
        <v>324</v>
      </c>
      <c r="F304" s="158" t="s">
        <v>324</v>
      </c>
      <c r="G304" s="158" t="s">
        <v>324</v>
      </c>
      <c r="H304" s="158" t="s">
        <v>324</v>
      </c>
      <c r="I304" s="128">
        <v>0.9</v>
      </c>
      <c r="J304" s="129" t="s">
        <v>33</v>
      </c>
      <c r="K304" s="129" t="s">
        <v>33</v>
      </c>
      <c r="L304" s="130" t="s">
        <v>33</v>
      </c>
      <c r="M304" s="129" t="s">
        <v>33</v>
      </c>
      <c r="N304" s="131">
        <v>0.9</v>
      </c>
      <c r="O304" s="129">
        <v>0.05</v>
      </c>
      <c r="P304" s="129">
        <v>1</v>
      </c>
      <c r="Q304" s="129" t="s">
        <v>33</v>
      </c>
      <c r="R304" s="129">
        <v>0.107142857142857</v>
      </c>
      <c r="S304" s="131">
        <v>0.9</v>
      </c>
      <c r="T304" s="129">
        <v>0.05</v>
      </c>
      <c r="U304" s="129">
        <v>0</v>
      </c>
      <c r="V304" s="129" t="s">
        <v>33</v>
      </c>
      <c r="W304" s="129">
        <v>0.553571428571429</v>
      </c>
      <c r="X304" s="131">
        <v>0.92</v>
      </c>
      <c r="Y304" s="131">
        <v>0</v>
      </c>
      <c r="Z304" s="131">
        <v>0</v>
      </c>
      <c r="AA304" s="131" t="s">
        <v>33</v>
      </c>
      <c r="AB304" s="131">
        <v>0.352941176470588</v>
      </c>
      <c r="AC304" s="131">
        <v>0.92</v>
      </c>
      <c r="AD304" s="129">
        <v>0.974300831443689</v>
      </c>
      <c r="AE304" s="129">
        <v>0.985699152542373</v>
      </c>
      <c r="AF304" s="129">
        <v>0.93483709273183</v>
      </c>
      <c r="AG304" s="129">
        <v>0.979228015474335</v>
      </c>
      <c r="AH304" s="131">
        <v>0.92</v>
      </c>
      <c r="AI304" s="129">
        <v>0.0689655172413793</v>
      </c>
      <c r="AJ304" s="129">
        <v>0</v>
      </c>
      <c r="AK304" s="129" t="s">
        <v>33</v>
      </c>
      <c r="AL304" s="129">
        <v>0.526315789473684</v>
      </c>
      <c r="AM304" s="128">
        <v>0.99</v>
      </c>
      <c r="AN304" s="133">
        <v>1</v>
      </c>
      <c r="AO304" s="133">
        <v>1</v>
      </c>
      <c r="AP304" s="133">
        <v>1</v>
      </c>
      <c r="AQ304" s="133">
        <v>1</v>
      </c>
      <c r="AR304" s="153">
        <v>0.0922287257019438</v>
      </c>
      <c r="AS304" s="137" t="s">
        <v>33</v>
      </c>
      <c r="AT304" s="137">
        <v>0</v>
      </c>
      <c r="AU304" s="137" t="s">
        <v>33</v>
      </c>
      <c r="AV304" s="137">
        <v>0</v>
      </c>
      <c r="AW304" s="86"/>
      <c r="AX304" s="91"/>
    </row>
    <row r="305" s="84" customFormat="1" ht="14.5" spans="1:50">
      <c r="A305" s="89"/>
      <c r="B305" s="86"/>
      <c r="C305" s="157" t="s">
        <v>256</v>
      </c>
      <c r="D305" s="126" t="s">
        <v>257</v>
      </c>
      <c r="E305" s="158" t="s">
        <v>325</v>
      </c>
      <c r="F305" s="158" t="s">
        <v>325</v>
      </c>
      <c r="G305" s="158" t="s">
        <v>325</v>
      </c>
      <c r="H305" s="158" t="s">
        <v>325</v>
      </c>
      <c r="I305" s="128">
        <v>0.9</v>
      </c>
      <c r="J305" s="129" t="s">
        <v>33</v>
      </c>
      <c r="K305" s="129" t="s">
        <v>33</v>
      </c>
      <c r="L305" s="130" t="s">
        <v>33</v>
      </c>
      <c r="M305" s="129" t="s">
        <v>33</v>
      </c>
      <c r="N305" s="131">
        <v>0.9</v>
      </c>
      <c r="O305" s="129" t="s">
        <v>33</v>
      </c>
      <c r="P305" s="129" t="s">
        <v>33</v>
      </c>
      <c r="Q305" s="129" t="s">
        <v>33</v>
      </c>
      <c r="R305" s="129">
        <v>0</v>
      </c>
      <c r="S305" s="131">
        <v>0.9</v>
      </c>
      <c r="T305" s="129" t="s">
        <v>33</v>
      </c>
      <c r="U305" s="129" t="s">
        <v>33</v>
      </c>
      <c r="V305" s="129" t="s">
        <v>33</v>
      </c>
      <c r="W305" s="129">
        <v>1</v>
      </c>
      <c r="X305" s="131">
        <v>0.92</v>
      </c>
      <c r="Y305" s="131" t="s">
        <v>33</v>
      </c>
      <c r="Z305" s="131" t="s">
        <v>33</v>
      </c>
      <c r="AA305" s="131" t="s">
        <v>33</v>
      </c>
      <c r="AB305" s="131" t="s">
        <v>33</v>
      </c>
      <c r="AC305" s="131">
        <v>0.92</v>
      </c>
      <c r="AD305" s="129">
        <v>0.992192479286169</v>
      </c>
      <c r="AE305" s="129">
        <v>0.998382078406969</v>
      </c>
      <c r="AF305" s="129">
        <v>0.995768347237335</v>
      </c>
      <c r="AG305" s="129">
        <v>0.994655589160563</v>
      </c>
      <c r="AH305" s="131">
        <v>0.92</v>
      </c>
      <c r="AI305" s="129" t="s">
        <v>33</v>
      </c>
      <c r="AJ305" s="129" t="s">
        <v>33</v>
      </c>
      <c r="AK305" s="129" t="s">
        <v>33</v>
      </c>
      <c r="AL305" s="129">
        <v>0.5</v>
      </c>
      <c r="AM305" s="128">
        <v>0.99</v>
      </c>
      <c r="AN305" s="133">
        <v>1</v>
      </c>
      <c r="AO305" s="133">
        <v>1</v>
      </c>
      <c r="AP305" s="133" t="s">
        <v>33</v>
      </c>
      <c r="AQ305" s="133">
        <v>1</v>
      </c>
      <c r="AR305" s="153">
        <v>0.0922287257019438</v>
      </c>
      <c r="AS305" s="137" t="s">
        <v>33</v>
      </c>
      <c r="AT305" s="137" t="s">
        <v>33</v>
      </c>
      <c r="AU305" s="137" t="s">
        <v>33</v>
      </c>
      <c r="AV305" s="137" t="s">
        <v>33</v>
      </c>
      <c r="AW305" s="86"/>
      <c r="AX305" s="91"/>
    </row>
    <row r="306" s="84" customFormat="1" ht="14.5" spans="1:50">
      <c r="A306" s="89"/>
      <c r="B306" s="86"/>
      <c r="C306" s="157" t="s">
        <v>256</v>
      </c>
      <c r="D306" s="126" t="s">
        <v>257</v>
      </c>
      <c r="E306" s="158" t="s">
        <v>326</v>
      </c>
      <c r="F306" s="158" t="s">
        <v>326</v>
      </c>
      <c r="G306" s="158" t="s">
        <v>326</v>
      </c>
      <c r="H306" s="158" t="s">
        <v>326</v>
      </c>
      <c r="I306" s="128">
        <v>0.9</v>
      </c>
      <c r="J306" s="129" t="s">
        <v>33</v>
      </c>
      <c r="K306" s="129" t="s">
        <v>33</v>
      </c>
      <c r="L306" s="130" t="s">
        <v>33</v>
      </c>
      <c r="M306" s="129" t="s">
        <v>33</v>
      </c>
      <c r="N306" s="131">
        <v>0.9</v>
      </c>
      <c r="O306" s="129" t="s">
        <v>33</v>
      </c>
      <c r="P306" s="129" t="s">
        <v>33</v>
      </c>
      <c r="Q306" s="129" t="s">
        <v>33</v>
      </c>
      <c r="R306" s="129">
        <v>0</v>
      </c>
      <c r="S306" s="131">
        <v>0.9</v>
      </c>
      <c r="T306" s="129" t="s">
        <v>33</v>
      </c>
      <c r="U306" s="129" t="s">
        <v>33</v>
      </c>
      <c r="V306" s="129" t="s">
        <v>33</v>
      </c>
      <c r="W306" s="129">
        <v>0</v>
      </c>
      <c r="X306" s="131">
        <v>0.92</v>
      </c>
      <c r="Y306" s="131" t="s">
        <v>33</v>
      </c>
      <c r="Z306" s="131" t="s">
        <v>33</v>
      </c>
      <c r="AA306" s="131" t="s">
        <v>33</v>
      </c>
      <c r="AB306" s="131">
        <v>0</v>
      </c>
      <c r="AC306" s="131">
        <v>0.92</v>
      </c>
      <c r="AD306" s="129">
        <v>0.991568296795953</v>
      </c>
      <c r="AE306" s="129">
        <v>0.984848484848485</v>
      </c>
      <c r="AF306" s="129">
        <v>0.991334488734835</v>
      </c>
      <c r="AG306" s="129">
        <v>0.954539584140514</v>
      </c>
      <c r="AH306" s="131">
        <v>0.92</v>
      </c>
      <c r="AI306" s="129" t="s">
        <v>33</v>
      </c>
      <c r="AJ306" s="129" t="s">
        <v>33</v>
      </c>
      <c r="AK306" s="129" t="s">
        <v>33</v>
      </c>
      <c r="AL306" s="129">
        <v>0</v>
      </c>
      <c r="AM306" s="128">
        <v>0.99</v>
      </c>
      <c r="AN306" s="133">
        <v>1</v>
      </c>
      <c r="AO306" s="133" t="s">
        <v>33</v>
      </c>
      <c r="AP306" s="133" t="s">
        <v>33</v>
      </c>
      <c r="AQ306" s="133">
        <v>1</v>
      </c>
      <c r="AR306" s="153">
        <v>0.0922287257019438</v>
      </c>
      <c r="AS306" s="137" t="s">
        <v>33</v>
      </c>
      <c r="AT306" s="137" t="s">
        <v>33</v>
      </c>
      <c r="AU306" s="137" t="s">
        <v>33</v>
      </c>
      <c r="AV306" s="137" t="s">
        <v>33</v>
      </c>
      <c r="AW306" s="86"/>
      <c r="AX306" s="91"/>
    </row>
    <row r="307" s="84" customFormat="1" ht="14.5" spans="1:50">
      <c r="A307" s="89"/>
      <c r="B307" s="86"/>
      <c r="C307" s="157" t="s">
        <v>256</v>
      </c>
      <c r="D307" s="126" t="s">
        <v>257</v>
      </c>
      <c r="E307" s="158" t="s">
        <v>327</v>
      </c>
      <c r="F307" s="158" t="s">
        <v>327</v>
      </c>
      <c r="G307" s="158" t="s">
        <v>327</v>
      </c>
      <c r="H307" s="158" t="s">
        <v>327</v>
      </c>
      <c r="I307" s="128">
        <v>0.9</v>
      </c>
      <c r="J307" s="129">
        <v>0.983050847457627</v>
      </c>
      <c r="K307" s="129">
        <v>0.973684210526316</v>
      </c>
      <c r="L307" s="130">
        <v>0.967391304347826</v>
      </c>
      <c r="M307" s="129">
        <v>0.976317799847212</v>
      </c>
      <c r="N307" s="131">
        <v>0.9</v>
      </c>
      <c r="O307" s="129">
        <v>0.963406430781649</v>
      </c>
      <c r="P307" s="129">
        <v>0.958878110501898</v>
      </c>
      <c r="Q307" s="129">
        <v>0.928292046936115</v>
      </c>
      <c r="R307" s="129">
        <v>0.953767051709003</v>
      </c>
      <c r="S307" s="131">
        <v>0.9</v>
      </c>
      <c r="T307" s="129">
        <v>0.94053545002018</v>
      </c>
      <c r="U307" s="129">
        <v>0.942429354702657</v>
      </c>
      <c r="V307" s="129">
        <v>0.937201216862234</v>
      </c>
      <c r="W307" s="129">
        <v>0.938662616522914</v>
      </c>
      <c r="X307" s="131">
        <v>0.92</v>
      </c>
      <c r="Y307" s="131">
        <v>0.985238296077604</v>
      </c>
      <c r="Z307" s="131">
        <v>0.987088713036235</v>
      </c>
      <c r="AA307" s="131">
        <v>0.970416666666667</v>
      </c>
      <c r="AB307" s="131">
        <v>0.985645775309415</v>
      </c>
      <c r="AC307" s="131">
        <v>0.92</v>
      </c>
      <c r="AD307" s="129">
        <v>0.989776046738072</v>
      </c>
      <c r="AE307" s="129">
        <v>0.995668549905838</v>
      </c>
      <c r="AF307" s="129">
        <v>0.994379683597002</v>
      </c>
      <c r="AG307" s="129">
        <v>0.992056234998286</v>
      </c>
      <c r="AH307" s="131">
        <v>0.92</v>
      </c>
      <c r="AI307" s="129">
        <v>0.990720210232405</v>
      </c>
      <c r="AJ307" s="129">
        <v>0.989704528333473</v>
      </c>
      <c r="AK307" s="129">
        <v>0.986003998857469</v>
      </c>
      <c r="AL307" s="129">
        <v>0.990722637820537</v>
      </c>
      <c r="AM307" s="128">
        <v>0.99</v>
      </c>
      <c r="AN307" s="133">
        <v>1</v>
      </c>
      <c r="AO307" s="133">
        <v>1</v>
      </c>
      <c r="AP307" s="133">
        <v>1</v>
      </c>
      <c r="AQ307" s="133">
        <v>1</v>
      </c>
      <c r="AR307" s="153">
        <v>0.0922287257019438</v>
      </c>
      <c r="AS307" s="137">
        <v>0.0833333333333333</v>
      </c>
      <c r="AT307" s="137">
        <v>0.0645161290322581</v>
      </c>
      <c r="AU307" s="137">
        <v>0.0909090909090909</v>
      </c>
      <c r="AV307" s="137">
        <v>0.0530503978779841</v>
      </c>
      <c r="AW307" s="86"/>
      <c r="AX307" s="91"/>
    </row>
    <row r="308" s="84" customFormat="1" ht="14.5" spans="1:50">
      <c r="A308" s="89"/>
      <c r="B308" s="86"/>
      <c r="C308" s="157" t="s">
        <v>256</v>
      </c>
      <c r="D308" s="126" t="s">
        <v>257</v>
      </c>
      <c r="E308" s="158" t="s">
        <v>328</v>
      </c>
      <c r="F308" s="158" t="s">
        <v>328</v>
      </c>
      <c r="G308" s="158" t="s">
        <v>328</v>
      </c>
      <c r="H308" s="158" t="s">
        <v>328</v>
      </c>
      <c r="I308" s="128">
        <v>0.9</v>
      </c>
      <c r="J308" s="129" t="s">
        <v>33</v>
      </c>
      <c r="K308" s="129" t="s">
        <v>33</v>
      </c>
      <c r="L308" s="130" t="s">
        <v>33</v>
      </c>
      <c r="M308" s="129" t="s">
        <v>33</v>
      </c>
      <c r="N308" s="131">
        <v>0.9</v>
      </c>
      <c r="O308" s="129" t="s">
        <v>33</v>
      </c>
      <c r="P308" s="129">
        <v>0</v>
      </c>
      <c r="Q308" s="129" t="s">
        <v>33</v>
      </c>
      <c r="R308" s="129">
        <v>0</v>
      </c>
      <c r="S308" s="131">
        <v>0.9</v>
      </c>
      <c r="T308" s="129" t="s">
        <v>33</v>
      </c>
      <c r="U308" s="129">
        <v>1</v>
      </c>
      <c r="V308" s="129" t="s">
        <v>33</v>
      </c>
      <c r="W308" s="129">
        <v>1</v>
      </c>
      <c r="X308" s="131">
        <v>0.92</v>
      </c>
      <c r="Y308" s="131" t="s">
        <v>33</v>
      </c>
      <c r="Z308" s="131" t="s">
        <v>33</v>
      </c>
      <c r="AA308" s="131" t="s">
        <v>33</v>
      </c>
      <c r="AB308" s="131" t="s">
        <v>33</v>
      </c>
      <c r="AC308" s="131">
        <v>0.92</v>
      </c>
      <c r="AD308" s="129">
        <v>0.994897959183674</v>
      </c>
      <c r="AE308" s="129">
        <v>1</v>
      </c>
      <c r="AF308" s="129">
        <v>1</v>
      </c>
      <c r="AG308" s="129">
        <v>0.986206896551724</v>
      </c>
      <c r="AH308" s="131">
        <v>0.92</v>
      </c>
      <c r="AI308" s="129" t="s">
        <v>33</v>
      </c>
      <c r="AJ308" s="129">
        <v>1</v>
      </c>
      <c r="AK308" s="129" t="s">
        <v>33</v>
      </c>
      <c r="AL308" s="129">
        <v>1</v>
      </c>
      <c r="AM308" s="128">
        <v>0.99</v>
      </c>
      <c r="AN308" s="133">
        <v>1</v>
      </c>
      <c r="AO308" s="133">
        <v>1</v>
      </c>
      <c r="AP308" s="133">
        <v>1</v>
      </c>
      <c r="AQ308" s="133">
        <v>1</v>
      </c>
      <c r="AR308" s="153">
        <v>0.0922287257019438</v>
      </c>
      <c r="AS308" s="137" t="s">
        <v>33</v>
      </c>
      <c r="AT308" s="137" t="s">
        <v>33</v>
      </c>
      <c r="AU308" s="137" t="s">
        <v>33</v>
      </c>
      <c r="AV308" s="137" t="s">
        <v>33</v>
      </c>
      <c r="AW308" s="86"/>
      <c r="AX308" s="91"/>
    </row>
    <row r="309" s="84" customFormat="1" ht="14.5" spans="1:50">
      <c r="A309" s="89"/>
      <c r="B309" s="86"/>
      <c r="C309" s="157" t="s">
        <v>256</v>
      </c>
      <c r="D309" s="126" t="s">
        <v>257</v>
      </c>
      <c r="E309" s="158" t="s">
        <v>329</v>
      </c>
      <c r="F309" s="158" t="s">
        <v>329</v>
      </c>
      <c r="G309" s="158" t="s">
        <v>329</v>
      </c>
      <c r="H309" s="158" t="s">
        <v>329</v>
      </c>
      <c r="I309" s="128">
        <v>0.9</v>
      </c>
      <c r="J309" s="129" t="s">
        <v>33</v>
      </c>
      <c r="K309" s="129" t="s">
        <v>33</v>
      </c>
      <c r="L309" s="130" t="s">
        <v>33</v>
      </c>
      <c r="M309" s="129" t="s">
        <v>33</v>
      </c>
      <c r="N309" s="131">
        <v>0.9</v>
      </c>
      <c r="O309" s="129" t="s">
        <v>33</v>
      </c>
      <c r="P309" s="129" t="s">
        <v>33</v>
      </c>
      <c r="Q309" s="129" t="s">
        <v>33</v>
      </c>
      <c r="R309" s="129">
        <v>0.909090909090909</v>
      </c>
      <c r="S309" s="131">
        <v>0.9</v>
      </c>
      <c r="T309" s="129" t="s">
        <v>33</v>
      </c>
      <c r="U309" s="129" t="s">
        <v>33</v>
      </c>
      <c r="V309" s="129" t="s">
        <v>33</v>
      </c>
      <c r="W309" s="129">
        <v>0.909090909090909</v>
      </c>
      <c r="X309" s="131">
        <v>0.92</v>
      </c>
      <c r="Y309" s="131" t="s">
        <v>33</v>
      </c>
      <c r="Z309" s="131">
        <v>1</v>
      </c>
      <c r="AA309" s="131" t="s">
        <v>33</v>
      </c>
      <c r="AB309" s="131">
        <v>1</v>
      </c>
      <c r="AC309" s="131">
        <v>0.92</v>
      </c>
      <c r="AD309" s="129">
        <v>0.998256537982565</v>
      </c>
      <c r="AE309" s="129">
        <v>0.986747653230259</v>
      </c>
      <c r="AF309" s="129">
        <v>0.998952056588944</v>
      </c>
      <c r="AG309" s="129">
        <v>0.997196503006382</v>
      </c>
      <c r="AH309" s="131">
        <v>0.92</v>
      </c>
      <c r="AI309" s="129" t="s">
        <v>33</v>
      </c>
      <c r="AJ309" s="129">
        <v>0.5</v>
      </c>
      <c r="AK309" s="129" t="s">
        <v>33</v>
      </c>
      <c r="AL309" s="129">
        <v>0.833333333333333</v>
      </c>
      <c r="AM309" s="128">
        <v>0.99</v>
      </c>
      <c r="AN309" s="133" t="s">
        <v>33</v>
      </c>
      <c r="AO309" s="133" t="s">
        <v>33</v>
      </c>
      <c r="AP309" s="133" t="s">
        <v>33</v>
      </c>
      <c r="AQ309" s="133">
        <v>1</v>
      </c>
      <c r="AR309" s="153">
        <v>0.0922287257019438</v>
      </c>
      <c r="AS309" s="137" t="s">
        <v>33</v>
      </c>
      <c r="AT309" s="137" t="s">
        <v>33</v>
      </c>
      <c r="AU309" s="137" t="s">
        <v>33</v>
      </c>
      <c r="AV309" s="137" t="s">
        <v>33</v>
      </c>
      <c r="AW309" s="86"/>
      <c r="AX309" s="91"/>
    </row>
    <row r="310" s="84" customFormat="1" ht="14.5" spans="1:50">
      <c r="A310" s="89"/>
      <c r="B310" s="86"/>
      <c r="C310" s="157" t="s">
        <v>256</v>
      </c>
      <c r="D310" s="126" t="s">
        <v>257</v>
      </c>
      <c r="E310" s="158" t="s">
        <v>330</v>
      </c>
      <c r="F310" s="158" t="s">
        <v>330</v>
      </c>
      <c r="G310" s="158" t="s">
        <v>330</v>
      </c>
      <c r="H310" s="158" t="s">
        <v>330</v>
      </c>
      <c r="I310" s="128">
        <v>0.9</v>
      </c>
      <c r="J310" s="129">
        <v>0.955555555555556</v>
      </c>
      <c r="K310" s="129">
        <v>0.927710843373494</v>
      </c>
      <c r="L310" s="130">
        <v>0.971014492753623</v>
      </c>
      <c r="M310" s="129">
        <v>0.957142857142857</v>
      </c>
      <c r="N310" s="131">
        <v>0.9</v>
      </c>
      <c r="O310" s="129">
        <v>0.965327554592432</v>
      </c>
      <c r="P310" s="129">
        <v>0.967149220489978</v>
      </c>
      <c r="Q310" s="129">
        <v>0.973177441540578</v>
      </c>
      <c r="R310" s="129">
        <v>0.961633841288097</v>
      </c>
      <c r="S310" s="131">
        <v>0.9</v>
      </c>
      <c r="T310" s="129">
        <v>0.945324220703451</v>
      </c>
      <c r="U310" s="129">
        <v>0.937639198218263</v>
      </c>
      <c r="V310" s="129">
        <v>0.923200366804218</v>
      </c>
      <c r="W310" s="129">
        <v>0.933097326049454</v>
      </c>
      <c r="X310" s="131">
        <v>0.92</v>
      </c>
      <c r="Y310" s="131">
        <v>0.980044345898004</v>
      </c>
      <c r="Z310" s="131">
        <v>0.99620607028754</v>
      </c>
      <c r="AA310" s="131">
        <v>0.99204375932372</v>
      </c>
      <c r="AB310" s="131">
        <v>0.990960170374734</v>
      </c>
      <c r="AC310" s="131">
        <v>0.92</v>
      </c>
      <c r="AD310" s="129">
        <v>0.993770764119601</v>
      </c>
      <c r="AE310" s="129">
        <v>0.989541240789161</v>
      </c>
      <c r="AF310" s="129">
        <v>0.984960582171013</v>
      </c>
      <c r="AG310" s="129">
        <v>0.919090461709296</v>
      </c>
      <c r="AH310" s="131">
        <v>0.92</v>
      </c>
      <c r="AI310" s="129">
        <v>0.988237743312168</v>
      </c>
      <c r="AJ310" s="129">
        <v>0.996976744186047</v>
      </c>
      <c r="AK310" s="129">
        <v>0.994821904911345</v>
      </c>
      <c r="AL310" s="129">
        <v>0.993967814986272</v>
      </c>
      <c r="AM310" s="128">
        <v>0.99</v>
      </c>
      <c r="AN310" s="133">
        <v>1</v>
      </c>
      <c r="AO310" s="133">
        <v>1</v>
      </c>
      <c r="AP310" s="133">
        <v>1</v>
      </c>
      <c r="AQ310" s="133">
        <v>1</v>
      </c>
      <c r="AR310" s="153">
        <v>0.0922287257019438</v>
      </c>
      <c r="AS310" s="137">
        <v>0.0603448275862069</v>
      </c>
      <c r="AT310" s="137">
        <v>0.125</v>
      </c>
      <c r="AU310" s="137">
        <v>0.0625</v>
      </c>
      <c r="AV310" s="137">
        <v>0.0955056179775281</v>
      </c>
      <c r="AW310" s="86"/>
      <c r="AX310" s="91"/>
    </row>
    <row r="311" s="84" customFormat="1" ht="14.5" spans="1:50">
      <c r="A311" s="89"/>
      <c r="B311" s="86"/>
      <c r="C311" s="157" t="s">
        <v>256</v>
      </c>
      <c r="D311" s="126" t="s">
        <v>257</v>
      </c>
      <c r="E311" s="158" t="s">
        <v>331</v>
      </c>
      <c r="F311" s="158" t="s">
        <v>331</v>
      </c>
      <c r="G311" s="158" t="s">
        <v>331</v>
      </c>
      <c r="H311" s="158" t="s">
        <v>331</v>
      </c>
      <c r="I311" s="128">
        <v>0.9</v>
      </c>
      <c r="J311" s="129">
        <v>0.957894736842105</v>
      </c>
      <c r="K311" s="129">
        <v>1</v>
      </c>
      <c r="L311" s="130">
        <v>0.988235294117647</v>
      </c>
      <c r="M311" s="129">
        <v>0.982238010657194</v>
      </c>
      <c r="N311" s="131">
        <v>0.9</v>
      </c>
      <c r="O311" s="129">
        <v>0.967308390846349</v>
      </c>
      <c r="P311" s="129">
        <v>0.961106489184692</v>
      </c>
      <c r="Q311" s="129">
        <v>0.964732851348968</v>
      </c>
      <c r="R311" s="129">
        <v>0.964438987027829</v>
      </c>
      <c r="S311" s="131">
        <v>0.9</v>
      </c>
      <c r="T311" s="129">
        <v>0.935706501997821</v>
      </c>
      <c r="U311" s="129">
        <v>0.932404326123128</v>
      </c>
      <c r="V311" s="129">
        <v>0.919414565332393</v>
      </c>
      <c r="W311" s="129">
        <v>0.932561730271236</v>
      </c>
      <c r="X311" s="131">
        <v>0.92</v>
      </c>
      <c r="Y311" s="131">
        <v>0.941374339259971</v>
      </c>
      <c r="Z311" s="131">
        <v>0.950212905339011</v>
      </c>
      <c r="AA311" s="131">
        <v>0.928238583410997</v>
      </c>
      <c r="AB311" s="131">
        <v>0.941887647015852</v>
      </c>
      <c r="AC311" s="131">
        <v>0.92</v>
      </c>
      <c r="AD311" s="129">
        <v>0.98572501878287</v>
      </c>
      <c r="AE311" s="129">
        <v>0.974987974987975</v>
      </c>
      <c r="AF311" s="129">
        <v>0.869692532942899</v>
      </c>
      <c r="AG311" s="129">
        <v>0.967783505154639</v>
      </c>
      <c r="AH311" s="131">
        <v>0.92</v>
      </c>
      <c r="AI311" s="129">
        <v>0.96741127550527</v>
      </c>
      <c r="AJ311" s="129">
        <v>0.965526014501972</v>
      </c>
      <c r="AK311" s="129">
        <v>0.970344009489917</v>
      </c>
      <c r="AL311" s="129">
        <v>0.969483889208095</v>
      </c>
      <c r="AM311" s="128">
        <v>0.99</v>
      </c>
      <c r="AN311" s="133">
        <v>1</v>
      </c>
      <c r="AO311" s="133">
        <v>1</v>
      </c>
      <c r="AP311" s="133">
        <v>1</v>
      </c>
      <c r="AQ311" s="133">
        <v>1</v>
      </c>
      <c r="AR311" s="153">
        <v>0.0922287257019438</v>
      </c>
      <c r="AS311" s="137">
        <v>0.0714285714285714</v>
      </c>
      <c r="AT311" s="137">
        <v>0</v>
      </c>
      <c r="AU311" s="137">
        <v>0.05</v>
      </c>
      <c r="AV311" s="137">
        <v>0.0508474576271186</v>
      </c>
      <c r="AW311" s="86"/>
      <c r="AX311" s="91"/>
    </row>
    <row r="312" s="84" customFormat="1" ht="14.5" spans="1:50">
      <c r="A312" s="89"/>
      <c r="B312" s="86"/>
      <c r="C312" s="157" t="s">
        <v>256</v>
      </c>
      <c r="D312" s="126" t="s">
        <v>257</v>
      </c>
      <c r="E312" s="158" t="s">
        <v>332</v>
      </c>
      <c r="F312" s="158" t="s">
        <v>332</v>
      </c>
      <c r="G312" s="158" t="s">
        <v>332</v>
      </c>
      <c r="H312" s="158" t="s">
        <v>332</v>
      </c>
      <c r="I312" s="128">
        <v>0.9</v>
      </c>
      <c r="J312" s="129">
        <v>0.956310679611651</v>
      </c>
      <c r="K312" s="129">
        <v>0.948453608247423</v>
      </c>
      <c r="L312" s="130">
        <v>0.921686746987952</v>
      </c>
      <c r="M312" s="129">
        <v>0.964984083674397</v>
      </c>
      <c r="N312" s="131">
        <v>0.9</v>
      </c>
      <c r="O312" s="129">
        <v>0.954857234008614</v>
      </c>
      <c r="P312" s="129">
        <v>0.975576152304609</v>
      </c>
      <c r="Q312" s="129">
        <v>0.959796500806552</v>
      </c>
      <c r="R312" s="129">
        <v>0.950718614113826</v>
      </c>
      <c r="S312" s="131">
        <v>0.9</v>
      </c>
      <c r="T312" s="129">
        <v>0.930052639974478</v>
      </c>
      <c r="U312" s="129">
        <v>0.954784569138277</v>
      </c>
      <c r="V312" s="129">
        <v>0.940811515076312</v>
      </c>
      <c r="W312" s="129">
        <v>0.942982379547002</v>
      </c>
      <c r="X312" s="131">
        <v>0.92</v>
      </c>
      <c r="Y312" s="131">
        <v>0.963454348088289</v>
      </c>
      <c r="Z312" s="131">
        <v>0.974947633012149</v>
      </c>
      <c r="AA312" s="131">
        <v>0.969128473046782</v>
      </c>
      <c r="AB312" s="131">
        <v>0.973016496069728</v>
      </c>
      <c r="AC312" s="131">
        <v>0.92</v>
      </c>
      <c r="AD312" s="129">
        <v>0.977196113424549</v>
      </c>
      <c r="AE312" s="129">
        <v>0.994063750161311</v>
      </c>
      <c r="AF312" s="129">
        <v>0.815043156596794</v>
      </c>
      <c r="AG312" s="129">
        <v>0.980893671479299</v>
      </c>
      <c r="AH312" s="131">
        <v>0.92</v>
      </c>
      <c r="AI312" s="129">
        <v>0.979739785875462</v>
      </c>
      <c r="AJ312" s="129">
        <v>0.981777108433735</v>
      </c>
      <c r="AK312" s="129">
        <v>0.98198859005705</v>
      </c>
      <c r="AL312" s="129">
        <v>0.983643341638658</v>
      </c>
      <c r="AM312" s="128">
        <v>0.99</v>
      </c>
      <c r="AN312" s="133">
        <v>1</v>
      </c>
      <c r="AO312" s="133">
        <v>1</v>
      </c>
      <c r="AP312" s="133">
        <v>1</v>
      </c>
      <c r="AQ312" s="133">
        <v>1</v>
      </c>
      <c r="AR312" s="153">
        <v>0.0922287257019438</v>
      </c>
      <c r="AS312" s="137">
        <v>0.114285714285714</v>
      </c>
      <c r="AT312" s="137">
        <v>0.102564102564103</v>
      </c>
      <c r="AU312" s="137">
        <v>0.09375</v>
      </c>
      <c r="AV312" s="137">
        <v>0.0812641083521445</v>
      </c>
      <c r="AW312" s="86"/>
      <c r="AX312" s="91"/>
    </row>
    <row r="313" s="84" customFormat="1" ht="14.5" spans="1:50">
      <c r="A313" s="89"/>
      <c r="B313" s="86"/>
      <c r="C313" s="157" t="s">
        <v>256</v>
      </c>
      <c r="D313" s="126" t="s">
        <v>257</v>
      </c>
      <c r="E313" s="158" t="s">
        <v>333</v>
      </c>
      <c r="F313" s="158" t="s">
        <v>333</v>
      </c>
      <c r="G313" s="158" t="s">
        <v>333</v>
      </c>
      <c r="H313" s="158" t="s">
        <v>333</v>
      </c>
      <c r="I313" s="128">
        <v>0.9</v>
      </c>
      <c r="J313" s="129">
        <v>0.990654205607477</v>
      </c>
      <c r="K313" s="129">
        <v>0.96969696969697</v>
      </c>
      <c r="L313" s="130">
        <v>0.975308641975309</v>
      </c>
      <c r="M313" s="129">
        <v>0.978021978021978</v>
      </c>
      <c r="N313" s="131">
        <v>0.9</v>
      </c>
      <c r="O313" s="129">
        <v>0.973574408901252</v>
      </c>
      <c r="P313" s="129">
        <v>0.983845752996352</v>
      </c>
      <c r="Q313" s="129">
        <v>0.921513124034997</v>
      </c>
      <c r="R313" s="129">
        <v>0.967434878587196</v>
      </c>
      <c r="S313" s="131">
        <v>0.9</v>
      </c>
      <c r="T313" s="129">
        <v>0.951495132127955</v>
      </c>
      <c r="U313" s="129">
        <v>0.954663887441376</v>
      </c>
      <c r="V313" s="129">
        <v>0.922799794132784</v>
      </c>
      <c r="W313" s="129">
        <v>0.950816777041943</v>
      </c>
      <c r="X313" s="131">
        <v>0.92</v>
      </c>
      <c r="Y313" s="131">
        <v>0.967812197483059</v>
      </c>
      <c r="Z313" s="131">
        <v>0.978609625668449</v>
      </c>
      <c r="AA313" s="131">
        <v>0.939969214982042</v>
      </c>
      <c r="AB313" s="131">
        <v>0.976057526212188</v>
      </c>
      <c r="AC313" s="131">
        <v>0.92</v>
      </c>
      <c r="AD313" s="129">
        <v>0.997927031509121</v>
      </c>
      <c r="AE313" s="129">
        <v>0.998361551064992</v>
      </c>
      <c r="AF313" s="129">
        <v>0.990312163616792</v>
      </c>
      <c r="AG313" s="129">
        <v>0.998454404945904</v>
      </c>
      <c r="AH313" s="131">
        <v>0.92</v>
      </c>
      <c r="AI313" s="129">
        <v>0.98108436172365</v>
      </c>
      <c r="AJ313" s="129">
        <v>0.985076206604572</v>
      </c>
      <c r="AK313" s="129">
        <v>0.973264781491003</v>
      </c>
      <c r="AL313" s="129">
        <v>0.985323549032688</v>
      </c>
      <c r="AM313" s="128">
        <v>0.99</v>
      </c>
      <c r="AN313" s="133">
        <v>1</v>
      </c>
      <c r="AO313" s="133">
        <v>1</v>
      </c>
      <c r="AP313" s="133">
        <v>1</v>
      </c>
      <c r="AQ313" s="133">
        <v>1</v>
      </c>
      <c r="AR313" s="153">
        <v>0.0922287257019438</v>
      </c>
      <c r="AS313" s="137">
        <v>0</v>
      </c>
      <c r="AT313" s="137">
        <v>0</v>
      </c>
      <c r="AU313" s="137">
        <v>0.0909090909090909</v>
      </c>
      <c r="AV313" s="137">
        <v>0.0549019607843137</v>
      </c>
      <c r="AW313" s="86"/>
      <c r="AX313" s="91"/>
    </row>
    <row r="314" s="84" customFormat="1" ht="14.5" spans="1:50">
      <c r="A314" s="89"/>
      <c r="B314" s="86"/>
      <c r="C314" s="157" t="s">
        <v>256</v>
      </c>
      <c r="D314" s="126" t="s">
        <v>257</v>
      </c>
      <c r="E314" s="158" t="s">
        <v>334</v>
      </c>
      <c r="F314" s="158" t="s">
        <v>334</v>
      </c>
      <c r="G314" s="158" t="s">
        <v>334</v>
      </c>
      <c r="H314" s="158" t="s">
        <v>334</v>
      </c>
      <c r="I314" s="128">
        <v>0.9</v>
      </c>
      <c r="J314" s="129">
        <v>0.976470588235294</v>
      </c>
      <c r="K314" s="129">
        <v>1</v>
      </c>
      <c r="L314" s="130">
        <v>0.987179487179487</v>
      </c>
      <c r="M314" s="129">
        <v>0.989837398373984</v>
      </c>
      <c r="N314" s="131">
        <v>0.9</v>
      </c>
      <c r="O314" s="129">
        <v>0.988009096547447</v>
      </c>
      <c r="P314" s="129">
        <v>0.987435567010309</v>
      </c>
      <c r="Q314" s="129">
        <v>0.979453505613218</v>
      </c>
      <c r="R314" s="129">
        <v>0.972625698324022</v>
      </c>
      <c r="S314" s="131">
        <v>0.9</v>
      </c>
      <c r="T314" s="129">
        <v>0.96402728964234</v>
      </c>
      <c r="U314" s="129">
        <v>0.983569587628866</v>
      </c>
      <c r="V314" s="129">
        <v>0.969709807244228</v>
      </c>
      <c r="W314" s="129">
        <v>0.96415270018622</v>
      </c>
      <c r="X314" s="131">
        <v>0.92</v>
      </c>
      <c r="Y314" s="131">
        <v>0.984848484848485</v>
      </c>
      <c r="Z314" s="131">
        <v>0.991048886848749</v>
      </c>
      <c r="AA314" s="131">
        <v>0.975718849840256</v>
      </c>
      <c r="AB314" s="131">
        <v>0.976063751580557</v>
      </c>
      <c r="AC314" s="131">
        <v>0.92</v>
      </c>
      <c r="AD314" s="129">
        <v>0.990661478599222</v>
      </c>
      <c r="AE314" s="129">
        <v>0.993723849372385</v>
      </c>
      <c r="AF314" s="129">
        <v>0.983067729083665</v>
      </c>
      <c r="AG314" s="129">
        <v>0.965272856130404</v>
      </c>
      <c r="AH314" s="131">
        <v>0.92</v>
      </c>
      <c r="AI314" s="129">
        <v>0.9898414271556</v>
      </c>
      <c r="AJ314" s="129">
        <v>0.994103457518092</v>
      </c>
      <c r="AK314" s="129">
        <v>0.990773146675151</v>
      </c>
      <c r="AL314" s="129">
        <v>0.984962491734501</v>
      </c>
      <c r="AM314" s="128">
        <v>0.99</v>
      </c>
      <c r="AN314" s="133">
        <v>1</v>
      </c>
      <c r="AO314" s="133">
        <v>1</v>
      </c>
      <c r="AP314" s="133">
        <v>1</v>
      </c>
      <c r="AQ314" s="133">
        <v>1</v>
      </c>
      <c r="AR314" s="153">
        <v>0.0922287257019438</v>
      </c>
      <c r="AS314" s="137">
        <v>0</v>
      </c>
      <c r="AT314" s="137">
        <v>0.0555555555555556</v>
      </c>
      <c r="AU314" s="137">
        <v>0.25</v>
      </c>
      <c r="AV314" s="137">
        <v>0.0963855421686747</v>
      </c>
      <c r="AW314" s="86"/>
      <c r="AX314" s="91"/>
    </row>
    <row r="315" s="84" customFormat="1" ht="14.5" spans="1:50">
      <c r="A315" s="89"/>
      <c r="B315" s="86"/>
      <c r="C315" s="157" t="s">
        <v>256</v>
      </c>
      <c r="D315" s="126" t="s">
        <v>257</v>
      </c>
      <c r="E315" s="158" t="s">
        <v>335</v>
      </c>
      <c r="F315" s="158" t="s">
        <v>335</v>
      </c>
      <c r="G315" s="158" t="s">
        <v>335</v>
      </c>
      <c r="H315" s="158" t="s">
        <v>335</v>
      </c>
      <c r="I315" s="128">
        <v>0.9</v>
      </c>
      <c r="J315" s="129" t="s">
        <v>33</v>
      </c>
      <c r="K315" s="129" t="s">
        <v>33</v>
      </c>
      <c r="L315" s="130" t="s">
        <v>33</v>
      </c>
      <c r="M315" s="129" t="s">
        <v>33</v>
      </c>
      <c r="N315" s="131">
        <v>0.9</v>
      </c>
      <c r="O315" s="129" t="s">
        <v>33</v>
      </c>
      <c r="P315" s="129" t="s">
        <v>33</v>
      </c>
      <c r="Q315" s="129" t="s">
        <v>33</v>
      </c>
      <c r="R315" s="129">
        <v>0</v>
      </c>
      <c r="S315" s="131">
        <v>0.9</v>
      </c>
      <c r="T315" s="129" t="s">
        <v>33</v>
      </c>
      <c r="U315" s="129" t="s">
        <v>33</v>
      </c>
      <c r="V315" s="129" t="s">
        <v>33</v>
      </c>
      <c r="W315" s="129">
        <v>0</v>
      </c>
      <c r="X315" s="131">
        <v>0.92</v>
      </c>
      <c r="Y315" s="131" t="s">
        <v>33</v>
      </c>
      <c r="Z315" s="131" t="s">
        <v>33</v>
      </c>
      <c r="AA315" s="131" t="s">
        <v>33</v>
      </c>
      <c r="AB315" s="131" t="s">
        <v>33</v>
      </c>
      <c r="AC315" s="131">
        <v>0.92</v>
      </c>
      <c r="AD315" s="129">
        <v>0.985401459854015</v>
      </c>
      <c r="AE315" s="129">
        <v>0.970845481049563</v>
      </c>
      <c r="AF315" s="129">
        <v>0.976401179941003</v>
      </c>
      <c r="AG315" s="129">
        <v>0.976572133168927</v>
      </c>
      <c r="AH315" s="131">
        <v>0.92</v>
      </c>
      <c r="AI315" s="129" t="s">
        <v>33</v>
      </c>
      <c r="AJ315" s="129" t="s">
        <v>33</v>
      </c>
      <c r="AK315" s="129">
        <v>0</v>
      </c>
      <c r="AL315" s="129">
        <v>0</v>
      </c>
      <c r="AM315" s="128">
        <v>0.99</v>
      </c>
      <c r="AN315" s="133" t="s">
        <v>33</v>
      </c>
      <c r="AO315" s="133">
        <v>1</v>
      </c>
      <c r="AP315" s="133" t="s">
        <v>33</v>
      </c>
      <c r="AQ315" s="133">
        <v>1</v>
      </c>
      <c r="AR315" s="153">
        <v>0.0922287257019438</v>
      </c>
      <c r="AS315" s="137" t="s">
        <v>33</v>
      </c>
      <c r="AT315" s="137" t="s">
        <v>33</v>
      </c>
      <c r="AU315" s="137" t="s">
        <v>33</v>
      </c>
      <c r="AV315" s="137" t="s">
        <v>33</v>
      </c>
      <c r="AW315" s="86"/>
      <c r="AX315" s="91"/>
    </row>
    <row r="316" s="84" customFormat="1" ht="14.5" spans="1:50">
      <c r="A316" s="89"/>
      <c r="B316" s="86"/>
      <c r="C316" s="157" t="s">
        <v>256</v>
      </c>
      <c r="D316" s="126" t="s">
        <v>257</v>
      </c>
      <c r="E316" s="158" t="s">
        <v>336</v>
      </c>
      <c r="F316" s="158" t="s">
        <v>336</v>
      </c>
      <c r="G316" s="158" t="s">
        <v>336</v>
      </c>
      <c r="H316" s="158" t="s">
        <v>336</v>
      </c>
      <c r="I316" s="128">
        <v>0.9</v>
      </c>
      <c r="J316" s="129" t="s">
        <v>33</v>
      </c>
      <c r="K316" s="129" t="s">
        <v>33</v>
      </c>
      <c r="L316" s="130" t="s">
        <v>33</v>
      </c>
      <c r="M316" s="129" t="s">
        <v>33</v>
      </c>
      <c r="N316" s="131">
        <v>0.9</v>
      </c>
      <c r="O316" s="129">
        <v>0</v>
      </c>
      <c r="P316" s="129" t="s">
        <v>33</v>
      </c>
      <c r="Q316" s="129" t="s">
        <v>33</v>
      </c>
      <c r="R316" s="129">
        <v>0.0571428571428571</v>
      </c>
      <c r="S316" s="131">
        <v>0.9</v>
      </c>
      <c r="T316" s="129">
        <v>0</v>
      </c>
      <c r="U316" s="129" t="s">
        <v>33</v>
      </c>
      <c r="V316" s="129" t="s">
        <v>33</v>
      </c>
      <c r="W316" s="129">
        <v>0.828571428571429</v>
      </c>
      <c r="X316" s="131">
        <v>0.92</v>
      </c>
      <c r="Y316" s="131">
        <v>0</v>
      </c>
      <c r="Z316" s="131">
        <v>0</v>
      </c>
      <c r="AA316" s="131" t="s">
        <v>33</v>
      </c>
      <c r="AB316" s="131">
        <v>0</v>
      </c>
      <c r="AC316" s="131">
        <v>0.92</v>
      </c>
      <c r="AD316" s="129">
        <v>0.999357439102751</v>
      </c>
      <c r="AE316" s="129">
        <v>0.99948449520184</v>
      </c>
      <c r="AF316" s="129">
        <v>0.999859154929577</v>
      </c>
      <c r="AG316" s="129">
        <v>0.99969152190953</v>
      </c>
      <c r="AH316" s="131">
        <v>0.92</v>
      </c>
      <c r="AI316" s="129">
        <v>0</v>
      </c>
      <c r="AJ316" s="129">
        <v>0</v>
      </c>
      <c r="AK316" s="129" t="s">
        <v>33</v>
      </c>
      <c r="AL316" s="129">
        <v>0.785714285714286</v>
      </c>
      <c r="AM316" s="128">
        <v>0.99</v>
      </c>
      <c r="AN316" s="133">
        <v>1</v>
      </c>
      <c r="AO316" s="133" t="s">
        <v>33</v>
      </c>
      <c r="AP316" s="133" t="s">
        <v>33</v>
      </c>
      <c r="AQ316" s="133">
        <v>1</v>
      </c>
      <c r="AR316" s="153">
        <v>0.0922287257019438</v>
      </c>
      <c r="AS316" s="137" t="s">
        <v>33</v>
      </c>
      <c r="AT316" s="137" t="s">
        <v>33</v>
      </c>
      <c r="AU316" s="137" t="s">
        <v>33</v>
      </c>
      <c r="AV316" s="137">
        <v>0</v>
      </c>
      <c r="AW316" s="86"/>
      <c r="AX316" s="91"/>
    </row>
    <row r="317" s="84" customFormat="1" ht="14.5" spans="1:50">
      <c r="A317" s="89"/>
      <c r="B317" s="86"/>
      <c r="C317" s="157" t="s">
        <v>256</v>
      </c>
      <c r="D317" s="126" t="s">
        <v>257</v>
      </c>
      <c r="E317" s="158" t="s">
        <v>337</v>
      </c>
      <c r="F317" s="158" t="s">
        <v>337</v>
      </c>
      <c r="G317" s="158" t="s">
        <v>337</v>
      </c>
      <c r="H317" s="158" t="s">
        <v>337</v>
      </c>
      <c r="I317" s="128">
        <v>0.9</v>
      </c>
      <c r="J317" s="129" t="s">
        <v>33</v>
      </c>
      <c r="K317" s="129" t="s">
        <v>33</v>
      </c>
      <c r="L317" s="130" t="s">
        <v>33</v>
      </c>
      <c r="M317" s="129" t="s">
        <v>33</v>
      </c>
      <c r="N317" s="131">
        <v>0.9</v>
      </c>
      <c r="O317" s="129" t="s">
        <v>33</v>
      </c>
      <c r="P317" s="129" t="s">
        <v>33</v>
      </c>
      <c r="Q317" s="129" t="s">
        <v>33</v>
      </c>
      <c r="R317" s="129">
        <v>1</v>
      </c>
      <c r="S317" s="131">
        <v>0.9</v>
      </c>
      <c r="T317" s="129" t="s">
        <v>33</v>
      </c>
      <c r="U317" s="129" t="s">
        <v>33</v>
      </c>
      <c r="V317" s="129" t="s">
        <v>33</v>
      </c>
      <c r="W317" s="129">
        <v>0</v>
      </c>
      <c r="X317" s="131">
        <v>0.92</v>
      </c>
      <c r="Y317" s="131" t="s">
        <v>33</v>
      </c>
      <c r="Z317" s="131" t="s">
        <v>33</v>
      </c>
      <c r="AA317" s="131" t="s">
        <v>33</v>
      </c>
      <c r="AB317" s="131">
        <v>1</v>
      </c>
      <c r="AC317" s="131">
        <v>0.92</v>
      </c>
      <c r="AD317" s="129">
        <v>0.999567598731623</v>
      </c>
      <c r="AE317" s="129">
        <v>0.999499098377079</v>
      </c>
      <c r="AF317" s="129">
        <v>0.988700564971751</v>
      </c>
      <c r="AG317" s="129">
        <v>0.998518060471662</v>
      </c>
      <c r="AH317" s="131">
        <v>0.92</v>
      </c>
      <c r="AI317" s="129" t="s">
        <v>33</v>
      </c>
      <c r="AJ317" s="129" t="s">
        <v>33</v>
      </c>
      <c r="AK317" s="129" t="s">
        <v>33</v>
      </c>
      <c r="AL317" s="129">
        <v>0.333333333333333</v>
      </c>
      <c r="AM317" s="128">
        <v>0.99</v>
      </c>
      <c r="AN317" s="133">
        <v>1</v>
      </c>
      <c r="AO317" s="133">
        <v>1</v>
      </c>
      <c r="AP317" s="133">
        <v>1</v>
      </c>
      <c r="AQ317" s="133">
        <v>1</v>
      </c>
      <c r="AR317" s="153">
        <v>0.0922287257019438</v>
      </c>
      <c r="AS317" s="137" t="s">
        <v>33</v>
      </c>
      <c r="AT317" s="137" t="s">
        <v>33</v>
      </c>
      <c r="AU317" s="137" t="s">
        <v>33</v>
      </c>
      <c r="AV317" s="137">
        <v>0</v>
      </c>
      <c r="AW317" s="86"/>
      <c r="AX317" s="91"/>
    </row>
    <row r="318" s="84" customFormat="1" ht="14.5" spans="1:50">
      <c r="A318" s="89"/>
      <c r="B318" s="86"/>
      <c r="C318" s="157" t="s">
        <v>256</v>
      </c>
      <c r="D318" s="126" t="s">
        <v>257</v>
      </c>
      <c r="E318" s="158" t="s">
        <v>338</v>
      </c>
      <c r="F318" s="158" t="s">
        <v>338</v>
      </c>
      <c r="G318" s="158" t="s">
        <v>338</v>
      </c>
      <c r="H318" s="158" t="s">
        <v>338</v>
      </c>
      <c r="I318" s="128">
        <v>0.9</v>
      </c>
      <c r="J318" s="129" t="s">
        <v>33</v>
      </c>
      <c r="K318" s="129" t="s">
        <v>33</v>
      </c>
      <c r="L318" s="130" t="s">
        <v>33</v>
      </c>
      <c r="M318" s="129" t="s">
        <v>33</v>
      </c>
      <c r="N318" s="131">
        <v>0.9</v>
      </c>
      <c r="O318" s="129">
        <v>0</v>
      </c>
      <c r="P318" s="129">
        <v>0</v>
      </c>
      <c r="Q318" s="129">
        <v>0</v>
      </c>
      <c r="R318" s="129">
        <v>0</v>
      </c>
      <c r="S318" s="131">
        <v>0.9</v>
      </c>
      <c r="T318" s="129">
        <v>0</v>
      </c>
      <c r="U318" s="129">
        <v>0</v>
      </c>
      <c r="V318" s="129">
        <v>0</v>
      </c>
      <c r="W318" s="129">
        <v>0.166666666666667</v>
      </c>
      <c r="X318" s="131">
        <v>0.92</v>
      </c>
      <c r="Y318" s="131" t="s">
        <v>33</v>
      </c>
      <c r="Z318" s="131" t="s">
        <v>33</v>
      </c>
      <c r="AA318" s="131" t="s">
        <v>33</v>
      </c>
      <c r="AB318" s="131">
        <v>0</v>
      </c>
      <c r="AC318" s="131">
        <v>0.92</v>
      </c>
      <c r="AD318" s="129">
        <v>0.968508139845209</v>
      </c>
      <c r="AE318" s="129">
        <v>0.949327537019427</v>
      </c>
      <c r="AF318" s="129">
        <v>0.812725090036014</v>
      </c>
      <c r="AG318" s="129">
        <v>0.957528451632225</v>
      </c>
      <c r="AH318" s="131">
        <v>0.92</v>
      </c>
      <c r="AI318" s="129">
        <v>0</v>
      </c>
      <c r="AJ318" s="129">
        <v>1</v>
      </c>
      <c r="AK318" s="129">
        <v>0</v>
      </c>
      <c r="AL318" s="129">
        <v>0.285714285714286</v>
      </c>
      <c r="AM318" s="128">
        <v>0.99</v>
      </c>
      <c r="AN318" s="133">
        <v>1</v>
      </c>
      <c r="AO318" s="133">
        <v>1</v>
      </c>
      <c r="AP318" s="133">
        <v>1</v>
      </c>
      <c r="AQ318" s="133">
        <v>1</v>
      </c>
      <c r="AR318" s="153">
        <v>0.0922287257019438</v>
      </c>
      <c r="AS318" s="137" t="s">
        <v>33</v>
      </c>
      <c r="AT318" s="137" t="s">
        <v>33</v>
      </c>
      <c r="AU318" s="137" t="s">
        <v>33</v>
      </c>
      <c r="AV318" s="137" t="s">
        <v>33</v>
      </c>
      <c r="AW318" s="86"/>
      <c r="AX318" s="91"/>
    </row>
    <row r="319" s="84" customFormat="1" ht="14.5" spans="1:50">
      <c r="A319" s="89"/>
      <c r="B319" s="86"/>
      <c r="C319" s="157" t="s">
        <v>256</v>
      </c>
      <c r="D319" s="126" t="s">
        <v>257</v>
      </c>
      <c r="E319" s="158" t="s">
        <v>339</v>
      </c>
      <c r="F319" s="158" t="s">
        <v>339</v>
      </c>
      <c r="G319" s="158" t="s">
        <v>339</v>
      </c>
      <c r="H319" s="158" t="s">
        <v>339</v>
      </c>
      <c r="I319" s="128">
        <v>0.9</v>
      </c>
      <c r="J319" s="129" t="s">
        <v>33</v>
      </c>
      <c r="K319" s="129" t="s">
        <v>33</v>
      </c>
      <c r="L319" s="130" t="s">
        <v>33</v>
      </c>
      <c r="M319" s="129" t="s">
        <v>33</v>
      </c>
      <c r="N319" s="131">
        <v>0.9</v>
      </c>
      <c r="O319" s="129">
        <v>0</v>
      </c>
      <c r="P319" s="129">
        <v>0</v>
      </c>
      <c r="Q319" s="129">
        <v>0</v>
      </c>
      <c r="R319" s="129">
        <v>0</v>
      </c>
      <c r="S319" s="131">
        <v>0.9</v>
      </c>
      <c r="T319" s="129">
        <v>0.5</v>
      </c>
      <c r="U319" s="129">
        <v>0.75</v>
      </c>
      <c r="V319" s="129">
        <v>0</v>
      </c>
      <c r="W319" s="129">
        <v>0.705882352941177</v>
      </c>
      <c r="X319" s="131">
        <v>0.92</v>
      </c>
      <c r="Y319" s="131" t="s">
        <v>33</v>
      </c>
      <c r="Z319" s="131">
        <v>1</v>
      </c>
      <c r="AA319" s="131" t="s">
        <v>33</v>
      </c>
      <c r="AB319" s="131">
        <v>1</v>
      </c>
      <c r="AC319" s="131">
        <v>0.92</v>
      </c>
      <c r="AD319" s="129">
        <v>0.999576988155668</v>
      </c>
      <c r="AE319" s="129">
        <v>0.998278481012658</v>
      </c>
      <c r="AF319" s="129">
        <v>0.994755244755245</v>
      </c>
      <c r="AG319" s="129">
        <v>0.974345178409841</v>
      </c>
      <c r="AH319" s="131">
        <v>0.92</v>
      </c>
      <c r="AI319" s="129">
        <v>0.5</v>
      </c>
      <c r="AJ319" s="129">
        <v>0.857142857142857</v>
      </c>
      <c r="AK319" s="129">
        <v>0</v>
      </c>
      <c r="AL319" s="129">
        <v>0.807692307692308</v>
      </c>
      <c r="AM319" s="128">
        <v>0.99</v>
      </c>
      <c r="AN319" s="133">
        <v>1</v>
      </c>
      <c r="AO319" s="133">
        <v>1</v>
      </c>
      <c r="AP319" s="133">
        <v>1</v>
      </c>
      <c r="AQ319" s="133">
        <v>1</v>
      </c>
      <c r="AR319" s="153">
        <v>0.0922287257019438</v>
      </c>
      <c r="AS319" s="137" t="s">
        <v>33</v>
      </c>
      <c r="AT319" s="137" t="s">
        <v>33</v>
      </c>
      <c r="AU319" s="137" t="s">
        <v>33</v>
      </c>
      <c r="AV319" s="137" t="s">
        <v>33</v>
      </c>
      <c r="AW319" s="86"/>
      <c r="AX319" s="91"/>
    </row>
    <row r="320" s="84" customFormat="1" ht="14.5" spans="1:50">
      <c r="A320" s="89"/>
      <c r="B320" s="86"/>
      <c r="C320" s="157" t="s">
        <v>256</v>
      </c>
      <c r="D320" s="126" t="s">
        <v>257</v>
      </c>
      <c r="E320" s="158" t="s">
        <v>340</v>
      </c>
      <c r="F320" s="158" t="s">
        <v>340</v>
      </c>
      <c r="G320" s="158" t="s">
        <v>340</v>
      </c>
      <c r="H320" s="158" t="s">
        <v>340</v>
      </c>
      <c r="I320" s="128">
        <v>0.9</v>
      </c>
      <c r="J320" s="129" t="s">
        <v>33</v>
      </c>
      <c r="K320" s="129" t="s">
        <v>33</v>
      </c>
      <c r="L320" s="130" t="s">
        <v>33</v>
      </c>
      <c r="M320" s="129" t="s">
        <v>33</v>
      </c>
      <c r="N320" s="131">
        <v>0.9</v>
      </c>
      <c r="O320" s="129">
        <v>0</v>
      </c>
      <c r="P320" s="129">
        <v>0.333333333333333</v>
      </c>
      <c r="Q320" s="129">
        <v>0</v>
      </c>
      <c r="R320" s="129">
        <v>0.363636363636364</v>
      </c>
      <c r="S320" s="131">
        <v>0.9</v>
      </c>
      <c r="T320" s="129">
        <v>0</v>
      </c>
      <c r="U320" s="129">
        <v>0.666666666666667</v>
      </c>
      <c r="V320" s="129">
        <v>0</v>
      </c>
      <c r="W320" s="129">
        <v>0.727272727272727</v>
      </c>
      <c r="X320" s="131">
        <v>0.92</v>
      </c>
      <c r="Y320" s="131" t="s">
        <v>33</v>
      </c>
      <c r="Z320" s="131" t="s">
        <v>33</v>
      </c>
      <c r="AA320" s="131" t="s">
        <v>33</v>
      </c>
      <c r="AB320" s="131" t="s">
        <v>33</v>
      </c>
      <c r="AC320" s="131">
        <v>0.92</v>
      </c>
      <c r="AD320" s="129">
        <v>0.955241847231342</v>
      </c>
      <c r="AE320" s="129">
        <v>0.670002549719531</v>
      </c>
      <c r="AF320" s="129">
        <v>0.90321034978438</v>
      </c>
      <c r="AG320" s="129">
        <v>0.930575132516726</v>
      </c>
      <c r="AH320" s="131">
        <v>0.92</v>
      </c>
      <c r="AI320" s="129">
        <v>0</v>
      </c>
      <c r="AJ320" s="129">
        <v>0.666666666666667</v>
      </c>
      <c r="AK320" s="129">
        <v>0.5</v>
      </c>
      <c r="AL320" s="129">
        <v>0.785714285714286</v>
      </c>
      <c r="AM320" s="128">
        <v>0.99</v>
      </c>
      <c r="AN320" s="133" t="s">
        <v>33</v>
      </c>
      <c r="AO320" s="133" t="s">
        <v>33</v>
      </c>
      <c r="AP320" s="133">
        <v>1</v>
      </c>
      <c r="AQ320" s="133">
        <v>1</v>
      </c>
      <c r="AR320" s="153">
        <v>0.0922287257019438</v>
      </c>
      <c r="AS320" s="137" t="s">
        <v>33</v>
      </c>
      <c r="AT320" s="137" t="s">
        <v>33</v>
      </c>
      <c r="AU320" s="137" t="s">
        <v>33</v>
      </c>
      <c r="AV320" s="137" t="s">
        <v>33</v>
      </c>
      <c r="AW320" s="86"/>
      <c r="AX320" s="91"/>
    </row>
    <row r="321" s="84" customFormat="1" ht="14.5" spans="1:50">
      <c r="A321" s="89"/>
      <c r="B321" s="86"/>
      <c r="C321" s="157" t="s">
        <v>256</v>
      </c>
      <c r="D321" s="126" t="s">
        <v>257</v>
      </c>
      <c r="E321" s="158" t="s">
        <v>341</v>
      </c>
      <c r="F321" s="158" t="s">
        <v>341</v>
      </c>
      <c r="G321" s="158" t="s">
        <v>341</v>
      </c>
      <c r="H321" s="158" t="s">
        <v>341</v>
      </c>
      <c r="I321" s="128">
        <v>0.9</v>
      </c>
      <c r="J321" s="129">
        <v>1</v>
      </c>
      <c r="K321" s="129">
        <v>0.955752212389381</v>
      </c>
      <c r="L321" s="130">
        <v>0.978021978021978</v>
      </c>
      <c r="M321" s="129">
        <v>0.965883244882487</v>
      </c>
      <c r="N321" s="131">
        <v>0.9</v>
      </c>
      <c r="O321" s="129">
        <v>0.96479441010481</v>
      </c>
      <c r="P321" s="129">
        <v>0.980557113479155</v>
      </c>
      <c r="Q321" s="129">
        <v>0.980245993291092</v>
      </c>
      <c r="R321" s="129">
        <v>0.970061001712329</v>
      </c>
      <c r="S321" s="131">
        <v>0.9</v>
      </c>
      <c r="T321" s="129">
        <v>0.96479441010481</v>
      </c>
      <c r="U321" s="129">
        <v>0.964853243596934</v>
      </c>
      <c r="V321" s="129">
        <v>0.957510249720462</v>
      </c>
      <c r="W321" s="129">
        <v>0.959653253424658</v>
      </c>
      <c r="X321" s="131">
        <v>0.92</v>
      </c>
      <c r="Y321" s="131">
        <v>0.971354684702606</v>
      </c>
      <c r="Z321" s="131">
        <v>0.982106488216468</v>
      </c>
      <c r="AA321" s="131">
        <v>0.977870563674321</v>
      </c>
      <c r="AB321" s="131">
        <v>0.979054536022307</v>
      </c>
      <c r="AC321" s="131">
        <v>0.92</v>
      </c>
      <c r="AD321" s="129">
        <v>0.987684210526316</v>
      </c>
      <c r="AE321" s="129">
        <v>0.727726000076708</v>
      </c>
      <c r="AF321" s="129">
        <v>0.737502861940014</v>
      </c>
      <c r="AG321" s="129">
        <v>0.857902377932531</v>
      </c>
      <c r="AH321" s="131">
        <v>0.92</v>
      </c>
      <c r="AI321" s="129">
        <v>0.984604281934087</v>
      </c>
      <c r="AJ321" s="129">
        <v>0.987729057591623</v>
      </c>
      <c r="AK321" s="129">
        <v>0.988403556242752</v>
      </c>
      <c r="AL321" s="129">
        <v>0.987622565184892</v>
      </c>
      <c r="AM321" s="128">
        <v>0.99</v>
      </c>
      <c r="AN321" s="133">
        <v>1</v>
      </c>
      <c r="AO321" s="133">
        <v>1</v>
      </c>
      <c r="AP321" s="133">
        <v>1</v>
      </c>
      <c r="AQ321" s="133">
        <v>1</v>
      </c>
      <c r="AR321" s="153">
        <v>0.0922287257019438</v>
      </c>
      <c r="AS321" s="137">
        <v>0</v>
      </c>
      <c r="AT321" s="137">
        <v>0.0333333333333333</v>
      </c>
      <c r="AU321" s="137">
        <v>0.0666666666666667</v>
      </c>
      <c r="AV321" s="137">
        <v>0.0288184438040346</v>
      </c>
      <c r="AW321" s="86"/>
      <c r="AX321" s="91"/>
    </row>
    <row r="322" s="84" customFormat="1" ht="14.5" spans="1:50">
      <c r="A322" s="89"/>
      <c r="B322" s="86"/>
      <c r="C322" s="157" t="s">
        <v>256</v>
      </c>
      <c r="D322" s="126" t="s">
        <v>257</v>
      </c>
      <c r="E322" s="158" t="s">
        <v>342</v>
      </c>
      <c r="F322" s="158" t="s">
        <v>342</v>
      </c>
      <c r="G322" s="158" t="s">
        <v>342</v>
      </c>
      <c r="H322" s="158" t="s">
        <v>342</v>
      </c>
      <c r="I322" s="128">
        <v>0.9</v>
      </c>
      <c r="J322" s="129" t="s">
        <v>33</v>
      </c>
      <c r="K322" s="129" t="s">
        <v>33</v>
      </c>
      <c r="L322" s="130" t="s">
        <v>33</v>
      </c>
      <c r="M322" s="129" t="s">
        <v>33</v>
      </c>
      <c r="N322" s="131">
        <v>0.9</v>
      </c>
      <c r="O322" s="129">
        <v>0</v>
      </c>
      <c r="P322" s="129">
        <v>0</v>
      </c>
      <c r="Q322" s="129" t="s">
        <v>33</v>
      </c>
      <c r="R322" s="129">
        <v>0</v>
      </c>
      <c r="S322" s="131">
        <v>0.9</v>
      </c>
      <c r="T322" s="129">
        <v>0.714285714285714</v>
      </c>
      <c r="U322" s="129">
        <v>0</v>
      </c>
      <c r="V322" s="129" t="s">
        <v>33</v>
      </c>
      <c r="W322" s="129">
        <v>0.555555555555556</v>
      </c>
      <c r="X322" s="131">
        <v>0.92</v>
      </c>
      <c r="Y322" s="131" t="s">
        <v>33</v>
      </c>
      <c r="Z322" s="131" t="s">
        <v>33</v>
      </c>
      <c r="AA322" s="131" t="s">
        <v>33</v>
      </c>
      <c r="AB322" s="131" t="s">
        <v>33</v>
      </c>
      <c r="AC322" s="131">
        <v>0.92</v>
      </c>
      <c r="AD322" s="129">
        <v>0.971724524076148</v>
      </c>
      <c r="AE322" s="129">
        <v>0.657390510948905</v>
      </c>
      <c r="AF322" s="129">
        <v>0.898213318895506</v>
      </c>
      <c r="AG322" s="129">
        <v>0.872223110116669</v>
      </c>
      <c r="AH322" s="131">
        <v>0.92</v>
      </c>
      <c r="AI322" s="129">
        <v>1</v>
      </c>
      <c r="AJ322" s="129">
        <v>0</v>
      </c>
      <c r="AK322" s="129" t="s">
        <v>33</v>
      </c>
      <c r="AL322" s="129">
        <v>0.888888888888889</v>
      </c>
      <c r="AM322" s="128">
        <v>0.99</v>
      </c>
      <c r="AN322" s="133">
        <v>1</v>
      </c>
      <c r="AO322" s="133">
        <v>1</v>
      </c>
      <c r="AP322" s="133">
        <v>1</v>
      </c>
      <c r="AQ322" s="133">
        <v>1</v>
      </c>
      <c r="AR322" s="153">
        <v>0.0922287257019438</v>
      </c>
      <c r="AS322" s="137" t="s">
        <v>33</v>
      </c>
      <c r="AT322" s="137" t="s">
        <v>33</v>
      </c>
      <c r="AU322" s="137" t="s">
        <v>33</v>
      </c>
      <c r="AV322" s="137" t="s">
        <v>33</v>
      </c>
      <c r="AW322" s="86"/>
      <c r="AX322" s="91"/>
    </row>
    <row r="323" s="84" customFormat="1" ht="14.5" spans="1:50">
      <c r="A323" s="89"/>
      <c r="B323" s="86"/>
      <c r="C323" s="157" t="s">
        <v>256</v>
      </c>
      <c r="D323" s="126" t="s">
        <v>257</v>
      </c>
      <c r="E323" s="158" t="s">
        <v>343</v>
      </c>
      <c r="F323" s="158" t="s">
        <v>343</v>
      </c>
      <c r="G323" s="158" t="s">
        <v>343</v>
      </c>
      <c r="H323" s="158" t="s">
        <v>343</v>
      </c>
      <c r="I323" s="128">
        <v>0.9</v>
      </c>
      <c r="J323" s="129">
        <v>0.766666666666667</v>
      </c>
      <c r="K323" s="129">
        <v>0.714285714285714</v>
      </c>
      <c r="L323" s="130">
        <v>0.642857142857143</v>
      </c>
      <c r="M323" s="129">
        <v>0.728915662650602</v>
      </c>
      <c r="N323" s="131">
        <v>0.9</v>
      </c>
      <c r="O323" s="129">
        <v>0.967527675276753</v>
      </c>
      <c r="P323" s="129">
        <v>0.986842105263158</v>
      </c>
      <c r="Q323" s="129">
        <v>0.978270509977827</v>
      </c>
      <c r="R323" s="129">
        <v>0.948148412670071</v>
      </c>
      <c r="S323" s="131">
        <v>0.9</v>
      </c>
      <c r="T323" s="129">
        <v>0.927306273062731</v>
      </c>
      <c r="U323" s="129">
        <v>0.941520467836257</v>
      </c>
      <c r="V323" s="129">
        <v>0.929046563192905</v>
      </c>
      <c r="W323" s="129">
        <v>0.917080312823626</v>
      </c>
      <c r="X323" s="131">
        <v>0.92</v>
      </c>
      <c r="Y323" s="131">
        <v>0.894117647058824</v>
      </c>
      <c r="Z323" s="131">
        <v>0.941150828247602</v>
      </c>
      <c r="AA323" s="131">
        <v>0.905450500556173</v>
      </c>
      <c r="AB323" s="131">
        <v>0.934635139063863</v>
      </c>
      <c r="AC323" s="131">
        <v>0.92</v>
      </c>
      <c r="AD323" s="129">
        <v>0.999878251694331</v>
      </c>
      <c r="AE323" s="129">
        <v>0.999904211501006</v>
      </c>
      <c r="AF323" s="129">
        <v>1</v>
      </c>
      <c r="AG323" s="129">
        <v>0.999953115476581</v>
      </c>
      <c r="AH323" s="131">
        <v>0.92</v>
      </c>
      <c r="AI323" s="129">
        <v>0.938478027867095</v>
      </c>
      <c r="AJ323" s="129">
        <v>0.964573268921095</v>
      </c>
      <c r="AK323" s="129">
        <v>0.959746434231379</v>
      </c>
      <c r="AL323" s="129">
        <v>0.9608024501038</v>
      </c>
      <c r="AM323" s="128">
        <v>0.99</v>
      </c>
      <c r="AN323" s="133">
        <v>1</v>
      </c>
      <c r="AO323" s="133">
        <v>1</v>
      </c>
      <c r="AP323" s="133">
        <v>1</v>
      </c>
      <c r="AQ323" s="133">
        <v>1</v>
      </c>
      <c r="AR323" s="153">
        <v>0.0922287257019438</v>
      </c>
      <c r="AS323" s="137">
        <v>0</v>
      </c>
      <c r="AT323" s="137">
        <v>0.375</v>
      </c>
      <c r="AU323" s="137">
        <v>0</v>
      </c>
      <c r="AV323" s="137">
        <v>0.105263157894737</v>
      </c>
      <c r="AW323" s="86"/>
      <c r="AX323" s="91"/>
    </row>
    <row r="324" s="84" customFormat="1" ht="14.5" spans="1:50">
      <c r="A324" s="89"/>
      <c r="B324" s="86"/>
      <c r="C324" s="157" t="s">
        <v>256</v>
      </c>
      <c r="D324" s="126" t="s">
        <v>257</v>
      </c>
      <c r="E324" s="158" t="s">
        <v>344</v>
      </c>
      <c r="F324" s="158" t="s">
        <v>344</v>
      </c>
      <c r="G324" s="158" t="s">
        <v>344</v>
      </c>
      <c r="H324" s="158" t="s">
        <v>344</v>
      </c>
      <c r="I324" s="128">
        <v>0.9</v>
      </c>
      <c r="J324" s="129">
        <v>0.967741935483871</v>
      </c>
      <c r="K324" s="129">
        <v>0.935483870967742</v>
      </c>
      <c r="L324" s="130">
        <v>0.92</v>
      </c>
      <c r="M324" s="129">
        <v>0.92603550295858</v>
      </c>
      <c r="N324" s="131">
        <v>0.9</v>
      </c>
      <c r="O324" s="129">
        <v>0.983466362599772</v>
      </c>
      <c r="P324" s="129">
        <v>0.980607082630691</v>
      </c>
      <c r="Q324" s="129">
        <v>0.984177215189873</v>
      </c>
      <c r="R324" s="129">
        <v>0.960709900658556</v>
      </c>
      <c r="S324" s="131">
        <v>0.9</v>
      </c>
      <c r="T324" s="129">
        <v>0.93842645381984</v>
      </c>
      <c r="U324" s="129">
        <v>0.922428330522766</v>
      </c>
      <c r="V324" s="129">
        <v>0.929588607594937</v>
      </c>
      <c r="W324" s="129">
        <v>0.915615582096216</v>
      </c>
      <c r="X324" s="131">
        <v>0.92</v>
      </c>
      <c r="Y324" s="131">
        <v>0.934984520123839</v>
      </c>
      <c r="Z324" s="131">
        <v>0.965593784683685</v>
      </c>
      <c r="AA324" s="131">
        <v>0.971380471380471</v>
      </c>
      <c r="AB324" s="131">
        <v>0.957582726459691</v>
      </c>
      <c r="AC324" s="131">
        <v>0.92</v>
      </c>
      <c r="AD324" s="129">
        <v>0.991197183098592</v>
      </c>
      <c r="AE324" s="129">
        <v>0.99660441426146</v>
      </c>
      <c r="AF324" s="129">
        <v>0.997555012224939</v>
      </c>
      <c r="AG324" s="129">
        <v>0.991179353152565</v>
      </c>
      <c r="AH324" s="131">
        <v>0.92</v>
      </c>
      <c r="AI324" s="129">
        <v>0.963254593175853</v>
      </c>
      <c r="AJ324" s="129">
        <v>0.973904315824691</v>
      </c>
      <c r="AK324" s="129">
        <v>0.981700753498385</v>
      </c>
      <c r="AL324" s="129">
        <v>0.972127925674468</v>
      </c>
      <c r="AM324" s="128">
        <v>0.99</v>
      </c>
      <c r="AN324" s="133">
        <v>1</v>
      </c>
      <c r="AO324" s="133">
        <v>1</v>
      </c>
      <c r="AP324" s="133">
        <v>1</v>
      </c>
      <c r="AQ324" s="133">
        <v>1</v>
      </c>
      <c r="AR324" s="153">
        <v>0.0922287257019438</v>
      </c>
      <c r="AS324" s="137">
        <v>0.2</v>
      </c>
      <c r="AT324" s="137">
        <v>0</v>
      </c>
      <c r="AU324" s="137">
        <v>0</v>
      </c>
      <c r="AV324" s="137">
        <v>0.0921052631578947</v>
      </c>
      <c r="AW324" s="86"/>
      <c r="AX324" s="91"/>
    </row>
    <row r="325" s="84" customFormat="1" ht="14.5" spans="1:50">
      <c r="A325" s="89"/>
      <c r="B325" s="86"/>
      <c r="C325" s="157" t="s">
        <v>256</v>
      </c>
      <c r="D325" s="126" t="s">
        <v>257</v>
      </c>
      <c r="E325" s="158" t="s">
        <v>345</v>
      </c>
      <c r="F325" s="158" t="s">
        <v>345</v>
      </c>
      <c r="G325" s="158" t="s">
        <v>345</v>
      </c>
      <c r="H325" s="158" t="s">
        <v>345</v>
      </c>
      <c r="I325" s="128">
        <v>0.9</v>
      </c>
      <c r="J325" s="129" t="s">
        <v>33</v>
      </c>
      <c r="K325" s="129" t="s">
        <v>33</v>
      </c>
      <c r="L325" s="130" t="s">
        <v>33</v>
      </c>
      <c r="M325" s="129" t="s">
        <v>33</v>
      </c>
      <c r="N325" s="131">
        <v>0.9</v>
      </c>
      <c r="O325" s="129">
        <v>1</v>
      </c>
      <c r="P325" s="129" t="s">
        <v>33</v>
      </c>
      <c r="Q325" s="129" t="s">
        <v>33</v>
      </c>
      <c r="R325" s="129">
        <v>1</v>
      </c>
      <c r="S325" s="131">
        <v>0.9</v>
      </c>
      <c r="T325" s="129">
        <v>0</v>
      </c>
      <c r="U325" s="129" t="s">
        <v>33</v>
      </c>
      <c r="V325" s="129" t="s">
        <v>33</v>
      </c>
      <c r="W325" s="129">
        <v>0.9</v>
      </c>
      <c r="X325" s="131">
        <v>0.92</v>
      </c>
      <c r="Y325" s="131" t="s">
        <v>33</v>
      </c>
      <c r="Z325" s="131" t="s">
        <v>33</v>
      </c>
      <c r="AA325" s="131" t="s">
        <v>33</v>
      </c>
      <c r="AB325" s="131">
        <v>1</v>
      </c>
      <c r="AC325" s="131">
        <v>0.92</v>
      </c>
      <c r="AD325" s="129">
        <v>1</v>
      </c>
      <c r="AE325" s="129">
        <v>0.999910825753522</v>
      </c>
      <c r="AF325" s="129">
        <v>0.99975707518523</v>
      </c>
      <c r="AG325" s="129">
        <v>0.999858242372189</v>
      </c>
      <c r="AH325" s="131">
        <v>0.92</v>
      </c>
      <c r="AI325" s="129">
        <v>0</v>
      </c>
      <c r="AJ325" s="129" t="s">
        <v>33</v>
      </c>
      <c r="AK325" s="129" t="s">
        <v>33</v>
      </c>
      <c r="AL325" s="129">
        <v>0.909090909090909</v>
      </c>
      <c r="AM325" s="128">
        <v>0.99</v>
      </c>
      <c r="AN325" s="133">
        <v>1</v>
      </c>
      <c r="AO325" s="133" t="s">
        <v>33</v>
      </c>
      <c r="AP325" s="133">
        <v>1</v>
      </c>
      <c r="AQ325" s="133">
        <v>1</v>
      </c>
      <c r="AR325" s="153">
        <v>0.0922287257019438</v>
      </c>
      <c r="AS325" s="137" t="s">
        <v>33</v>
      </c>
      <c r="AT325" s="137" t="s">
        <v>33</v>
      </c>
      <c r="AU325" s="137" t="s">
        <v>33</v>
      </c>
      <c r="AV325" s="137">
        <v>0</v>
      </c>
      <c r="AW325" s="86"/>
      <c r="AX325" s="91"/>
    </row>
    <row r="326" ht="14.5" spans="1:50">
      <c r="A326" s="89"/>
      <c r="C326" s="160"/>
      <c r="D326" s="160"/>
      <c r="E326" s="160"/>
      <c r="F326" s="160"/>
      <c r="G326" s="160"/>
      <c r="H326" s="160"/>
      <c r="I326" s="161"/>
      <c r="J326" s="162"/>
      <c r="K326" s="162"/>
      <c r="L326" s="130"/>
      <c r="M326" s="162"/>
      <c r="N326" s="146"/>
      <c r="O326" s="162"/>
      <c r="P326" s="162"/>
      <c r="Q326" s="129"/>
      <c r="R326" s="162"/>
      <c r="S326" s="146"/>
      <c r="T326" s="162"/>
      <c r="U326" s="162"/>
      <c r="V326" s="129"/>
      <c r="W326" s="162"/>
      <c r="X326" s="146"/>
      <c r="Y326" s="146"/>
      <c r="Z326" s="146"/>
      <c r="AA326" s="131"/>
      <c r="AB326" s="146"/>
      <c r="AC326" s="162"/>
      <c r="AD326" s="162"/>
      <c r="AE326" s="162"/>
      <c r="AF326" s="129"/>
      <c r="AG326" s="162"/>
      <c r="AH326" s="162"/>
      <c r="AI326" s="162"/>
      <c r="AJ326" s="162"/>
      <c r="AK326" s="129"/>
      <c r="AL326" s="162"/>
      <c r="AM326" s="163"/>
      <c r="AN326" s="163"/>
      <c r="AO326" s="163"/>
      <c r="AP326" s="133"/>
      <c r="AQ326" s="163"/>
      <c r="AR326" s="162"/>
      <c r="AS326" s="163"/>
      <c r="AT326" s="163"/>
      <c r="AU326" s="137"/>
      <c r="AV326" s="163"/>
      <c r="AW326" s="93"/>
      <c r="AX326" s="91"/>
    </row>
    <row r="327" ht="14.5" spans="1:50">
      <c r="A327" s="89"/>
      <c r="B327" s="93"/>
      <c r="C327" s="157" t="s">
        <v>346</v>
      </c>
      <c r="D327" s="126" t="s">
        <v>347</v>
      </c>
      <c r="E327" s="164" t="s">
        <v>348</v>
      </c>
      <c r="F327" s="164" t="s">
        <v>348</v>
      </c>
      <c r="G327" s="164" t="s">
        <v>348</v>
      </c>
      <c r="H327" s="164" t="s">
        <v>348</v>
      </c>
      <c r="I327" s="128">
        <v>0.9</v>
      </c>
      <c r="J327" s="129">
        <v>0.888888888888889</v>
      </c>
      <c r="K327" s="129">
        <v>0.946236559139785</v>
      </c>
      <c r="L327" s="130">
        <v>0.831168831168831</v>
      </c>
      <c r="M327" s="129">
        <v>0.921641791044776</v>
      </c>
      <c r="N327" s="131">
        <v>0.9</v>
      </c>
      <c r="O327" s="129">
        <v>0.923290631270258</v>
      </c>
      <c r="P327" s="129">
        <v>0.919835358682869</v>
      </c>
      <c r="Q327" s="129">
        <v>0.919655667144907</v>
      </c>
      <c r="R327" s="129">
        <v>0.927166890352383</v>
      </c>
      <c r="S327" s="131">
        <v>0.9</v>
      </c>
      <c r="T327" s="129">
        <v>0.906467047383856</v>
      </c>
      <c r="U327" s="129">
        <v>0.913171305370443</v>
      </c>
      <c r="V327" s="129">
        <v>0.908177905308465</v>
      </c>
      <c r="W327" s="129">
        <v>0.913386809825525</v>
      </c>
      <c r="X327" s="131">
        <v>0.92</v>
      </c>
      <c r="Y327" s="131">
        <v>0.940606843124597</v>
      </c>
      <c r="Z327" s="131">
        <v>0.940793552386857</v>
      </c>
      <c r="AA327" s="131">
        <v>0.910516934046346</v>
      </c>
      <c r="AB327" s="131">
        <v>0.940064306527782</v>
      </c>
      <c r="AC327" s="131">
        <v>0.92</v>
      </c>
      <c r="AD327" s="129">
        <v>0.997120921305182</v>
      </c>
      <c r="AE327" s="129">
        <v>0.983532014255868</v>
      </c>
      <c r="AF327" s="129">
        <v>0.817561807331628</v>
      </c>
      <c r="AG327" s="129">
        <v>0.977784376944397</v>
      </c>
      <c r="AH327" s="131">
        <v>0.92</v>
      </c>
      <c r="AI327" s="129">
        <v>0.955517613227894</v>
      </c>
      <c r="AJ327" s="129">
        <v>0.951447084233261</v>
      </c>
      <c r="AK327" s="129">
        <v>0.940460855875197</v>
      </c>
      <c r="AL327" s="129">
        <v>0.955599467677542</v>
      </c>
      <c r="AM327" s="128">
        <v>0.99</v>
      </c>
      <c r="AN327" s="133">
        <v>1</v>
      </c>
      <c r="AO327" s="133">
        <v>1</v>
      </c>
      <c r="AP327" s="133">
        <v>1</v>
      </c>
      <c r="AQ327" s="133">
        <v>1</v>
      </c>
      <c r="AR327" s="153">
        <v>0.0739852556983447</v>
      </c>
      <c r="AS327" s="137">
        <v>0.0909090909090909</v>
      </c>
      <c r="AT327" s="137">
        <v>0.05</v>
      </c>
      <c r="AU327" s="137">
        <v>0.0833333333333333</v>
      </c>
      <c r="AV327" s="137">
        <v>0.0493033226152197</v>
      </c>
      <c r="AW327" s="93"/>
      <c r="AX327" s="91"/>
    </row>
    <row r="328" ht="14.5" spans="1:50">
      <c r="A328" s="89"/>
      <c r="B328" s="93"/>
      <c r="C328" s="157" t="s">
        <v>346</v>
      </c>
      <c r="D328" s="126" t="s">
        <v>347</v>
      </c>
      <c r="E328" s="164" t="s">
        <v>349</v>
      </c>
      <c r="F328" s="164" t="s">
        <v>349</v>
      </c>
      <c r="G328" s="164" t="s">
        <v>349</v>
      </c>
      <c r="H328" s="164" t="s">
        <v>349</v>
      </c>
      <c r="I328" s="128">
        <v>0.9</v>
      </c>
      <c r="J328" s="129" t="s">
        <v>33</v>
      </c>
      <c r="K328" s="129" t="s">
        <v>33</v>
      </c>
      <c r="L328" s="130" t="s">
        <v>33</v>
      </c>
      <c r="M328" s="129" t="s">
        <v>33</v>
      </c>
      <c r="N328" s="131">
        <v>0.9</v>
      </c>
      <c r="O328" s="129" t="s">
        <v>33</v>
      </c>
      <c r="P328" s="129" t="s">
        <v>33</v>
      </c>
      <c r="Q328" s="129" t="s">
        <v>33</v>
      </c>
      <c r="R328" s="129" t="s">
        <v>33</v>
      </c>
      <c r="S328" s="131">
        <v>0.9</v>
      </c>
      <c r="T328" s="129" t="s">
        <v>33</v>
      </c>
      <c r="U328" s="129" t="s">
        <v>33</v>
      </c>
      <c r="V328" s="129" t="s">
        <v>33</v>
      </c>
      <c r="W328" s="129" t="s">
        <v>33</v>
      </c>
      <c r="X328" s="131">
        <v>0.92</v>
      </c>
      <c r="Y328" s="131" t="s">
        <v>33</v>
      </c>
      <c r="Z328" s="131" t="s">
        <v>33</v>
      </c>
      <c r="AA328" s="131" t="s">
        <v>33</v>
      </c>
      <c r="AB328" s="131">
        <v>1</v>
      </c>
      <c r="AC328" s="131">
        <v>0.92</v>
      </c>
      <c r="AD328" s="129">
        <v>0.985744832501782</v>
      </c>
      <c r="AE328" s="129">
        <v>0.950369588173178</v>
      </c>
      <c r="AF328" s="129">
        <v>0.966183574879227</v>
      </c>
      <c r="AG328" s="129">
        <v>0.912134817250537</v>
      </c>
      <c r="AH328" s="131">
        <v>0.92</v>
      </c>
      <c r="AI328" s="129" t="s">
        <v>33</v>
      </c>
      <c r="AJ328" s="129" t="s">
        <v>33</v>
      </c>
      <c r="AK328" s="129" t="s">
        <v>33</v>
      </c>
      <c r="AL328" s="129">
        <v>1</v>
      </c>
      <c r="AM328" s="128">
        <v>0.99</v>
      </c>
      <c r="AN328" s="133">
        <v>1</v>
      </c>
      <c r="AO328" s="133">
        <v>1</v>
      </c>
      <c r="AP328" s="133">
        <v>1</v>
      </c>
      <c r="AQ328" s="133">
        <v>1</v>
      </c>
      <c r="AR328" s="153">
        <v>0.0739852556983447</v>
      </c>
      <c r="AS328" s="137" t="s">
        <v>33</v>
      </c>
      <c r="AT328" s="137" t="s">
        <v>33</v>
      </c>
      <c r="AU328" s="137" t="s">
        <v>33</v>
      </c>
      <c r="AV328" s="137" t="s">
        <v>33</v>
      </c>
      <c r="AW328" s="93"/>
      <c r="AX328" s="91"/>
    </row>
    <row r="329" ht="14.5" spans="1:50">
      <c r="A329" s="89"/>
      <c r="B329" s="93"/>
      <c r="C329" s="157" t="s">
        <v>346</v>
      </c>
      <c r="D329" s="126" t="s">
        <v>347</v>
      </c>
      <c r="E329" s="164" t="s">
        <v>350</v>
      </c>
      <c r="F329" s="164" t="s">
        <v>350</v>
      </c>
      <c r="G329" s="164" t="s">
        <v>350</v>
      </c>
      <c r="H329" s="164" t="s">
        <v>350</v>
      </c>
      <c r="I329" s="128">
        <v>0.9</v>
      </c>
      <c r="J329" s="129">
        <v>0.899159663865546</v>
      </c>
      <c r="K329" s="129">
        <v>0.905660377358491</v>
      </c>
      <c r="L329" s="130">
        <v>0.814432989690722</v>
      </c>
      <c r="M329" s="129">
        <v>0.885736800630418</v>
      </c>
      <c r="N329" s="131">
        <v>0.9</v>
      </c>
      <c r="O329" s="129">
        <v>0.935937911076033</v>
      </c>
      <c r="P329" s="129">
        <v>0.941898668511153</v>
      </c>
      <c r="Q329" s="129">
        <v>0.925176383215744</v>
      </c>
      <c r="R329" s="129">
        <v>0.928118756863316</v>
      </c>
      <c r="S329" s="131">
        <v>0.9</v>
      </c>
      <c r="T329" s="129">
        <v>0.860826098395159</v>
      </c>
      <c r="U329" s="129">
        <v>0.869444924779526</v>
      </c>
      <c r="V329" s="129">
        <v>0.857036761975492</v>
      </c>
      <c r="W329" s="129">
        <v>0.860682957807973</v>
      </c>
      <c r="X329" s="131">
        <v>0.92</v>
      </c>
      <c r="Y329" s="131">
        <v>0.933322384628018</v>
      </c>
      <c r="Z329" s="131">
        <v>0.941016226459789</v>
      </c>
      <c r="AA329" s="131">
        <v>0.92027822364901</v>
      </c>
      <c r="AB329" s="131">
        <v>0.938932479867851</v>
      </c>
      <c r="AC329" s="131">
        <v>0.92</v>
      </c>
      <c r="AD329" s="129">
        <v>0.994449478930675</v>
      </c>
      <c r="AE329" s="129">
        <v>0.988615631613515</v>
      </c>
      <c r="AF329" s="129">
        <v>0.989330116904806</v>
      </c>
      <c r="AG329" s="129">
        <v>0.989873613087991</v>
      </c>
      <c r="AH329" s="131">
        <v>0.92</v>
      </c>
      <c r="AI329" s="129">
        <v>0.949477987880558</v>
      </c>
      <c r="AJ329" s="129">
        <v>0.953734905925302</v>
      </c>
      <c r="AK329" s="129">
        <v>0.945759368836292</v>
      </c>
      <c r="AL329" s="129">
        <v>0.952885932302876</v>
      </c>
      <c r="AM329" s="128">
        <v>0.99</v>
      </c>
      <c r="AN329" s="133">
        <v>1</v>
      </c>
      <c r="AO329" s="133">
        <v>1</v>
      </c>
      <c r="AP329" s="133">
        <v>1</v>
      </c>
      <c r="AQ329" s="133">
        <v>1</v>
      </c>
      <c r="AR329" s="153">
        <v>0.0739852556983447</v>
      </c>
      <c r="AS329" s="137">
        <v>0.0860215053763441</v>
      </c>
      <c r="AT329" s="137">
        <v>0.0990990990990991</v>
      </c>
      <c r="AU329" s="137">
        <v>0.0116279069767442</v>
      </c>
      <c r="AV329" s="137">
        <v>0.0532258064516129</v>
      </c>
      <c r="AW329" s="93"/>
      <c r="AX329" s="91"/>
    </row>
    <row r="330" ht="14.5" spans="1:50">
      <c r="A330" s="89"/>
      <c r="B330" s="93"/>
      <c r="C330" s="157" t="s">
        <v>346</v>
      </c>
      <c r="D330" s="126" t="s">
        <v>347</v>
      </c>
      <c r="E330" s="164" t="s">
        <v>351</v>
      </c>
      <c r="F330" s="164" t="s">
        <v>351</v>
      </c>
      <c r="G330" s="164" t="s">
        <v>351</v>
      </c>
      <c r="H330" s="164" t="s">
        <v>351</v>
      </c>
      <c r="I330" s="128">
        <v>0.9</v>
      </c>
      <c r="J330" s="129" t="s">
        <v>33</v>
      </c>
      <c r="K330" s="129" t="s">
        <v>33</v>
      </c>
      <c r="L330" s="130" t="s">
        <v>33</v>
      </c>
      <c r="M330" s="129" t="s">
        <v>33</v>
      </c>
      <c r="N330" s="131">
        <v>0.9</v>
      </c>
      <c r="O330" s="129" t="s">
        <v>33</v>
      </c>
      <c r="P330" s="129" t="s">
        <v>33</v>
      </c>
      <c r="Q330" s="129" t="s">
        <v>33</v>
      </c>
      <c r="R330" s="129" t="s">
        <v>33</v>
      </c>
      <c r="S330" s="131">
        <v>0.9</v>
      </c>
      <c r="T330" s="129" t="s">
        <v>33</v>
      </c>
      <c r="U330" s="129" t="s">
        <v>33</v>
      </c>
      <c r="V330" s="129" t="s">
        <v>33</v>
      </c>
      <c r="W330" s="129" t="s">
        <v>33</v>
      </c>
      <c r="X330" s="131">
        <v>0.92</v>
      </c>
      <c r="Y330" s="131" t="s">
        <v>33</v>
      </c>
      <c r="Z330" s="131" t="s">
        <v>33</v>
      </c>
      <c r="AA330" s="131" t="s">
        <v>33</v>
      </c>
      <c r="AB330" s="131" t="s">
        <v>33</v>
      </c>
      <c r="AC330" s="131">
        <v>0.92</v>
      </c>
      <c r="AD330" s="129">
        <v>1</v>
      </c>
      <c r="AE330" s="129">
        <v>1</v>
      </c>
      <c r="AF330" s="129">
        <v>1</v>
      </c>
      <c r="AG330" s="129">
        <v>0.998807749627422</v>
      </c>
      <c r="AH330" s="131">
        <v>0.92</v>
      </c>
      <c r="AI330" s="129" t="s">
        <v>33</v>
      </c>
      <c r="AJ330" s="129" t="s">
        <v>33</v>
      </c>
      <c r="AK330" s="129" t="s">
        <v>33</v>
      </c>
      <c r="AL330" s="129" t="s">
        <v>33</v>
      </c>
      <c r="AM330" s="128">
        <v>0.99</v>
      </c>
      <c r="AN330" s="133">
        <v>1</v>
      </c>
      <c r="AO330" s="133">
        <v>1</v>
      </c>
      <c r="AP330" s="133">
        <v>1</v>
      </c>
      <c r="AQ330" s="133">
        <v>1</v>
      </c>
      <c r="AR330" s="153">
        <v>0.0739852556983447</v>
      </c>
      <c r="AS330" s="137" t="s">
        <v>33</v>
      </c>
      <c r="AT330" s="137" t="s">
        <v>33</v>
      </c>
      <c r="AU330" s="137" t="s">
        <v>33</v>
      </c>
      <c r="AV330" s="137" t="s">
        <v>33</v>
      </c>
      <c r="AW330" s="93"/>
      <c r="AX330" s="91"/>
    </row>
    <row r="331" ht="14.5" spans="1:50">
      <c r="A331" s="89"/>
      <c r="B331" s="93"/>
      <c r="C331" s="157" t="s">
        <v>346</v>
      </c>
      <c r="D331" s="126" t="s">
        <v>347</v>
      </c>
      <c r="E331" s="164" t="s">
        <v>352</v>
      </c>
      <c r="F331" s="164" t="s">
        <v>352</v>
      </c>
      <c r="G331" s="164" t="s">
        <v>352</v>
      </c>
      <c r="H331" s="164" t="s">
        <v>352</v>
      </c>
      <c r="I331" s="128">
        <v>0.9</v>
      </c>
      <c r="J331" s="129">
        <v>0.925531914893617</v>
      </c>
      <c r="K331" s="129">
        <v>0.867469879518072</v>
      </c>
      <c r="L331" s="130">
        <v>0.888888888888889</v>
      </c>
      <c r="M331" s="129">
        <v>0.932627526467757</v>
      </c>
      <c r="N331" s="131">
        <v>0.9</v>
      </c>
      <c r="O331" s="129">
        <v>0.964552708945821</v>
      </c>
      <c r="P331" s="129">
        <v>0.951458211000196</v>
      </c>
      <c r="Q331" s="129">
        <v>0.952053223216334</v>
      </c>
      <c r="R331" s="129">
        <v>0.953656313538526</v>
      </c>
      <c r="S331" s="131">
        <v>0.9</v>
      </c>
      <c r="T331" s="129">
        <v>0.938261234775305</v>
      </c>
      <c r="U331" s="129">
        <v>0.897435897435897</v>
      </c>
      <c r="V331" s="129">
        <v>0.923147510896995</v>
      </c>
      <c r="W331" s="129">
        <v>0.924728318025661</v>
      </c>
      <c r="X331" s="131">
        <v>0.92</v>
      </c>
      <c r="Y331" s="131">
        <v>0.942662985771926</v>
      </c>
      <c r="Z331" s="131">
        <v>0.950323974082073</v>
      </c>
      <c r="AA331" s="131">
        <v>0.911535739561217</v>
      </c>
      <c r="AB331" s="131">
        <v>0.942148019295949</v>
      </c>
      <c r="AC331" s="131">
        <v>0.92</v>
      </c>
      <c r="AD331" s="129">
        <v>0.982388973966309</v>
      </c>
      <c r="AE331" s="129">
        <v>0.94573974609375</v>
      </c>
      <c r="AF331" s="129">
        <v>0.96303838712962</v>
      </c>
      <c r="AG331" s="129">
        <v>0.964222219159581</v>
      </c>
      <c r="AH331" s="131">
        <v>0.92</v>
      </c>
      <c r="AI331" s="129">
        <v>0.967691474640515</v>
      </c>
      <c r="AJ331" s="129">
        <v>0.962142197599261</v>
      </c>
      <c r="AK331" s="129">
        <v>0.946006123016978</v>
      </c>
      <c r="AL331" s="129">
        <v>0.960666871035442</v>
      </c>
      <c r="AM331" s="128">
        <v>0.99</v>
      </c>
      <c r="AN331" s="133">
        <v>1</v>
      </c>
      <c r="AO331" s="133">
        <v>1</v>
      </c>
      <c r="AP331" s="133">
        <v>1</v>
      </c>
      <c r="AQ331" s="133">
        <v>0.99918500407498</v>
      </c>
      <c r="AR331" s="153">
        <v>0.0739852556983447</v>
      </c>
      <c r="AS331" s="137">
        <v>0</v>
      </c>
      <c r="AT331" s="137">
        <v>0.0454545454545455</v>
      </c>
      <c r="AU331" s="137">
        <v>0.166666666666667</v>
      </c>
      <c r="AV331" s="137">
        <v>0.0540037243947858</v>
      </c>
      <c r="AW331" s="93"/>
      <c r="AX331" s="91"/>
    </row>
    <row r="332" ht="14.5" spans="1:50">
      <c r="A332" s="89"/>
      <c r="B332" s="93"/>
      <c r="C332" s="157" t="s">
        <v>346</v>
      </c>
      <c r="D332" s="126" t="s">
        <v>347</v>
      </c>
      <c r="E332" s="164" t="s">
        <v>353</v>
      </c>
      <c r="F332" s="164" t="s">
        <v>353</v>
      </c>
      <c r="G332" s="164" t="s">
        <v>353</v>
      </c>
      <c r="H332" s="164" t="s">
        <v>353</v>
      </c>
      <c r="I332" s="128">
        <v>0.9</v>
      </c>
      <c r="J332" s="129">
        <v>0.978260869565217</v>
      </c>
      <c r="K332" s="129">
        <v>0.978260869565217</v>
      </c>
      <c r="L332" s="130">
        <v>1</v>
      </c>
      <c r="M332" s="129">
        <v>0.968063872255489</v>
      </c>
      <c r="N332" s="131">
        <v>0.9</v>
      </c>
      <c r="O332" s="129">
        <v>0.935223976796648</v>
      </c>
      <c r="P332" s="129">
        <v>0.946795140343527</v>
      </c>
      <c r="Q332" s="129">
        <v>0.926840215439856</v>
      </c>
      <c r="R332" s="129">
        <v>0.939796083508658</v>
      </c>
      <c r="S332" s="131">
        <v>0.9</v>
      </c>
      <c r="T332" s="129">
        <v>0.916532388011602</v>
      </c>
      <c r="U332" s="129">
        <v>0.930456640134059</v>
      </c>
      <c r="V332" s="129">
        <v>0.904398563734291</v>
      </c>
      <c r="W332" s="129">
        <v>0.921217025408642</v>
      </c>
      <c r="X332" s="131">
        <v>0.92</v>
      </c>
      <c r="Y332" s="131">
        <v>0.962079749804535</v>
      </c>
      <c r="Z332" s="131">
        <v>0.967871485943775</v>
      </c>
      <c r="AA332" s="131">
        <v>0.963727329580988</v>
      </c>
      <c r="AB332" s="131">
        <v>0.972042877884526</v>
      </c>
      <c r="AC332" s="131">
        <v>0.92</v>
      </c>
      <c r="AD332" s="129">
        <v>0.991308625778944</v>
      </c>
      <c r="AE332" s="129">
        <v>0.985101178563487</v>
      </c>
      <c r="AF332" s="129">
        <v>0.979517882464156</v>
      </c>
      <c r="AG332" s="129">
        <v>0.981076272001539</v>
      </c>
      <c r="AH332" s="131">
        <v>0.92</v>
      </c>
      <c r="AI332" s="129">
        <v>0.966796185093607</v>
      </c>
      <c r="AJ332" s="129">
        <v>0.975555932778815</v>
      </c>
      <c r="AK332" s="129">
        <v>0.968652037617555</v>
      </c>
      <c r="AL332" s="129">
        <v>0.977421543413433</v>
      </c>
      <c r="AM332" s="128">
        <v>0.99</v>
      </c>
      <c r="AN332" s="133">
        <v>1</v>
      </c>
      <c r="AO332" s="133">
        <v>1</v>
      </c>
      <c r="AP332" s="133">
        <v>1</v>
      </c>
      <c r="AQ332" s="133">
        <v>1</v>
      </c>
      <c r="AR332" s="153">
        <v>0.0739852556983447</v>
      </c>
      <c r="AS332" s="137">
        <v>0.08</v>
      </c>
      <c r="AT332" s="137">
        <v>0.08</v>
      </c>
      <c r="AU332" s="137">
        <v>0</v>
      </c>
      <c r="AV332" s="137">
        <v>0.0244498777506112</v>
      </c>
      <c r="AW332" s="93"/>
      <c r="AX332" s="91"/>
    </row>
    <row r="333" ht="14.5" spans="1:50">
      <c r="A333" s="89"/>
      <c r="B333" s="93"/>
      <c r="C333" s="157" t="s">
        <v>346</v>
      </c>
      <c r="D333" s="126" t="s">
        <v>347</v>
      </c>
      <c r="E333" s="164" t="s">
        <v>354</v>
      </c>
      <c r="F333" s="164" t="s">
        <v>354</v>
      </c>
      <c r="G333" s="164" t="s">
        <v>354</v>
      </c>
      <c r="H333" s="164" t="s">
        <v>354</v>
      </c>
      <c r="I333" s="128">
        <v>0.9</v>
      </c>
      <c r="J333" s="129">
        <v>0.954545454545455</v>
      </c>
      <c r="K333" s="129">
        <v>0.921052631578947</v>
      </c>
      <c r="L333" s="130">
        <v>0.903225806451613</v>
      </c>
      <c r="M333" s="129">
        <v>0.940503432494279</v>
      </c>
      <c r="N333" s="131">
        <v>0.9</v>
      </c>
      <c r="O333" s="129">
        <v>0.95609220636663</v>
      </c>
      <c r="P333" s="129">
        <v>0.967370441458733</v>
      </c>
      <c r="Q333" s="129">
        <v>0.966014418125644</v>
      </c>
      <c r="R333" s="129">
        <v>0.962473764203517</v>
      </c>
      <c r="S333" s="131">
        <v>0.9</v>
      </c>
      <c r="T333" s="129">
        <v>0.9198682766191</v>
      </c>
      <c r="U333" s="129">
        <v>0.946257197696737</v>
      </c>
      <c r="V333" s="129">
        <v>0.925849639546859</v>
      </c>
      <c r="W333" s="129">
        <v>0.923065788521387</v>
      </c>
      <c r="X333" s="131">
        <v>0.92</v>
      </c>
      <c r="Y333" s="131">
        <v>0.949259092950157</v>
      </c>
      <c r="Z333" s="131">
        <v>0.957349081364829</v>
      </c>
      <c r="AA333" s="131">
        <v>0.95619335347432</v>
      </c>
      <c r="AB333" s="131">
        <v>0.962419321257547</v>
      </c>
      <c r="AC333" s="131">
        <v>0.92</v>
      </c>
      <c r="AD333" s="129">
        <v>1</v>
      </c>
      <c r="AE333" s="129">
        <v>0.992978936810431</v>
      </c>
      <c r="AF333" s="129">
        <v>0.998394863563403</v>
      </c>
      <c r="AG333" s="129">
        <v>0.993575329264375</v>
      </c>
      <c r="AH333" s="131">
        <v>0.92</v>
      </c>
      <c r="AI333" s="129">
        <v>0.962119685673988</v>
      </c>
      <c r="AJ333" s="129">
        <v>0.968865538042421</v>
      </c>
      <c r="AK333" s="129">
        <v>0.968778696051423</v>
      </c>
      <c r="AL333" s="129">
        <v>0.971952039047855</v>
      </c>
      <c r="AM333" s="128">
        <v>0.99</v>
      </c>
      <c r="AN333" s="133">
        <v>1</v>
      </c>
      <c r="AO333" s="133">
        <v>1</v>
      </c>
      <c r="AP333" s="133">
        <v>1</v>
      </c>
      <c r="AQ333" s="133">
        <v>1</v>
      </c>
      <c r="AR333" s="153">
        <v>0.0739852556983447</v>
      </c>
      <c r="AS333" s="137">
        <v>0.0357142857142857</v>
      </c>
      <c r="AT333" s="137">
        <v>0.0882352941176471</v>
      </c>
      <c r="AU333" s="137">
        <v>0</v>
      </c>
      <c r="AV333" s="137">
        <v>0.0533049040511727</v>
      </c>
      <c r="AW333" s="93"/>
      <c r="AX333" s="91"/>
    </row>
    <row r="334" ht="14.5" spans="1:50">
      <c r="A334" s="89"/>
      <c r="B334" s="93"/>
      <c r="C334" s="157" t="s">
        <v>346</v>
      </c>
      <c r="D334" s="126" t="s">
        <v>347</v>
      </c>
      <c r="E334" s="164" t="s">
        <v>355</v>
      </c>
      <c r="F334" s="164" t="s">
        <v>355</v>
      </c>
      <c r="G334" s="164" t="s">
        <v>355</v>
      </c>
      <c r="H334" s="164" t="s">
        <v>355</v>
      </c>
      <c r="I334" s="128">
        <v>0.9</v>
      </c>
      <c r="J334" s="129">
        <v>0.967213114754098</v>
      </c>
      <c r="K334" s="129">
        <v>0.947368421052632</v>
      </c>
      <c r="L334" s="130">
        <v>0.941176470588235</v>
      </c>
      <c r="M334" s="129">
        <v>0.91904047976012</v>
      </c>
      <c r="N334" s="131">
        <v>0.9</v>
      </c>
      <c r="O334" s="129">
        <v>0.981022267206478</v>
      </c>
      <c r="P334" s="129">
        <v>0.979929913985346</v>
      </c>
      <c r="Q334" s="129">
        <v>0.976968796433878</v>
      </c>
      <c r="R334" s="129">
        <v>0.970345066587455</v>
      </c>
      <c r="S334" s="131">
        <v>0.9</v>
      </c>
      <c r="T334" s="129">
        <v>0.912196356275304</v>
      </c>
      <c r="U334" s="129">
        <v>0.892959541255177</v>
      </c>
      <c r="V334" s="129">
        <v>0.887072808320951</v>
      </c>
      <c r="W334" s="129">
        <v>0.904599237586019</v>
      </c>
      <c r="X334" s="131">
        <v>0.92</v>
      </c>
      <c r="Y334" s="131">
        <v>0.961690885072655</v>
      </c>
      <c r="Z334" s="131">
        <v>0.963792713283548</v>
      </c>
      <c r="AA334" s="131">
        <v>0.961340206185567</v>
      </c>
      <c r="AB334" s="131">
        <v>0.958876221498371</v>
      </c>
      <c r="AC334" s="131">
        <v>0.92</v>
      </c>
      <c r="AD334" s="129">
        <v>0.991495393338058</v>
      </c>
      <c r="AE334" s="129">
        <v>0.994127516778524</v>
      </c>
      <c r="AF334" s="129">
        <v>0.973228860594189</v>
      </c>
      <c r="AG334" s="129">
        <v>0.987627031061606</v>
      </c>
      <c r="AH334" s="131">
        <v>0.92</v>
      </c>
      <c r="AI334" s="129">
        <v>0.96806530144637</v>
      </c>
      <c r="AJ334" s="129">
        <v>0.971749174917492</v>
      </c>
      <c r="AK334" s="129">
        <v>0.968480138169257</v>
      </c>
      <c r="AL334" s="129">
        <v>0.965412271690928</v>
      </c>
      <c r="AM334" s="128">
        <v>0.99</v>
      </c>
      <c r="AN334" s="133">
        <v>1</v>
      </c>
      <c r="AO334" s="133">
        <v>1</v>
      </c>
      <c r="AP334" s="133">
        <v>1</v>
      </c>
      <c r="AQ334" s="133">
        <v>1</v>
      </c>
      <c r="AR334" s="153">
        <v>0.0739852556983447</v>
      </c>
      <c r="AS334" s="137">
        <v>0.0645161290322581</v>
      </c>
      <c r="AT334" s="137">
        <v>0.0833333333333333</v>
      </c>
      <c r="AU334" s="137">
        <v>0.0625</v>
      </c>
      <c r="AV334" s="137">
        <v>0.0459081836327345</v>
      </c>
      <c r="AW334" s="93"/>
      <c r="AX334" s="91"/>
    </row>
    <row r="335" ht="14.5" spans="1:50">
      <c r="A335" s="89"/>
      <c r="B335" s="93"/>
      <c r="C335" s="157" t="s">
        <v>346</v>
      </c>
      <c r="D335" s="126" t="s">
        <v>347</v>
      </c>
      <c r="E335" s="164" t="s">
        <v>356</v>
      </c>
      <c r="F335" s="164" t="s">
        <v>356</v>
      </c>
      <c r="G335" s="164" t="s">
        <v>356</v>
      </c>
      <c r="H335" s="164" t="s">
        <v>356</v>
      </c>
      <c r="I335" s="128">
        <v>0.9</v>
      </c>
      <c r="J335" s="129">
        <v>0.956043956043956</v>
      </c>
      <c r="K335" s="129">
        <v>0.925925925925926</v>
      </c>
      <c r="L335" s="130">
        <v>0.918918918918919</v>
      </c>
      <c r="M335" s="129">
        <v>0.924664602683179</v>
      </c>
      <c r="N335" s="131">
        <v>0.9</v>
      </c>
      <c r="O335" s="129">
        <v>0.97542123975885</v>
      </c>
      <c r="P335" s="129">
        <v>0.970643939393939</v>
      </c>
      <c r="Q335" s="129">
        <v>0.979951100244499</v>
      </c>
      <c r="R335" s="129">
        <v>0.974801103554472</v>
      </c>
      <c r="S335" s="131">
        <v>0.9</v>
      </c>
      <c r="T335" s="129">
        <v>0.899366208069253</v>
      </c>
      <c r="U335" s="129">
        <v>0.921969696969697</v>
      </c>
      <c r="V335" s="129">
        <v>0.911002444987775</v>
      </c>
      <c r="W335" s="129">
        <v>0.91668805338124</v>
      </c>
      <c r="X335" s="131">
        <v>0.92</v>
      </c>
      <c r="Y335" s="131">
        <v>0.962360992301112</v>
      </c>
      <c r="Z335" s="131">
        <v>0.963661243728144</v>
      </c>
      <c r="AA335" s="131">
        <v>0.966230186078566</v>
      </c>
      <c r="AB335" s="131">
        <v>0.965980666785408</v>
      </c>
      <c r="AC335" s="131">
        <v>0.92</v>
      </c>
      <c r="AD335" s="129">
        <v>0.985464456052691</v>
      </c>
      <c r="AE335" s="129">
        <v>0.987599438465138</v>
      </c>
      <c r="AF335" s="129">
        <v>0.960061130922058</v>
      </c>
      <c r="AG335" s="129">
        <v>0.953639344747692</v>
      </c>
      <c r="AH335" s="131">
        <v>0.92</v>
      </c>
      <c r="AI335" s="129">
        <v>0.969150748811766</v>
      </c>
      <c r="AJ335" s="129">
        <v>0.970427163198248</v>
      </c>
      <c r="AK335" s="129">
        <v>0.975264512439234</v>
      </c>
      <c r="AL335" s="129">
        <v>0.972984717896719</v>
      </c>
      <c r="AM335" s="128">
        <v>0.99</v>
      </c>
      <c r="AN335" s="133">
        <v>1</v>
      </c>
      <c r="AO335" s="133">
        <v>1</v>
      </c>
      <c r="AP335" s="133">
        <v>1</v>
      </c>
      <c r="AQ335" s="133">
        <v>1</v>
      </c>
      <c r="AR335" s="153">
        <v>0.0739852556983447</v>
      </c>
      <c r="AS335" s="137">
        <v>0.0285714285714286</v>
      </c>
      <c r="AT335" s="137">
        <v>0.108695652173913</v>
      </c>
      <c r="AU335" s="137">
        <v>0.0535714285714286</v>
      </c>
      <c r="AV335" s="137">
        <v>0.0310192023633678</v>
      </c>
      <c r="AW335" s="93"/>
      <c r="AX335" s="91"/>
    </row>
    <row r="336" ht="14.5" spans="1:50">
      <c r="A336" s="89"/>
      <c r="B336" s="93"/>
      <c r="C336" s="157" t="s">
        <v>346</v>
      </c>
      <c r="D336" s="126" t="s">
        <v>347</v>
      </c>
      <c r="E336" s="164" t="s">
        <v>357</v>
      </c>
      <c r="F336" s="164" t="s">
        <v>357</v>
      </c>
      <c r="G336" s="164" t="s">
        <v>357</v>
      </c>
      <c r="H336" s="164" t="s">
        <v>357</v>
      </c>
      <c r="I336" s="128">
        <v>0.9</v>
      </c>
      <c r="J336" s="129" t="s">
        <v>33</v>
      </c>
      <c r="K336" s="129" t="s">
        <v>33</v>
      </c>
      <c r="L336" s="130" t="s">
        <v>33</v>
      </c>
      <c r="M336" s="129" t="s">
        <v>33</v>
      </c>
      <c r="N336" s="131">
        <v>0.9</v>
      </c>
      <c r="O336" s="129" t="s">
        <v>33</v>
      </c>
      <c r="P336" s="129" t="s">
        <v>33</v>
      </c>
      <c r="Q336" s="129" t="s">
        <v>33</v>
      </c>
      <c r="R336" s="129" t="s">
        <v>33</v>
      </c>
      <c r="S336" s="131">
        <v>0.9</v>
      </c>
      <c r="T336" s="129" t="s">
        <v>33</v>
      </c>
      <c r="U336" s="129" t="s">
        <v>33</v>
      </c>
      <c r="V336" s="129" t="s">
        <v>33</v>
      </c>
      <c r="W336" s="129" t="s">
        <v>33</v>
      </c>
      <c r="X336" s="131">
        <v>0.92</v>
      </c>
      <c r="Y336" s="131" t="s">
        <v>33</v>
      </c>
      <c r="Z336" s="131" t="s">
        <v>33</v>
      </c>
      <c r="AA336" s="131" t="s">
        <v>33</v>
      </c>
      <c r="AB336" s="131" t="s">
        <v>33</v>
      </c>
      <c r="AC336" s="131">
        <v>0.92</v>
      </c>
      <c r="AD336" s="129">
        <v>0.997830802603037</v>
      </c>
      <c r="AE336" s="129">
        <v>0.997931747673216</v>
      </c>
      <c r="AF336" s="129">
        <v>0.825352112676056</v>
      </c>
      <c r="AG336" s="129">
        <v>0.972644667623147</v>
      </c>
      <c r="AH336" s="131">
        <v>0.92</v>
      </c>
      <c r="AI336" s="129" t="s">
        <v>33</v>
      </c>
      <c r="AJ336" s="129" t="s">
        <v>33</v>
      </c>
      <c r="AK336" s="129" t="s">
        <v>33</v>
      </c>
      <c r="AL336" s="129" t="s">
        <v>33</v>
      </c>
      <c r="AM336" s="128">
        <v>0.99</v>
      </c>
      <c r="AN336" s="133">
        <v>1</v>
      </c>
      <c r="AO336" s="133">
        <v>1</v>
      </c>
      <c r="AP336" s="133">
        <v>1</v>
      </c>
      <c r="AQ336" s="133">
        <v>1</v>
      </c>
      <c r="AR336" s="153">
        <v>0.0739852556983447</v>
      </c>
      <c r="AS336" s="137" t="s">
        <v>33</v>
      </c>
      <c r="AT336" s="137" t="s">
        <v>33</v>
      </c>
      <c r="AU336" s="137" t="s">
        <v>33</v>
      </c>
      <c r="AV336" s="137" t="s">
        <v>33</v>
      </c>
      <c r="AW336" s="93"/>
      <c r="AX336" s="91"/>
    </row>
    <row r="337" ht="14.5" spans="1:50">
      <c r="A337" s="89"/>
      <c r="B337" s="93"/>
      <c r="C337" s="157" t="s">
        <v>346</v>
      </c>
      <c r="D337" s="126" t="s">
        <v>347</v>
      </c>
      <c r="E337" s="164" t="s">
        <v>358</v>
      </c>
      <c r="F337" s="164" t="s">
        <v>358</v>
      </c>
      <c r="G337" s="164" t="s">
        <v>358</v>
      </c>
      <c r="H337" s="164" t="s">
        <v>358</v>
      </c>
      <c r="I337" s="128">
        <v>0.9</v>
      </c>
      <c r="J337" s="129">
        <v>0.902777777777778</v>
      </c>
      <c r="K337" s="129">
        <v>0.924242424242424</v>
      </c>
      <c r="L337" s="130">
        <v>0.891666666666667</v>
      </c>
      <c r="M337" s="129">
        <v>0.905035054174633</v>
      </c>
      <c r="N337" s="131">
        <v>0.9</v>
      </c>
      <c r="O337" s="129">
        <v>0.957028404952658</v>
      </c>
      <c r="P337" s="129">
        <v>0.958629952988583</v>
      </c>
      <c r="Q337" s="129">
        <v>0.957197157494629</v>
      </c>
      <c r="R337" s="129">
        <v>0.956790187620186</v>
      </c>
      <c r="S337" s="131">
        <v>0.9</v>
      </c>
      <c r="T337" s="129">
        <v>0.919051087295807</v>
      </c>
      <c r="U337" s="129">
        <v>0.90329079919409</v>
      </c>
      <c r="V337" s="129">
        <v>0.921004792596265</v>
      </c>
      <c r="W337" s="129">
        <v>0.917810924588119</v>
      </c>
      <c r="X337" s="131">
        <v>0.92</v>
      </c>
      <c r="Y337" s="131">
        <v>0.955382041271612</v>
      </c>
      <c r="Z337" s="131">
        <v>0.947241379310345</v>
      </c>
      <c r="AA337" s="131">
        <v>0.921672077922078</v>
      </c>
      <c r="AB337" s="131">
        <v>0.950602387941436</v>
      </c>
      <c r="AC337" s="131">
        <v>0.92</v>
      </c>
      <c r="AD337" s="129">
        <v>0.989668189946354</v>
      </c>
      <c r="AE337" s="129">
        <v>0.989298626174982</v>
      </c>
      <c r="AF337" s="129">
        <v>0.991586740703349</v>
      </c>
      <c r="AG337" s="129">
        <v>0.983636049624363</v>
      </c>
      <c r="AH337" s="131">
        <v>0.92</v>
      </c>
      <c r="AI337" s="129">
        <v>0.968195027445915</v>
      </c>
      <c r="AJ337" s="129">
        <v>0.956245737369498</v>
      </c>
      <c r="AK337" s="129">
        <v>0.948005827718084</v>
      </c>
      <c r="AL337" s="129">
        <v>0.963435255351026</v>
      </c>
      <c r="AM337" s="128">
        <v>0.99</v>
      </c>
      <c r="AN337" s="133">
        <v>1</v>
      </c>
      <c r="AO337" s="133">
        <v>1</v>
      </c>
      <c r="AP337" s="133">
        <v>1</v>
      </c>
      <c r="AQ337" s="133">
        <v>1</v>
      </c>
      <c r="AR337" s="153">
        <v>0.0739852556983447</v>
      </c>
      <c r="AS337" s="137">
        <v>0</v>
      </c>
      <c r="AT337" s="137">
        <v>0.06</v>
      </c>
      <c r="AU337" s="137">
        <v>0.0930232558139535</v>
      </c>
      <c r="AV337" s="137">
        <v>0.0416666666666667</v>
      </c>
      <c r="AW337" s="93"/>
      <c r="AX337" s="91"/>
    </row>
    <row r="338" ht="14.5" spans="1:50">
      <c r="A338" s="89"/>
      <c r="B338" s="93"/>
      <c r="C338" s="157" t="s">
        <v>346</v>
      </c>
      <c r="D338" s="126" t="s">
        <v>347</v>
      </c>
      <c r="E338" s="164" t="s">
        <v>359</v>
      </c>
      <c r="F338" s="164" t="s">
        <v>359</v>
      </c>
      <c r="G338" s="164" t="s">
        <v>359</v>
      </c>
      <c r="H338" s="164" t="s">
        <v>359</v>
      </c>
      <c r="I338" s="128">
        <v>0.9</v>
      </c>
      <c r="J338" s="129">
        <v>0.953846153846154</v>
      </c>
      <c r="K338" s="129">
        <v>0.932203389830508</v>
      </c>
      <c r="L338" s="130">
        <v>0.980769230769231</v>
      </c>
      <c r="M338" s="129">
        <v>0.956884561891516</v>
      </c>
      <c r="N338" s="131">
        <v>0.9</v>
      </c>
      <c r="O338" s="129">
        <v>0.957703213610586</v>
      </c>
      <c r="P338" s="129">
        <v>0.966199756394641</v>
      </c>
      <c r="Q338" s="129">
        <v>0.965616045845272</v>
      </c>
      <c r="R338" s="129">
        <v>0.96212064537044</v>
      </c>
      <c r="S338" s="131">
        <v>0.9</v>
      </c>
      <c r="T338" s="129">
        <v>0.917533081285444</v>
      </c>
      <c r="U338" s="129">
        <v>0.917174177831912</v>
      </c>
      <c r="V338" s="129">
        <v>0.92836676217765</v>
      </c>
      <c r="W338" s="129">
        <v>0.920799980050373</v>
      </c>
      <c r="X338" s="131">
        <v>0.92</v>
      </c>
      <c r="Y338" s="131">
        <v>0.953382971835545</v>
      </c>
      <c r="Z338" s="131">
        <v>0.956779862265495</v>
      </c>
      <c r="AA338" s="131">
        <v>0.961577350859454</v>
      </c>
      <c r="AB338" s="131">
        <v>0.961921470755393</v>
      </c>
      <c r="AC338" s="131">
        <v>0.92</v>
      </c>
      <c r="AD338" s="129">
        <v>0.983420593368237</v>
      </c>
      <c r="AE338" s="129">
        <v>0.99532632281756</v>
      </c>
      <c r="AF338" s="129">
        <v>0.992837465564738</v>
      </c>
      <c r="AG338" s="129">
        <v>0.989008886432246</v>
      </c>
      <c r="AH338" s="131">
        <v>0.92</v>
      </c>
      <c r="AI338" s="129">
        <v>0.964905093540898</v>
      </c>
      <c r="AJ338" s="129">
        <v>0.9672</v>
      </c>
      <c r="AK338" s="129">
        <v>0.972636815920398</v>
      </c>
      <c r="AL338" s="129">
        <v>0.970695789069182</v>
      </c>
      <c r="AM338" s="128">
        <v>0.99</v>
      </c>
      <c r="AN338" s="133">
        <v>1</v>
      </c>
      <c r="AO338" s="133">
        <v>1</v>
      </c>
      <c r="AP338" s="133">
        <v>1</v>
      </c>
      <c r="AQ338" s="133">
        <v>1</v>
      </c>
      <c r="AR338" s="153">
        <v>0.0739852556983447</v>
      </c>
      <c r="AS338" s="137">
        <v>0.0454545454545455</v>
      </c>
      <c r="AT338" s="137">
        <v>0.108108108108108</v>
      </c>
      <c r="AU338" s="137">
        <v>0</v>
      </c>
      <c r="AV338" s="137">
        <v>0.0504504504504504</v>
      </c>
      <c r="AW338" s="93"/>
      <c r="AX338" s="91"/>
    </row>
    <row r="339" ht="14.5" spans="1:50">
      <c r="A339" s="89"/>
      <c r="B339" s="93"/>
      <c r="C339" s="157" t="s">
        <v>346</v>
      </c>
      <c r="D339" s="126" t="s">
        <v>347</v>
      </c>
      <c r="E339" s="164" t="s">
        <v>360</v>
      </c>
      <c r="F339" s="164" t="s">
        <v>360</v>
      </c>
      <c r="G339" s="164" t="s">
        <v>360</v>
      </c>
      <c r="H339" s="164" t="s">
        <v>360</v>
      </c>
      <c r="I339" s="128">
        <v>0.9</v>
      </c>
      <c r="J339" s="129" t="s">
        <v>33</v>
      </c>
      <c r="K339" s="129" t="s">
        <v>33</v>
      </c>
      <c r="L339" s="130" t="s">
        <v>33</v>
      </c>
      <c r="M339" s="129" t="s">
        <v>33</v>
      </c>
      <c r="N339" s="131">
        <v>0.9</v>
      </c>
      <c r="O339" s="129" t="s">
        <v>33</v>
      </c>
      <c r="P339" s="129">
        <v>0</v>
      </c>
      <c r="Q339" s="129" t="s">
        <v>33</v>
      </c>
      <c r="R339" s="129">
        <v>0</v>
      </c>
      <c r="S339" s="131">
        <v>0.9</v>
      </c>
      <c r="T339" s="129" t="s">
        <v>33</v>
      </c>
      <c r="U339" s="129">
        <v>0</v>
      </c>
      <c r="V339" s="129" t="s">
        <v>33</v>
      </c>
      <c r="W339" s="129">
        <v>0</v>
      </c>
      <c r="X339" s="131">
        <v>0.92</v>
      </c>
      <c r="Y339" s="131" t="s">
        <v>33</v>
      </c>
      <c r="Z339" s="131" t="s">
        <v>33</v>
      </c>
      <c r="AA339" s="131" t="s">
        <v>33</v>
      </c>
      <c r="AB339" s="131" t="s">
        <v>33</v>
      </c>
      <c r="AC339" s="131">
        <v>0.92</v>
      </c>
      <c r="AD339" s="129">
        <v>1</v>
      </c>
      <c r="AE339" s="129">
        <v>1</v>
      </c>
      <c r="AF339" s="129">
        <v>0.995918367346939</v>
      </c>
      <c r="AG339" s="129">
        <v>0.999522900763359</v>
      </c>
      <c r="AH339" s="131">
        <v>0.92</v>
      </c>
      <c r="AI339" s="129" t="s">
        <v>33</v>
      </c>
      <c r="AJ339" s="129">
        <v>0</v>
      </c>
      <c r="AK339" s="129" t="s">
        <v>33</v>
      </c>
      <c r="AL339" s="129">
        <v>0</v>
      </c>
      <c r="AM339" s="128">
        <v>0.99</v>
      </c>
      <c r="AN339" s="133">
        <v>1</v>
      </c>
      <c r="AO339" s="133">
        <v>1</v>
      </c>
      <c r="AP339" s="133">
        <v>1</v>
      </c>
      <c r="AQ339" s="133">
        <v>1</v>
      </c>
      <c r="AR339" s="153">
        <v>0.0739852556983447</v>
      </c>
      <c r="AS339" s="137" t="s">
        <v>33</v>
      </c>
      <c r="AT339" s="137" t="s">
        <v>33</v>
      </c>
      <c r="AU339" s="137" t="s">
        <v>33</v>
      </c>
      <c r="AV339" s="137" t="s">
        <v>33</v>
      </c>
      <c r="AW339" s="93"/>
      <c r="AX339" s="91"/>
    </row>
    <row r="340" ht="14.5" spans="1:50">
      <c r="A340" s="89"/>
      <c r="B340" s="93"/>
      <c r="C340" s="157" t="s">
        <v>346</v>
      </c>
      <c r="D340" s="126" t="s">
        <v>347</v>
      </c>
      <c r="E340" s="164" t="s">
        <v>361</v>
      </c>
      <c r="F340" s="164" t="s">
        <v>361</v>
      </c>
      <c r="G340" s="164" t="s">
        <v>361</v>
      </c>
      <c r="H340" s="164" t="s">
        <v>361</v>
      </c>
      <c r="I340" s="128">
        <v>0.9</v>
      </c>
      <c r="J340" s="129">
        <v>0.98989898989899</v>
      </c>
      <c r="K340" s="129">
        <v>0.97752808988764</v>
      </c>
      <c r="L340" s="130">
        <v>0.963855421686747</v>
      </c>
      <c r="M340" s="129">
        <v>0.973384030418251</v>
      </c>
      <c r="N340" s="131">
        <v>0.9</v>
      </c>
      <c r="O340" s="129">
        <v>0.969012899607403</v>
      </c>
      <c r="P340" s="129">
        <v>0.979801497475187</v>
      </c>
      <c r="Q340" s="129">
        <v>0.97651964011411</v>
      </c>
      <c r="R340" s="129">
        <v>0.971862778927996</v>
      </c>
      <c r="S340" s="131">
        <v>0.9</v>
      </c>
      <c r="T340" s="129">
        <v>0.928771733034212</v>
      </c>
      <c r="U340" s="129">
        <v>0.928086366010796</v>
      </c>
      <c r="V340" s="129">
        <v>0.936800526662278</v>
      </c>
      <c r="W340" s="129">
        <v>0.937916954221302</v>
      </c>
      <c r="X340" s="131">
        <v>0.92</v>
      </c>
      <c r="Y340" s="131">
        <v>0.966840360018948</v>
      </c>
      <c r="Z340" s="131">
        <v>0.966966237551615</v>
      </c>
      <c r="AA340" s="131">
        <v>0.973630237327864</v>
      </c>
      <c r="AB340" s="131">
        <v>0.972366756647497</v>
      </c>
      <c r="AC340" s="131">
        <v>0.92</v>
      </c>
      <c r="AD340" s="129">
        <v>0.999016991995506</v>
      </c>
      <c r="AE340" s="129">
        <v>0.999041411042945</v>
      </c>
      <c r="AF340" s="129">
        <v>0.996396540679052</v>
      </c>
      <c r="AG340" s="129">
        <v>0.997668997668998</v>
      </c>
      <c r="AH340" s="131">
        <v>0.92</v>
      </c>
      <c r="AI340" s="129">
        <v>0.971782876661469</v>
      </c>
      <c r="AJ340" s="129">
        <v>0.972781825975139</v>
      </c>
      <c r="AK340" s="129">
        <v>0.97967632668423</v>
      </c>
      <c r="AL340" s="129">
        <v>0.978260275843234</v>
      </c>
      <c r="AM340" s="128">
        <v>0.99</v>
      </c>
      <c r="AN340" s="133">
        <v>1</v>
      </c>
      <c r="AO340" s="133">
        <v>1</v>
      </c>
      <c r="AP340" s="133">
        <v>1</v>
      </c>
      <c r="AQ340" s="133">
        <v>1</v>
      </c>
      <c r="AR340" s="153">
        <v>0.0739852556983447</v>
      </c>
      <c r="AS340" s="137">
        <v>0</v>
      </c>
      <c r="AT340" s="137">
        <v>0.06</v>
      </c>
      <c r="AU340" s="137">
        <v>0.0344827586206897</v>
      </c>
      <c r="AV340" s="137">
        <v>0.0535405872193437</v>
      </c>
      <c r="AW340" s="93"/>
      <c r="AX340" s="91"/>
    </row>
    <row r="341" ht="14.5" spans="1:50">
      <c r="A341" s="89"/>
      <c r="B341" s="93"/>
      <c r="C341" s="157" t="s">
        <v>346</v>
      </c>
      <c r="D341" s="126" t="s">
        <v>347</v>
      </c>
      <c r="E341" s="164" t="s">
        <v>362</v>
      </c>
      <c r="F341" s="164" t="s">
        <v>362</v>
      </c>
      <c r="G341" s="164" t="s">
        <v>362</v>
      </c>
      <c r="H341" s="164" t="s">
        <v>362</v>
      </c>
      <c r="I341" s="128">
        <v>0.9</v>
      </c>
      <c r="J341" s="129" t="s">
        <v>33</v>
      </c>
      <c r="K341" s="129" t="s">
        <v>33</v>
      </c>
      <c r="L341" s="130" t="s">
        <v>33</v>
      </c>
      <c r="M341" s="129" t="s">
        <v>33</v>
      </c>
      <c r="N341" s="131">
        <v>0.9</v>
      </c>
      <c r="O341" s="129" t="s">
        <v>33</v>
      </c>
      <c r="P341" s="129" t="s">
        <v>33</v>
      </c>
      <c r="Q341" s="129" t="s">
        <v>33</v>
      </c>
      <c r="R341" s="129" t="s">
        <v>33</v>
      </c>
      <c r="S341" s="131">
        <v>0.9</v>
      </c>
      <c r="T341" s="129" t="s">
        <v>33</v>
      </c>
      <c r="U341" s="129" t="s">
        <v>33</v>
      </c>
      <c r="V341" s="129" t="s">
        <v>33</v>
      </c>
      <c r="W341" s="129" t="s">
        <v>33</v>
      </c>
      <c r="X341" s="131">
        <v>0.92</v>
      </c>
      <c r="Y341" s="131" t="s">
        <v>33</v>
      </c>
      <c r="Z341" s="131" t="s">
        <v>33</v>
      </c>
      <c r="AA341" s="131" t="s">
        <v>33</v>
      </c>
      <c r="AB341" s="131" t="s">
        <v>33</v>
      </c>
      <c r="AC341" s="131">
        <v>0.92</v>
      </c>
      <c r="AD341" s="129">
        <v>0.995689655172414</v>
      </c>
      <c r="AE341" s="129">
        <v>0.983552631578947</v>
      </c>
      <c r="AF341" s="129">
        <v>0.992957746478873</v>
      </c>
      <c r="AG341" s="129">
        <v>0.982908847184987</v>
      </c>
      <c r="AH341" s="131">
        <v>0.92</v>
      </c>
      <c r="AI341" s="129" t="s">
        <v>33</v>
      </c>
      <c r="AJ341" s="129" t="s">
        <v>33</v>
      </c>
      <c r="AK341" s="129" t="s">
        <v>33</v>
      </c>
      <c r="AL341" s="129" t="s">
        <v>33</v>
      </c>
      <c r="AM341" s="128">
        <v>0.99</v>
      </c>
      <c r="AN341" s="133" t="s">
        <v>33</v>
      </c>
      <c r="AO341" s="133" t="s">
        <v>33</v>
      </c>
      <c r="AP341" s="133" t="s">
        <v>33</v>
      </c>
      <c r="AQ341" s="133" t="s">
        <v>33</v>
      </c>
      <c r="AR341" s="153">
        <v>0.0739852556983447</v>
      </c>
      <c r="AS341" s="137" t="s">
        <v>33</v>
      </c>
      <c r="AT341" s="137" t="s">
        <v>33</v>
      </c>
      <c r="AU341" s="137" t="s">
        <v>33</v>
      </c>
      <c r="AV341" s="137" t="s">
        <v>33</v>
      </c>
      <c r="AW341" s="93"/>
      <c r="AX341" s="91"/>
    </row>
    <row r="342" ht="14.5" spans="1:50">
      <c r="A342" s="89"/>
      <c r="B342" s="93"/>
      <c r="C342" s="157" t="s">
        <v>346</v>
      </c>
      <c r="D342" s="126" t="s">
        <v>347</v>
      </c>
      <c r="E342" s="164" t="s">
        <v>363</v>
      </c>
      <c r="F342" s="164" t="s">
        <v>363</v>
      </c>
      <c r="G342" s="164" t="s">
        <v>363</v>
      </c>
      <c r="H342" s="164" t="s">
        <v>363</v>
      </c>
      <c r="I342" s="128">
        <v>0.9</v>
      </c>
      <c r="J342" s="129">
        <v>0.854545454545454</v>
      </c>
      <c r="K342" s="129">
        <v>0.886792452830189</v>
      </c>
      <c r="L342" s="130">
        <v>0.864406779661017</v>
      </c>
      <c r="M342" s="129">
        <v>0.893491124260355</v>
      </c>
      <c r="N342" s="131">
        <v>0.9</v>
      </c>
      <c r="O342" s="129">
        <v>0.8904052936311</v>
      </c>
      <c r="P342" s="129">
        <v>0.88286273413475</v>
      </c>
      <c r="Q342" s="129">
        <v>0.92417967505575</v>
      </c>
      <c r="R342" s="129">
        <v>0.905811792532522</v>
      </c>
      <c r="S342" s="131">
        <v>0.9</v>
      </c>
      <c r="T342" s="129">
        <v>0.87468982630273</v>
      </c>
      <c r="U342" s="129">
        <v>0.88873357562203</v>
      </c>
      <c r="V342" s="129">
        <v>0.909525326537114</v>
      </c>
      <c r="W342" s="129">
        <v>0.897512248690657</v>
      </c>
      <c r="X342" s="131">
        <v>0.92</v>
      </c>
      <c r="Y342" s="131">
        <v>0.93683932346723</v>
      </c>
      <c r="Z342" s="131">
        <v>0.933472367049009</v>
      </c>
      <c r="AA342" s="131">
        <v>0.84570400359874</v>
      </c>
      <c r="AB342" s="131">
        <v>0.935727336001392</v>
      </c>
      <c r="AC342" s="131">
        <v>0.92</v>
      </c>
      <c r="AD342" s="129">
        <v>0.992977836295809</v>
      </c>
      <c r="AE342" s="129">
        <v>0.99131432317273</v>
      </c>
      <c r="AF342" s="129">
        <v>0.956216515795308</v>
      </c>
      <c r="AG342" s="129">
        <v>0.925071406372556</v>
      </c>
      <c r="AH342" s="131">
        <v>0.92</v>
      </c>
      <c r="AI342" s="129">
        <v>0.950585778911959</v>
      </c>
      <c r="AJ342" s="129">
        <v>0.948454838324782</v>
      </c>
      <c r="AK342" s="129">
        <v>0.914381645215445</v>
      </c>
      <c r="AL342" s="129">
        <v>0.951539021362216</v>
      </c>
      <c r="AM342" s="128">
        <v>0.99</v>
      </c>
      <c r="AN342" s="133">
        <v>1</v>
      </c>
      <c r="AO342" s="133">
        <v>1</v>
      </c>
      <c r="AP342" s="133">
        <v>1</v>
      </c>
      <c r="AQ342" s="133">
        <v>1</v>
      </c>
      <c r="AR342" s="153">
        <v>0.0739852556983447</v>
      </c>
      <c r="AS342" s="137">
        <v>0.0512820512820513</v>
      </c>
      <c r="AT342" s="137">
        <v>0.0638297872340425</v>
      </c>
      <c r="AU342" s="137">
        <v>0.0222222222222222</v>
      </c>
      <c r="AV342" s="137">
        <v>0.0527306967984934</v>
      </c>
      <c r="AW342" s="93"/>
      <c r="AX342" s="91"/>
    </row>
    <row r="343" ht="14.5" spans="1:50">
      <c r="A343" s="89"/>
      <c r="B343" s="93"/>
      <c r="C343" s="157" t="s">
        <v>346</v>
      </c>
      <c r="D343" s="126" t="s">
        <v>347</v>
      </c>
      <c r="E343" s="164" t="s">
        <v>364</v>
      </c>
      <c r="F343" s="164" t="s">
        <v>364</v>
      </c>
      <c r="G343" s="164" t="s">
        <v>364</v>
      </c>
      <c r="H343" s="164" t="s">
        <v>364</v>
      </c>
      <c r="I343" s="128">
        <v>0.9</v>
      </c>
      <c r="J343" s="129" t="s">
        <v>33</v>
      </c>
      <c r="K343" s="129" t="s">
        <v>33</v>
      </c>
      <c r="L343" s="130" t="s">
        <v>33</v>
      </c>
      <c r="M343" s="129" t="s">
        <v>33</v>
      </c>
      <c r="N343" s="131">
        <v>0.9</v>
      </c>
      <c r="O343" s="129" t="s">
        <v>33</v>
      </c>
      <c r="P343" s="129" t="s">
        <v>33</v>
      </c>
      <c r="Q343" s="129" t="s">
        <v>33</v>
      </c>
      <c r="R343" s="129" t="s">
        <v>33</v>
      </c>
      <c r="S343" s="131">
        <v>0.9</v>
      </c>
      <c r="T343" s="129" t="s">
        <v>33</v>
      </c>
      <c r="U343" s="129" t="s">
        <v>33</v>
      </c>
      <c r="V343" s="129" t="s">
        <v>33</v>
      </c>
      <c r="W343" s="129" t="s">
        <v>33</v>
      </c>
      <c r="X343" s="131">
        <v>0.92</v>
      </c>
      <c r="Y343" s="131" t="s">
        <v>33</v>
      </c>
      <c r="Z343" s="131" t="s">
        <v>33</v>
      </c>
      <c r="AA343" s="131" t="s">
        <v>33</v>
      </c>
      <c r="AB343" s="131" t="s">
        <v>33</v>
      </c>
      <c r="AC343" s="131">
        <v>0.92</v>
      </c>
      <c r="AD343" s="129">
        <v>1</v>
      </c>
      <c r="AE343" s="129">
        <v>1</v>
      </c>
      <c r="AF343" s="129">
        <v>1</v>
      </c>
      <c r="AG343" s="129">
        <v>0.986343885785227</v>
      </c>
      <c r="AH343" s="131">
        <v>0.92</v>
      </c>
      <c r="AI343" s="129" t="s">
        <v>33</v>
      </c>
      <c r="AJ343" s="129" t="s">
        <v>33</v>
      </c>
      <c r="AK343" s="129" t="s">
        <v>33</v>
      </c>
      <c r="AL343" s="129" t="s">
        <v>33</v>
      </c>
      <c r="AM343" s="128">
        <v>0.99</v>
      </c>
      <c r="AN343" s="133">
        <v>1</v>
      </c>
      <c r="AO343" s="133">
        <v>1</v>
      </c>
      <c r="AP343" s="133">
        <v>1</v>
      </c>
      <c r="AQ343" s="133">
        <v>1</v>
      </c>
      <c r="AR343" s="153">
        <v>0.0739852556983447</v>
      </c>
      <c r="AS343" s="137" t="s">
        <v>33</v>
      </c>
      <c r="AT343" s="137" t="s">
        <v>33</v>
      </c>
      <c r="AU343" s="137" t="s">
        <v>33</v>
      </c>
      <c r="AV343" s="137" t="s">
        <v>33</v>
      </c>
      <c r="AW343" s="93"/>
      <c r="AX343" s="91"/>
    </row>
    <row r="344" ht="14.5" spans="1:50">
      <c r="A344" s="89"/>
      <c r="B344" s="93"/>
      <c r="C344" s="157" t="s">
        <v>346</v>
      </c>
      <c r="D344" s="126" t="s">
        <v>347</v>
      </c>
      <c r="E344" s="164" t="s">
        <v>365</v>
      </c>
      <c r="F344" s="164" t="s">
        <v>365</v>
      </c>
      <c r="G344" s="164" t="s">
        <v>365</v>
      </c>
      <c r="H344" s="164" t="s">
        <v>365</v>
      </c>
      <c r="I344" s="128">
        <v>0.9</v>
      </c>
      <c r="J344" s="129">
        <v>0.965909090909091</v>
      </c>
      <c r="K344" s="129">
        <v>0.936708860759494</v>
      </c>
      <c r="L344" s="130">
        <v>0.951612903225806</v>
      </c>
      <c r="M344" s="129">
        <v>0.935939196525516</v>
      </c>
      <c r="N344" s="131">
        <v>0.9</v>
      </c>
      <c r="O344" s="129">
        <v>0.927461139896373</v>
      </c>
      <c r="P344" s="129">
        <v>0.943396226415094</v>
      </c>
      <c r="Q344" s="129">
        <v>0.933333333333333</v>
      </c>
      <c r="R344" s="129">
        <v>0.933778375240598</v>
      </c>
      <c r="S344" s="131">
        <v>0.9</v>
      </c>
      <c r="T344" s="129">
        <v>0.918317586101798</v>
      </c>
      <c r="U344" s="129">
        <v>0.915295062224006</v>
      </c>
      <c r="V344" s="129">
        <v>0.91203007518797</v>
      </c>
      <c r="W344" s="129">
        <v>0.921633925025205</v>
      </c>
      <c r="X344" s="131">
        <v>0.92</v>
      </c>
      <c r="Y344" s="131">
        <v>0.959668508287293</v>
      </c>
      <c r="Z344" s="131">
        <v>0.947086968758795</v>
      </c>
      <c r="AA344" s="131">
        <v>0.949748743718593</v>
      </c>
      <c r="AB344" s="131">
        <v>0.957269069279216</v>
      </c>
      <c r="AC344" s="131">
        <v>0.92</v>
      </c>
      <c r="AD344" s="129">
        <v>0.994493285672882</v>
      </c>
      <c r="AE344" s="129">
        <v>0.99047700025508</v>
      </c>
      <c r="AF344" s="129">
        <v>0.9740419187933</v>
      </c>
      <c r="AG344" s="129">
        <v>0.99034529409956</v>
      </c>
      <c r="AH344" s="131">
        <v>0.92</v>
      </c>
      <c r="AI344" s="129">
        <v>0.969330777564797</v>
      </c>
      <c r="AJ344" s="129">
        <v>0.959060458192044</v>
      </c>
      <c r="AK344" s="129">
        <v>0.965591397849462</v>
      </c>
      <c r="AL344" s="129">
        <v>0.96883426443203</v>
      </c>
      <c r="AM344" s="128">
        <v>0.99</v>
      </c>
      <c r="AN344" s="133">
        <v>1</v>
      </c>
      <c r="AO344" s="133">
        <v>1</v>
      </c>
      <c r="AP344" s="133">
        <v>1</v>
      </c>
      <c r="AQ344" s="133">
        <v>1</v>
      </c>
      <c r="AR344" s="153">
        <v>0.0739852556983447</v>
      </c>
      <c r="AS344" s="137">
        <v>0.0555555555555556</v>
      </c>
      <c r="AT344" s="137">
        <v>0.0909090909090909</v>
      </c>
      <c r="AU344" s="137">
        <v>0.0882352941176471</v>
      </c>
      <c r="AV344" s="137">
        <v>0.039568345323741</v>
      </c>
      <c r="AW344" s="93"/>
      <c r="AX344" s="91"/>
    </row>
    <row r="345" ht="14.5" spans="1:50">
      <c r="A345" s="89"/>
      <c r="B345" s="93"/>
      <c r="C345" s="157" t="s">
        <v>346</v>
      </c>
      <c r="D345" s="126" t="s">
        <v>347</v>
      </c>
      <c r="E345" s="164" t="s">
        <v>366</v>
      </c>
      <c r="F345" s="164" t="s">
        <v>366</v>
      </c>
      <c r="G345" s="164" t="s">
        <v>366</v>
      </c>
      <c r="H345" s="164" t="s">
        <v>366</v>
      </c>
      <c r="I345" s="128">
        <v>0.9</v>
      </c>
      <c r="J345" s="129" t="s">
        <v>33</v>
      </c>
      <c r="K345" s="129" t="s">
        <v>33</v>
      </c>
      <c r="L345" s="130" t="s">
        <v>33</v>
      </c>
      <c r="M345" s="129" t="s">
        <v>33</v>
      </c>
      <c r="N345" s="131">
        <v>0.9</v>
      </c>
      <c r="O345" s="129">
        <v>1</v>
      </c>
      <c r="P345" s="129">
        <v>1</v>
      </c>
      <c r="Q345" s="129">
        <v>1</v>
      </c>
      <c r="R345" s="129">
        <v>0.894736842105263</v>
      </c>
      <c r="S345" s="131">
        <v>0.9</v>
      </c>
      <c r="T345" s="129">
        <v>0.75</v>
      </c>
      <c r="U345" s="129">
        <v>1</v>
      </c>
      <c r="V345" s="129">
        <v>0.5</v>
      </c>
      <c r="W345" s="129">
        <v>0.736842105263158</v>
      </c>
      <c r="X345" s="131">
        <v>0.92</v>
      </c>
      <c r="Y345" s="131" t="s">
        <v>33</v>
      </c>
      <c r="Z345" s="131">
        <v>1</v>
      </c>
      <c r="AA345" s="131" t="s">
        <v>33</v>
      </c>
      <c r="AB345" s="131">
        <v>1</v>
      </c>
      <c r="AC345" s="131">
        <v>0.92</v>
      </c>
      <c r="AD345" s="129">
        <v>0.99826056705514</v>
      </c>
      <c r="AE345" s="129">
        <v>0.993194444444444</v>
      </c>
      <c r="AF345" s="129">
        <v>0.996685693242497</v>
      </c>
      <c r="AG345" s="129">
        <v>0.992892210742288</v>
      </c>
      <c r="AH345" s="131">
        <v>0.92</v>
      </c>
      <c r="AI345" s="129">
        <v>0.75</v>
      </c>
      <c r="AJ345" s="129">
        <v>1</v>
      </c>
      <c r="AK345" s="129">
        <v>1</v>
      </c>
      <c r="AL345" s="129">
        <v>0.818181818181818</v>
      </c>
      <c r="AM345" s="128">
        <v>0.99</v>
      </c>
      <c r="AN345" s="133">
        <v>1</v>
      </c>
      <c r="AO345" s="133">
        <v>1</v>
      </c>
      <c r="AP345" s="133">
        <v>1</v>
      </c>
      <c r="AQ345" s="133">
        <v>1</v>
      </c>
      <c r="AR345" s="153">
        <v>0.0739852556983447</v>
      </c>
      <c r="AS345" s="137">
        <v>0</v>
      </c>
      <c r="AT345" s="137" t="s">
        <v>33</v>
      </c>
      <c r="AU345" s="137">
        <v>0</v>
      </c>
      <c r="AV345" s="137">
        <v>0</v>
      </c>
      <c r="AW345" s="93"/>
      <c r="AX345" s="91"/>
    </row>
    <row r="346" ht="14.5" spans="1:50">
      <c r="A346" s="89"/>
      <c r="B346" s="93"/>
      <c r="C346" s="157" t="s">
        <v>346</v>
      </c>
      <c r="D346" s="126" t="s">
        <v>347</v>
      </c>
      <c r="E346" s="164" t="s">
        <v>367</v>
      </c>
      <c r="F346" s="164" t="s">
        <v>367</v>
      </c>
      <c r="G346" s="164" t="s">
        <v>367</v>
      </c>
      <c r="H346" s="164" t="s">
        <v>367</v>
      </c>
      <c r="I346" s="128">
        <v>0.9</v>
      </c>
      <c r="J346" s="129" t="s">
        <v>33</v>
      </c>
      <c r="K346" s="129" t="s">
        <v>33</v>
      </c>
      <c r="L346" s="130" t="s">
        <v>33</v>
      </c>
      <c r="M346" s="129" t="s">
        <v>33</v>
      </c>
      <c r="N346" s="131">
        <v>0.9</v>
      </c>
      <c r="O346" s="129" t="s">
        <v>33</v>
      </c>
      <c r="P346" s="129" t="s">
        <v>33</v>
      </c>
      <c r="Q346" s="129" t="s">
        <v>33</v>
      </c>
      <c r="R346" s="129">
        <v>0</v>
      </c>
      <c r="S346" s="131">
        <v>0.9</v>
      </c>
      <c r="T346" s="129" t="s">
        <v>33</v>
      </c>
      <c r="U346" s="129" t="s">
        <v>33</v>
      </c>
      <c r="V346" s="129" t="s">
        <v>33</v>
      </c>
      <c r="W346" s="129">
        <v>0</v>
      </c>
      <c r="X346" s="131">
        <v>0.92</v>
      </c>
      <c r="Y346" s="131" t="s">
        <v>33</v>
      </c>
      <c r="Z346" s="131" t="s">
        <v>33</v>
      </c>
      <c r="AA346" s="131" t="s">
        <v>33</v>
      </c>
      <c r="AB346" s="131" t="s">
        <v>33</v>
      </c>
      <c r="AC346" s="131">
        <v>0.92</v>
      </c>
      <c r="AD346" s="129">
        <v>0.999001996007984</v>
      </c>
      <c r="AE346" s="129">
        <v>0.97752808988764</v>
      </c>
      <c r="AF346" s="129">
        <v>0.773376623376623</v>
      </c>
      <c r="AG346" s="129">
        <v>0.949840994507083</v>
      </c>
      <c r="AH346" s="131">
        <v>0.92</v>
      </c>
      <c r="AI346" s="129" t="s">
        <v>33</v>
      </c>
      <c r="AJ346" s="129" t="s">
        <v>33</v>
      </c>
      <c r="AK346" s="129" t="s">
        <v>33</v>
      </c>
      <c r="AL346" s="129">
        <v>0</v>
      </c>
      <c r="AM346" s="128">
        <v>0.99</v>
      </c>
      <c r="AN346" s="133">
        <v>1</v>
      </c>
      <c r="AO346" s="133">
        <v>1</v>
      </c>
      <c r="AP346" s="133">
        <v>1</v>
      </c>
      <c r="AQ346" s="133">
        <v>1</v>
      </c>
      <c r="AR346" s="153">
        <v>0.0739852556983447</v>
      </c>
      <c r="AS346" s="137" t="s">
        <v>33</v>
      </c>
      <c r="AT346" s="137" t="s">
        <v>33</v>
      </c>
      <c r="AU346" s="137" t="s">
        <v>33</v>
      </c>
      <c r="AV346" s="137" t="s">
        <v>33</v>
      </c>
      <c r="AW346" s="93"/>
      <c r="AX346" s="91"/>
    </row>
    <row r="347" ht="14.5" spans="1:50">
      <c r="A347" s="89"/>
      <c r="B347" s="93"/>
      <c r="C347" s="157" t="s">
        <v>346</v>
      </c>
      <c r="D347" s="126" t="s">
        <v>347</v>
      </c>
      <c r="E347" s="164" t="s">
        <v>368</v>
      </c>
      <c r="F347" s="164" t="s">
        <v>368</v>
      </c>
      <c r="G347" s="164" t="s">
        <v>368</v>
      </c>
      <c r="H347" s="164" t="s">
        <v>368</v>
      </c>
      <c r="I347" s="128">
        <v>0.9</v>
      </c>
      <c r="J347" s="129" t="s">
        <v>33</v>
      </c>
      <c r="K347" s="129" t="s">
        <v>33</v>
      </c>
      <c r="L347" s="130" t="s">
        <v>33</v>
      </c>
      <c r="M347" s="129" t="s">
        <v>33</v>
      </c>
      <c r="N347" s="131">
        <v>0.9</v>
      </c>
      <c r="O347" s="129" t="s">
        <v>33</v>
      </c>
      <c r="P347" s="129" t="s">
        <v>33</v>
      </c>
      <c r="Q347" s="129" t="s">
        <v>33</v>
      </c>
      <c r="R347" s="129">
        <v>0</v>
      </c>
      <c r="S347" s="131">
        <v>0.9</v>
      </c>
      <c r="T347" s="129" t="s">
        <v>33</v>
      </c>
      <c r="U347" s="129" t="s">
        <v>33</v>
      </c>
      <c r="V347" s="129" t="s">
        <v>33</v>
      </c>
      <c r="W347" s="129">
        <v>0.5</v>
      </c>
      <c r="X347" s="131">
        <v>0.92</v>
      </c>
      <c r="Y347" s="131" t="s">
        <v>33</v>
      </c>
      <c r="Z347" s="131" t="s">
        <v>33</v>
      </c>
      <c r="AA347" s="131">
        <v>0</v>
      </c>
      <c r="AB347" s="131">
        <v>0</v>
      </c>
      <c r="AC347" s="131">
        <v>0.92</v>
      </c>
      <c r="AD347" s="129">
        <v>0.998976668031109</v>
      </c>
      <c r="AE347" s="129">
        <v>0.997888513513513</v>
      </c>
      <c r="AF347" s="129">
        <v>0.504424778761062</v>
      </c>
      <c r="AG347" s="129">
        <v>0.940570724871544</v>
      </c>
      <c r="AH347" s="131">
        <v>0.92</v>
      </c>
      <c r="AI347" s="129" t="s">
        <v>33</v>
      </c>
      <c r="AJ347" s="129" t="s">
        <v>33</v>
      </c>
      <c r="AK347" s="129">
        <v>0</v>
      </c>
      <c r="AL347" s="129">
        <v>0.5</v>
      </c>
      <c r="AM347" s="128">
        <v>0.99</v>
      </c>
      <c r="AN347" s="133">
        <v>1</v>
      </c>
      <c r="AO347" s="133">
        <v>1</v>
      </c>
      <c r="AP347" s="133">
        <v>1</v>
      </c>
      <c r="AQ347" s="133">
        <v>1</v>
      </c>
      <c r="AR347" s="153">
        <v>0.0739852556983447</v>
      </c>
      <c r="AS347" s="137">
        <v>0</v>
      </c>
      <c r="AT347" s="137" t="s">
        <v>33</v>
      </c>
      <c r="AU347" s="137" t="s">
        <v>33</v>
      </c>
      <c r="AV347" s="137">
        <v>0</v>
      </c>
      <c r="AW347" s="93"/>
      <c r="AX347" s="91"/>
    </row>
    <row r="348" ht="14.5" spans="1:50">
      <c r="A348" s="89"/>
      <c r="B348" s="93"/>
      <c r="C348" s="157" t="s">
        <v>346</v>
      </c>
      <c r="D348" s="126" t="s">
        <v>347</v>
      </c>
      <c r="E348" s="164" t="s">
        <v>369</v>
      </c>
      <c r="F348" s="164" t="s">
        <v>369</v>
      </c>
      <c r="G348" s="164" t="s">
        <v>369</v>
      </c>
      <c r="H348" s="164" t="s">
        <v>369</v>
      </c>
      <c r="I348" s="128">
        <v>0.9</v>
      </c>
      <c r="J348" s="129" t="s">
        <v>33</v>
      </c>
      <c r="K348" s="129" t="s">
        <v>33</v>
      </c>
      <c r="L348" s="130" t="s">
        <v>33</v>
      </c>
      <c r="M348" s="129" t="s">
        <v>33</v>
      </c>
      <c r="N348" s="131">
        <v>0.9</v>
      </c>
      <c r="O348" s="129">
        <v>0.333333333333333</v>
      </c>
      <c r="P348" s="129">
        <v>1</v>
      </c>
      <c r="Q348" s="129">
        <v>1</v>
      </c>
      <c r="R348" s="129">
        <v>0.8</v>
      </c>
      <c r="S348" s="131">
        <v>0.9</v>
      </c>
      <c r="T348" s="129">
        <v>0.5</v>
      </c>
      <c r="U348" s="129">
        <v>1</v>
      </c>
      <c r="V348" s="129">
        <v>1</v>
      </c>
      <c r="W348" s="129">
        <v>0.8</v>
      </c>
      <c r="X348" s="131">
        <v>0.92</v>
      </c>
      <c r="Y348" s="131" t="s">
        <v>33</v>
      </c>
      <c r="Z348" s="131" t="s">
        <v>33</v>
      </c>
      <c r="AA348" s="131" t="s">
        <v>33</v>
      </c>
      <c r="AB348" s="131">
        <v>0.142857142857143</v>
      </c>
      <c r="AC348" s="131">
        <v>0.92</v>
      </c>
      <c r="AD348" s="129">
        <v>0.971328671328671</v>
      </c>
      <c r="AE348" s="129">
        <v>0.979485032447143</v>
      </c>
      <c r="AF348" s="129">
        <v>0.956786508958894</v>
      </c>
      <c r="AG348" s="129">
        <v>0.803479369002336</v>
      </c>
      <c r="AH348" s="131">
        <v>0.92</v>
      </c>
      <c r="AI348" s="129">
        <v>0.5</v>
      </c>
      <c r="AJ348" s="129">
        <v>1</v>
      </c>
      <c r="AK348" s="129">
        <v>1</v>
      </c>
      <c r="AL348" s="129">
        <v>0.705882352941177</v>
      </c>
      <c r="AM348" s="128">
        <v>0.99</v>
      </c>
      <c r="AN348" s="133">
        <v>1</v>
      </c>
      <c r="AO348" s="133">
        <v>1</v>
      </c>
      <c r="AP348" s="133">
        <v>1</v>
      </c>
      <c r="AQ348" s="133">
        <v>1</v>
      </c>
      <c r="AR348" s="153">
        <v>0.0739852556983447</v>
      </c>
      <c r="AS348" s="137">
        <v>0</v>
      </c>
      <c r="AT348" s="137">
        <v>0</v>
      </c>
      <c r="AU348" s="137" t="s">
        <v>33</v>
      </c>
      <c r="AV348" s="137">
        <v>0</v>
      </c>
      <c r="AW348" s="93"/>
      <c r="AX348" s="91"/>
    </row>
    <row r="349" ht="14.5" spans="1:50">
      <c r="A349" s="89"/>
      <c r="B349" s="93"/>
      <c r="C349" s="157" t="s">
        <v>346</v>
      </c>
      <c r="D349" s="126" t="s">
        <v>347</v>
      </c>
      <c r="E349" s="164" t="s">
        <v>370</v>
      </c>
      <c r="F349" s="164" t="s">
        <v>370</v>
      </c>
      <c r="G349" s="164" t="s">
        <v>370</v>
      </c>
      <c r="H349" s="164" t="s">
        <v>370</v>
      </c>
      <c r="I349" s="128">
        <v>0.9</v>
      </c>
      <c r="J349" s="129" t="s">
        <v>33</v>
      </c>
      <c r="K349" s="129" t="s">
        <v>33</v>
      </c>
      <c r="L349" s="130" t="s">
        <v>33</v>
      </c>
      <c r="M349" s="129" t="s">
        <v>33</v>
      </c>
      <c r="N349" s="131">
        <v>0.9</v>
      </c>
      <c r="O349" s="129">
        <v>0</v>
      </c>
      <c r="P349" s="129">
        <v>0</v>
      </c>
      <c r="Q349" s="129">
        <v>0</v>
      </c>
      <c r="R349" s="129">
        <v>0.0249343832020997</v>
      </c>
      <c r="S349" s="131">
        <v>0.9</v>
      </c>
      <c r="T349" s="129">
        <v>0</v>
      </c>
      <c r="U349" s="129">
        <v>0</v>
      </c>
      <c r="V349" s="129">
        <v>0.0117647058823529</v>
      </c>
      <c r="W349" s="129">
        <v>0.0249343832020997</v>
      </c>
      <c r="X349" s="131">
        <v>0.92</v>
      </c>
      <c r="Y349" s="131" t="s">
        <v>33</v>
      </c>
      <c r="Z349" s="131" t="s">
        <v>33</v>
      </c>
      <c r="AA349" s="131">
        <v>1</v>
      </c>
      <c r="AB349" s="131">
        <v>0.5</v>
      </c>
      <c r="AC349" s="131">
        <v>0.92</v>
      </c>
      <c r="AD349" s="129">
        <v>0.999734325185972</v>
      </c>
      <c r="AE349" s="129">
        <v>0.913080011203436</v>
      </c>
      <c r="AF349" s="129">
        <v>0.928286852589641</v>
      </c>
      <c r="AG349" s="129">
        <v>0.916215689861727</v>
      </c>
      <c r="AH349" s="131">
        <v>0.92</v>
      </c>
      <c r="AI349" s="129">
        <v>0.954022988505747</v>
      </c>
      <c r="AJ349" s="129">
        <v>0.19047619047619</v>
      </c>
      <c r="AK349" s="129">
        <v>0.895348837209302</v>
      </c>
      <c r="AL349" s="129">
        <v>0.738219895287958</v>
      </c>
      <c r="AM349" s="128">
        <v>0.99</v>
      </c>
      <c r="AN349" s="133">
        <v>1</v>
      </c>
      <c r="AO349" s="133">
        <v>1</v>
      </c>
      <c r="AP349" s="133">
        <v>1</v>
      </c>
      <c r="AQ349" s="133">
        <v>1</v>
      </c>
      <c r="AR349" s="153">
        <v>0.0739852556983447</v>
      </c>
      <c r="AS349" s="137">
        <v>0</v>
      </c>
      <c r="AT349" s="137">
        <v>0</v>
      </c>
      <c r="AU349" s="137">
        <v>0</v>
      </c>
      <c r="AV349" s="137">
        <v>0</v>
      </c>
      <c r="AW349" s="93"/>
      <c r="AX349" s="91"/>
    </row>
    <row r="350" ht="14.5" spans="1:50">
      <c r="A350" s="89"/>
      <c r="B350" s="93"/>
      <c r="C350" s="154"/>
      <c r="D350" s="154"/>
      <c r="E350" s="154"/>
      <c r="F350" s="154"/>
      <c r="G350" s="154"/>
      <c r="H350" s="154"/>
      <c r="I350" s="156"/>
      <c r="J350" s="143"/>
      <c r="K350" s="143"/>
      <c r="L350" s="130"/>
      <c r="M350" s="143"/>
      <c r="N350" s="146"/>
      <c r="O350" s="143"/>
      <c r="P350" s="143"/>
      <c r="Q350" s="129"/>
      <c r="R350" s="143"/>
      <c r="S350" s="146"/>
      <c r="T350" s="143"/>
      <c r="U350" s="143"/>
      <c r="V350" s="129"/>
      <c r="W350" s="143"/>
      <c r="X350" s="146"/>
      <c r="Y350" s="146"/>
      <c r="Z350" s="146"/>
      <c r="AA350" s="131"/>
      <c r="AB350" s="146"/>
      <c r="AC350" s="143"/>
      <c r="AD350" s="143"/>
      <c r="AE350" s="143"/>
      <c r="AF350" s="129"/>
      <c r="AG350" s="143"/>
      <c r="AH350" s="143"/>
      <c r="AI350" s="143"/>
      <c r="AJ350" s="143"/>
      <c r="AK350" s="129"/>
      <c r="AL350" s="143"/>
      <c r="AM350" s="142"/>
      <c r="AN350" s="142"/>
      <c r="AO350" s="142"/>
      <c r="AP350" s="133"/>
      <c r="AQ350" s="142"/>
      <c r="AR350" s="143"/>
      <c r="AS350" s="142"/>
      <c r="AT350" s="142"/>
      <c r="AU350" s="137"/>
      <c r="AV350" s="142"/>
      <c r="AW350" s="93"/>
      <c r="AX350" s="91"/>
    </row>
    <row r="351" ht="14.5" spans="1:50">
      <c r="A351" s="89"/>
      <c r="B351" s="93"/>
      <c r="C351" s="148" t="s">
        <v>371</v>
      </c>
      <c r="D351" s="126" t="s">
        <v>372</v>
      </c>
      <c r="E351" s="149" t="s">
        <v>373</v>
      </c>
      <c r="F351" s="149" t="s">
        <v>373</v>
      </c>
      <c r="G351" s="149" t="s">
        <v>373</v>
      </c>
      <c r="H351" s="149" t="s">
        <v>373</v>
      </c>
      <c r="I351" s="128">
        <v>0.9</v>
      </c>
      <c r="J351" s="129">
        <v>0.934782608695652</v>
      </c>
      <c r="K351" s="129">
        <v>0.897435897435897</v>
      </c>
      <c r="L351" s="130">
        <v>0.906976744186046</v>
      </c>
      <c r="M351" s="129">
        <v>0.907258064516129</v>
      </c>
      <c r="N351" s="131">
        <v>0.9</v>
      </c>
      <c r="O351" s="129">
        <v>0.946712670116925</v>
      </c>
      <c r="P351" s="129">
        <v>0.978712620375063</v>
      </c>
      <c r="Q351" s="129">
        <v>0.979979466119096</v>
      </c>
      <c r="R351" s="129">
        <v>0.964112993229335</v>
      </c>
      <c r="S351" s="131">
        <v>0.9</v>
      </c>
      <c r="T351" s="129">
        <v>0.743530764807361</v>
      </c>
      <c r="U351" s="129">
        <v>0.823112012164217</v>
      </c>
      <c r="V351" s="129">
        <v>0.79799794661191</v>
      </c>
      <c r="W351" s="129">
        <v>0.810074154906872</v>
      </c>
      <c r="X351" s="131">
        <v>0.92</v>
      </c>
      <c r="Y351" s="131">
        <v>0.845704753961635</v>
      </c>
      <c r="Z351" s="131">
        <v>0.879256965944272</v>
      </c>
      <c r="AA351" s="131">
        <v>0.852331606217617</v>
      </c>
      <c r="AB351" s="131">
        <v>0.853244837758112</v>
      </c>
      <c r="AC351" s="131">
        <v>0.92</v>
      </c>
      <c r="AD351" s="129">
        <v>0.990291262135922</v>
      </c>
      <c r="AE351" s="129">
        <v>0.972508591065292</v>
      </c>
      <c r="AF351" s="129">
        <v>0.963615023474178</v>
      </c>
      <c r="AG351" s="129">
        <v>0.971998465669352</v>
      </c>
      <c r="AH351" s="131">
        <v>0.92</v>
      </c>
      <c r="AI351" s="129">
        <v>0.934745366765301</v>
      </c>
      <c r="AJ351" s="129">
        <v>0.919779546846295</v>
      </c>
      <c r="AK351" s="129">
        <v>0.946252676659529</v>
      </c>
      <c r="AL351" s="129">
        <v>0.933781100988923</v>
      </c>
      <c r="AM351" s="128">
        <v>0.99</v>
      </c>
      <c r="AN351" s="133">
        <v>1</v>
      </c>
      <c r="AO351" s="133">
        <v>1</v>
      </c>
      <c r="AP351" s="133">
        <v>1</v>
      </c>
      <c r="AQ351" s="133">
        <v>1</v>
      </c>
      <c r="AR351" s="153">
        <v>0.05</v>
      </c>
      <c r="AS351" s="137">
        <v>0</v>
      </c>
      <c r="AT351" s="137">
        <v>0.272727272727273</v>
      </c>
      <c r="AU351" s="137">
        <v>0.111111111111111</v>
      </c>
      <c r="AV351" s="137">
        <v>0.0581395348837209</v>
      </c>
      <c r="AW351" s="93"/>
      <c r="AX351" s="91"/>
    </row>
    <row r="352" ht="14.5" spans="1:50">
      <c r="A352" s="89"/>
      <c r="B352" s="93"/>
      <c r="C352" s="148" t="s">
        <v>371</v>
      </c>
      <c r="D352" s="126" t="s">
        <v>372</v>
      </c>
      <c r="E352" s="149" t="s">
        <v>374</v>
      </c>
      <c r="F352" s="149" t="s">
        <v>374</v>
      </c>
      <c r="G352" s="149" t="s">
        <v>374</v>
      </c>
      <c r="H352" s="149" t="s">
        <v>374</v>
      </c>
      <c r="I352" s="128">
        <v>0.9</v>
      </c>
      <c r="J352" s="129">
        <v>1</v>
      </c>
      <c r="K352" s="129">
        <v>1</v>
      </c>
      <c r="L352" s="130">
        <v>1</v>
      </c>
      <c r="M352" s="129">
        <v>0.979166666666667</v>
      </c>
      <c r="N352" s="131">
        <v>0.9</v>
      </c>
      <c r="O352" s="129">
        <v>0.990172642762284</v>
      </c>
      <c r="P352" s="129">
        <v>0.992086330935252</v>
      </c>
      <c r="Q352" s="129">
        <v>0.979734996102884</v>
      </c>
      <c r="R352" s="129">
        <v>0.993503016456645</v>
      </c>
      <c r="S352" s="131">
        <v>0.9</v>
      </c>
      <c r="T352" s="129">
        <v>0.790172642762284</v>
      </c>
      <c r="U352" s="129">
        <v>0.87841726618705</v>
      </c>
      <c r="V352" s="129">
        <v>0.802805923616524</v>
      </c>
      <c r="W352" s="129">
        <v>0.834790989897548</v>
      </c>
      <c r="X352" s="131">
        <v>0.92</v>
      </c>
      <c r="Y352" s="131">
        <v>0.943396226415094</v>
      </c>
      <c r="Z352" s="131">
        <v>0.94392523364486</v>
      </c>
      <c r="AA352" s="131">
        <v>0.948844884488449</v>
      </c>
      <c r="AB352" s="131">
        <v>0.947513100249119</v>
      </c>
      <c r="AC352" s="131">
        <v>0.92</v>
      </c>
      <c r="AD352" s="129">
        <v>0.997045790251108</v>
      </c>
      <c r="AE352" s="129">
        <v>0.997826086956522</v>
      </c>
      <c r="AF352" s="129">
        <v>0.991341991341991</v>
      </c>
      <c r="AG352" s="129">
        <v>0.995635744318484</v>
      </c>
      <c r="AH352" s="131">
        <v>0.92</v>
      </c>
      <c r="AI352" s="129">
        <v>0.968296726067136</v>
      </c>
      <c r="AJ352" s="129">
        <v>0.967679127725857</v>
      </c>
      <c r="AK352" s="129">
        <v>0.977931904161412</v>
      </c>
      <c r="AL352" s="129">
        <v>0.973525629711808</v>
      </c>
      <c r="AM352" s="128">
        <v>0.99</v>
      </c>
      <c r="AN352" s="133">
        <v>1</v>
      </c>
      <c r="AO352" s="133">
        <v>1</v>
      </c>
      <c r="AP352" s="133">
        <v>1</v>
      </c>
      <c r="AQ352" s="133">
        <v>1</v>
      </c>
      <c r="AR352" s="153">
        <v>0.05</v>
      </c>
      <c r="AS352" s="137">
        <v>0.0588235294117647</v>
      </c>
      <c r="AT352" s="137">
        <v>0.2</v>
      </c>
      <c r="AU352" s="137">
        <v>0</v>
      </c>
      <c r="AV352" s="137">
        <v>0.0606060606060606</v>
      </c>
      <c r="AW352" s="93"/>
      <c r="AX352" s="91"/>
    </row>
    <row r="353" ht="14.5" spans="1:50">
      <c r="A353" s="89"/>
      <c r="B353" s="93"/>
      <c r="C353" s="148" t="s">
        <v>371</v>
      </c>
      <c r="D353" s="126" t="s">
        <v>372</v>
      </c>
      <c r="E353" s="149" t="s">
        <v>375</v>
      </c>
      <c r="F353" s="149" t="s">
        <v>375</v>
      </c>
      <c r="G353" s="149" t="s">
        <v>375</v>
      </c>
      <c r="H353" s="149" t="s">
        <v>375</v>
      </c>
      <c r="I353" s="128">
        <v>0.9</v>
      </c>
      <c r="J353" s="129">
        <v>1</v>
      </c>
      <c r="K353" s="129">
        <v>0.972222222222222</v>
      </c>
      <c r="L353" s="130">
        <v>0.911111111111111</v>
      </c>
      <c r="M353" s="129">
        <v>0.957407407407407</v>
      </c>
      <c r="N353" s="131">
        <v>0.9</v>
      </c>
      <c r="O353" s="129">
        <v>0.981629769194536</v>
      </c>
      <c r="P353" s="129">
        <v>0.976205385097057</v>
      </c>
      <c r="Q353" s="129">
        <v>0.922550544323484</v>
      </c>
      <c r="R353" s="129">
        <v>0.955984863572993</v>
      </c>
      <c r="S353" s="131">
        <v>0.9</v>
      </c>
      <c r="T353" s="129">
        <v>0.771078662270372</v>
      </c>
      <c r="U353" s="129">
        <v>0.855353788353162</v>
      </c>
      <c r="V353" s="129">
        <v>0.7900466562986</v>
      </c>
      <c r="W353" s="129">
        <v>0.797166187725837</v>
      </c>
      <c r="X353" s="131">
        <v>0.92</v>
      </c>
      <c r="Y353" s="131">
        <v>0.912655971479501</v>
      </c>
      <c r="Z353" s="131">
        <v>0.915531335149864</v>
      </c>
      <c r="AA353" s="131">
        <v>0.91692789968652</v>
      </c>
      <c r="AB353" s="131">
        <v>0.879376819576678</v>
      </c>
      <c r="AC353" s="131">
        <v>0.92</v>
      </c>
      <c r="AD353" s="129">
        <v>0.998137108792846</v>
      </c>
      <c r="AE353" s="129">
        <v>0.99640640313623</v>
      </c>
      <c r="AF353" s="129">
        <v>0.996413628212791</v>
      </c>
      <c r="AG353" s="129">
        <v>0.981663026362574</v>
      </c>
      <c r="AH353" s="131">
        <v>0.92</v>
      </c>
      <c r="AI353" s="129">
        <v>0.965549348230912</v>
      </c>
      <c r="AJ353" s="129">
        <v>0.954798073360504</v>
      </c>
      <c r="AK353" s="129">
        <v>0.974571873378308</v>
      </c>
      <c r="AL353" s="129">
        <v>0.953747806467786</v>
      </c>
      <c r="AM353" s="128">
        <v>0.99</v>
      </c>
      <c r="AN353" s="133">
        <v>1</v>
      </c>
      <c r="AO353" s="133">
        <v>1</v>
      </c>
      <c r="AP353" s="133">
        <v>1</v>
      </c>
      <c r="AQ353" s="133">
        <v>1</v>
      </c>
      <c r="AR353" s="153">
        <v>0.05</v>
      </c>
      <c r="AS353" s="137">
        <v>0.1</v>
      </c>
      <c r="AT353" s="137">
        <v>0</v>
      </c>
      <c r="AU353" s="137">
        <v>0</v>
      </c>
      <c r="AV353" s="137">
        <v>0.0608108108108108</v>
      </c>
      <c r="AW353" s="93"/>
      <c r="AX353" s="91"/>
    </row>
    <row r="354" ht="14.5" spans="1:50">
      <c r="A354" s="89"/>
      <c r="B354" s="93"/>
      <c r="C354" s="148" t="s">
        <v>371</v>
      </c>
      <c r="D354" s="126" t="s">
        <v>372</v>
      </c>
      <c r="E354" s="149" t="s">
        <v>376</v>
      </c>
      <c r="F354" s="149" t="s">
        <v>376</v>
      </c>
      <c r="G354" s="149" t="s">
        <v>376</v>
      </c>
      <c r="H354" s="149" t="s">
        <v>376</v>
      </c>
      <c r="I354" s="128">
        <v>0.9</v>
      </c>
      <c r="J354" s="129">
        <v>0.963636363636364</v>
      </c>
      <c r="K354" s="129">
        <v>0.977272727272727</v>
      </c>
      <c r="L354" s="130">
        <v>1</v>
      </c>
      <c r="M354" s="129">
        <v>0.934453781512605</v>
      </c>
      <c r="N354" s="131">
        <v>0.9</v>
      </c>
      <c r="O354" s="129">
        <v>0.954405962297238</v>
      </c>
      <c r="P354" s="129">
        <v>0.897196261682243</v>
      </c>
      <c r="Q354" s="129">
        <v>0.906032006565449</v>
      </c>
      <c r="R354" s="129">
        <v>0.911338293710806</v>
      </c>
      <c r="S354" s="131">
        <v>0.9</v>
      </c>
      <c r="T354" s="129">
        <v>0.561595791319597</v>
      </c>
      <c r="U354" s="129">
        <v>0.716164762893735</v>
      </c>
      <c r="V354" s="129">
        <v>0.665572425112844</v>
      </c>
      <c r="W354" s="129">
        <v>0.681265501179602</v>
      </c>
      <c r="X354" s="131">
        <v>0.92</v>
      </c>
      <c r="Y354" s="131">
        <v>0.903423607562596</v>
      </c>
      <c r="Z354" s="131">
        <v>0.832535885167464</v>
      </c>
      <c r="AA354" s="131">
        <v>0.80564263322884</v>
      </c>
      <c r="AB354" s="131">
        <v>0.816997518610422</v>
      </c>
      <c r="AC354" s="131">
        <v>0.92</v>
      </c>
      <c r="AD354" s="129">
        <v>0.99327731092437</v>
      </c>
      <c r="AE354" s="129">
        <v>0.980891719745223</v>
      </c>
      <c r="AF354" s="129">
        <v>0.885125184094256</v>
      </c>
      <c r="AG354" s="129">
        <v>0.977136431784108</v>
      </c>
      <c r="AH354" s="131">
        <v>0.92</v>
      </c>
      <c r="AI354" s="129">
        <v>0.951424355918738</v>
      </c>
      <c r="AJ354" s="129">
        <v>0.915129924559933</v>
      </c>
      <c r="AK354" s="129">
        <v>0.942901234567901</v>
      </c>
      <c r="AL354" s="129">
        <v>0.92919184570385</v>
      </c>
      <c r="AM354" s="128">
        <v>0.99</v>
      </c>
      <c r="AN354" s="133">
        <v>1</v>
      </c>
      <c r="AO354" s="133">
        <v>1</v>
      </c>
      <c r="AP354" s="133">
        <v>1</v>
      </c>
      <c r="AQ354" s="133">
        <v>1</v>
      </c>
      <c r="AR354" s="153">
        <v>0.05</v>
      </c>
      <c r="AS354" s="137">
        <v>0.217391304347826</v>
      </c>
      <c r="AT354" s="137">
        <v>0</v>
      </c>
      <c r="AU354" s="137">
        <v>0</v>
      </c>
      <c r="AV354" s="137">
        <v>0.0886075949367089</v>
      </c>
      <c r="AW354" s="93"/>
      <c r="AX354" s="91"/>
    </row>
    <row r="355" ht="14.5" spans="1:50">
      <c r="A355" s="89"/>
      <c r="B355" s="93"/>
      <c r="C355" s="148" t="s">
        <v>371</v>
      </c>
      <c r="D355" s="126" t="s">
        <v>372</v>
      </c>
      <c r="E355" s="149" t="s">
        <v>377</v>
      </c>
      <c r="F355" s="149" t="s">
        <v>377</v>
      </c>
      <c r="G355" s="149" t="s">
        <v>377</v>
      </c>
      <c r="H355" s="149" t="s">
        <v>377</v>
      </c>
      <c r="I355" s="128">
        <v>0.9</v>
      </c>
      <c r="J355" s="129">
        <v>0.909090909090909</v>
      </c>
      <c r="K355" s="129">
        <v>1</v>
      </c>
      <c r="L355" s="130">
        <v>1</v>
      </c>
      <c r="M355" s="129">
        <v>0.96969696969697</v>
      </c>
      <c r="N355" s="131">
        <v>0.9</v>
      </c>
      <c r="O355" s="129">
        <v>0.977829942618675</v>
      </c>
      <c r="P355" s="129">
        <v>0.987821380243572</v>
      </c>
      <c r="Q355" s="129">
        <v>0.98569332355099</v>
      </c>
      <c r="R355" s="129">
        <v>0.986837169650469</v>
      </c>
      <c r="S355" s="131">
        <v>0.9</v>
      </c>
      <c r="T355" s="129">
        <v>0.778821074595722</v>
      </c>
      <c r="U355" s="129">
        <v>0.916779431664411</v>
      </c>
      <c r="V355" s="129">
        <v>0.78503301540719</v>
      </c>
      <c r="W355" s="129">
        <v>0.851014492753623</v>
      </c>
      <c r="X355" s="131">
        <v>0.92</v>
      </c>
      <c r="Y355" s="131">
        <v>0.905320108205591</v>
      </c>
      <c r="Z355" s="131">
        <v>0.929464285714286</v>
      </c>
      <c r="AA355" s="131">
        <v>0.802197802197802</v>
      </c>
      <c r="AB355" s="131">
        <v>0.888365559411668</v>
      </c>
      <c r="AC355" s="131">
        <v>0.92</v>
      </c>
      <c r="AD355" s="129">
        <v>0.999444444444444</v>
      </c>
      <c r="AE355" s="129">
        <v>1</v>
      </c>
      <c r="AF355" s="129">
        <v>0.995820668693009</v>
      </c>
      <c r="AG355" s="129">
        <v>0.9985871049781</v>
      </c>
      <c r="AH355" s="131">
        <v>0.92</v>
      </c>
      <c r="AI355" s="129">
        <v>0.960161779575329</v>
      </c>
      <c r="AJ355" s="129">
        <v>0.963818321785989</v>
      </c>
      <c r="AK355" s="129">
        <v>0.949747249479631</v>
      </c>
      <c r="AL355" s="129">
        <v>0.955253059155745</v>
      </c>
      <c r="AM355" s="128">
        <v>0.99</v>
      </c>
      <c r="AN355" s="133">
        <v>1</v>
      </c>
      <c r="AO355" s="133">
        <v>1</v>
      </c>
      <c r="AP355" s="133">
        <v>1</v>
      </c>
      <c r="AQ355" s="133">
        <v>1</v>
      </c>
      <c r="AR355" s="153">
        <v>0.05</v>
      </c>
      <c r="AS355" s="137">
        <v>0.166666666666667</v>
      </c>
      <c r="AT355" s="137">
        <v>0</v>
      </c>
      <c r="AU355" s="137">
        <v>0.125</v>
      </c>
      <c r="AV355" s="137">
        <v>0.0642201834862385</v>
      </c>
      <c r="AW355" s="93"/>
      <c r="AX355" s="91"/>
    </row>
    <row r="356" ht="14.5" spans="1:50">
      <c r="A356" s="89"/>
      <c r="B356" s="93"/>
      <c r="C356" s="148" t="s">
        <v>371</v>
      </c>
      <c r="D356" s="126" t="s">
        <v>372</v>
      </c>
      <c r="E356" s="149" t="s">
        <v>378</v>
      </c>
      <c r="F356" s="149" t="s">
        <v>378</v>
      </c>
      <c r="G356" s="149" t="s">
        <v>378</v>
      </c>
      <c r="H356" s="149" t="s">
        <v>378</v>
      </c>
      <c r="I356" s="128">
        <v>0.9</v>
      </c>
      <c r="J356" s="129">
        <v>0.982758620689655</v>
      </c>
      <c r="K356" s="129">
        <v>0.91304347826087</v>
      </c>
      <c r="L356" s="130">
        <v>0.923076923076923</v>
      </c>
      <c r="M356" s="129">
        <v>0.933544303797468</v>
      </c>
      <c r="N356" s="131">
        <v>0.9</v>
      </c>
      <c r="O356" s="129">
        <v>0.980129493190444</v>
      </c>
      <c r="P356" s="129">
        <v>0.970767356881851</v>
      </c>
      <c r="Q356" s="129">
        <v>0.980975029726516</v>
      </c>
      <c r="R356" s="129">
        <v>0.978655311762632</v>
      </c>
      <c r="S356" s="131">
        <v>0.9</v>
      </c>
      <c r="T356" s="129">
        <v>0.905782540745702</v>
      </c>
      <c r="U356" s="129">
        <v>0.90925700365408</v>
      </c>
      <c r="V356" s="129">
        <v>0.891200951248514</v>
      </c>
      <c r="W356" s="129">
        <v>0.911339535136015</v>
      </c>
      <c r="X356" s="131">
        <v>0.92</v>
      </c>
      <c r="Y356" s="131">
        <v>0.91588785046729</v>
      </c>
      <c r="Z356" s="131">
        <v>0.880046811000585</v>
      </c>
      <c r="AA356" s="131">
        <v>0.859358841778697</v>
      </c>
      <c r="AB356" s="131">
        <v>0.881856540084388</v>
      </c>
      <c r="AC356" s="131">
        <v>0.92</v>
      </c>
      <c r="AD356" s="129">
        <v>0.992779783393502</v>
      </c>
      <c r="AE356" s="129">
        <v>0.986270022883295</v>
      </c>
      <c r="AF356" s="129">
        <v>0.990131578947368</v>
      </c>
      <c r="AG356" s="129">
        <v>0.989405803777061</v>
      </c>
      <c r="AH356" s="131">
        <v>0.92</v>
      </c>
      <c r="AI356" s="129">
        <v>0.962380872763752</v>
      </c>
      <c r="AJ356" s="129">
        <v>0.924932975871314</v>
      </c>
      <c r="AK356" s="129">
        <v>0.956130223966751</v>
      </c>
      <c r="AL356" s="129">
        <v>0.947749283615655</v>
      </c>
      <c r="AM356" s="128">
        <v>0.99</v>
      </c>
      <c r="AN356" s="133">
        <v>1</v>
      </c>
      <c r="AO356" s="133">
        <v>1</v>
      </c>
      <c r="AP356" s="133">
        <v>1</v>
      </c>
      <c r="AQ356" s="133">
        <v>1</v>
      </c>
      <c r="AR356" s="153">
        <v>0.05</v>
      </c>
      <c r="AS356" s="137">
        <v>0</v>
      </c>
      <c r="AT356" s="137">
        <v>0.25</v>
      </c>
      <c r="AU356" s="137">
        <v>0</v>
      </c>
      <c r="AV356" s="137">
        <v>0.0393700787401575</v>
      </c>
      <c r="AW356" s="93"/>
      <c r="AX356" s="91"/>
    </row>
    <row r="357" ht="14.5" spans="1:50">
      <c r="A357" s="89"/>
      <c r="B357" s="93"/>
      <c r="C357" s="148" t="s">
        <v>371</v>
      </c>
      <c r="D357" s="126" t="s">
        <v>372</v>
      </c>
      <c r="E357" s="149" t="s">
        <v>379</v>
      </c>
      <c r="F357" s="149" t="s">
        <v>379</v>
      </c>
      <c r="G357" s="149" t="s">
        <v>379</v>
      </c>
      <c r="H357" s="149" t="s">
        <v>379</v>
      </c>
      <c r="I357" s="128">
        <v>0.9</v>
      </c>
      <c r="J357" s="129">
        <v>0.972972972972973</v>
      </c>
      <c r="K357" s="129">
        <v>0.962962962962963</v>
      </c>
      <c r="L357" s="130">
        <v>0.925925925925926</v>
      </c>
      <c r="M357" s="129">
        <v>0.981081081081081</v>
      </c>
      <c r="N357" s="131">
        <v>0.9</v>
      </c>
      <c r="O357" s="129">
        <v>0.98276299112801</v>
      </c>
      <c r="P357" s="129">
        <v>0.981607629427793</v>
      </c>
      <c r="Q357" s="129">
        <v>0.952459557609772</v>
      </c>
      <c r="R357" s="129">
        <v>0.977478767057925</v>
      </c>
      <c r="S357" s="131">
        <v>0.9</v>
      </c>
      <c r="T357" s="129">
        <v>0.932065906210393</v>
      </c>
      <c r="U357" s="129">
        <v>0.927111716621253</v>
      </c>
      <c r="V357" s="129">
        <v>0.879828326180258</v>
      </c>
      <c r="W357" s="129">
        <v>0.927823901771798</v>
      </c>
      <c r="X357" s="131">
        <v>0.92</v>
      </c>
      <c r="Y357" s="131">
        <v>0.911205073995772</v>
      </c>
      <c r="Z357" s="131">
        <v>0.922131147540984</v>
      </c>
      <c r="AA357" s="131">
        <v>0.903525046382189</v>
      </c>
      <c r="AB357" s="131">
        <v>0.917561385491551</v>
      </c>
      <c r="AC357" s="131">
        <v>0.92</v>
      </c>
      <c r="AD357" s="129">
        <v>1</v>
      </c>
      <c r="AE357" s="129">
        <v>1</v>
      </c>
      <c r="AF357" s="129">
        <v>0.990990990990991</v>
      </c>
      <c r="AG357" s="129">
        <v>0.997321428571429</v>
      </c>
      <c r="AH357" s="131">
        <v>0.92</v>
      </c>
      <c r="AI357" s="129">
        <v>0.965658217497956</v>
      </c>
      <c r="AJ357" s="129">
        <v>0.951349141455437</v>
      </c>
      <c r="AK357" s="129">
        <v>0.941143497757848</v>
      </c>
      <c r="AL357" s="129">
        <v>0.959914611005693</v>
      </c>
      <c r="AM357" s="128">
        <v>0.99</v>
      </c>
      <c r="AN357" s="133">
        <v>1</v>
      </c>
      <c r="AO357" s="133">
        <v>1</v>
      </c>
      <c r="AP357" s="133">
        <v>1</v>
      </c>
      <c r="AQ357" s="133">
        <v>1</v>
      </c>
      <c r="AR357" s="153">
        <v>0.05</v>
      </c>
      <c r="AS357" s="137">
        <v>0</v>
      </c>
      <c r="AT357" s="137">
        <v>0</v>
      </c>
      <c r="AU357" s="137">
        <v>0.2</v>
      </c>
      <c r="AV357" s="137">
        <v>0.032967032967033</v>
      </c>
      <c r="AW357" s="93"/>
      <c r="AX357" s="91"/>
    </row>
    <row r="358" ht="14.5" spans="1:50">
      <c r="A358" s="89"/>
      <c r="B358" s="93"/>
      <c r="C358" s="148" t="s">
        <v>371</v>
      </c>
      <c r="D358" s="126" t="s">
        <v>372</v>
      </c>
      <c r="E358" s="165" t="s">
        <v>380</v>
      </c>
      <c r="F358" s="165" t="s">
        <v>380</v>
      </c>
      <c r="G358" s="165" t="s">
        <v>380</v>
      </c>
      <c r="H358" s="165" t="s">
        <v>380</v>
      </c>
      <c r="I358" s="128">
        <v>0.9</v>
      </c>
      <c r="J358" s="129">
        <v>0.909090909090909</v>
      </c>
      <c r="K358" s="129">
        <v>0.823529411764706</v>
      </c>
      <c r="L358" s="130">
        <v>0.85</v>
      </c>
      <c r="M358" s="129">
        <v>0.9</v>
      </c>
      <c r="N358" s="131">
        <v>0.9</v>
      </c>
      <c r="O358" s="129">
        <v>0.968957871396896</v>
      </c>
      <c r="P358" s="129">
        <v>0.888297872340426</v>
      </c>
      <c r="Q358" s="129">
        <v>0.933300637567435</v>
      </c>
      <c r="R358" s="129">
        <v>0.953661301292224</v>
      </c>
      <c r="S358" s="131">
        <v>0.9</v>
      </c>
      <c r="T358" s="129">
        <v>0.729859571322986</v>
      </c>
      <c r="U358" s="129">
        <v>0.839539007092199</v>
      </c>
      <c r="V358" s="129">
        <v>0.743992153016184</v>
      </c>
      <c r="W358" s="129">
        <v>0.786941736567672</v>
      </c>
      <c r="X358" s="131">
        <v>0.92</v>
      </c>
      <c r="Y358" s="131">
        <v>0.895384615384615</v>
      </c>
      <c r="Z358" s="131">
        <v>0.827433628318584</v>
      </c>
      <c r="AA358" s="131">
        <v>0.693811074918567</v>
      </c>
      <c r="AB358" s="131">
        <v>0.822325327510917</v>
      </c>
      <c r="AC358" s="131">
        <v>0.92</v>
      </c>
      <c r="AD358" s="129">
        <v>0.986666666666667</v>
      </c>
      <c r="AE358" s="129">
        <v>0.939393939393939</v>
      </c>
      <c r="AF358" s="129">
        <v>0.977011494252874</v>
      </c>
      <c r="AG358" s="129">
        <v>0.964586846543002</v>
      </c>
      <c r="AH358" s="131">
        <v>0.92</v>
      </c>
      <c r="AI358" s="129">
        <v>0.963668850506254</v>
      </c>
      <c r="AJ358" s="129">
        <v>0.910852713178295</v>
      </c>
      <c r="AK358" s="129">
        <v>0.903665814151748</v>
      </c>
      <c r="AL358" s="129">
        <v>0.928855772175156</v>
      </c>
      <c r="AM358" s="128">
        <v>0.99</v>
      </c>
      <c r="AN358" s="133">
        <v>1</v>
      </c>
      <c r="AO358" s="133">
        <v>1</v>
      </c>
      <c r="AP358" s="133">
        <v>1</v>
      </c>
      <c r="AQ358" s="133">
        <v>1</v>
      </c>
      <c r="AR358" s="153">
        <v>0.05</v>
      </c>
      <c r="AS358" s="137">
        <v>0.166666666666667</v>
      </c>
      <c r="AT358" s="137">
        <v>0.4</v>
      </c>
      <c r="AU358" s="137">
        <v>0</v>
      </c>
      <c r="AV358" s="137">
        <v>0.0879120879120879</v>
      </c>
      <c r="AW358" s="93"/>
      <c r="AX358" s="91"/>
    </row>
    <row r="359" ht="14.5" spans="1:50">
      <c r="A359" s="89"/>
      <c r="B359" s="93"/>
      <c r="C359" s="148" t="s">
        <v>371</v>
      </c>
      <c r="D359" s="126" t="s">
        <v>372</v>
      </c>
      <c r="E359" s="149" t="s">
        <v>381</v>
      </c>
      <c r="F359" s="149" t="s">
        <v>381</v>
      </c>
      <c r="G359" s="149" t="s">
        <v>381</v>
      </c>
      <c r="H359" s="149" t="s">
        <v>381</v>
      </c>
      <c r="I359" s="128">
        <v>0.9</v>
      </c>
      <c r="J359" s="129">
        <v>0.96551724137931</v>
      </c>
      <c r="K359" s="129">
        <v>0.96</v>
      </c>
      <c r="L359" s="130">
        <v>0.961538461538462</v>
      </c>
      <c r="M359" s="129">
        <v>0.959247648902821</v>
      </c>
      <c r="N359" s="131">
        <v>0.9</v>
      </c>
      <c r="O359" s="129">
        <v>0</v>
      </c>
      <c r="P359" s="129" t="s">
        <v>33</v>
      </c>
      <c r="Q359" s="129" t="s">
        <v>33</v>
      </c>
      <c r="R359" s="129">
        <v>0.25</v>
      </c>
      <c r="S359" s="131">
        <v>0.9</v>
      </c>
      <c r="T359" s="129">
        <v>0</v>
      </c>
      <c r="U359" s="129" t="s">
        <v>33</v>
      </c>
      <c r="V359" s="129" t="s">
        <v>33</v>
      </c>
      <c r="W359" s="129">
        <v>0.25</v>
      </c>
      <c r="X359" s="131">
        <v>0.92</v>
      </c>
      <c r="Y359" s="131">
        <v>0.111111111111111</v>
      </c>
      <c r="Z359" s="131">
        <v>0.25</v>
      </c>
      <c r="AA359" s="131">
        <v>1</v>
      </c>
      <c r="AB359" s="131">
        <v>0.612903225806452</v>
      </c>
      <c r="AC359" s="131">
        <v>0.92</v>
      </c>
      <c r="AD359" s="129">
        <v>1</v>
      </c>
      <c r="AE359" s="129">
        <v>0.997229916897507</v>
      </c>
      <c r="AF359" s="129">
        <v>0.987315010570824</v>
      </c>
      <c r="AG359" s="129">
        <v>0.994085253926168</v>
      </c>
      <c r="AH359" s="131">
        <v>0.92</v>
      </c>
      <c r="AI359" s="129">
        <v>0.969607620775686</v>
      </c>
      <c r="AJ359" s="129">
        <v>0.975754310344828</v>
      </c>
      <c r="AK359" s="129">
        <v>0.985938792390405</v>
      </c>
      <c r="AL359" s="129">
        <v>0.986278900229119</v>
      </c>
      <c r="AM359" s="128">
        <v>0.99</v>
      </c>
      <c r="AN359" s="133">
        <v>1</v>
      </c>
      <c r="AO359" s="133">
        <v>1</v>
      </c>
      <c r="AP359" s="133">
        <v>1</v>
      </c>
      <c r="AQ359" s="133">
        <v>1</v>
      </c>
      <c r="AR359" s="153">
        <v>0.05</v>
      </c>
      <c r="AS359" s="137">
        <v>0</v>
      </c>
      <c r="AT359" s="137">
        <v>0.25</v>
      </c>
      <c r="AU359" s="137">
        <v>0</v>
      </c>
      <c r="AV359" s="137">
        <v>0.0636363636363636</v>
      </c>
      <c r="AW359" s="93"/>
      <c r="AX359" s="91"/>
    </row>
    <row r="360" ht="14.5" spans="1:50">
      <c r="A360" s="89"/>
      <c r="B360" s="93"/>
      <c r="C360" s="148" t="s">
        <v>371</v>
      </c>
      <c r="D360" s="126" t="s">
        <v>372</v>
      </c>
      <c r="E360" s="149" t="s">
        <v>382</v>
      </c>
      <c r="F360" s="149" t="s">
        <v>382</v>
      </c>
      <c r="G360" s="149" t="s">
        <v>382</v>
      </c>
      <c r="H360" s="149" t="s">
        <v>382</v>
      </c>
      <c r="I360" s="128">
        <v>0.9</v>
      </c>
      <c r="J360" s="129">
        <v>0.980392156862745</v>
      </c>
      <c r="K360" s="129">
        <v>0.976744186046512</v>
      </c>
      <c r="L360" s="130">
        <v>1</v>
      </c>
      <c r="M360" s="129">
        <v>0.98314606741573</v>
      </c>
      <c r="N360" s="131">
        <v>0.9</v>
      </c>
      <c r="O360" s="129">
        <v>0.942016214310892</v>
      </c>
      <c r="P360" s="129">
        <v>0.982683982683983</v>
      </c>
      <c r="Q360" s="129">
        <v>0.955875522526707</v>
      </c>
      <c r="R360" s="129">
        <v>0.966422598674234</v>
      </c>
      <c r="S360" s="131">
        <v>0.9</v>
      </c>
      <c r="T360" s="129">
        <v>0.790976383503701</v>
      </c>
      <c r="U360" s="129">
        <v>0.906493506493506</v>
      </c>
      <c r="V360" s="129">
        <v>0.810032512772875</v>
      </c>
      <c r="W360" s="129">
        <v>0.837485377583294</v>
      </c>
      <c r="X360" s="131">
        <v>0.92</v>
      </c>
      <c r="Y360" s="131">
        <v>0.917010005885815</v>
      </c>
      <c r="Z360" s="131">
        <v>0.869770182675309</v>
      </c>
      <c r="AA360" s="131">
        <v>0.883352208380521</v>
      </c>
      <c r="AB360" s="131">
        <v>0.873096737263881</v>
      </c>
      <c r="AC360" s="131">
        <v>0.92</v>
      </c>
      <c r="AD360" s="129">
        <v>0.997124784358827</v>
      </c>
      <c r="AE360" s="129">
        <v>0.991464003865357</v>
      </c>
      <c r="AF360" s="129">
        <v>0.997079581406668</v>
      </c>
      <c r="AG360" s="129">
        <v>0.99692128109725</v>
      </c>
      <c r="AH360" s="131">
        <v>0.92</v>
      </c>
      <c r="AI360" s="129">
        <v>0.956233062330623</v>
      </c>
      <c r="AJ360" s="129">
        <v>0.92953187250996</v>
      </c>
      <c r="AK360" s="129">
        <v>0.948564823733385</v>
      </c>
      <c r="AL360" s="129">
        <v>0.942837844206029</v>
      </c>
      <c r="AM360" s="128">
        <v>0.99</v>
      </c>
      <c r="AN360" s="133">
        <v>1</v>
      </c>
      <c r="AO360" s="133">
        <v>1</v>
      </c>
      <c r="AP360" s="133">
        <v>1</v>
      </c>
      <c r="AQ360" s="133">
        <v>1</v>
      </c>
      <c r="AR360" s="153">
        <v>0.05</v>
      </c>
      <c r="AS360" s="137">
        <v>0.0757575757575758</v>
      </c>
      <c r="AT360" s="137">
        <v>0</v>
      </c>
      <c r="AU360" s="137">
        <v>0.0212765957446809</v>
      </c>
      <c r="AV360" s="137">
        <v>0.0134028294862249</v>
      </c>
      <c r="AW360" s="93"/>
      <c r="AX360" s="91"/>
    </row>
    <row r="361" ht="14.5" spans="1:50">
      <c r="A361" s="89"/>
      <c r="B361" s="93"/>
      <c r="C361" s="148" t="s">
        <v>371</v>
      </c>
      <c r="D361" s="126" t="s">
        <v>372</v>
      </c>
      <c r="E361" s="149" t="s">
        <v>383</v>
      </c>
      <c r="F361" s="149" t="s">
        <v>383</v>
      </c>
      <c r="G361" s="149" t="s">
        <v>383</v>
      </c>
      <c r="H361" s="149" t="s">
        <v>383</v>
      </c>
      <c r="I361" s="128">
        <v>0.9</v>
      </c>
      <c r="J361" s="129">
        <v>0.948275862068966</v>
      </c>
      <c r="K361" s="129">
        <v>0.8</v>
      </c>
      <c r="L361" s="130">
        <v>0.849056603773585</v>
      </c>
      <c r="M361" s="129">
        <v>0.88099173553719</v>
      </c>
      <c r="N361" s="131">
        <v>0.9</v>
      </c>
      <c r="O361" s="129">
        <v>0.91788782213239</v>
      </c>
      <c r="P361" s="129">
        <v>0.842587292501431</v>
      </c>
      <c r="Q361" s="129">
        <v>0.845217112642205</v>
      </c>
      <c r="R361" s="129">
        <v>0.897666666666667</v>
      </c>
      <c r="S361" s="131">
        <v>0.9</v>
      </c>
      <c r="T361" s="129">
        <v>0.609398686205154</v>
      </c>
      <c r="U361" s="129">
        <v>0.781339439038351</v>
      </c>
      <c r="V361" s="129">
        <v>0.632110238743791</v>
      </c>
      <c r="W361" s="129">
        <v>0.711877192982456</v>
      </c>
      <c r="X361" s="131">
        <v>0.92</v>
      </c>
      <c r="Y361" s="131">
        <v>0.882479784366577</v>
      </c>
      <c r="Z361" s="131">
        <v>0.83884489986027</v>
      </c>
      <c r="AA361" s="131">
        <v>0.92109500805153</v>
      </c>
      <c r="AB361" s="131">
        <v>0.872940721773999</v>
      </c>
      <c r="AC361" s="131">
        <v>0.92</v>
      </c>
      <c r="AD361" s="129">
        <v>0.979253112033195</v>
      </c>
      <c r="AE361" s="129">
        <v>0.975609756097561</v>
      </c>
      <c r="AF361" s="129">
        <v>0.961194029850746</v>
      </c>
      <c r="AG361" s="129">
        <v>0.984474373363262</v>
      </c>
      <c r="AH361" s="131">
        <v>0.92</v>
      </c>
      <c r="AI361" s="129">
        <v>0.952634271099744</v>
      </c>
      <c r="AJ361" s="129">
        <v>0.916696207018788</v>
      </c>
      <c r="AK361" s="129">
        <v>0.963646083934777</v>
      </c>
      <c r="AL361" s="129">
        <v>0.946303802354758</v>
      </c>
      <c r="AM361" s="128">
        <v>0.99</v>
      </c>
      <c r="AN361" s="133">
        <v>1</v>
      </c>
      <c r="AO361" s="133">
        <v>1</v>
      </c>
      <c r="AP361" s="133">
        <v>1</v>
      </c>
      <c r="AQ361" s="133">
        <v>1</v>
      </c>
      <c r="AR361" s="153">
        <v>0.05</v>
      </c>
      <c r="AS361" s="137">
        <v>0.230769230769231</v>
      </c>
      <c r="AT361" s="137">
        <v>0.133333333333333</v>
      </c>
      <c r="AU361" s="137">
        <v>0</v>
      </c>
      <c r="AV361" s="137">
        <v>0.0649350649350649</v>
      </c>
      <c r="AW361" s="93"/>
      <c r="AX361" s="91"/>
    </row>
    <row r="362" ht="14.5" spans="1:50">
      <c r="A362" s="89"/>
      <c r="B362" s="93"/>
      <c r="C362" s="148" t="s">
        <v>371</v>
      </c>
      <c r="D362" s="126" t="s">
        <v>372</v>
      </c>
      <c r="E362" s="149" t="s">
        <v>384</v>
      </c>
      <c r="F362" s="149" t="s">
        <v>384</v>
      </c>
      <c r="G362" s="149" t="s">
        <v>384</v>
      </c>
      <c r="H362" s="149" t="s">
        <v>384</v>
      </c>
      <c r="I362" s="128">
        <v>0.9</v>
      </c>
      <c r="J362" s="129">
        <v>0.959183673469388</v>
      </c>
      <c r="K362" s="129">
        <v>0.951219512195122</v>
      </c>
      <c r="L362" s="130">
        <v>1</v>
      </c>
      <c r="M362" s="129">
        <v>0.986817325800377</v>
      </c>
      <c r="N362" s="131">
        <v>0.9</v>
      </c>
      <c r="O362" s="129">
        <v>0.272727272727273</v>
      </c>
      <c r="P362" s="129" t="s">
        <v>33</v>
      </c>
      <c r="Q362" s="129" t="s">
        <v>33</v>
      </c>
      <c r="R362" s="129">
        <v>0.357142857142857</v>
      </c>
      <c r="S362" s="131">
        <v>0.9</v>
      </c>
      <c r="T362" s="129">
        <v>0</v>
      </c>
      <c r="U362" s="129" t="s">
        <v>33</v>
      </c>
      <c r="V362" s="129" t="s">
        <v>33</v>
      </c>
      <c r="W362" s="129">
        <v>0.142857142857143</v>
      </c>
      <c r="X362" s="131">
        <v>0.92</v>
      </c>
      <c r="Y362" s="131">
        <v>0</v>
      </c>
      <c r="Z362" s="131">
        <v>0</v>
      </c>
      <c r="AA362" s="131" t="s">
        <v>33</v>
      </c>
      <c r="AB362" s="131">
        <v>0.7</v>
      </c>
      <c r="AC362" s="131">
        <v>0.92</v>
      </c>
      <c r="AD362" s="129">
        <v>0.991304347826087</v>
      </c>
      <c r="AE362" s="129">
        <v>0.992409867172676</v>
      </c>
      <c r="AF362" s="129">
        <v>0.994557823129252</v>
      </c>
      <c r="AG362" s="129">
        <v>0.984027496967246</v>
      </c>
      <c r="AH362" s="131">
        <v>0.92</v>
      </c>
      <c r="AI362" s="129">
        <v>0.973850105066542</v>
      </c>
      <c r="AJ362" s="129">
        <v>0.975516866158868</v>
      </c>
      <c r="AK362" s="129">
        <v>0.977787209960385</v>
      </c>
      <c r="AL362" s="129">
        <v>0.979966824039811</v>
      </c>
      <c r="AM362" s="128">
        <v>0.99</v>
      </c>
      <c r="AN362" s="133">
        <v>1</v>
      </c>
      <c r="AO362" s="133">
        <v>1</v>
      </c>
      <c r="AP362" s="133">
        <v>1</v>
      </c>
      <c r="AQ362" s="133">
        <v>1</v>
      </c>
      <c r="AR362" s="153">
        <v>0.05</v>
      </c>
      <c r="AS362" s="137">
        <v>0</v>
      </c>
      <c r="AT362" s="137">
        <v>0</v>
      </c>
      <c r="AU362" s="137">
        <v>0</v>
      </c>
      <c r="AV362" s="137">
        <v>0.0594594594594595</v>
      </c>
      <c r="AW362" s="93"/>
      <c r="AX362" s="91"/>
    </row>
    <row r="363" ht="14.5" spans="1:50">
      <c r="A363" s="89"/>
      <c r="B363" s="93"/>
      <c r="C363" s="148" t="s">
        <v>371</v>
      </c>
      <c r="D363" s="126" t="s">
        <v>372</v>
      </c>
      <c r="E363" s="149" t="s">
        <v>385</v>
      </c>
      <c r="F363" s="149" t="s">
        <v>385</v>
      </c>
      <c r="G363" s="149" t="s">
        <v>385</v>
      </c>
      <c r="H363" s="149" t="s">
        <v>385</v>
      </c>
      <c r="I363" s="128">
        <v>0.9</v>
      </c>
      <c r="J363" s="129">
        <v>0.966101694915254</v>
      </c>
      <c r="K363" s="129">
        <v>0.916666666666667</v>
      </c>
      <c r="L363" s="130">
        <v>0.963636363636364</v>
      </c>
      <c r="M363" s="129">
        <v>0.935534591194969</v>
      </c>
      <c r="N363" s="131">
        <v>0.9</v>
      </c>
      <c r="O363" s="129">
        <v>0.994210795164311</v>
      </c>
      <c r="P363" s="129">
        <v>0.978171334431631</v>
      </c>
      <c r="Q363" s="129">
        <v>0.997502270663034</v>
      </c>
      <c r="R363" s="129">
        <v>0.986526468146698</v>
      </c>
      <c r="S363" s="131">
        <v>0.9</v>
      </c>
      <c r="T363" s="129">
        <v>0.780861569896135</v>
      </c>
      <c r="U363" s="129">
        <v>0.8500823723229</v>
      </c>
      <c r="V363" s="129">
        <v>0.784287011807448</v>
      </c>
      <c r="W363" s="129">
        <v>0.80790106638854</v>
      </c>
      <c r="X363" s="131">
        <v>0.92</v>
      </c>
      <c r="Y363" s="131">
        <v>0.921469740634006</v>
      </c>
      <c r="Z363" s="131">
        <v>0.906675307841866</v>
      </c>
      <c r="AA363" s="131">
        <v>0.867945823927765</v>
      </c>
      <c r="AB363" s="131">
        <v>0.874042604116802</v>
      </c>
      <c r="AC363" s="131">
        <v>0.92</v>
      </c>
      <c r="AD363" s="129">
        <v>0.995035460992908</v>
      </c>
      <c r="AE363" s="129">
        <v>0.996686547382372</v>
      </c>
      <c r="AF363" s="129">
        <v>0.998752079866889</v>
      </c>
      <c r="AG363" s="129">
        <v>0.997397560851151</v>
      </c>
      <c r="AH363" s="131">
        <v>0.92</v>
      </c>
      <c r="AI363" s="129">
        <v>0.967924008810573</v>
      </c>
      <c r="AJ363" s="129">
        <v>0.948375723998993</v>
      </c>
      <c r="AK363" s="129">
        <v>0.960680529300567</v>
      </c>
      <c r="AL363" s="129">
        <v>0.945387187416605</v>
      </c>
      <c r="AM363" s="128">
        <v>0.99</v>
      </c>
      <c r="AN363" s="133">
        <v>1</v>
      </c>
      <c r="AO363" s="133">
        <v>1</v>
      </c>
      <c r="AP363" s="133">
        <v>1</v>
      </c>
      <c r="AQ363" s="133">
        <v>1</v>
      </c>
      <c r="AR363" s="153">
        <v>0.05</v>
      </c>
      <c r="AS363" s="137">
        <v>0</v>
      </c>
      <c r="AT363" s="137">
        <v>0</v>
      </c>
      <c r="AU363" s="137">
        <v>0.111111111111111</v>
      </c>
      <c r="AV363" s="137">
        <v>0.0543478260869565</v>
      </c>
      <c r="AW363" s="93"/>
      <c r="AX363" s="91"/>
    </row>
    <row r="364" ht="14.5" spans="1:50">
      <c r="A364" s="89"/>
      <c r="B364" s="93"/>
      <c r="C364" s="148" t="s">
        <v>371</v>
      </c>
      <c r="D364" s="126" t="s">
        <v>372</v>
      </c>
      <c r="E364" s="149" t="s">
        <v>386</v>
      </c>
      <c r="F364" s="149" t="s">
        <v>386</v>
      </c>
      <c r="G364" s="149" t="s">
        <v>386</v>
      </c>
      <c r="H364" s="149" t="s">
        <v>386</v>
      </c>
      <c r="I364" s="128">
        <v>0.9</v>
      </c>
      <c r="J364" s="129">
        <v>0.861538461538462</v>
      </c>
      <c r="K364" s="129">
        <v>0.775862068965517</v>
      </c>
      <c r="L364" s="130">
        <v>0.767857142857143</v>
      </c>
      <c r="M364" s="129">
        <v>0.804843304843305</v>
      </c>
      <c r="N364" s="131">
        <v>0.9</v>
      </c>
      <c r="O364" s="129">
        <v>0.911475409836066</v>
      </c>
      <c r="P364" s="129">
        <v>0.939986953685584</v>
      </c>
      <c r="Q364" s="129">
        <v>0.810432569974555</v>
      </c>
      <c r="R364" s="129">
        <v>0.870949988035415</v>
      </c>
      <c r="S364" s="131">
        <v>0.9</v>
      </c>
      <c r="T364" s="129">
        <v>0.673155737704918</v>
      </c>
      <c r="U364" s="129">
        <v>0.778212654924984</v>
      </c>
      <c r="V364" s="129">
        <v>0.692111959287532</v>
      </c>
      <c r="W364" s="129">
        <v>0.707633405120842</v>
      </c>
      <c r="X364" s="131">
        <v>0.92</v>
      </c>
      <c r="Y364" s="131">
        <v>0.902721893491124</v>
      </c>
      <c r="Z364" s="131">
        <v>0.859954083306002</v>
      </c>
      <c r="AA364" s="131">
        <v>0.891433806688044</v>
      </c>
      <c r="AB364" s="131">
        <v>0.870195879110138</v>
      </c>
      <c r="AC364" s="131">
        <v>0.92</v>
      </c>
      <c r="AD364" s="129">
        <v>0.985471784676556</v>
      </c>
      <c r="AE364" s="129">
        <v>0.977922547955121</v>
      </c>
      <c r="AF364" s="129">
        <v>0.578266494178525</v>
      </c>
      <c r="AG364" s="129">
        <v>0.953235057355605</v>
      </c>
      <c r="AH364" s="131">
        <v>0.92</v>
      </c>
      <c r="AI364" s="129">
        <v>0.925653415330551</v>
      </c>
      <c r="AJ364" s="129">
        <v>0.890448215839861</v>
      </c>
      <c r="AK364" s="129">
        <v>0.926884139482565</v>
      </c>
      <c r="AL364" s="129">
        <v>0.904916447262372</v>
      </c>
      <c r="AM364" s="128">
        <v>0.99</v>
      </c>
      <c r="AN364" s="133">
        <v>1</v>
      </c>
      <c r="AO364" s="133">
        <v>1</v>
      </c>
      <c r="AP364" s="133">
        <v>1</v>
      </c>
      <c r="AQ364" s="133">
        <v>1</v>
      </c>
      <c r="AR364" s="153">
        <v>0.05</v>
      </c>
      <c r="AS364" s="137">
        <v>0.0377358490566038</v>
      </c>
      <c r="AT364" s="137">
        <v>0.0425531914893617</v>
      </c>
      <c r="AU364" s="137">
        <v>0.137931034482759</v>
      </c>
      <c r="AV364" s="137">
        <v>0.0421768707482993</v>
      </c>
      <c r="AW364" s="93"/>
      <c r="AX364" s="91"/>
    </row>
    <row r="365" ht="14.5" spans="1:50">
      <c r="A365" s="89"/>
      <c r="B365" s="93"/>
      <c r="C365" s="148" t="s">
        <v>371</v>
      </c>
      <c r="D365" s="126" t="s">
        <v>372</v>
      </c>
      <c r="E365" s="149" t="s">
        <v>387</v>
      </c>
      <c r="F365" s="149" t="s">
        <v>387</v>
      </c>
      <c r="G365" s="149" t="s">
        <v>387</v>
      </c>
      <c r="H365" s="149" t="s">
        <v>387</v>
      </c>
      <c r="I365" s="128">
        <v>0.9</v>
      </c>
      <c r="J365" s="129">
        <v>0.759259259259259</v>
      </c>
      <c r="K365" s="129">
        <v>0.653846153846154</v>
      </c>
      <c r="L365" s="130">
        <v>0.733333333333333</v>
      </c>
      <c r="M365" s="129">
        <v>0.717687074829932</v>
      </c>
      <c r="N365" s="131">
        <v>0.9</v>
      </c>
      <c r="O365" s="129">
        <v>0.795985832349469</v>
      </c>
      <c r="P365" s="129">
        <v>0.840293890177881</v>
      </c>
      <c r="Q365" s="129">
        <v>0.937523242841205</v>
      </c>
      <c r="R365" s="129">
        <v>0.767986661108795</v>
      </c>
      <c r="S365" s="131">
        <v>0.9</v>
      </c>
      <c r="T365" s="129">
        <v>0.761038961038961</v>
      </c>
      <c r="U365" s="129">
        <v>0.847254447022428</v>
      </c>
      <c r="V365" s="129">
        <v>0.721457791000372</v>
      </c>
      <c r="W365" s="129">
        <v>0.770626649993053</v>
      </c>
      <c r="X365" s="131">
        <v>0.92</v>
      </c>
      <c r="Y365" s="131">
        <v>0.938726333907057</v>
      </c>
      <c r="Z365" s="131">
        <v>0.939748953974895</v>
      </c>
      <c r="AA365" s="131">
        <v>0.960822093770071</v>
      </c>
      <c r="AB365" s="131">
        <v>0.938354024033408</v>
      </c>
      <c r="AC365" s="131">
        <v>0.92</v>
      </c>
      <c r="AD365" s="129">
        <v>0.993536121673004</v>
      </c>
      <c r="AE365" s="129">
        <v>0.978994670289476</v>
      </c>
      <c r="AF365" s="129">
        <v>0.987764413106595</v>
      </c>
      <c r="AG365" s="129">
        <v>0.951508787839015</v>
      </c>
      <c r="AH365" s="131">
        <v>0.92</v>
      </c>
      <c r="AI365" s="129">
        <v>0.951820728291316</v>
      </c>
      <c r="AJ365" s="129">
        <v>0.957962813257882</v>
      </c>
      <c r="AK365" s="129">
        <v>0.972934808190162</v>
      </c>
      <c r="AL365" s="129">
        <v>0.958597653399203</v>
      </c>
      <c r="AM365" s="128">
        <v>0.99</v>
      </c>
      <c r="AN365" s="133">
        <v>1</v>
      </c>
      <c r="AO365" s="133">
        <v>1</v>
      </c>
      <c r="AP365" s="133">
        <v>1</v>
      </c>
      <c r="AQ365" s="133">
        <v>0.997711670480549</v>
      </c>
      <c r="AR365" s="153">
        <v>0.05</v>
      </c>
      <c r="AS365" s="137">
        <v>0</v>
      </c>
      <c r="AT365" s="137">
        <v>0.0571428571428571</v>
      </c>
      <c r="AU365" s="137">
        <v>0.125</v>
      </c>
      <c r="AV365" s="137">
        <v>0.061503416856492</v>
      </c>
      <c r="AW365" s="93"/>
      <c r="AX365" s="91"/>
    </row>
    <row r="366" ht="14.5" spans="1:50">
      <c r="A366" s="89"/>
      <c r="B366" s="93"/>
      <c r="C366" s="148" t="s">
        <v>371</v>
      </c>
      <c r="D366" s="126" t="s">
        <v>372</v>
      </c>
      <c r="E366" s="149" t="s">
        <v>388</v>
      </c>
      <c r="F366" s="149" t="s">
        <v>388</v>
      </c>
      <c r="G366" s="149" t="s">
        <v>388</v>
      </c>
      <c r="H366" s="149" t="s">
        <v>388</v>
      </c>
      <c r="I366" s="128">
        <v>0.9</v>
      </c>
      <c r="J366" s="129">
        <v>0.727272727272727</v>
      </c>
      <c r="K366" s="129">
        <v>0.684210526315789</v>
      </c>
      <c r="L366" s="130">
        <v>0.555555555555556</v>
      </c>
      <c r="M366" s="129">
        <v>0.630086313193588</v>
      </c>
      <c r="N366" s="131">
        <v>0.9</v>
      </c>
      <c r="O366" s="129">
        <v>0.967565376038922</v>
      </c>
      <c r="P366" s="129">
        <v>0.899566232899566</v>
      </c>
      <c r="Q366" s="129">
        <v>0.760598503740648</v>
      </c>
      <c r="R366" s="129">
        <v>0.835676950830288</v>
      </c>
      <c r="S366" s="131">
        <v>0.9</v>
      </c>
      <c r="T366" s="129">
        <v>0.736874113115751</v>
      </c>
      <c r="U366" s="129">
        <v>0.753753753753754</v>
      </c>
      <c r="V366" s="129">
        <v>0.639512330285398</v>
      </c>
      <c r="W366" s="129">
        <v>0.71603681946436</v>
      </c>
      <c r="X366" s="131">
        <v>0.92</v>
      </c>
      <c r="Y366" s="131">
        <v>0.944055944055944</v>
      </c>
      <c r="Z366" s="131">
        <v>0.946438534498791</v>
      </c>
      <c r="AA366" s="131">
        <v>0.908611599297012</v>
      </c>
      <c r="AB366" s="131">
        <v>0.908331239004775</v>
      </c>
      <c r="AC366" s="131">
        <v>0.92</v>
      </c>
      <c r="AD366" s="129">
        <v>0.995852246047895</v>
      </c>
      <c r="AE366" s="129">
        <v>0.991216460113103</v>
      </c>
      <c r="AF366" s="129">
        <v>0.899188173997334</v>
      </c>
      <c r="AG366" s="129">
        <v>0.980957446118523</v>
      </c>
      <c r="AH366" s="131">
        <v>0.92</v>
      </c>
      <c r="AI366" s="129">
        <v>0.950872416780101</v>
      </c>
      <c r="AJ366" s="129">
        <v>0.954675572519084</v>
      </c>
      <c r="AK366" s="129">
        <v>0.942915392456677</v>
      </c>
      <c r="AL366" s="129">
        <v>0.930140071408954</v>
      </c>
      <c r="AM366" s="128">
        <v>0.99</v>
      </c>
      <c r="AN366" s="133">
        <v>1</v>
      </c>
      <c r="AO366" s="133">
        <v>1</v>
      </c>
      <c r="AP366" s="133">
        <v>1</v>
      </c>
      <c r="AQ366" s="133">
        <v>1</v>
      </c>
      <c r="AR366" s="153">
        <v>0.05</v>
      </c>
      <c r="AS366" s="137">
        <v>0.0909090909090909</v>
      </c>
      <c r="AT366" s="137">
        <v>0.06</v>
      </c>
      <c r="AU366" s="137">
        <v>0.0689655172413793</v>
      </c>
      <c r="AV366" s="137">
        <v>0.0511182108626198</v>
      </c>
      <c r="AW366" s="93"/>
      <c r="AX366" s="91"/>
    </row>
    <row r="367" ht="14.5" spans="1:50">
      <c r="A367" s="89"/>
      <c r="B367" s="93"/>
      <c r="C367" s="148" t="s">
        <v>371</v>
      </c>
      <c r="D367" s="126" t="s">
        <v>372</v>
      </c>
      <c r="E367" s="149" t="s">
        <v>389</v>
      </c>
      <c r="F367" s="149" t="s">
        <v>389</v>
      </c>
      <c r="G367" s="149" t="s">
        <v>389</v>
      </c>
      <c r="H367" s="149" t="s">
        <v>389</v>
      </c>
      <c r="I367" s="128">
        <v>0.9</v>
      </c>
      <c r="J367" s="129">
        <v>0.835820895522388</v>
      </c>
      <c r="K367" s="129">
        <v>0.862068965517241</v>
      </c>
      <c r="L367" s="130">
        <v>0.92156862745098</v>
      </c>
      <c r="M367" s="129">
        <v>0.888081395348837</v>
      </c>
      <c r="N367" s="131">
        <v>0.9</v>
      </c>
      <c r="O367" s="129">
        <v>0.972461635484549</v>
      </c>
      <c r="P367" s="129">
        <v>0.978807471264368</v>
      </c>
      <c r="Q367" s="129">
        <v>0.914901007294199</v>
      </c>
      <c r="R367" s="129">
        <v>0.958293432790686</v>
      </c>
      <c r="S367" s="131">
        <v>0.9</v>
      </c>
      <c r="T367" s="129">
        <v>0.760983813327728</v>
      </c>
      <c r="U367" s="129">
        <v>0.855603448275862</v>
      </c>
      <c r="V367" s="129">
        <v>0.754428621048975</v>
      </c>
      <c r="W367" s="129">
        <v>0.791769568066126</v>
      </c>
      <c r="X367" s="131">
        <v>0.92</v>
      </c>
      <c r="Y367" s="131">
        <v>0.785549399815328</v>
      </c>
      <c r="Z367" s="131">
        <v>0.784880489160645</v>
      </c>
      <c r="AA367" s="131">
        <v>0.735092864125122</v>
      </c>
      <c r="AB367" s="131">
        <v>0.753973621914102</v>
      </c>
      <c r="AC367" s="131">
        <v>0.92</v>
      </c>
      <c r="AD367" s="129">
        <v>0.989869472043639</v>
      </c>
      <c r="AE367" s="129">
        <v>0.876780215550423</v>
      </c>
      <c r="AF367" s="129">
        <v>0.841763942931258</v>
      </c>
      <c r="AG367" s="129">
        <v>0.961319105438635</v>
      </c>
      <c r="AH367" s="131">
        <v>0.92</v>
      </c>
      <c r="AI367" s="129">
        <v>0.856561434385656</v>
      </c>
      <c r="AJ367" s="129">
        <v>0.83495974627958</v>
      </c>
      <c r="AK367" s="129">
        <v>0.850994721883881</v>
      </c>
      <c r="AL367" s="129">
        <v>0.830344946273569</v>
      </c>
      <c r="AM367" s="128">
        <v>0.99</v>
      </c>
      <c r="AN367" s="133">
        <v>1</v>
      </c>
      <c r="AO367" s="133">
        <v>1</v>
      </c>
      <c r="AP367" s="133">
        <v>1</v>
      </c>
      <c r="AQ367" s="133">
        <v>1</v>
      </c>
      <c r="AR367" s="153">
        <v>0.05</v>
      </c>
      <c r="AS367" s="137">
        <v>0.08</v>
      </c>
      <c r="AT367" s="137">
        <v>0.102564102564103</v>
      </c>
      <c r="AU367" s="137">
        <v>0.161290322580645</v>
      </c>
      <c r="AV367" s="137">
        <v>0.0736842105263158</v>
      </c>
      <c r="AW367" s="93"/>
      <c r="AX367" s="91"/>
    </row>
    <row r="368" ht="14.5" spans="1:50">
      <c r="A368" s="89"/>
      <c r="B368" s="93"/>
      <c r="C368" s="148" t="s">
        <v>371</v>
      </c>
      <c r="D368" s="126" t="s">
        <v>372</v>
      </c>
      <c r="E368" s="149" t="s">
        <v>390</v>
      </c>
      <c r="F368" s="149" t="s">
        <v>390</v>
      </c>
      <c r="G368" s="149" t="s">
        <v>390</v>
      </c>
      <c r="H368" s="149" t="s">
        <v>390</v>
      </c>
      <c r="I368" s="128">
        <v>0.9</v>
      </c>
      <c r="J368" s="129">
        <v>0.847457627118644</v>
      </c>
      <c r="K368" s="129">
        <v>0.875</v>
      </c>
      <c r="L368" s="130">
        <v>0.836734693877551</v>
      </c>
      <c r="M368" s="129">
        <v>0.818740399385561</v>
      </c>
      <c r="N368" s="131">
        <v>0.9</v>
      </c>
      <c r="O368" s="129">
        <v>0.981333333333333</v>
      </c>
      <c r="P368" s="129">
        <v>0.966554054054054</v>
      </c>
      <c r="Q368" s="129">
        <v>0.979919678714859</v>
      </c>
      <c r="R368" s="129">
        <v>0.927409805958969</v>
      </c>
      <c r="S368" s="131">
        <v>0.9</v>
      </c>
      <c r="T368" s="129">
        <v>0.798358974358974</v>
      </c>
      <c r="U368" s="129">
        <v>0.880067567567568</v>
      </c>
      <c r="V368" s="129">
        <v>0.774482545566883</v>
      </c>
      <c r="W368" s="129">
        <v>0.810985187154145</v>
      </c>
      <c r="X368" s="131">
        <v>0.92</v>
      </c>
      <c r="Y368" s="131">
        <v>0.954957874270901</v>
      </c>
      <c r="Z368" s="131">
        <v>0.951792635658915</v>
      </c>
      <c r="AA368" s="131">
        <v>0.896572104018913</v>
      </c>
      <c r="AB368" s="131">
        <v>0.936477796344119</v>
      </c>
      <c r="AC368" s="131">
        <v>0.92</v>
      </c>
      <c r="AD368" s="129">
        <v>0.996814610320663</v>
      </c>
      <c r="AE368" s="129">
        <v>0.996769162210339</v>
      </c>
      <c r="AF368" s="129">
        <v>0.974774927807032</v>
      </c>
      <c r="AG368" s="129">
        <v>0.986032053611077</v>
      </c>
      <c r="AH368" s="131">
        <v>0.92</v>
      </c>
      <c r="AI368" s="129">
        <v>0.965959050370557</v>
      </c>
      <c r="AJ368" s="129">
        <v>0.962205612748555</v>
      </c>
      <c r="AK368" s="129">
        <v>0.946055566822146</v>
      </c>
      <c r="AL368" s="129">
        <v>0.957397107897664</v>
      </c>
      <c r="AM368" s="128">
        <v>0.99</v>
      </c>
      <c r="AN368" s="133">
        <v>1</v>
      </c>
      <c r="AO368" s="133">
        <v>1</v>
      </c>
      <c r="AP368" s="133">
        <v>1</v>
      </c>
      <c r="AQ368" s="133">
        <v>1</v>
      </c>
      <c r="AR368" s="153">
        <v>0.05</v>
      </c>
      <c r="AS368" s="137">
        <v>0.0612244897959184</v>
      </c>
      <c r="AT368" s="137">
        <v>0.0212765957446809</v>
      </c>
      <c r="AU368" s="137">
        <v>0.027027027027027</v>
      </c>
      <c r="AV368" s="137">
        <v>0.0299479166666667</v>
      </c>
      <c r="AW368" s="93"/>
      <c r="AX368" s="91"/>
    </row>
    <row r="369" ht="14.5" spans="1:50">
      <c r="A369" s="89"/>
      <c r="B369" s="93"/>
      <c r="C369" s="148" t="s">
        <v>371</v>
      </c>
      <c r="D369" s="126" t="s">
        <v>372</v>
      </c>
      <c r="E369" s="149" t="s">
        <v>391</v>
      </c>
      <c r="F369" s="149" t="s">
        <v>391</v>
      </c>
      <c r="G369" s="149" t="s">
        <v>391</v>
      </c>
      <c r="H369" s="149" t="s">
        <v>391</v>
      </c>
      <c r="I369" s="128">
        <v>0.9</v>
      </c>
      <c r="J369" s="129">
        <v>0.732394366197183</v>
      </c>
      <c r="K369" s="129">
        <v>0.711864406779661</v>
      </c>
      <c r="L369" s="130">
        <v>0.85</v>
      </c>
      <c r="M369" s="129">
        <v>0.738356164383562</v>
      </c>
      <c r="N369" s="131">
        <v>0.9</v>
      </c>
      <c r="O369" s="129">
        <v>0.571578947368421</v>
      </c>
      <c r="P369" s="129">
        <v>0.76971030436377</v>
      </c>
      <c r="Q369" s="129">
        <v>0.546438547486033</v>
      </c>
      <c r="R369" s="129">
        <v>0.674267186151714</v>
      </c>
      <c r="S369" s="131">
        <v>0.9</v>
      </c>
      <c r="T369" s="129">
        <v>0.574315789473684</v>
      </c>
      <c r="U369" s="129">
        <v>0.648698203153649</v>
      </c>
      <c r="V369" s="129">
        <v>0.567737430167598</v>
      </c>
      <c r="W369" s="129">
        <v>0.621786993698193</v>
      </c>
      <c r="X369" s="131">
        <v>0.92</v>
      </c>
      <c r="Y369" s="131">
        <v>0.818888888888889</v>
      </c>
      <c r="Z369" s="131">
        <v>0.775937428111341</v>
      </c>
      <c r="AA369" s="131">
        <v>0.803070407623081</v>
      </c>
      <c r="AB369" s="131">
        <v>0.826555352241537</v>
      </c>
      <c r="AC369" s="131">
        <v>0.92</v>
      </c>
      <c r="AD369" s="129">
        <v>0.995406991579485</v>
      </c>
      <c r="AE369" s="129">
        <v>0.980559345156889</v>
      </c>
      <c r="AF369" s="129">
        <v>0.0795734208367514</v>
      </c>
      <c r="AG369" s="129">
        <v>0.963009049773756</v>
      </c>
      <c r="AH369" s="131">
        <v>0.92</v>
      </c>
      <c r="AI369" s="129">
        <v>0.865693081158726</v>
      </c>
      <c r="AJ369" s="129">
        <v>0.813082791749082</v>
      </c>
      <c r="AK369" s="129">
        <v>0.861140332421628</v>
      </c>
      <c r="AL369" s="129">
        <v>0.865410645692336</v>
      </c>
      <c r="AM369" s="128">
        <v>0.99</v>
      </c>
      <c r="AN369" s="133">
        <v>1</v>
      </c>
      <c r="AO369" s="133">
        <v>1</v>
      </c>
      <c r="AP369" s="133">
        <v>1</v>
      </c>
      <c r="AQ369" s="133">
        <v>1</v>
      </c>
      <c r="AR369" s="153">
        <v>0.05</v>
      </c>
      <c r="AS369" s="137">
        <v>0.0666666666666667</v>
      </c>
      <c r="AT369" s="137">
        <v>0.0714285714285714</v>
      </c>
      <c r="AU369" s="137">
        <v>0.0444444444444444</v>
      </c>
      <c r="AV369" s="137">
        <v>0.0444104134762634</v>
      </c>
      <c r="AW369" s="93"/>
      <c r="AX369" s="91"/>
    </row>
    <row r="370" ht="14.5" spans="1:50">
      <c r="A370" s="89"/>
      <c r="B370" s="93"/>
      <c r="C370" s="148" t="s">
        <v>371</v>
      </c>
      <c r="D370" s="126" t="s">
        <v>372</v>
      </c>
      <c r="E370" s="149" t="s">
        <v>392</v>
      </c>
      <c r="F370" s="149" t="s">
        <v>392</v>
      </c>
      <c r="G370" s="149" t="s">
        <v>392</v>
      </c>
      <c r="H370" s="149" t="s">
        <v>392</v>
      </c>
      <c r="I370" s="128">
        <v>0.9</v>
      </c>
      <c r="J370" s="129">
        <v>0.83695652173913</v>
      </c>
      <c r="K370" s="129">
        <v>0.765432098765432</v>
      </c>
      <c r="L370" s="130">
        <v>0.826086956521739</v>
      </c>
      <c r="M370" s="129">
        <v>0.797905759162304</v>
      </c>
      <c r="N370" s="131">
        <v>0.9</v>
      </c>
      <c r="O370" s="129">
        <v>0.944660324266381</v>
      </c>
      <c r="P370" s="129">
        <v>0.923263818586758</v>
      </c>
      <c r="Q370" s="129">
        <v>0.853219880100561</v>
      </c>
      <c r="R370" s="129">
        <v>0.927603705195328</v>
      </c>
      <c r="S370" s="131">
        <v>0.9</v>
      </c>
      <c r="T370" s="129">
        <v>0.847648398767252</v>
      </c>
      <c r="U370" s="129">
        <v>0.867584531281636</v>
      </c>
      <c r="V370" s="129">
        <v>0.801392380584026</v>
      </c>
      <c r="W370" s="129">
        <v>0.85491743858236</v>
      </c>
      <c r="X370" s="131">
        <v>0.92</v>
      </c>
      <c r="Y370" s="131">
        <v>0.908400082152393</v>
      </c>
      <c r="Z370" s="131">
        <v>0.90622486729934</v>
      </c>
      <c r="AA370" s="131">
        <v>0.935572309801234</v>
      </c>
      <c r="AB370" s="131">
        <v>0.942419337813589</v>
      </c>
      <c r="AC370" s="131">
        <v>0.92</v>
      </c>
      <c r="AD370" s="129">
        <v>0.99788306151048</v>
      </c>
      <c r="AE370" s="129">
        <v>0.995453595317726</v>
      </c>
      <c r="AF370" s="129">
        <v>0.987344398340249</v>
      </c>
      <c r="AG370" s="129">
        <v>0.992792149367892</v>
      </c>
      <c r="AH370" s="131">
        <v>0.92</v>
      </c>
      <c r="AI370" s="129">
        <v>0.93344682230869</v>
      </c>
      <c r="AJ370" s="129">
        <v>0.932706093189964</v>
      </c>
      <c r="AK370" s="129">
        <v>0.950327443469665</v>
      </c>
      <c r="AL370" s="129">
        <v>0.959465366509751</v>
      </c>
      <c r="AM370" s="128">
        <v>0.99</v>
      </c>
      <c r="AN370" s="133">
        <v>1</v>
      </c>
      <c r="AO370" s="133">
        <v>1</v>
      </c>
      <c r="AP370" s="133">
        <v>1</v>
      </c>
      <c r="AQ370" s="133">
        <v>1</v>
      </c>
      <c r="AR370" s="153">
        <v>0.05</v>
      </c>
      <c r="AS370" s="137">
        <v>0.0851063829787234</v>
      </c>
      <c r="AT370" s="137">
        <v>0.0975609756097561</v>
      </c>
      <c r="AU370" s="137">
        <v>0.134615384615385</v>
      </c>
      <c r="AV370" s="137">
        <v>0.0647921760391198</v>
      </c>
      <c r="AW370" s="93"/>
      <c r="AX370" s="91"/>
    </row>
    <row r="371" ht="14.5" spans="1:50">
      <c r="A371" s="89"/>
      <c r="B371" s="93"/>
      <c r="C371" s="148" t="s">
        <v>371</v>
      </c>
      <c r="D371" s="126" t="s">
        <v>372</v>
      </c>
      <c r="E371" s="149" t="s">
        <v>393</v>
      </c>
      <c r="F371" s="149" t="s">
        <v>393</v>
      </c>
      <c r="G371" s="149" t="s">
        <v>393</v>
      </c>
      <c r="H371" s="149" t="s">
        <v>393</v>
      </c>
      <c r="I371" s="128">
        <v>0.9</v>
      </c>
      <c r="J371" s="129">
        <v>0.952380952380952</v>
      </c>
      <c r="K371" s="129">
        <v>0.91304347826087</v>
      </c>
      <c r="L371" s="130">
        <v>0.943396226415094</v>
      </c>
      <c r="M371" s="129">
        <v>0.924242424242424</v>
      </c>
      <c r="N371" s="131">
        <v>0.9</v>
      </c>
      <c r="O371" s="129">
        <v>0.922831505483549</v>
      </c>
      <c r="P371" s="129">
        <v>0.925040738728952</v>
      </c>
      <c r="Q371" s="129">
        <v>0.926869806094183</v>
      </c>
      <c r="R371" s="129">
        <v>0.932104447243484</v>
      </c>
      <c r="S371" s="131">
        <v>0.9</v>
      </c>
      <c r="T371" s="129">
        <v>0.862412761714855</v>
      </c>
      <c r="U371" s="129">
        <v>0.865833785985877</v>
      </c>
      <c r="V371" s="129">
        <v>0.851246537396122</v>
      </c>
      <c r="W371" s="129">
        <v>0.876659238445887</v>
      </c>
      <c r="X371" s="131">
        <v>0.92</v>
      </c>
      <c r="Y371" s="131">
        <v>0.917056074766355</v>
      </c>
      <c r="Z371" s="131">
        <v>0.939933259176863</v>
      </c>
      <c r="AA371" s="131">
        <v>0.914386584289497</v>
      </c>
      <c r="AB371" s="131">
        <v>0.926800532732302</v>
      </c>
      <c r="AC371" s="131">
        <v>0.92</v>
      </c>
      <c r="AD371" s="129">
        <v>0.974910394265233</v>
      </c>
      <c r="AE371" s="129">
        <v>0.985549132947977</v>
      </c>
      <c r="AF371" s="129">
        <v>0.987714987714988</v>
      </c>
      <c r="AG371" s="129">
        <v>0.983535108958838</v>
      </c>
      <c r="AH371" s="131">
        <v>0.92</v>
      </c>
      <c r="AI371" s="129">
        <v>0.955998216143898</v>
      </c>
      <c r="AJ371" s="129">
        <v>0.952747252747253</v>
      </c>
      <c r="AK371" s="129">
        <v>0.952993254637437</v>
      </c>
      <c r="AL371" s="129">
        <v>0.959302803584642</v>
      </c>
      <c r="AM371" s="128">
        <v>0.99</v>
      </c>
      <c r="AN371" s="133">
        <v>1</v>
      </c>
      <c r="AO371" s="133">
        <v>1</v>
      </c>
      <c r="AP371" s="133">
        <v>1</v>
      </c>
      <c r="AQ371" s="133">
        <v>1</v>
      </c>
      <c r="AR371" s="153">
        <v>0.05</v>
      </c>
      <c r="AS371" s="137">
        <v>0.115384615384615</v>
      </c>
      <c r="AT371" s="137">
        <v>0</v>
      </c>
      <c r="AU371" s="137">
        <v>0</v>
      </c>
      <c r="AV371" s="137">
        <v>0.0922330097087379</v>
      </c>
      <c r="AW371" s="93"/>
      <c r="AX371" s="91"/>
    </row>
    <row r="372" ht="14.5" spans="1:50">
      <c r="A372" s="89"/>
      <c r="B372" s="93"/>
      <c r="C372" s="148" t="s">
        <v>371</v>
      </c>
      <c r="D372" s="126" t="s">
        <v>372</v>
      </c>
      <c r="E372" s="149" t="s">
        <v>394</v>
      </c>
      <c r="F372" s="149" t="s">
        <v>394</v>
      </c>
      <c r="G372" s="149" t="s">
        <v>394</v>
      </c>
      <c r="H372" s="149" t="s">
        <v>394</v>
      </c>
      <c r="I372" s="128">
        <v>0.9</v>
      </c>
      <c r="J372" s="129">
        <v>0.792079207920792</v>
      </c>
      <c r="K372" s="129">
        <v>0.74390243902439</v>
      </c>
      <c r="L372" s="130">
        <v>0.725</v>
      </c>
      <c r="M372" s="129">
        <v>0.800995024875622</v>
      </c>
      <c r="N372" s="131">
        <v>0.9</v>
      </c>
      <c r="O372" s="129">
        <v>0.91280947255113</v>
      </c>
      <c r="P372" s="129">
        <v>0.878041268863566</v>
      </c>
      <c r="Q372" s="129">
        <v>0.817428659097883</v>
      </c>
      <c r="R372" s="129">
        <v>0.87940935192781</v>
      </c>
      <c r="S372" s="131">
        <v>0.9</v>
      </c>
      <c r="T372" s="129">
        <v>0.201184068891281</v>
      </c>
      <c r="U372" s="129">
        <v>0.411456729288574</v>
      </c>
      <c r="V372" s="129">
        <v>0.228137465480209</v>
      </c>
      <c r="W372" s="129">
        <v>0.308746570111171</v>
      </c>
      <c r="X372" s="131">
        <v>0.92</v>
      </c>
      <c r="Y372" s="131">
        <v>0.384228836490143</v>
      </c>
      <c r="Z372" s="131">
        <v>0.458985831469053</v>
      </c>
      <c r="AA372" s="131">
        <v>0.267955801104972</v>
      </c>
      <c r="AB372" s="131">
        <v>0.353026471084134</v>
      </c>
      <c r="AC372" s="131">
        <v>0.92</v>
      </c>
      <c r="AD372" s="129">
        <v>0.995258166491043</v>
      </c>
      <c r="AE372" s="129">
        <v>0.99862700228833</v>
      </c>
      <c r="AF372" s="129">
        <v>0.998236331569665</v>
      </c>
      <c r="AG372" s="129">
        <v>0.965848186463916</v>
      </c>
      <c r="AH372" s="131">
        <v>0.92</v>
      </c>
      <c r="AI372" s="129">
        <v>0.73928781883997</v>
      </c>
      <c r="AJ372" s="129">
        <v>0.641652613827993</v>
      </c>
      <c r="AK372" s="129">
        <v>0.667501251877817</v>
      </c>
      <c r="AL372" s="129">
        <v>0.685767503013038</v>
      </c>
      <c r="AM372" s="128">
        <v>0.99</v>
      </c>
      <c r="AN372" s="133">
        <v>1</v>
      </c>
      <c r="AO372" s="133">
        <v>1</v>
      </c>
      <c r="AP372" s="133">
        <v>1</v>
      </c>
      <c r="AQ372" s="133">
        <v>1</v>
      </c>
      <c r="AR372" s="153">
        <v>0.05</v>
      </c>
      <c r="AS372" s="137">
        <v>0.15</v>
      </c>
      <c r="AT372" s="137">
        <v>0.135135135135135</v>
      </c>
      <c r="AU372" s="137">
        <v>0.125</v>
      </c>
      <c r="AV372" s="137">
        <v>0.106334841628959</v>
      </c>
      <c r="AW372" s="93"/>
      <c r="AX372" s="91"/>
    </row>
    <row r="373" ht="14.5" spans="1:50">
      <c r="A373" s="89"/>
      <c r="B373" s="93"/>
      <c r="C373" s="148" t="s">
        <v>371</v>
      </c>
      <c r="D373" s="126" t="s">
        <v>372</v>
      </c>
      <c r="E373" s="149" t="s">
        <v>395</v>
      </c>
      <c r="F373" s="149" t="s">
        <v>395</v>
      </c>
      <c r="G373" s="149" t="s">
        <v>395</v>
      </c>
      <c r="H373" s="149" t="s">
        <v>395</v>
      </c>
      <c r="I373" s="128">
        <v>0.9</v>
      </c>
      <c r="J373" s="129">
        <v>0.736842105263158</v>
      </c>
      <c r="K373" s="129">
        <v>0.740740740740741</v>
      </c>
      <c r="L373" s="130">
        <v>0.612903225806452</v>
      </c>
      <c r="M373" s="129">
        <v>0.696296296296296</v>
      </c>
      <c r="N373" s="131">
        <v>0.9</v>
      </c>
      <c r="O373" s="129">
        <v>0.306085611139763</v>
      </c>
      <c r="P373" s="129">
        <v>0.90877914951989</v>
      </c>
      <c r="Q373" s="129">
        <v>0.639412207987943</v>
      </c>
      <c r="R373" s="129">
        <v>0.654109831083469</v>
      </c>
      <c r="S373" s="131">
        <v>0.9</v>
      </c>
      <c r="T373" s="129">
        <v>0.459257349149046</v>
      </c>
      <c r="U373" s="129">
        <v>0.451303155006859</v>
      </c>
      <c r="V373" s="129">
        <v>0.435192162773173</v>
      </c>
      <c r="W373" s="129">
        <v>0.518587886069687</v>
      </c>
      <c r="X373" s="131">
        <v>0.92</v>
      </c>
      <c r="Y373" s="131">
        <v>0.526483050847458</v>
      </c>
      <c r="Z373" s="131">
        <v>0.511247443762781</v>
      </c>
      <c r="AA373" s="131">
        <v>0.3215859030837</v>
      </c>
      <c r="AB373" s="131">
        <v>0.510168826069886</v>
      </c>
      <c r="AC373" s="131">
        <v>0.92</v>
      </c>
      <c r="AD373" s="129">
        <v>0.98</v>
      </c>
      <c r="AE373" s="129">
        <v>0.956989247311828</v>
      </c>
      <c r="AF373" s="129">
        <v>0.993548387096774</v>
      </c>
      <c r="AG373" s="129">
        <v>0.960063897763578</v>
      </c>
      <c r="AH373" s="131">
        <v>0.92</v>
      </c>
      <c r="AI373" s="129">
        <v>0.771671505599336</v>
      </c>
      <c r="AJ373" s="129">
        <v>0.615573770491803</v>
      </c>
      <c r="AK373" s="129">
        <v>0.65165648118366</v>
      </c>
      <c r="AL373" s="129">
        <v>0.732136331522401</v>
      </c>
      <c r="AM373" s="128">
        <v>0.99</v>
      </c>
      <c r="AN373" s="133">
        <v>1</v>
      </c>
      <c r="AO373" s="133">
        <v>1</v>
      </c>
      <c r="AP373" s="133">
        <v>1</v>
      </c>
      <c r="AQ373" s="133">
        <v>1</v>
      </c>
      <c r="AR373" s="153">
        <v>0.05</v>
      </c>
      <c r="AS373" s="137">
        <v>0.176470588235294</v>
      </c>
      <c r="AT373" s="137">
        <v>0.181818181818182</v>
      </c>
      <c r="AU373" s="137">
        <v>0.428571428571429</v>
      </c>
      <c r="AV373" s="137">
        <v>0.111111111111111</v>
      </c>
      <c r="AW373" s="93"/>
      <c r="AX373" s="91"/>
    </row>
    <row r="374" ht="14.5" spans="1:50">
      <c r="A374" s="89"/>
      <c r="B374" s="93"/>
      <c r="C374" s="148" t="s">
        <v>371</v>
      </c>
      <c r="D374" s="126" t="s">
        <v>372</v>
      </c>
      <c r="E374" s="149" t="s">
        <v>396</v>
      </c>
      <c r="F374" s="149" t="s">
        <v>396</v>
      </c>
      <c r="G374" s="149" t="s">
        <v>396</v>
      </c>
      <c r="H374" s="149" t="s">
        <v>396</v>
      </c>
      <c r="I374" s="128">
        <v>0.9</v>
      </c>
      <c r="J374" s="129">
        <v>0.830508474576271</v>
      </c>
      <c r="K374" s="129">
        <v>0.791666666666667</v>
      </c>
      <c r="L374" s="130">
        <v>0.775862068965517</v>
      </c>
      <c r="M374" s="129">
        <v>0.827371695178849</v>
      </c>
      <c r="N374" s="131">
        <v>0.9</v>
      </c>
      <c r="O374" s="129">
        <v>0.0588235294117647</v>
      </c>
      <c r="P374" s="129">
        <v>0.2</v>
      </c>
      <c r="Q374" s="129" t="s">
        <v>33</v>
      </c>
      <c r="R374" s="129">
        <v>0.125</v>
      </c>
      <c r="S374" s="131">
        <v>0.9</v>
      </c>
      <c r="T374" s="129">
        <v>0.0588235294117647</v>
      </c>
      <c r="U374" s="129">
        <v>0.2</v>
      </c>
      <c r="V374" s="129" t="s">
        <v>33</v>
      </c>
      <c r="W374" s="129">
        <v>0.0625</v>
      </c>
      <c r="X374" s="131">
        <v>0.92</v>
      </c>
      <c r="Y374" s="131">
        <v>0</v>
      </c>
      <c r="Z374" s="131">
        <v>0</v>
      </c>
      <c r="AA374" s="131">
        <v>0</v>
      </c>
      <c r="AB374" s="131">
        <v>0.25</v>
      </c>
      <c r="AC374" s="131">
        <v>0.92</v>
      </c>
      <c r="AD374" s="129">
        <v>0.990338164251208</v>
      </c>
      <c r="AE374" s="129">
        <v>0.981927710843373</v>
      </c>
      <c r="AF374" s="129">
        <v>0.970443349753695</v>
      </c>
      <c r="AG374" s="129">
        <v>0.978877887788779</v>
      </c>
      <c r="AH374" s="131">
        <v>0.92</v>
      </c>
      <c r="AI374" s="129">
        <v>0.949856517142426</v>
      </c>
      <c r="AJ374" s="129">
        <v>0.93411306042885</v>
      </c>
      <c r="AK374" s="129">
        <v>0.952526799387443</v>
      </c>
      <c r="AL374" s="129">
        <v>0.948204805183119</v>
      </c>
      <c r="AM374" s="128">
        <v>0.99</v>
      </c>
      <c r="AN374" s="133">
        <v>1</v>
      </c>
      <c r="AO374" s="133">
        <v>1</v>
      </c>
      <c r="AP374" s="133">
        <v>1</v>
      </c>
      <c r="AQ374" s="133">
        <v>1</v>
      </c>
      <c r="AR374" s="153">
        <v>0.05</v>
      </c>
      <c r="AS374" s="137">
        <v>0.0909090909090909</v>
      </c>
      <c r="AT374" s="137">
        <v>0</v>
      </c>
      <c r="AU374" s="137">
        <v>0</v>
      </c>
      <c r="AV374" s="137">
        <v>0.102739726027397</v>
      </c>
      <c r="AW374" s="93"/>
      <c r="AX374" s="91"/>
    </row>
    <row r="375" ht="14.5" spans="1:50">
      <c r="A375" s="89"/>
      <c r="B375" s="93"/>
      <c r="C375" s="148" t="s">
        <v>371</v>
      </c>
      <c r="D375" s="126" t="s">
        <v>372</v>
      </c>
      <c r="E375" s="149" t="s">
        <v>397</v>
      </c>
      <c r="F375" s="149" t="s">
        <v>397</v>
      </c>
      <c r="G375" s="149" t="s">
        <v>397</v>
      </c>
      <c r="H375" s="149" t="s">
        <v>397</v>
      </c>
      <c r="I375" s="128">
        <v>0.9</v>
      </c>
      <c r="J375" s="129">
        <v>0.629032258064516</v>
      </c>
      <c r="K375" s="129">
        <v>0.52</v>
      </c>
      <c r="L375" s="130">
        <v>0.666666666666667</v>
      </c>
      <c r="M375" s="129">
        <v>0.644274809160305</v>
      </c>
      <c r="N375" s="131">
        <v>0.9</v>
      </c>
      <c r="O375" s="129">
        <v>0</v>
      </c>
      <c r="P375" s="129">
        <v>0</v>
      </c>
      <c r="Q375" s="129" t="s">
        <v>33</v>
      </c>
      <c r="R375" s="129">
        <v>0.111111111111111</v>
      </c>
      <c r="S375" s="131">
        <v>0.9</v>
      </c>
      <c r="T375" s="129">
        <v>0</v>
      </c>
      <c r="U375" s="129">
        <v>0</v>
      </c>
      <c r="V375" s="129" t="s">
        <v>33</v>
      </c>
      <c r="W375" s="129">
        <v>0.222222222222222</v>
      </c>
      <c r="X375" s="131">
        <v>0.92</v>
      </c>
      <c r="Y375" s="131">
        <v>0.25</v>
      </c>
      <c r="Z375" s="131">
        <v>0.444444444444444</v>
      </c>
      <c r="AA375" s="131">
        <v>0</v>
      </c>
      <c r="AB375" s="131">
        <v>0.517241379310345</v>
      </c>
      <c r="AC375" s="131">
        <v>0.92</v>
      </c>
      <c r="AD375" s="129">
        <v>0.981395348837209</v>
      </c>
      <c r="AE375" s="129">
        <v>0.994186046511628</v>
      </c>
      <c r="AF375" s="129">
        <v>0.981132075471698</v>
      </c>
      <c r="AG375" s="129">
        <v>0.978619654913728</v>
      </c>
      <c r="AH375" s="131">
        <v>0.92</v>
      </c>
      <c r="AI375" s="129">
        <v>0.896235184754822</v>
      </c>
      <c r="AJ375" s="129">
        <v>0.853841709994223</v>
      </c>
      <c r="AK375" s="129">
        <v>0.90563033724128</v>
      </c>
      <c r="AL375" s="129">
        <v>0.88444825772882</v>
      </c>
      <c r="AM375" s="128">
        <v>0.99</v>
      </c>
      <c r="AN375" s="133">
        <v>1</v>
      </c>
      <c r="AO375" s="133">
        <v>1</v>
      </c>
      <c r="AP375" s="133">
        <v>1</v>
      </c>
      <c r="AQ375" s="133">
        <v>1</v>
      </c>
      <c r="AR375" s="153">
        <v>0.05</v>
      </c>
      <c r="AS375" s="137">
        <v>0.269230769230769</v>
      </c>
      <c r="AT375" s="137">
        <v>0.19047619047619</v>
      </c>
      <c r="AU375" s="137">
        <v>0.235294117647059</v>
      </c>
      <c r="AV375" s="137">
        <v>0.200743494423792</v>
      </c>
      <c r="AW375" s="93"/>
      <c r="AX375" s="91"/>
    </row>
    <row r="376" ht="14.5" spans="1:50">
      <c r="A376" s="89"/>
      <c r="B376" s="93"/>
      <c r="C376" s="148" t="s">
        <v>371</v>
      </c>
      <c r="D376" s="126" t="s">
        <v>372</v>
      </c>
      <c r="E376" s="149" t="s">
        <v>398</v>
      </c>
      <c r="F376" s="149" t="s">
        <v>398</v>
      </c>
      <c r="G376" s="149" t="s">
        <v>398</v>
      </c>
      <c r="H376" s="149" t="s">
        <v>398</v>
      </c>
      <c r="I376" s="128">
        <v>0.9</v>
      </c>
      <c r="J376" s="129">
        <v>0.985507246376812</v>
      </c>
      <c r="K376" s="129">
        <v>1</v>
      </c>
      <c r="L376" s="130">
        <v>0.982456140350877</v>
      </c>
      <c r="M376" s="129">
        <v>0.988700564971751</v>
      </c>
      <c r="N376" s="131">
        <v>0.9</v>
      </c>
      <c r="O376" s="129">
        <v>0.970618034447822</v>
      </c>
      <c r="P376" s="129">
        <v>0.979574822842851</v>
      </c>
      <c r="Q376" s="129">
        <v>0.984365228267667</v>
      </c>
      <c r="R376" s="129">
        <v>0.9792880502199</v>
      </c>
      <c r="S376" s="131">
        <v>0.9</v>
      </c>
      <c r="T376" s="129">
        <v>0.839195252569113</v>
      </c>
      <c r="U376" s="129">
        <v>0.895789912463526</v>
      </c>
      <c r="V376" s="129">
        <v>0.874296435272045</v>
      </c>
      <c r="W376" s="129">
        <v>0.889523737924294</v>
      </c>
      <c r="X376" s="131">
        <v>0.92</v>
      </c>
      <c r="Y376" s="131">
        <v>0.947873227689741</v>
      </c>
      <c r="Z376" s="131">
        <v>0.944</v>
      </c>
      <c r="AA376" s="131">
        <v>0.927408412483039</v>
      </c>
      <c r="AB376" s="131">
        <v>0.938195586491758</v>
      </c>
      <c r="AC376" s="131">
        <v>0.92</v>
      </c>
      <c r="AD376" s="129">
        <v>1</v>
      </c>
      <c r="AE376" s="129">
        <v>0.992937853107345</v>
      </c>
      <c r="AF376" s="129">
        <v>0.997562956945573</v>
      </c>
      <c r="AG376" s="129">
        <v>0.995933069951197</v>
      </c>
      <c r="AH376" s="131">
        <v>0.92</v>
      </c>
      <c r="AI376" s="129">
        <v>0.964891561090831</v>
      </c>
      <c r="AJ376" s="129">
        <v>0.963971512358609</v>
      </c>
      <c r="AK376" s="129">
        <v>0.971136979748047</v>
      </c>
      <c r="AL376" s="129">
        <v>0.968174774161847</v>
      </c>
      <c r="AM376" s="128">
        <v>0.99</v>
      </c>
      <c r="AN376" s="133">
        <v>1</v>
      </c>
      <c r="AO376" s="133">
        <v>1</v>
      </c>
      <c r="AP376" s="133">
        <v>1</v>
      </c>
      <c r="AQ376" s="133">
        <v>1</v>
      </c>
      <c r="AR376" s="153">
        <v>0.05</v>
      </c>
      <c r="AS376" s="137">
        <v>0.0588235294117647</v>
      </c>
      <c r="AT376" s="137">
        <v>0</v>
      </c>
      <c r="AU376" s="137">
        <v>0.105263157894737</v>
      </c>
      <c r="AV376" s="137">
        <v>0.0780487804878049</v>
      </c>
      <c r="AW376" s="93"/>
      <c r="AX376" s="91"/>
    </row>
    <row r="377" ht="14.5" spans="1:50">
      <c r="A377" s="89"/>
      <c r="B377" s="93"/>
      <c r="C377" s="148" t="s">
        <v>371</v>
      </c>
      <c r="D377" s="126" t="s">
        <v>372</v>
      </c>
      <c r="E377" s="149" t="s">
        <v>399</v>
      </c>
      <c r="F377" s="149" t="s">
        <v>399</v>
      </c>
      <c r="G377" s="149" t="s">
        <v>399</v>
      </c>
      <c r="H377" s="149" t="s">
        <v>399</v>
      </c>
      <c r="I377" s="128">
        <v>0.9</v>
      </c>
      <c r="J377" s="129">
        <v>0.890243902439024</v>
      </c>
      <c r="K377" s="129">
        <v>0.891891891891892</v>
      </c>
      <c r="L377" s="130">
        <v>0.858974358974359</v>
      </c>
      <c r="M377" s="129">
        <v>0.88135593220339</v>
      </c>
      <c r="N377" s="131">
        <v>0.9</v>
      </c>
      <c r="O377" s="129">
        <v>0.757834757834758</v>
      </c>
      <c r="P377" s="129">
        <v>0.832183908045977</v>
      </c>
      <c r="Q377" s="129">
        <v>0.85702242454898</v>
      </c>
      <c r="R377" s="129">
        <v>0.893021001615509</v>
      </c>
      <c r="S377" s="131">
        <v>0.9</v>
      </c>
      <c r="T377" s="129">
        <v>0.661098161098161</v>
      </c>
      <c r="U377" s="129">
        <v>0.779310344827586</v>
      </c>
      <c r="V377" s="129">
        <v>0.695161018378014</v>
      </c>
      <c r="W377" s="129">
        <v>0.720856219709208</v>
      </c>
      <c r="X377" s="131">
        <v>0.92</v>
      </c>
      <c r="Y377" s="131">
        <v>0.786559139784946</v>
      </c>
      <c r="Z377" s="131">
        <v>0.787377133988619</v>
      </c>
      <c r="AA377" s="131">
        <v>0.746934225195095</v>
      </c>
      <c r="AB377" s="131">
        <v>0.801793298725814</v>
      </c>
      <c r="AC377" s="131">
        <v>0.92</v>
      </c>
      <c r="AD377" s="129">
        <v>0.965034965034965</v>
      </c>
      <c r="AE377" s="129">
        <v>0.984455958549223</v>
      </c>
      <c r="AF377" s="129">
        <v>0.995983935742972</v>
      </c>
      <c r="AG377" s="129">
        <v>0.977960020502306</v>
      </c>
      <c r="AH377" s="131">
        <v>0.92</v>
      </c>
      <c r="AI377" s="129">
        <v>0.909593326381648</v>
      </c>
      <c r="AJ377" s="129">
        <v>0.888107673764564</v>
      </c>
      <c r="AK377" s="129">
        <v>0.934094903339192</v>
      </c>
      <c r="AL377" s="129">
        <v>0.915748183087067</v>
      </c>
      <c r="AM377" s="128">
        <v>0.99</v>
      </c>
      <c r="AN377" s="133">
        <v>1</v>
      </c>
      <c r="AO377" s="133">
        <v>1</v>
      </c>
      <c r="AP377" s="133">
        <v>1</v>
      </c>
      <c r="AQ377" s="133">
        <v>1</v>
      </c>
      <c r="AR377" s="153">
        <v>0.05</v>
      </c>
      <c r="AS377" s="137">
        <v>0.0909090909090909</v>
      </c>
      <c r="AT377" s="137">
        <v>0.0833333333333333</v>
      </c>
      <c r="AU377" s="137">
        <v>0.0740740740740741</v>
      </c>
      <c r="AV377" s="137">
        <v>0.108108108108108</v>
      </c>
      <c r="AW377" s="93"/>
      <c r="AX377" s="91"/>
    </row>
    <row r="378" ht="14.5" spans="1:50">
      <c r="A378" s="89"/>
      <c r="B378" s="93"/>
      <c r="C378" s="148" t="s">
        <v>371</v>
      </c>
      <c r="D378" s="126" t="s">
        <v>372</v>
      </c>
      <c r="E378" s="149" t="s">
        <v>400</v>
      </c>
      <c r="F378" s="149" t="s">
        <v>400</v>
      </c>
      <c r="G378" s="149" t="s">
        <v>400</v>
      </c>
      <c r="H378" s="149" t="s">
        <v>400</v>
      </c>
      <c r="I378" s="128">
        <v>0.9</v>
      </c>
      <c r="J378" s="129">
        <v>0.96078431372549</v>
      </c>
      <c r="K378" s="129">
        <v>0.898550724637681</v>
      </c>
      <c r="L378" s="130">
        <v>0.892857142857143</v>
      </c>
      <c r="M378" s="129">
        <v>0.945610687022901</v>
      </c>
      <c r="N378" s="131">
        <v>0.9</v>
      </c>
      <c r="O378" s="129">
        <v>0.866235703630035</v>
      </c>
      <c r="P378" s="129">
        <v>0.939174705251876</v>
      </c>
      <c r="Q378" s="129">
        <v>0.891394319965749</v>
      </c>
      <c r="R378" s="129">
        <v>0.942876992550851</v>
      </c>
      <c r="S378" s="131">
        <v>0.9</v>
      </c>
      <c r="T378" s="129">
        <v>0.701939333664843</v>
      </c>
      <c r="U378" s="129">
        <v>0.740353697749196</v>
      </c>
      <c r="V378" s="129">
        <v>0.721136006850293</v>
      </c>
      <c r="W378" s="129">
        <v>0.773669381296075</v>
      </c>
      <c r="X378" s="131">
        <v>0.92</v>
      </c>
      <c r="Y378" s="131">
        <v>0.838688737422915</v>
      </c>
      <c r="Z378" s="131">
        <v>0.829911019849418</v>
      </c>
      <c r="AA378" s="131">
        <v>0.828517587939699</v>
      </c>
      <c r="AB378" s="131">
        <v>0.860877366662542</v>
      </c>
      <c r="AC378" s="131">
        <v>0.92</v>
      </c>
      <c r="AD378" s="129">
        <v>0.977229601518027</v>
      </c>
      <c r="AE378" s="129">
        <v>0.968421052631579</v>
      </c>
      <c r="AF378" s="129">
        <v>0.973498233215548</v>
      </c>
      <c r="AG378" s="129">
        <v>0.960584660863853</v>
      </c>
      <c r="AH378" s="131">
        <v>0.92</v>
      </c>
      <c r="AI378" s="129">
        <v>0.929294466854403</v>
      </c>
      <c r="AJ378" s="129">
        <v>0.886418269230769</v>
      </c>
      <c r="AK378" s="129">
        <v>0.926627906976744</v>
      </c>
      <c r="AL378" s="129">
        <v>0.93093799682035</v>
      </c>
      <c r="AM378" s="128">
        <v>0.99</v>
      </c>
      <c r="AN378" s="133">
        <v>1</v>
      </c>
      <c r="AO378" s="133">
        <v>1</v>
      </c>
      <c r="AP378" s="133">
        <v>1</v>
      </c>
      <c r="AQ378" s="133">
        <v>1</v>
      </c>
      <c r="AR378" s="153">
        <v>0.05</v>
      </c>
      <c r="AS378" s="137">
        <v>0.0535714285714286</v>
      </c>
      <c r="AT378" s="137">
        <v>0.184210526315789</v>
      </c>
      <c r="AU378" s="137">
        <v>0.0487804878048781</v>
      </c>
      <c r="AV378" s="137">
        <v>0.115631691648822</v>
      </c>
      <c r="AW378" s="93"/>
      <c r="AX378" s="91"/>
    </row>
    <row r="379" ht="14.5" spans="1:50">
      <c r="A379" s="89"/>
      <c r="B379" s="93"/>
      <c r="C379" s="148" t="s">
        <v>371</v>
      </c>
      <c r="D379" s="126" t="s">
        <v>372</v>
      </c>
      <c r="E379" s="149" t="s">
        <v>401</v>
      </c>
      <c r="F379" s="149" t="s">
        <v>401</v>
      </c>
      <c r="G379" s="149" t="s">
        <v>401</v>
      </c>
      <c r="H379" s="149" t="s">
        <v>401</v>
      </c>
      <c r="I379" s="128">
        <v>0.9</v>
      </c>
      <c r="J379" s="129">
        <v>0.864864864864865</v>
      </c>
      <c r="K379" s="129">
        <v>0.848484848484849</v>
      </c>
      <c r="L379" s="130">
        <v>0.875</v>
      </c>
      <c r="M379" s="129">
        <v>0.900744416873449</v>
      </c>
      <c r="N379" s="131">
        <v>0.9</v>
      </c>
      <c r="O379" s="129">
        <v>0.111111111111111</v>
      </c>
      <c r="P379" s="129" t="s">
        <v>33</v>
      </c>
      <c r="Q379" s="129">
        <v>1</v>
      </c>
      <c r="R379" s="129">
        <v>0.153846153846154</v>
      </c>
      <c r="S379" s="131">
        <v>0.9</v>
      </c>
      <c r="T379" s="129">
        <v>0.111111111111111</v>
      </c>
      <c r="U379" s="129" t="s">
        <v>33</v>
      </c>
      <c r="V379" s="129">
        <v>1</v>
      </c>
      <c r="W379" s="129">
        <v>0.307692307692308</v>
      </c>
      <c r="X379" s="131">
        <v>0.92</v>
      </c>
      <c r="Y379" s="131">
        <v>0.666666666666667</v>
      </c>
      <c r="Z379" s="131">
        <v>0.333333333333333</v>
      </c>
      <c r="AA379" s="131" t="s">
        <v>33</v>
      </c>
      <c r="AB379" s="131">
        <v>0.740740740740741</v>
      </c>
      <c r="AC379" s="131">
        <v>0.92</v>
      </c>
      <c r="AD379" s="129">
        <v>0.995169082125604</v>
      </c>
      <c r="AE379" s="129">
        <v>0.997916666666667</v>
      </c>
      <c r="AF379" s="129">
        <v>0.985714285714286</v>
      </c>
      <c r="AG379" s="129">
        <v>0.987369750552573</v>
      </c>
      <c r="AH379" s="131">
        <v>0.92</v>
      </c>
      <c r="AI379" s="129">
        <v>0.945846380548904</v>
      </c>
      <c r="AJ379" s="129">
        <v>0.890061565523307</v>
      </c>
      <c r="AK379" s="129">
        <v>0.864203128542281</v>
      </c>
      <c r="AL379" s="129">
        <v>0.912597552134419</v>
      </c>
      <c r="AM379" s="128">
        <v>0.99</v>
      </c>
      <c r="AN379" s="133">
        <v>1</v>
      </c>
      <c r="AO379" s="133">
        <v>1</v>
      </c>
      <c r="AP379" s="133">
        <v>1</v>
      </c>
      <c r="AQ379" s="133">
        <v>1</v>
      </c>
      <c r="AR379" s="153">
        <v>0.05</v>
      </c>
      <c r="AS379" s="137">
        <v>0.368421052631579</v>
      </c>
      <c r="AT379" s="137">
        <v>0</v>
      </c>
      <c r="AU379" s="137">
        <v>0.105263157894737</v>
      </c>
      <c r="AV379" s="137">
        <v>0.160583941605839</v>
      </c>
      <c r="AW379" s="93"/>
      <c r="AX379" s="91"/>
    </row>
    <row r="380" ht="14.5" spans="1:50">
      <c r="A380" s="89"/>
      <c r="B380" s="93"/>
      <c r="C380" s="148" t="s">
        <v>371</v>
      </c>
      <c r="D380" s="126" t="s">
        <v>372</v>
      </c>
      <c r="E380" s="149" t="s">
        <v>402</v>
      </c>
      <c r="F380" s="149" t="s">
        <v>402</v>
      </c>
      <c r="G380" s="149" t="s">
        <v>402</v>
      </c>
      <c r="H380" s="149" t="s">
        <v>402</v>
      </c>
      <c r="I380" s="128">
        <v>0.9</v>
      </c>
      <c r="J380" s="129">
        <v>1</v>
      </c>
      <c r="K380" s="129">
        <v>0.952380952380952</v>
      </c>
      <c r="L380" s="130">
        <v>1</v>
      </c>
      <c r="M380" s="129">
        <v>0.985790408525755</v>
      </c>
      <c r="N380" s="131">
        <v>0.9</v>
      </c>
      <c r="O380" s="129">
        <v>0.917763867904166</v>
      </c>
      <c r="P380" s="129">
        <v>0.900952380952381</v>
      </c>
      <c r="Q380" s="129">
        <v>0.929229854296759</v>
      </c>
      <c r="R380" s="129">
        <v>0.931415340394954</v>
      </c>
      <c r="S380" s="131">
        <v>0.9</v>
      </c>
      <c r="T380" s="129">
        <v>0.84006043600259</v>
      </c>
      <c r="U380" s="129">
        <v>0.833650793650794</v>
      </c>
      <c r="V380" s="129">
        <v>0.854891465953018</v>
      </c>
      <c r="W380" s="129">
        <v>0.863096822270719</v>
      </c>
      <c r="X380" s="131">
        <v>0.92</v>
      </c>
      <c r="Y380" s="131">
        <v>0.904126984126984</v>
      </c>
      <c r="Z380" s="131">
        <v>0.901041666666667</v>
      </c>
      <c r="AA380" s="131">
        <v>0.88088376560999</v>
      </c>
      <c r="AB380" s="131">
        <v>0.909130482098161</v>
      </c>
      <c r="AC380" s="131">
        <v>0.92</v>
      </c>
      <c r="AD380" s="129">
        <v>0.990566037735849</v>
      </c>
      <c r="AE380" s="129">
        <v>0.971153846153846</v>
      </c>
      <c r="AF380" s="129">
        <v>0.972222222222222</v>
      </c>
      <c r="AG380" s="129">
        <v>0.980347694633409</v>
      </c>
      <c r="AH380" s="131">
        <v>0.92</v>
      </c>
      <c r="AI380" s="129">
        <v>0.938808373590982</v>
      </c>
      <c r="AJ380" s="129">
        <v>0.924008477141992</v>
      </c>
      <c r="AK380" s="129">
        <v>0.943233424159855</v>
      </c>
      <c r="AL380" s="129">
        <v>0.947443664111224</v>
      </c>
      <c r="AM380" s="128">
        <v>0.99</v>
      </c>
      <c r="AN380" s="133">
        <v>1</v>
      </c>
      <c r="AO380" s="133">
        <v>1</v>
      </c>
      <c r="AP380" s="133">
        <v>1</v>
      </c>
      <c r="AQ380" s="133">
        <v>1</v>
      </c>
      <c r="AR380" s="153">
        <v>0.05</v>
      </c>
      <c r="AS380" s="137">
        <v>-0.0526315789473684</v>
      </c>
      <c r="AT380" s="137">
        <v>0.25</v>
      </c>
      <c r="AU380" s="137">
        <v>0.3</v>
      </c>
      <c r="AV380" s="137">
        <v>0.0829015544041451</v>
      </c>
      <c r="AW380" s="93"/>
      <c r="AX380" s="91"/>
    </row>
    <row r="381" ht="14.5" spans="1:50">
      <c r="A381" s="89"/>
      <c r="B381" s="93"/>
      <c r="C381" s="148" t="s">
        <v>371</v>
      </c>
      <c r="D381" s="126" t="s">
        <v>372</v>
      </c>
      <c r="E381" s="149" t="s">
        <v>403</v>
      </c>
      <c r="F381" s="149" t="s">
        <v>403</v>
      </c>
      <c r="G381" s="149" t="s">
        <v>403</v>
      </c>
      <c r="H381" s="149" t="s">
        <v>403</v>
      </c>
      <c r="I381" s="128">
        <v>0.9</v>
      </c>
      <c r="J381" s="129">
        <v>0.807692307692308</v>
      </c>
      <c r="K381" s="129">
        <v>0.731707317073171</v>
      </c>
      <c r="L381" s="130">
        <v>0.680851063829787</v>
      </c>
      <c r="M381" s="129">
        <v>0.761904761904762</v>
      </c>
      <c r="N381" s="131">
        <v>0.9</v>
      </c>
      <c r="O381" s="129">
        <v>0.333333333333333</v>
      </c>
      <c r="P381" s="129" t="s">
        <v>33</v>
      </c>
      <c r="Q381" s="129">
        <v>1</v>
      </c>
      <c r="R381" s="129">
        <v>0.333333333333333</v>
      </c>
      <c r="S381" s="131">
        <v>0.9</v>
      </c>
      <c r="T381" s="129">
        <v>0</v>
      </c>
      <c r="U381" s="129" t="s">
        <v>33</v>
      </c>
      <c r="V381" s="129">
        <v>1</v>
      </c>
      <c r="W381" s="129">
        <v>0.0833333333333333</v>
      </c>
      <c r="X381" s="131">
        <v>0.92</v>
      </c>
      <c r="Y381" s="131">
        <v>0.25</v>
      </c>
      <c r="Z381" s="131">
        <v>0</v>
      </c>
      <c r="AA381" s="131">
        <v>0</v>
      </c>
      <c r="AB381" s="131">
        <v>0.44</v>
      </c>
      <c r="AC381" s="131">
        <v>0.92</v>
      </c>
      <c r="AD381" s="129">
        <v>1</v>
      </c>
      <c r="AE381" s="129">
        <v>0.884615384615385</v>
      </c>
      <c r="AF381" s="129">
        <v>0.761904761904762</v>
      </c>
      <c r="AG381" s="129">
        <v>0.868041237113402</v>
      </c>
      <c r="AH381" s="131">
        <v>0.92</v>
      </c>
      <c r="AI381" s="129">
        <v>0.865787801778907</v>
      </c>
      <c r="AJ381" s="129">
        <v>0.81033781033781</v>
      </c>
      <c r="AK381" s="129">
        <v>0.840904542725635</v>
      </c>
      <c r="AL381" s="129">
        <v>0.841992450539654</v>
      </c>
      <c r="AM381" s="128">
        <v>0.99</v>
      </c>
      <c r="AN381" s="133">
        <v>1</v>
      </c>
      <c r="AO381" s="133">
        <v>1</v>
      </c>
      <c r="AP381" s="133">
        <v>1</v>
      </c>
      <c r="AQ381" s="133">
        <v>1</v>
      </c>
      <c r="AR381" s="153">
        <v>0.05</v>
      </c>
      <c r="AS381" s="137">
        <v>0</v>
      </c>
      <c r="AT381" s="137">
        <v>0.130434782608696</v>
      </c>
      <c r="AU381" s="137">
        <v>0.0909090909090909</v>
      </c>
      <c r="AV381" s="137">
        <v>0.118110236220472</v>
      </c>
      <c r="AW381" s="93"/>
      <c r="AX381" s="91"/>
    </row>
    <row r="382" ht="14.5" spans="1:50">
      <c r="A382" s="89"/>
      <c r="B382" s="93"/>
      <c r="C382" s="148" t="s">
        <v>371</v>
      </c>
      <c r="D382" s="126" t="s">
        <v>372</v>
      </c>
      <c r="E382" s="149" t="s">
        <v>404</v>
      </c>
      <c r="F382" s="149" t="s">
        <v>404</v>
      </c>
      <c r="G382" s="149" t="s">
        <v>404</v>
      </c>
      <c r="H382" s="149" t="s">
        <v>404</v>
      </c>
      <c r="I382" s="128">
        <v>0.9</v>
      </c>
      <c r="J382" s="129">
        <v>0.623376623376623</v>
      </c>
      <c r="K382" s="129">
        <v>0.636363636363636</v>
      </c>
      <c r="L382" s="130">
        <v>0.611940298507463</v>
      </c>
      <c r="M382" s="129">
        <v>0.607728337236534</v>
      </c>
      <c r="N382" s="131">
        <v>0.9</v>
      </c>
      <c r="O382" s="129">
        <v>0.932936090664797</v>
      </c>
      <c r="P382" s="129">
        <v>0.895593869731801</v>
      </c>
      <c r="Q382" s="129">
        <v>0.528177160799868</v>
      </c>
      <c r="R382" s="129">
        <v>0.697213107452005</v>
      </c>
      <c r="S382" s="131">
        <v>0.9</v>
      </c>
      <c r="T382" s="129">
        <v>0.419207851384508</v>
      </c>
      <c r="U382" s="129">
        <v>0.556832694763729</v>
      </c>
      <c r="V382" s="129">
        <v>0.348702693769625</v>
      </c>
      <c r="W382" s="129">
        <v>0.475701919793322</v>
      </c>
      <c r="X382" s="131">
        <v>0.92</v>
      </c>
      <c r="Y382" s="131">
        <v>0.750286806883365</v>
      </c>
      <c r="Z382" s="131">
        <v>0.723348348348348</v>
      </c>
      <c r="AA382" s="131">
        <v>0.536287732819525</v>
      </c>
      <c r="AB382" s="131">
        <v>0.67717474088546</v>
      </c>
      <c r="AC382" s="131">
        <v>0.92</v>
      </c>
      <c r="AD382" s="129">
        <v>0.989466292134832</v>
      </c>
      <c r="AE382" s="129">
        <v>0.905852417302799</v>
      </c>
      <c r="AF382" s="129">
        <v>0.990360435875943</v>
      </c>
      <c r="AG382" s="129">
        <v>0.910351517918284</v>
      </c>
      <c r="AH382" s="131">
        <v>0.92</v>
      </c>
      <c r="AI382" s="129">
        <v>0.85843158270811</v>
      </c>
      <c r="AJ382" s="129">
        <v>0.796726959517657</v>
      </c>
      <c r="AK382" s="129">
        <v>0.76415714098016</v>
      </c>
      <c r="AL382" s="129">
        <v>0.815001895472382</v>
      </c>
      <c r="AM382" s="128">
        <v>0.99</v>
      </c>
      <c r="AN382" s="133">
        <v>1</v>
      </c>
      <c r="AO382" s="133">
        <v>1</v>
      </c>
      <c r="AP382" s="133">
        <v>1</v>
      </c>
      <c r="AQ382" s="133">
        <v>1</v>
      </c>
      <c r="AR382" s="153">
        <v>0.05</v>
      </c>
      <c r="AS382" s="137">
        <v>0.0740740740740741</v>
      </c>
      <c r="AT382" s="137">
        <v>0.156862745098039</v>
      </c>
      <c r="AU382" s="137">
        <v>0.166666666666667</v>
      </c>
      <c r="AV382" s="137">
        <v>0.0810810810810811</v>
      </c>
      <c r="AW382" s="93"/>
      <c r="AX382" s="91"/>
    </row>
    <row r="383" ht="14.5" spans="1:50">
      <c r="A383" s="89"/>
      <c r="B383" s="93"/>
      <c r="C383" s="148" t="s">
        <v>371</v>
      </c>
      <c r="D383" s="126" t="s">
        <v>372</v>
      </c>
      <c r="E383" s="149" t="s">
        <v>405</v>
      </c>
      <c r="F383" s="149" t="s">
        <v>405</v>
      </c>
      <c r="G383" s="149" t="s">
        <v>405</v>
      </c>
      <c r="H383" s="149" t="s">
        <v>405</v>
      </c>
      <c r="I383" s="128">
        <v>0.9</v>
      </c>
      <c r="J383" s="129" t="s">
        <v>33</v>
      </c>
      <c r="K383" s="129" t="s">
        <v>33</v>
      </c>
      <c r="L383" s="130" t="s">
        <v>33</v>
      </c>
      <c r="M383" s="129" t="s">
        <v>33</v>
      </c>
      <c r="N383" s="131">
        <v>0.9</v>
      </c>
      <c r="O383" s="129">
        <v>1</v>
      </c>
      <c r="P383" s="129">
        <v>1</v>
      </c>
      <c r="Q383" s="129" t="s">
        <v>33</v>
      </c>
      <c r="R383" s="129">
        <v>0.983333333333333</v>
      </c>
      <c r="S383" s="131">
        <v>0.9</v>
      </c>
      <c r="T383" s="129">
        <v>1</v>
      </c>
      <c r="U383" s="129">
        <v>1</v>
      </c>
      <c r="V383" s="129" t="s">
        <v>33</v>
      </c>
      <c r="W383" s="129">
        <v>0.983333333333333</v>
      </c>
      <c r="X383" s="131">
        <v>0.92</v>
      </c>
      <c r="Y383" s="131" t="s">
        <v>33</v>
      </c>
      <c r="Z383" s="131" t="s">
        <v>33</v>
      </c>
      <c r="AA383" s="131" t="s">
        <v>33</v>
      </c>
      <c r="AB383" s="131" t="s">
        <v>33</v>
      </c>
      <c r="AC383" s="131">
        <v>0.92</v>
      </c>
      <c r="AD383" s="129">
        <v>0.996805111821086</v>
      </c>
      <c r="AE383" s="129">
        <v>1</v>
      </c>
      <c r="AF383" s="129">
        <v>1</v>
      </c>
      <c r="AG383" s="129">
        <v>0.999406352033244</v>
      </c>
      <c r="AH383" s="131">
        <v>0.92</v>
      </c>
      <c r="AI383" s="129">
        <v>1</v>
      </c>
      <c r="AJ383" s="129">
        <v>1</v>
      </c>
      <c r="AK383" s="129" t="s">
        <v>33</v>
      </c>
      <c r="AL383" s="129">
        <v>1</v>
      </c>
      <c r="AM383" s="128">
        <v>0.99</v>
      </c>
      <c r="AN383" s="133">
        <v>1</v>
      </c>
      <c r="AO383" s="133">
        <v>1</v>
      </c>
      <c r="AP383" s="133">
        <v>1</v>
      </c>
      <c r="AQ383" s="133">
        <v>1</v>
      </c>
      <c r="AR383" s="153">
        <v>0.05</v>
      </c>
      <c r="AS383" s="137" t="s">
        <v>33</v>
      </c>
      <c r="AT383" s="137" t="s">
        <v>33</v>
      </c>
      <c r="AU383" s="137" t="s">
        <v>33</v>
      </c>
      <c r="AV383" s="137" t="s">
        <v>33</v>
      </c>
      <c r="AW383" s="93"/>
      <c r="AX383" s="91"/>
    </row>
    <row r="384" ht="14.5" spans="1:50">
      <c r="A384" s="89"/>
      <c r="B384" s="93"/>
      <c r="C384" s="148" t="s">
        <v>371</v>
      </c>
      <c r="D384" s="126" t="s">
        <v>372</v>
      </c>
      <c r="E384" s="149" t="s">
        <v>406</v>
      </c>
      <c r="F384" s="149" t="s">
        <v>406</v>
      </c>
      <c r="G384" s="149" t="s">
        <v>406</v>
      </c>
      <c r="H384" s="149" t="s">
        <v>406</v>
      </c>
      <c r="I384" s="128">
        <v>0.9</v>
      </c>
      <c r="J384" s="129">
        <v>0.897435897435897</v>
      </c>
      <c r="K384" s="129">
        <v>0.903225806451613</v>
      </c>
      <c r="L384" s="130">
        <v>0.837837837837838</v>
      </c>
      <c r="M384" s="129">
        <v>0.935714285714286</v>
      </c>
      <c r="N384" s="131">
        <v>0.9</v>
      </c>
      <c r="O384" s="129">
        <v>0.988227599738391</v>
      </c>
      <c r="P384" s="129">
        <v>0.978646253021757</v>
      </c>
      <c r="Q384" s="129">
        <v>0.977536060534405</v>
      </c>
      <c r="R384" s="129">
        <v>0.974617563739377</v>
      </c>
      <c r="S384" s="131">
        <v>0.9</v>
      </c>
      <c r="T384" s="129">
        <v>0.837584477872248</v>
      </c>
      <c r="U384" s="129">
        <v>0.904512489927478</v>
      </c>
      <c r="V384" s="129">
        <v>0.812248758571766</v>
      </c>
      <c r="W384" s="129">
        <v>0.854277620396601</v>
      </c>
      <c r="X384" s="131">
        <v>0.92</v>
      </c>
      <c r="Y384" s="131">
        <v>1</v>
      </c>
      <c r="Z384" s="131">
        <v>0</v>
      </c>
      <c r="AA384" s="131">
        <v>0</v>
      </c>
      <c r="AB384" s="131">
        <v>0.2</v>
      </c>
      <c r="AC384" s="131">
        <v>0.92</v>
      </c>
      <c r="AD384" s="129">
        <v>0.994601368938591</v>
      </c>
      <c r="AE384" s="129">
        <v>0.988405536580982</v>
      </c>
      <c r="AF384" s="129">
        <v>0.999068322981366</v>
      </c>
      <c r="AG384" s="129">
        <v>0.949309242840622</v>
      </c>
      <c r="AH384" s="131">
        <v>0.92</v>
      </c>
      <c r="AI384" s="129">
        <v>0.960566448801743</v>
      </c>
      <c r="AJ384" s="129">
        <v>0.963527054108216</v>
      </c>
      <c r="AK384" s="129">
        <v>0.962936732766761</v>
      </c>
      <c r="AL384" s="129">
        <v>0.951989864024073</v>
      </c>
      <c r="AM384" s="128">
        <v>0.99</v>
      </c>
      <c r="AN384" s="133">
        <v>1</v>
      </c>
      <c r="AO384" s="133">
        <v>1</v>
      </c>
      <c r="AP384" s="133">
        <v>1</v>
      </c>
      <c r="AQ384" s="133">
        <v>1</v>
      </c>
      <c r="AR384" s="153">
        <v>0.05</v>
      </c>
      <c r="AS384" s="137">
        <v>0.0476190476190476</v>
      </c>
      <c r="AT384" s="137">
        <v>0</v>
      </c>
      <c r="AU384" s="137">
        <v>0.0714285714285714</v>
      </c>
      <c r="AV384" s="137">
        <v>0.0256410256410256</v>
      </c>
      <c r="AW384" s="93"/>
      <c r="AX384" s="91"/>
    </row>
    <row r="385" ht="14.5" spans="1:50">
      <c r="A385" s="89"/>
      <c r="B385" s="93"/>
      <c r="C385" s="148" t="s">
        <v>371</v>
      </c>
      <c r="D385" s="126" t="s">
        <v>372</v>
      </c>
      <c r="E385" s="149" t="s">
        <v>407</v>
      </c>
      <c r="F385" s="149" t="s">
        <v>407</v>
      </c>
      <c r="G385" s="149" t="s">
        <v>407</v>
      </c>
      <c r="H385" s="149" t="s">
        <v>407</v>
      </c>
      <c r="I385" s="128">
        <v>0.9</v>
      </c>
      <c r="J385" s="129">
        <v>0.96969696969697</v>
      </c>
      <c r="K385" s="129">
        <v>0.76</v>
      </c>
      <c r="L385" s="130">
        <v>0.862068965517241</v>
      </c>
      <c r="M385" s="129">
        <v>0.892957746478873</v>
      </c>
      <c r="N385" s="131">
        <v>0.9</v>
      </c>
      <c r="O385" s="129" t="s">
        <v>33</v>
      </c>
      <c r="P385" s="129" t="s">
        <v>33</v>
      </c>
      <c r="Q385" s="129" t="s">
        <v>33</v>
      </c>
      <c r="R385" s="129">
        <v>0</v>
      </c>
      <c r="S385" s="131">
        <v>0.9</v>
      </c>
      <c r="T385" s="129" t="s">
        <v>33</v>
      </c>
      <c r="U385" s="129" t="s">
        <v>33</v>
      </c>
      <c r="V385" s="129" t="s">
        <v>33</v>
      </c>
      <c r="W385" s="129">
        <v>0</v>
      </c>
      <c r="X385" s="131">
        <v>0.92</v>
      </c>
      <c r="Y385" s="131" t="s">
        <v>33</v>
      </c>
      <c r="Z385" s="131">
        <v>1</v>
      </c>
      <c r="AA385" s="131" t="s">
        <v>33</v>
      </c>
      <c r="AB385" s="131">
        <v>1</v>
      </c>
      <c r="AC385" s="131">
        <v>0.92</v>
      </c>
      <c r="AD385" s="129">
        <v>0.986345381526104</v>
      </c>
      <c r="AE385" s="129">
        <v>0.992363497518137</v>
      </c>
      <c r="AF385" s="129">
        <v>0.999502239920358</v>
      </c>
      <c r="AG385" s="129">
        <v>0.994792464389646</v>
      </c>
      <c r="AH385" s="131">
        <v>0.92</v>
      </c>
      <c r="AI385" s="129">
        <v>0.952271155176389</v>
      </c>
      <c r="AJ385" s="129">
        <v>0.942688805570434</v>
      </c>
      <c r="AK385" s="129">
        <v>0.971452328159645</v>
      </c>
      <c r="AL385" s="129">
        <v>0.968708626133007</v>
      </c>
      <c r="AM385" s="128">
        <v>0.99</v>
      </c>
      <c r="AN385" s="133">
        <v>1</v>
      </c>
      <c r="AO385" s="133">
        <v>1</v>
      </c>
      <c r="AP385" s="133">
        <v>1</v>
      </c>
      <c r="AQ385" s="133">
        <v>1</v>
      </c>
      <c r="AR385" s="153">
        <v>0.05</v>
      </c>
      <c r="AS385" s="137">
        <v>0</v>
      </c>
      <c r="AT385" s="137">
        <v>0.0833333333333333</v>
      </c>
      <c r="AU385" s="137">
        <v>0</v>
      </c>
      <c r="AV385" s="137">
        <v>0.0428571428571429</v>
      </c>
      <c r="AW385" s="93"/>
      <c r="AX385" s="91"/>
    </row>
    <row r="386" ht="14.5" spans="1:50">
      <c r="A386" s="89"/>
      <c r="B386" s="93"/>
      <c r="C386" s="148" t="s">
        <v>371</v>
      </c>
      <c r="D386" s="126" t="s">
        <v>372</v>
      </c>
      <c r="E386" s="149" t="s">
        <v>408</v>
      </c>
      <c r="F386" s="149" t="s">
        <v>408</v>
      </c>
      <c r="G386" s="149" t="s">
        <v>408</v>
      </c>
      <c r="H386" s="149" t="s">
        <v>408</v>
      </c>
      <c r="I386" s="128">
        <v>0.9</v>
      </c>
      <c r="J386" s="129">
        <v>1</v>
      </c>
      <c r="K386" s="129">
        <v>0.909090909090909</v>
      </c>
      <c r="L386" s="130">
        <v>0.96</v>
      </c>
      <c r="M386" s="129">
        <v>0.914285714285714</v>
      </c>
      <c r="N386" s="131">
        <v>0.9</v>
      </c>
      <c r="O386" s="129">
        <v>1</v>
      </c>
      <c r="P386" s="129" t="s">
        <v>33</v>
      </c>
      <c r="Q386" s="129" t="s">
        <v>33</v>
      </c>
      <c r="R386" s="129">
        <v>0.5</v>
      </c>
      <c r="S386" s="131">
        <v>0.9</v>
      </c>
      <c r="T386" s="129">
        <v>0</v>
      </c>
      <c r="U386" s="129" t="s">
        <v>33</v>
      </c>
      <c r="V386" s="129" t="s">
        <v>33</v>
      </c>
      <c r="W386" s="129">
        <v>0.5</v>
      </c>
      <c r="X386" s="131">
        <v>0.92</v>
      </c>
      <c r="Y386" s="131">
        <v>0</v>
      </c>
      <c r="Z386" s="131" t="s">
        <v>33</v>
      </c>
      <c r="AA386" s="131" t="s">
        <v>33</v>
      </c>
      <c r="AB386" s="131">
        <v>0</v>
      </c>
      <c r="AC386" s="131">
        <v>0.92</v>
      </c>
      <c r="AD386" s="129">
        <v>0.988636363636364</v>
      </c>
      <c r="AE386" s="129">
        <v>0.987654320987654</v>
      </c>
      <c r="AF386" s="129">
        <v>1</v>
      </c>
      <c r="AG386" s="129">
        <v>0.988151658767773</v>
      </c>
      <c r="AH386" s="131">
        <v>0.92</v>
      </c>
      <c r="AI386" s="129">
        <v>0.905903240124279</v>
      </c>
      <c r="AJ386" s="129">
        <v>0.933951965065502</v>
      </c>
      <c r="AK386" s="129">
        <v>0.893144389122941</v>
      </c>
      <c r="AL386" s="129">
        <v>0.900594821553534</v>
      </c>
      <c r="AM386" s="128">
        <v>0.99</v>
      </c>
      <c r="AN386" s="133">
        <v>1</v>
      </c>
      <c r="AO386" s="133">
        <v>1</v>
      </c>
      <c r="AP386" s="133">
        <v>1</v>
      </c>
      <c r="AQ386" s="133">
        <v>1</v>
      </c>
      <c r="AR386" s="153">
        <v>0.05</v>
      </c>
      <c r="AS386" s="137">
        <v>0.111111111111111</v>
      </c>
      <c r="AT386" s="137">
        <v>0</v>
      </c>
      <c r="AU386" s="137">
        <v>0.25</v>
      </c>
      <c r="AV386" s="137">
        <v>0.126436781609195</v>
      </c>
      <c r="AW386" s="93"/>
      <c r="AX386" s="91"/>
    </row>
    <row r="387" ht="14.5" spans="1:50">
      <c r="A387" s="89"/>
      <c r="B387" s="93"/>
      <c r="C387" s="148" t="s">
        <v>371</v>
      </c>
      <c r="D387" s="126" t="s">
        <v>372</v>
      </c>
      <c r="E387" s="149" t="s">
        <v>409</v>
      </c>
      <c r="F387" s="149" t="s">
        <v>409</v>
      </c>
      <c r="G387" s="149" t="s">
        <v>409</v>
      </c>
      <c r="H387" s="149" t="s">
        <v>409</v>
      </c>
      <c r="I387" s="128">
        <v>0.9</v>
      </c>
      <c r="J387" s="129">
        <v>0.977272727272727</v>
      </c>
      <c r="K387" s="129">
        <v>0.8</v>
      </c>
      <c r="L387" s="130">
        <v>0.804878048780488</v>
      </c>
      <c r="M387" s="129">
        <v>0.912951167728238</v>
      </c>
      <c r="N387" s="131">
        <v>0.9</v>
      </c>
      <c r="O387" s="129">
        <v>0.25</v>
      </c>
      <c r="P387" s="129">
        <v>1</v>
      </c>
      <c r="Q387" s="129">
        <v>0</v>
      </c>
      <c r="R387" s="129">
        <v>0.263157894736842</v>
      </c>
      <c r="S387" s="131">
        <v>0.9</v>
      </c>
      <c r="T387" s="129">
        <v>0.25</v>
      </c>
      <c r="U387" s="129">
        <v>1</v>
      </c>
      <c r="V387" s="129">
        <v>0</v>
      </c>
      <c r="W387" s="129">
        <v>0.263157894736842</v>
      </c>
      <c r="X387" s="131">
        <v>0.92</v>
      </c>
      <c r="Y387" s="131" t="s">
        <v>33</v>
      </c>
      <c r="Z387" s="131" t="s">
        <v>33</v>
      </c>
      <c r="AA387" s="131" t="s">
        <v>33</v>
      </c>
      <c r="AB387" s="131" t="s">
        <v>33</v>
      </c>
      <c r="AC387" s="131">
        <v>0.92</v>
      </c>
      <c r="AD387" s="129">
        <v>0.970208981769675</v>
      </c>
      <c r="AE387" s="129">
        <v>0.993377483443709</v>
      </c>
      <c r="AF387" s="129">
        <v>0.998696219035202</v>
      </c>
      <c r="AG387" s="129">
        <v>0.992072419518989</v>
      </c>
      <c r="AH387" s="131">
        <v>0.92</v>
      </c>
      <c r="AI387" s="129">
        <v>0.946927944478465</v>
      </c>
      <c r="AJ387" s="129">
        <v>0.946568201563858</v>
      </c>
      <c r="AK387" s="129">
        <v>0.940478854329828</v>
      </c>
      <c r="AL387" s="129">
        <v>0.928015857626096</v>
      </c>
      <c r="AM387" s="128">
        <v>0.99</v>
      </c>
      <c r="AN387" s="133">
        <v>1</v>
      </c>
      <c r="AO387" s="133">
        <v>1</v>
      </c>
      <c r="AP387" s="133">
        <v>1</v>
      </c>
      <c r="AQ387" s="133">
        <v>1</v>
      </c>
      <c r="AR387" s="153">
        <v>0.05</v>
      </c>
      <c r="AS387" s="137">
        <v>0.105263157894737</v>
      </c>
      <c r="AT387" s="137">
        <v>0.0666666666666667</v>
      </c>
      <c r="AU387" s="137">
        <v>0.0714285714285714</v>
      </c>
      <c r="AV387" s="137">
        <v>0.0631578947368421</v>
      </c>
      <c r="AW387" s="93"/>
      <c r="AX387" s="91"/>
    </row>
    <row r="388" ht="14.5" spans="1:50">
      <c r="A388" s="89"/>
      <c r="B388" s="93"/>
      <c r="C388" s="148" t="s">
        <v>371</v>
      </c>
      <c r="D388" s="126" t="s">
        <v>372</v>
      </c>
      <c r="E388" s="149" t="s">
        <v>410</v>
      </c>
      <c r="F388" s="149" t="s">
        <v>410</v>
      </c>
      <c r="G388" s="149" t="s">
        <v>410</v>
      </c>
      <c r="H388" s="149" t="s">
        <v>410</v>
      </c>
      <c r="I388" s="128">
        <v>0.9</v>
      </c>
      <c r="J388" s="129">
        <v>0.967213114754098</v>
      </c>
      <c r="K388" s="129">
        <v>0.947368421052632</v>
      </c>
      <c r="L388" s="130">
        <v>0.933333333333333</v>
      </c>
      <c r="M388" s="129">
        <v>0.968970380818054</v>
      </c>
      <c r="N388" s="131">
        <v>0.9</v>
      </c>
      <c r="O388" s="129">
        <v>0</v>
      </c>
      <c r="P388" s="129" t="s">
        <v>33</v>
      </c>
      <c r="Q388" s="129">
        <v>0.736842105263158</v>
      </c>
      <c r="R388" s="129">
        <v>0.470588235294118</v>
      </c>
      <c r="S388" s="131">
        <v>0.9</v>
      </c>
      <c r="T388" s="129">
        <v>0.2</v>
      </c>
      <c r="U388" s="129" t="s">
        <v>33</v>
      </c>
      <c r="V388" s="129">
        <v>0.736842105263158</v>
      </c>
      <c r="W388" s="129">
        <v>0.441176470588235</v>
      </c>
      <c r="X388" s="131">
        <v>0.92</v>
      </c>
      <c r="Y388" s="131">
        <v>0</v>
      </c>
      <c r="Z388" s="131" t="s">
        <v>33</v>
      </c>
      <c r="AA388" s="131" t="s">
        <v>33</v>
      </c>
      <c r="AB388" s="131">
        <v>0.571428571428571</v>
      </c>
      <c r="AC388" s="131">
        <v>0.92</v>
      </c>
      <c r="AD388" s="129">
        <v>0.98961284230406</v>
      </c>
      <c r="AE388" s="129">
        <v>0.995855312735494</v>
      </c>
      <c r="AF388" s="129">
        <v>0.997663551401869</v>
      </c>
      <c r="AG388" s="129">
        <v>0.995330944004209</v>
      </c>
      <c r="AH388" s="131">
        <v>0.92</v>
      </c>
      <c r="AI388" s="129">
        <v>0.946780358718024</v>
      </c>
      <c r="AJ388" s="129">
        <v>0.939905269390172</v>
      </c>
      <c r="AK388" s="129">
        <v>0.931895024955724</v>
      </c>
      <c r="AL388" s="129">
        <v>0.95008335626305</v>
      </c>
      <c r="AM388" s="128">
        <v>0.99</v>
      </c>
      <c r="AN388" s="133">
        <v>1</v>
      </c>
      <c r="AO388" s="133">
        <v>1</v>
      </c>
      <c r="AP388" s="133">
        <v>1</v>
      </c>
      <c r="AQ388" s="133">
        <v>1</v>
      </c>
      <c r="AR388" s="153">
        <v>0.05</v>
      </c>
      <c r="AS388" s="137">
        <v>0.0606060606060606</v>
      </c>
      <c r="AT388" s="137">
        <v>0.136363636363636</v>
      </c>
      <c r="AU388" s="137">
        <v>0</v>
      </c>
      <c r="AV388" s="137">
        <v>0.053030303030303</v>
      </c>
      <c r="AW388" s="93"/>
      <c r="AX388" s="91"/>
    </row>
    <row r="389" ht="14.5" spans="1:50">
      <c r="A389" s="89"/>
      <c r="B389" s="93"/>
      <c r="C389" s="148" t="s">
        <v>371</v>
      </c>
      <c r="D389" s="126" t="s">
        <v>372</v>
      </c>
      <c r="E389" s="149" t="s">
        <v>411</v>
      </c>
      <c r="F389" s="149" t="s">
        <v>411</v>
      </c>
      <c r="G389" s="149" t="s">
        <v>411</v>
      </c>
      <c r="H389" s="149" t="s">
        <v>411</v>
      </c>
      <c r="I389" s="128">
        <v>0.9</v>
      </c>
      <c r="J389" s="129">
        <v>0.96</v>
      </c>
      <c r="K389" s="129">
        <v>0.921052631578947</v>
      </c>
      <c r="L389" s="130">
        <v>0.931818181818182</v>
      </c>
      <c r="M389" s="129">
        <v>0.92817679558011</v>
      </c>
      <c r="N389" s="131">
        <v>0.9</v>
      </c>
      <c r="O389" s="129" t="s">
        <v>33</v>
      </c>
      <c r="P389" s="129" t="s">
        <v>33</v>
      </c>
      <c r="Q389" s="129">
        <v>1</v>
      </c>
      <c r="R389" s="129">
        <v>0.5</v>
      </c>
      <c r="S389" s="131">
        <v>0.9</v>
      </c>
      <c r="T389" s="129" t="s">
        <v>33</v>
      </c>
      <c r="U389" s="129" t="s">
        <v>33</v>
      </c>
      <c r="V389" s="129">
        <v>1</v>
      </c>
      <c r="W389" s="129">
        <v>0.5</v>
      </c>
      <c r="X389" s="131">
        <v>0.92</v>
      </c>
      <c r="Y389" s="131" t="s">
        <v>33</v>
      </c>
      <c r="Z389" s="131" t="s">
        <v>33</v>
      </c>
      <c r="AA389" s="131" t="s">
        <v>33</v>
      </c>
      <c r="AB389" s="131">
        <v>1</v>
      </c>
      <c r="AC389" s="131">
        <v>0.92</v>
      </c>
      <c r="AD389" s="129">
        <v>0.959537572254335</v>
      </c>
      <c r="AE389" s="129">
        <v>0.994535519125683</v>
      </c>
      <c r="AF389" s="129">
        <v>1</v>
      </c>
      <c r="AG389" s="129">
        <v>0.981927710843373</v>
      </c>
      <c r="AH389" s="131">
        <v>0.92</v>
      </c>
      <c r="AI389" s="129">
        <v>0.947238989492511</v>
      </c>
      <c r="AJ389" s="129">
        <v>0.873406593406593</v>
      </c>
      <c r="AK389" s="129">
        <v>0.910805775500699</v>
      </c>
      <c r="AL389" s="129">
        <v>0.920842787682334</v>
      </c>
      <c r="AM389" s="128">
        <v>0.99</v>
      </c>
      <c r="AN389" s="133">
        <v>1</v>
      </c>
      <c r="AO389" s="133">
        <v>1</v>
      </c>
      <c r="AP389" s="133">
        <v>1</v>
      </c>
      <c r="AQ389" s="133">
        <v>1</v>
      </c>
      <c r="AR389" s="153">
        <v>0.05</v>
      </c>
      <c r="AS389" s="137">
        <v>0</v>
      </c>
      <c r="AT389" s="137">
        <v>0</v>
      </c>
      <c r="AU389" s="137">
        <v>0</v>
      </c>
      <c r="AV389" s="137">
        <v>0.0326086956521739</v>
      </c>
      <c r="AW389" s="93"/>
      <c r="AX389" s="91"/>
    </row>
    <row r="390" ht="14.5" spans="1:50">
      <c r="A390" s="89"/>
      <c r="B390" s="93"/>
      <c r="C390" s="148" t="s">
        <v>371</v>
      </c>
      <c r="D390" s="126" t="s">
        <v>372</v>
      </c>
      <c r="E390" s="149" t="s">
        <v>412</v>
      </c>
      <c r="F390" s="149" t="s">
        <v>412</v>
      </c>
      <c r="G390" s="149" t="s">
        <v>412</v>
      </c>
      <c r="H390" s="149" t="s">
        <v>412</v>
      </c>
      <c r="I390" s="128">
        <v>0.9</v>
      </c>
      <c r="J390" s="129">
        <v>0.978260869565217</v>
      </c>
      <c r="K390" s="129">
        <v>0.971428571428571</v>
      </c>
      <c r="L390" s="130">
        <v>0.977272727272727</v>
      </c>
      <c r="M390" s="129">
        <v>0.953815261044177</v>
      </c>
      <c r="N390" s="131">
        <v>0.9</v>
      </c>
      <c r="O390" s="129">
        <v>0.5</v>
      </c>
      <c r="P390" s="129">
        <v>0</v>
      </c>
      <c r="Q390" s="129" t="s">
        <v>33</v>
      </c>
      <c r="R390" s="129">
        <v>0.2</v>
      </c>
      <c r="S390" s="131">
        <v>0.9</v>
      </c>
      <c r="T390" s="129">
        <v>0.5</v>
      </c>
      <c r="U390" s="129">
        <v>0</v>
      </c>
      <c r="V390" s="129" t="s">
        <v>33</v>
      </c>
      <c r="W390" s="129">
        <v>0.3</v>
      </c>
      <c r="X390" s="131">
        <v>0.92</v>
      </c>
      <c r="Y390" s="131">
        <v>1</v>
      </c>
      <c r="Z390" s="131" t="s">
        <v>33</v>
      </c>
      <c r="AA390" s="131" t="s">
        <v>33</v>
      </c>
      <c r="AB390" s="131">
        <v>1</v>
      </c>
      <c r="AC390" s="131">
        <v>0.92</v>
      </c>
      <c r="AD390" s="129">
        <v>0.998413597733711</v>
      </c>
      <c r="AE390" s="129">
        <v>0.997306717363752</v>
      </c>
      <c r="AF390" s="129">
        <v>0.998206278026906</v>
      </c>
      <c r="AG390" s="129">
        <v>0.998146614614141</v>
      </c>
      <c r="AH390" s="131">
        <v>0.92</v>
      </c>
      <c r="AI390" s="129">
        <v>0.950423216444982</v>
      </c>
      <c r="AJ390" s="129">
        <v>0.916526986255447</v>
      </c>
      <c r="AK390" s="129">
        <v>0.944877606527652</v>
      </c>
      <c r="AL390" s="129">
        <v>0.944377821670429</v>
      </c>
      <c r="AM390" s="128">
        <v>0.99</v>
      </c>
      <c r="AN390" s="133">
        <v>1</v>
      </c>
      <c r="AO390" s="133">
        <v>1</v>
      </c>
      <c r="AP390" s="133">
        <v>1</v>
      </c>
      <c r="AQ390" s="133">
        <v>1</v>
      </c>
      <c r="AR390" s="153">
        <v>0.05</v>
      </c>
      <c r="AS390" s="137">
        <v>0</v>
      </c>
      <c r="AT390" s="137">
        <v>0</v>
      </c>
      <c r="AU390" s="137">
        <v>0.0555555555555556</v>
      </c>
      <c r="AV390" s="137">
        <v>0.0406976744186047</v>
      </c>
      <c r="AW390" s="93"/>
      <c r="AX390" s="91"/>
    </row>
    <row r="391" ht="14.5" spans="1:50">
      <c r="A391" s="89"/>
      <c r="B391" s="93"/>
      <c r="C391" s="148" t="s">
        <v>371</v>
      </c>
      <c r="D391" s="126" t="s">
        <v>372</v>
      </c>
      <c r="E391" s="149" t="s">
        <v>413</v>
      </c>
      <c r="F391" s="149" t="s">
        <v>413</v>
      </c>
      <c r="G391" s="149" t="s">
        <v>413</v>
      </c>
      <c r="H391" s="149" t="s">
        <v>413</v>
      </c>
      <c r="I391" s="128">
        <v>0.9</v>
      </c>
      <c r="J391" s="129">
        <v>0.918367346938776</v>
      </c>
      <c r="K391" s="129">
        <v>0.926829268292683</v>
      </c>
      <c r="L391" s="130">
        <v>0.863636363636364</v>
      </c>
      <c r="M391" s="129">
        <v>0.930501930501931</v>
      </c>
      <c r="N391" s="131">
        <v>0.9</v>
      </c>
      <c r="O391" s="129">
        <v>0.967479674796748</v>
      </c>
      <c r="P391" s="129">
        <v>0.978706624605678</v>
      </c>
      <c r="Q391" s="129">
        <v>0.910641754670999</v>
      </c>
      <c r="R391" s="129">
        <v>0.94988503147499</v>
      </c>
      <c r="S391" s="131">
        <v>0.9</v>
      </c>
      <c r="T391" s="129">
        <v>0.86527293844367</v>
      </c>
      <c r="U391" s="129">
        <v>0.904574132492114</v>
      </c>
      <c r="V391" s="129">
        <v>0.829000812347685</v>
      </c>
      <c r="W391" s="129">
        <v>0.871970296656489</v>
      </c>
      <c r="X391" s="131">
        <v>0.92</v>
      </c>
      <c r="Y391" s="131">
        <v>0</v>
      </c>
      <c r="Z391" s="131" t="s">
        <v>33</v>
      </c>
      <c r="AA391" s="131" t="s">
        <v>33</v>
      </c>
      <c r="AB391" s="131">
        <v>0.714285714285714</v>
      </c>
      <c r="AC391" s="131">
        <v>0.92</v>
      </c>
      <c r="AD391" s="129">
        <v>0.998087621696801</v>
      </c>
      <c r="AE391" s="129">
        <v>0.997658627955982</v>
      </c>
      <c r="AF391" s="129">
        <v>0.99844768705371</v>
      </c>
      <c r="AG391" s="129">
        <v>0.98429248996678</v>
      </c>
      <c r="AH391" s="131">
        <v>0.92</v>
      </c>
      <c r="AI391" s="129">
        <v>0.973470402918256</v>
      </c>
      <c r="AJ391" s="129">
        <v>0.964116719242902</v>
      </c>
      <c r="AK391" s="129">
        <v>0.964677222898904</v>
      </c>
      <c r="AL391" s="129">
        <v>0.966179934055582</v>
      </c>
      <c r="AM391" s="128">
        <v>0.99</v>
      </c>
      <c r="AN391" s="133">
        <v>1</v>
      </c>
      <c r="AO391" s="133">
        <v>1</v>
      </c>
      <c r="AP391" s="133">
        <v>1</v>
      </c>
      <c r="AQ391" s="133">
        <v>1</v>
      </c>
      <c r="AR391" s="153">
        <v>0.05</v>
      </c>
      <c r="AS391" s="137">
        <v>0</v>
      </c>
      <c r="AT391" s="137">
        <v>0.259259259259259</v>
      </c>
      <c r="AU391" s="137">
        <v>0.0416666666666667</v>
      </c>
      <c r="AV391" s="137">
        <v>0.0555555555555556</v>
      </c>
      <c r="AW391" s="93"/>
      <c r="AX391" s="91"/>
    </row>
    <row r="392" ht="14.5" spans="1:50">
      <c r="A392" s="89"/>
      <c r="B392" s="93"/>
      <c r="C392" s="148" t="s">
        <v>371</v>
      </c>
      <c r="D392" s="126" t="s">
        <v>372</v>
      </c>
      <c r="E392" s="149" t="s">
        <v>414</v>
      </c>
      <c r="F392" s="149" t="s">
        <v>414</v>
      </c>
      <c r="G392" s="149" t="s">
        <v>414</v>
      </c>
      <c r="H392" s="149" t="s">
        <v>414</v>
      </c>
      <c r="I392" s="128">
        <v>0.9</v>
      </c>
      <c r="J392" s="129">
        <v>0.914893617021277</v>
      </c>
      <c r="K392" s="129">
        <v>0.935483870967742</v>
      </c>
      <c r="L392" s="130">
        <v>0.897435897435897</v>
      </c>
      <c r="M392" s="129">
        <v>0.941908713692946</v>
      </c>
      <c r="N392" s="131">
        <v>0.9</v>
      </c>
      <c r="O392" s="129" t="s">
        <v>33</v>
      </c>
      <c r="P392" s="129" t="s">
        <v>33</v>
      </c>
      <c r="Q392" s="129" t="s">
        <v>33</v>
      </c>
      <c r="R392" s="129">
        <v>0</v>
      </c>
      <c r="S392" s="131">
        <v>0.9</v>
      </c>
      <c r="T392" s="129" t="s">
        <v>33</v>
      </c>
      <c r="U392" s="129" t="s">
        <v>33</v>
      </c>
      <c r="V392" s="129" t="s">
        <v>33</v>
      </c>
      <c r="W392" s="129">
        <v>0</v>
      </c>
      <c r="X392" s="131">
        <v>0.92</v>
      </c>
      <c r="Y392" s="131" t="s">
        <v>33</v>
      </c>
      <c r="Z392" s="131" t="s">
        <v>33</v>
      </c>
      <c r="AA392" s="131">
        <v>1</v>
      </c>
      <c r="AB392" s="131">
        <v>1</v>
      </c>
      <c r="AC392" s="131">
        <v>0.92</v>
      </c>
      <c r="AD392" s="129">
        <v>0.987012987012987</v>
      </c>
      <c r="AE392" s="129">
        <v>0.960526315789474</v>
      </c>
      <c r="AF392" s="129">
        <v>1</v>
      </c>
      <c r="AG392" s="129">
        <v>0.975638051044084</v>
      </c>
      <c r="AH392" s="131">
        <v>0.92</v>
      </c>
      <c r="AI392" s="129">
        <v>0.941123595505618</v>
      </c>
      <c r="AJ392" s="129">
        <v>0.807923771313942</v>
      </c>
      <c r="AK392" s="129">
        <v>0.914899120538024</v>
      </c>
      <c r="AL392" s="129">
        <v>0.917301944064694</v>
      </c>
      <c r="AM392" s="128">
        <v>0.99</v>
      </c>
      <c r="AN392" s="133">
        <v>1</v>
      </c>
      <c r="AO392" s="133">
        <v>1</v>
      </c>
      <c r="AP392" s="133">
        <v>1</v>
      </c>
      <c r="AQ392" s="133">
        <v>1</v>
      </c>
      <c r="AR392" s="153">
        <v>0.05</v>
      </c>
      <c r="AS392" s="137">
        <v>0</v>
      </c>
      <c r="AT392" s="137">
        <v>0</v>
      </c>
      <c r="AU392" s="137">
        <v>0</v>
      </c>
      <c r="AV392" s="137">
        <v>0.05</v>
      </c>
      <c r="AW392" s="93"/>
      <c r="AX392" s="91"/>
    </row>
    <row r="393" ht="14.5" spans="1:50">
      <c r="A393" s="89"/>
      <c r="B393" s="93"/>
      <c r="C393" s="148" t="s">
        <v>371</v>
      </c>
      <c r="D393" s="126" t="s">
        <v>372</v>
      </c>
      <c r="E393" s="149" t="s">
        <v>415</v>
      </c>
      <c r="F393" s="149" t="s">
        <v>415</v>
      </c>
      <c r="G393" s="149" t="s">
        <v>415</v>
      </c>
      <c r="H393" s="149" t="s">
        <v>415</v>
      </c>
      <c r="I393" s="128">
        <v>0.9</v>
      </c>
      <c r="J393" s="129">
        <v>1</v>
      </c>
      <c r="K393" s="129">
        <v>1</v>
      </c>
      <c r="L393" s="130">
        <v>0.977272727272727</v>
      </c>
      <c r="M393" s="129">
        <v>0.965384615384615</v>
      </c>
      <c r="N393" s="131">
        <v>0.9</v>
      </c>
      <c r="O393" s="129">
        <v>0.25</v>
      </c>
      <c r="P393" s="129" t="s">
        <v>33</v>
      </c>
      <c r="Q393" s="129" t="s">
        <v>33</v>
      </c>
      <c r="R393" s="129">
        <v>0.155555555555556</v>
      </c>
      <c r="S393" s="131">
        <v>0.9</v>
      </c>
      <c r="T393" s="129">
        <v>0.25</v>
      </c>
      <c r="U393" s="129" t="s">
        <v>33</v>
      </c>
      <c r="V393" s="129" t="s">
        <v>33</v>
      </c>
      <c r="W393" s="129">
        <v>0.177777777777778</v>
      </c>
      <c r="X393" s="131">
        <v>0.92</v>
      </c>
      <c r="Y393" s="131" t="s">
        <v>33</v>
      </c>
      <c r="Z393" s="131" t="s">
        <v>33</v>
      </c>
      <c r="AA393" s="131" t="s">
        <v>33</v>
      </c>
      <c r="AB393" s="131">
        <v>1</v>
      </c>
      <c r="AC393" s="131">
        <v>0.92</v>
      </c>
      <c r="AD393" s="129">
        <v>0.997600363188274</v>
      </c>
      <c r="AE393" s="129">
        <v>0.998095641134152</v>
      </c>
      <c r="AF393" s="129">
        <v>0.999617371341114</v>
      </c>
      <c r="AG393" s="129">
        <v>0.965889731348872</v>
      </c>
      <c r="AH393" s="131">
        <v>0.92</v>
      </c>
      <c r="AI393" s="129">
        <v>0.974787267570123</v>
      </c>
      <c r="AJ393" s="129">
        <v>0.962993197278912</v>
      </c>
      <c r="AK393" s="129">
        <v>0.947998006313341</v>
      </c>
      <c r="AL393" s="129">
        <v>0.967322440813605</v>
      </c>
      <c r="AM393" s="128">
        <v>0.99</v>
      </c>
      <c r="AN393" s="133">
        <v>1</v>
      </c>
      <c r="AO393" s="133">
        <v>1</v>
      </c>
      <c r="AP393" s="133">
        <v>1</v>
      </c>
      <c r="AQ393" s="133">
        <v>1</v>
      </c>
      <c r="AR393" s="153">
        <v>0.05</v>
      </c>
      <c r="AS393" s="137">
        <v>0.193548387096774</v>
      </c>
      <c r="AT393" s="137">
        <v>0.0833333333333333</v>
      </c>
      <c r="AU393" s="137">
        <v>0.05</v>
      </c>
      <c r="AV393" s="137">
        <v>0.0635593220338983</v>
      </c>
      <c r="AW393" s="93"/>
      <c r="AX393" s="91"/>
    </row>
    <row r="394" ht="14.5" spans="1:50">
      <c r="A394" s="89"/>
      <c r="B394" s="93"/>
      <c r="C394" s="148" t="s">
        <v>371</v>
      </c>
      <c r="D394" s="126" t="s">
        <v>372</v>
      </c>
      <c r="E394" s="149" t="s">
        <v>416</v>
      </c>
      <c r="F394" s="149" t="s">
        <v>416</v>
      </c>
      <c r="G394" s="149" t="s">
        <v>416</v>
      </c>
      <c r="H394" s="149" t="s">
        <v>416</v>
      </c>
      <c r="I394" s="128">
        <v>0.9</v>
      </c>
      <c r="J394" s="129">
        <v>0.956521739130435</v>
      </c>
      <c r="K394" s="129">
        <v>0.941176470588235</v>
      </c>
      <c r="L394" s="130">
        <v>0.926829268292683</v>
      </c>
      <c r="M394" s="129">
        <v>0.962962962962963</v>
      </c>
      <c r="N394" s="131">
        <v>0.9</v>
      </c>
      <c r="O394" s="129">
        <v>0.984624600638978</v>
      </c>
      <c r="P394" s="129">
        <v>0.933784436926051</v>
      </c>
      <c r="Q394" s="129">
        <v>0.949233935513378</v>
      </c>
      <c r="R394" s="129">
        <v>0.957809912793907</v>
      </c>
      <c r="S394" s="131">
        <v>0.9</v>
      </c>
      <c r="T394" s="129">
        <v>0.927515974440895</v>
      </c>
      <c r="U394" s="129">
        <v>0.945867568873852</v>
      </c>
      <c r="V394" s="129">
        <v>0.855934141321747</v>
      </c>
      <c r="W394" s="129">
        <v>0.899701953858042</v>
      </c>
      <c r="X394" s="131">
        <v>0.92</v>
      </c>
      <c r="Y394" s="131" t="s">
        <v>33</v>
      </c>
      <c r="Z394" s="131" t="s">
        <v>33</v>
      </c>
      <c r="AA394" s="131">
        <v>1</v>
      </c>
      <c r="AB394" s="131">
        <v>1</v>
      </c>
      <c r="AC394" s="131">
        <v>0.92</v>
      </c>
      <c r="AD394" s="129">
        <v>0.997128975265018</v>
      </c>
      <c r="AE394" s="129">
        <v>0.997319897084048</v>
      </c>
      <c r="AF394" s="129">
        <v>0.999404761904762</v>
      </c>
      <c r="AG394" s="129">
        <v>0.989319987617377</v>
      </c>
      <c r="AH394" s="131">
        <v>0.92</v>
      </c>
      <c r="AI394" s="129">
        <v>0.971309025702331</v>
      </c>
      <c r="AJ394" s="129">
        <v>0.967149758454106</v>
      </c>
      <c r="AK394" s="129">
        <v>0.955438756855576</v>
      </c>
      <c r="AL394" s="129">
        <v>0.952311628727722</v>
      </c>
      <c r="AM394" s="128">
        <v>0.99</v>
      </c>
      <c r="AN394" s="133">
        <v>1</v>
      </c>
      <c r="AO394" s="133">
        <v>1</v>
      </c>
      <c r="AP394" s="133">
        <v>1</v>
      </c>
      <c r="AQ394" s="133">
        <v>1</v>
      </c>
      <c r="AR394" s="153">
        <v>0.05</v>
      </c>
      <c r="AS394" s="137">
        <v>0.0540540540540541</v>
      </c>
      <c r="AT394" s="137">
        <v>0.04</v>
      </c>
      <c r="AU394" s="137">
        <v>0.0740740740740741</v>
      </c>
      <c r="AV394" s="137">
        <v>0.038265306122449</v>
      </c>
      <c r="AW394" s="93"/>
      <c r="AX394" s="91"/>
    </row>
    <row r="395" ht="14.5" spans="1:50">
      <c r="A395" s="89"/>
      <c r="B395" s="93"/>
      <c r="C395" s="148" t="s">
        <v>371</v>
      </c>
      <c r="D395" s="126" t="s">
        <v>372</v>
      </c>
      <c r="E395" s="149" t="s">
        <v>417</v>
      </c>
      <c r="F395" s="149" t="s">
        <v>417</v>
      </c>
      <c r="G395" s="149" t="s">
        <v>417</v>
      </c>
      <c r="H395" s="149" t="s">
        <v>417</v>
      </c>
      <c r="I395" s="128">
        <v>0.9</v>
      </c>
      <c r="J395" s="129">
        <v>0.972222222222222</v>
      </c>
      <c r="K395" s="129">
        <v>0.923076923076923</v>
      </c>
      <c r="L395" s="130">
        <v>0.966666666666667</v>
      </c>
      <c r="M395" s="129">
        <v>0.961432506887052</v>
      </c>
      <c r="N395" s="131">
        <v>0.9</v>
      </c>
      <c r="O395" s="129">
        <v>0</v>
      </c>
      <c r="P395" s="129" t="s">
        <v>33</v>
      </c>
      <c r="Q395" s="129">
        <v>1</v>
      </c>
      <c r="R395" s="129">
        <v>0.625</v>
      </c>
      <c r="S395" s="131">
        <v>0.9</v>
      </c>
      <c r="T395" s="129">
        <v>0</v>
      </c>
      <c r="U395" s="129" t="s">
        <v>33</v>
      </c>
      <c r="V395" s="129">
        <v>1</v>
      </c>
      <c r="W395" s="129">
        <v>0.625</v>
      </c>
      <c r="X395" s="131">
        <v>0.92</v>
      </c>
      <c r="Y395" s="131" t="s">
        <v>33</v>
      </c>
      <c r="Z395" s="131" t="s">
        <v>33</v>
      </c>
      <c r="AA395" s="131" t="s">
        <v>33</v>
      </c>
      <c r="AB395" s="131" t="s">
        <v>33</v>
      </c>
      <c r="AC395" s="131">
        <v>0.92</v>
      </c>
      <c r="AD395" s="129">
        <v>0.994718714121699</v>
      </c>
      <c r="AE395" s="129">
        <v>0.996447902571042</v>
      </c>
      <c r="AF395" s="129">
        <v>0.999657416923604</v>
      </c>
      <c r="AG395" s="129">
        <v>0.992726365485741</v>
      </c>
      <c r="AH395" s="131">
        <v>0.92</v>
      </c>
      <c r="AI395" s="129">
        <v>0.963194444444444</v>
      </c>
      <c r="AJ395" s="129">
        <v>0.954609265325222</v>
      </c>
      <c r="AK395" s="129">
        <v>0.935431799838579</v>
      </c>
      <c r="AL395" s="129">
        <v>0.961784633512761</v>
      </c>
      <c r="AM395" s="128">
        <v>0.99</v>
      </c>
      <c r="AN395" s="133">
        <v>1</v>
      </c>
      <c r="AO395" s="133">
        <v>1</v>
      </c>
      <c r="AP395" s="133">
        <v>1</v>
      </c>
      <c r="AQ395" s="133">
        <v>1</v>
      </c>
      <c r="AR395" s="153">
        <v>0.05</v>
      </c>
      <c r="AS395" s="137">
        <v>0.05</v>
      </c>
      <c r="AT395" s="137">
        <v>0</v>
      </c>
      <c r="AU395" s="137">
        <v>0</v>
      </c>
      <c r="AV395" s="137">
        <v>0.0432692307692308</v>
      </c>
      <c r="AW395" s="93"/>
      <c r="AX395" s="91"/>
    </row>
    <row r="396" ht="14.5" spans="1:50">
      <c r="A396" s="89"/>
      <c r="B396" s="93"/>
      <c r="C396" s="148" t="s">
        <v>371</v>
      </c>
      <c r="D396" s="126" t="s">
        <v>372</v>
      </c>
      <c r="E396" s="149" t="s">
        <v>418</v>
      </c>
      <c r="F396" s="149" t="s">
        <v>418</v>
      </c>
      <c r="G396" s="149" t="s">
        <v>418</v>
      </c>
      <c r="H396" s="149" t="s">
        <v>418</v>
      </c>
      <c r="I396" s="128">
        <v>0.9</v>
      </c>
      <c r="J396" s="129">
        <v>1</v>
      </c>
      <c r="K396" s="129">
        <v>1</v>
      </c>
      <c r="L396" s="130">
        <v>0.952380952380952</v>
      </c>
      <c r="M396" s="129">
        <v>0.979362101313321</v>
      </c>
      <c r="N396" s="131">
        <v>0.9</v>
      </c>
      <c r="O396" s="129">
        <v>0.2</v>
      </c>
      <c r="P396" s="129">
        <v>0</v>
      </c>
      <c r="Q396" s="129">
        <v>1</v>
      </c>
      <c r="R396" s="129">
        <v>0.333333333333333</v>
      </c>
      <c r="S396" s="131">
        <v>0.9</v>
      </c>
      <c r="T396" s="129">
        <v>0.2</v>
      </c>
      <c r="U396" s="129">
        <v>0</v>
      </c>
      <c r="V396" s="129">
        <v>1</v>
      </c>
      <c r="W396" s="129">
        <v>0.296296296296296</v>
      </c>
      <c r="X396" s="131">
        <v>0.92</v>
      </c>
      <c r="Y396" s="131" t="s">
        <v>33</v>
      </c>
      <c r="Z396" s="131">
        <v>0</v>
      </c>
      <c r="AA396" s="131" t="s">
        <v>33</v>
      </c>
      <c r="AB396" s="131">
        <v>0</v>
      </c>
      <c r="AC396" s="131">
        <v>0.92</v>
      </c>
      <c r="AD396" s="129">
        <v>0.9816</v>
      </c>
      <c r="AE396" s="129">
        <v>0.98169014084507</v>
      </c>
      <c r="AF396" s="129">
        <v>0.998892580287929</v>
      </c>
      <c r="AG396" s="129">
        <v>0.99259490217476</v>
      </c>
      <c r="AH396" s="131">
        <v>0.92</v>
      </c>
      <c r="AI396" s="129">
        <v>0.922094278517452</v>
      </c>
      <c r="AJ396" s="129">
        <v>0.914670658682635</v>
      </c>
      <c r="AK396" s="129">
        <v>0.937964264203975</v>
      </c>
      <c r="AL396" s="129">
        <v>0.943126348053127</v>
      </c>
      <c r="AM396" s="128">
        <v>0.99</v>
      </c>
      <c r="AN396" s="133">
        <v>1</v>
      </c>
      <c r="AO396" s="133">
        <v>1</v>
      </c>
      <c r="AP396" s="133">
        <v>1</v>
      </c>
      <c r="AQ396" s="133">
        <v>1</v>
      </c>
      <c r="AR396" s="153">
        <v>0.05</v>
      </c>
      <c r="AS396" s="137">
        <v>0.222222222222222</v>
      </c>
      <c r="AT396" s="137">
        <v>0</v>
      </c>
      <c r="AU396" s="137">
        <v>0.105263157894737</v>
      </c>
      <c r="AV396" s="137">
        <v>0.0786026200873362</v>
      </c>
      <c r="AW396" s="93"/>
      <c r="AX396" s="91"/>
    </row>
    <row r="397" ht="14.5" spans="1:50">
      <c r="A397" s="89"/>
      <c r="B397" s="93"/>
      <c r="C397" s="148" t="s">
        <v>371</v>
      </c>
      <c r="D397" s="126" t="s">
        <v>372</v>
      </c>
      <c r="E397" s="149" t="s">
        <v>419</v>
      </c>
      <c r="F397" s="149" t="s">
        <v>419</v>
      </c>
      <c r="G397" s="149" t="s">
        <v>419</v>
      </c>
      <c r="H397" s="149" t="s">
        <v>419</v>
      </c>
      <c r="I397" s="128">
        <v>0.9</v>
      </c>
      <c r="J397" s="129">
        <v>1</v>
      </c>
      <c r="K397" s="129">
        <v>0.95</v>
      </c>
      <c r="L397" s="130">
        <v>0.76</v>
      </c>
      <c r="M397" s="129">
        <v>0.893617021276596</v>
      </c>
      <c r="N397" s="131">
        <v>0.9</v>
      </c>
      <c r="O397" s="129">
        <v>0.989037037037037</v>
      </c>
      <c r="P397" s="129">
        <v>0.988834612700628</v>
      </c>
      <c r="Q397" s="129">
        <v>0.986700215672178</v>
      </c>
      <c r="R397" s="129">
        <v>0.989428142772409</v>
      </c>
      <c r="S397" s="131">
        <v>0.9</v>
      </c>
      <c r="T397" s="129">
        <v>0.879111111111111</v>
      </c>
      <c r="U397" s="129">
        <v>0.928122819260293</v>
      </c>
      <c r="V397" s="129">
        <v>0.824227174694464</v>
      </c>
      <c r="W397" s="129">
        <v>0.893164927950874</v>
      </c>
      <c r="X397" s="131">
        <v>0.92</v>
      </c>
      <c r="Y397" s="131">
        <v>0</v>
      </c>
      <c r="Z397" s="131" t="s">
        <v>33</v>
      </c>
      <c r="AA397" s="131" t="s">
        <v>33</v>
      </c>
      <c r="AB397" s="131">
        <v>0</v>
      </c>
      <c r="AC397" s="131">
        <v>0.92</v>
      </c>
      <c r="AD397" s="129">
        <v>0.998052959501558</v>
      </c>
      <c r="AE397" s="129">
        <v>0.997496871088861</v>
      </c>
      <c r="AF397" s="129">
        <v>0.999074074074074</v>
      </c>
      <c r="AG397" s="129">
        <v>0.988130785309048</v>
      </c>
      <c r="AH397" s="131">
        <v>0.92</v>
      </c>
      <c r="AI397" s="129">
        <v>0.978710821998817</v>
      </c>
      <c r="AJ397" s="129">
        <v>0.970690858339149</v>
      </c>
      <c r="AK397" s="129">
        <v>0.981681034482759</v>
      </c>
      <c r="AL397" s="129">
        <v>0.981977271142718</v>
      </c>
      <c r="AM397" s="128">
        <v>0.99</v>
      </c>
      <c r="AN397" s="133">
        <v>1</v>
      </c>
      <c r="AO397" s="133">
        <v>1</v>
      </c>
      <c r="AP397" s="133">
        <v>1</v>
      </c>
      <c r="AQ397" s="133">
        <v>1</v>
      </c>
      <c r="AR397" s="153">
        <v>0.05</v>
      </c>
      <c r="AS397" s="137">
        <v>0</v>
      </c>
      <c r="AT397" s="137">
        <v>0</v>
      </c>
      <c r="AU397" s="137">
        <v>0.2</v>
      </c>
      <c r="AV397" s="137">
        <v>0.0673076923076923</v>
      </c>
      <c r="AW397" s="93"/>
      <c r="AX397" s="91"/>
    </row>
    <row r="398" ht="14.5" spans="1:50">
      <c r="A398" s="89"/>
      <c r="B398" s="93"/>
      <c r="C398" s="148" t="s">
        <v>371</v>
      </c>
      <c r="D398" s="126" t="s">
        <v>372</v>
      </c>
      <c r="E398" s="149" t="s">
        <v>420</v>
      </c>
      <c r="F398" s="149" t="s">
        <v>420</v>
      </c>
      <c r="G398" s="149" t="s">
        <v>420</v>
      </c>
      <c r="H398" s="149" t="s">
        <v>420</v>
      </c>
      <c r="I398" s="128">
        <v>0.9</v>
      </c>
      <c r="J398" s="129">
        <v>0.883720930232558</v>
      </c>
      <c r="K398" s="129">
        <v>0.870967741935484</v>
      </c>
      <c r="L398" s="130">
        <v>0.918918918918919</v>
      </c>
      <c r="M398" s="129">
        <v>0.940898345153664</v>
      </c>
      <c r="N398" s="131">
        <v>0.9</v>
      </c>
      <c r="O398" s="129">
        <v>0</v>
      </c>
      <c r="P398" s="129" t="s">
        <v>33</v>
      </c>
      <c r="Q398" s="129">
        <v>0</v>
      </c>
      <c r="R398" s="129">
        <v>0</v>
      </c>
      <c r="S398" s="131">
        <v>0.9</v>
      </c>
      <c r="T398" s="129">
        <v>0</v>
      </c>
      <c r="U398" s="129" t="s">
        <v>33</v>
      </c>
      <c r="V398" s="129">
        <v>0</v>
      </c>
      <c r="W398" s="129">
        <v>0.4</v>
      </c>
      <c r="X398" s="131">
        <v>0.92</v>
      </c>
      <c r="Y398" s="131">
        <v>0</v>
      </c>
      <c r="Z398" s="131" t="s">
        <v>33</v>
      </c>
      <c r="AA398" s="131" t="s">
        <v>33</v>
      </c>
      <c r="AB398" s="131">
        <v>0</v>
      </c>
      <c r="AC398" s="131">
        <v>0.92</v>
      </c>
      <c r="AD398" s="129">
        <v>0.997052321296979</v>
      </c>
      <c r="AE398" s="129">
        <v>0.997217391304348</v>
      </c>
      <c r="AF398" s="129">
        <v>1</v>
      </c>
      <c r="AG398" s="129">
        <v>0.980768791017813</v>
      </c>
      <c r="AH398" s="131">
        <v>0.92</v>
      </c>
      <c r="AI398" s="129">
        <v>0.960584869675779</v>
      </c>
      <c r="AJ398" s="129">
        <v>0.956467661691542</v>
      </c>
      <c r="AK398" s="129">
        <v>0.946696035242291</v>
      </c>
      <c r="AL398" s="129">
        <v>0.953028972783143</v>
      </c>
      <c r="AM398" s="128">
        <v>0.99</v>
      </c>
      <c r="AN398" s="133">
        <v>1</v>
      </c>
      <c r="AO398" s="133">
        <v>1</v>
      </c>
      <c r="AP398" s="133">
        <v>1</v>
      </c>
      <c r="AQ398" s="133">
        <v>1</v>
      </c>
      <c r="AR398" s="153">
        <v>0.05</v>
      </c>
      <c r="AS398" s="137">
        <v>0.35</v>
      </c>
      <c r="AT398" s="137">
        <v>0.0555555555555556</v>
      </c>
      <c r="AU398" s="137">
        <v>0</v>
      </c>
      <c r="AV398" s="137">
        <v>0.0865384615384615</v>
      </c>
      <c r="AW398" s="93"/>
      <c r="AX398" s="91"/>
    </row>
    <row r="399" ht="14.5" spans="1:50">
      <c r="A399" s="89"/>
      <c r="B399" s="93"/>
      <c r="C399" s="148" t="s">
        <v>371</v>
      </c>
      <c r="D399" s="126" t="s">
        <v>372</v>
      </c>
      <c r="E399" s="149" t="s">
        <v>421</v>
      </c>
      <c r="F399" s="149" t="s">
        <v>421</v>
      </c>
      <c r="G399" s="149" t="s">
        <v>421</v>
      </c>
      <c r="H399" s="149" t="s">
        <v>421</v>
      </c>
      <c r="I399" s="128">
        <v>0.9</v>
      </c>
      <c r="J399" s="129">
        <v>0.923076923076923</v>
      </c>
      <c r="K399" s="129">
        <v>0.894736842105263</v>
      </c>
      <c r="L399" s="130">
        <v>0.818181818181818</v>
      </c>
      <c r="M399" s="129">
        <v>0.871323529411765</v>
      </c>
      <c r="N399" s="131">
        <v>0.9</v>
      </c>
      <c r="O399" s="129">
        <v>0</v>
      </c>
      <c r="P399" s="129" t="s">
        <v>33</v>
      </c>
      <c r="Q399" s="129" t="s">
        <v>33</v>
      </c>
      <c r="R399" s="129">
        <v>0</v>
      </c>
      <c r="S399" s="131">
        <v>0.9</v>
      </c>
      <c r="T399" s="129">
        <v>0</v>
      </c>
      <c r="U399" s="129" t="s">
        <v>33</v>
      </c>
      <c r="V399" s="129" t="s">
        <v>33</v>
      </c>
      <c r="W399" s="129">
        <v>0</v>
      </c>
      <c r="X399" s="131">
        <v>0.92</v>
      </c>
      <c r="Y399" s="131" t="s">
        <v>33</v>
      </c>
      <c r="Z399" s="131" t="s">
        <v>33</v>
      </c>
      <c r="AA399" s="131" t="s">
        <v>33</v>
      </c>
      <c r="AB399" s="131" t="s">
        <v>33</v>
      </c>
      <c r="AC399" s="131">
        <v>0.92</v>
      </c>
      <c r="AD399" s="129">
        <v>1</v>
      </c>
      <c r="AE399" s="129">
        <v>1</v>
      </c>
      <c r="AF399" s="129">
        <v>1</v>
      </c>
      <c r="AG399" s="129">
        <v>0.962059620596206</v>
      </c>
      <c r="AH399" s="131">
        <v>0.92</v>
      </c>
      <c r="AI399" s="129">
        <v>0.957213930348259</v>
      </c>
      <c r="AJ399" s="129">
        <v>0.884864165588616</v>
      </c>
      <c r="AK399" s="129">
        <v>0.896457765667575</v>
      </c>
      <c r="AL399" s="129">
        <v>0.938011791680314</v>
      </c>
      <c r="AM399" s="128">
        <v>0.99</v>
      </c>
      <c r="AN399" s="133">
        <v>1</v>
      </c>
      <c r="AO399" s="133">
        <v>1</v>
      </c>
      <c r="AP399" s="133">
        <v>1</v>
      </c>
      <c r="AQ399" s="133">
        <v>1</v>
      </c>
      <c r="AR399" s="153">
        <v>0.05</v>
      </c>
      <c r="AS399" s="137">
        <v>0</v>
      </c>
      <c r="AT399" s="137">
        <v>0</v>
      </c>
      <c r="AU399" s="137">
        <v>0</v>
      </c>
      <c r="AV399" s="137">
        <v>0.0410958904109589</v>
      </c>
      <c r="AW399" s="93"/>
      <c r="AX399" s="91"/>
    </row>
    <row r="400" ht="14.5" spans="1:50">
      <c r="A400" s="89"/>
      <c r="B400" s="93"/>
      <c r="C400" s="148" t="s">
        <v>371</v>
      </c>
      <c r="D400" s="126" t="s">
        <v>372</v>
      </c>
      <c r="E400" s="149" t="s">
        <v>422</v>
      </c>
      <c r="F400" s="149" t="s">
        <v>422</v>
      </c>
      <c r="G400" s="149" t="s">
        <v>422</v>
      </c>
      <c r="H400" s="149" t="s">
        <v>422</v>
      </c>
      <c r="I400" s="128">
        <v>0.9</v>
      </c>
      <c r="J400" s="129">
        <v>0.967741935483871</v>
      </c>
      <c r="K400" s="129">
        <v>0.9</v>
      </c>
      <c r="L400" s="130">
        <v>0.827586206896552</v>
      </c>
      <c r="M400" s="129">
        <v>0.894578313253012</v>
      </c>
      <c r="N400" s="131">
        <v>0.9</v>
      </c>
      <c r="O400" s="129">
        <v>0.25</v>
      </c>
      <c r="P400" s="129">
        <v>1</v>
      </c>
      <c r="Q400" s="129" t="s">
        <v>33</v>
      </c>
      <c r="R400" s="129">
        <v>0.4</v>
      </c>
      <c r="S400" s="131">
        <v>0.9</v>
      </c>
      <c r="T400" s="129">
        <v>0.25</v>
      </c>
      <c r="U400" s="129">
        <v>0</v>
      </c>
      <c r="V400" s="129" t="s">
        <v>33</v>
      </c>
      <c r="W400" s="129">
        <v>0.2</v>
      </c>
      <c r="X400" s="131">
        <v>0.92</v>
      </c>
      <c r="Y400" s="131" t="s">
        <v>33</v>
      </c>
      <c r="Z400" s="131" t="s">
        <v>33</v>
      </c>
      <c r="AA400" s="131" t="s">
        <v>33</v>
      </c>
      <c r="AB400" s="131">
        <v>0</v>
      </c>
      <c r="AC400" s="131">
        <v>0.92</v>
      </c>
      <c r="AD400" s="129">
        <v>1</v>
      </c>
      <c r="AE400" s="129">
        <v>1</v>
      </c>
      <c r="AF400" s="129">
        <v>1</v>
      </c>
      <c r="AG400" s="129">
        <v>0.995253164556962</v>
      </c>
      <c r="AH400" s="131">
        <v>0.92</v>
      </c>
      <c r="AI400" s="129">
        <v>0.922953451043339</v>
      </c>
      <c r="AJ400" s="129">
        <v>0.931670281995662</v>
      </c>
      <c r="AK400" s="129">
        <v>0.968117190866006</v>
      </c>
      <c r="AL400" s="129">
        <v>0.950511027434104</v>
      </c>
      <c r="AM400" s="128">
        <v>0.99</v>
      </c>
      <c r="AN400" s="133">
        <v>1</v>
      </c>
      <c r="AO400" s="133">
        <v>1</v>
      </c>
      <c r="AP400" s="133">
        <v>1</v>
      </c>
      <c r="AQ400" s="133">
        <v>1</v>
      </c>
      <c r="AR400" s="153">
        <v>0.05</v>
      </c>
      <c r="AS400" s="137">
        <v>0.2</v>
      </c>
      <c r="AT400" s="137">
        <v>0</v>
      </c>
      <c r="AU400" s="137">
        <v>0</v>
      </c>
      <c r="AV400" s="137">
        <v>0.0909090909090909</v>
      </c>
      <c r="AW400" s="93"/>
      <c r="AX400" s="91"/>
    </row>
    <row r="401" ht="14.5" spans="1:50">
      <c r="A401" s="89"/>
      <c r="B401" s="93"/>
      <c r="C401" s="148" t="s">
        <v>371</v>
      </c>
      <c r="D401" s="126" t="s">
        <v>372</v>
      </c>
      <c r="E401" s="149" t="s">
        <v>423</v>
      </c>
      <c r="F401" s="149" t="s">
        <v>423</v>
      </c>
      <c r="G401" s="149" t="s">
        <v>423</v>
      </c>
      <c r="H401" s="149" t="s">
        <v>423</v>
      </c>
      <c r="I401" s="128">
        <v>0.9</v>
      </c>
      <c r="J401" s="129">
        <v>0.977777777777778</v>
      </c>
      <c r="K401" s="129">
        <v>0.942857142857143</v>
      </c>
      <c r="L401" s="130">
        <v>0.947368421052632</v>
      </c>
      <c r="M401" s="129">
        <v>0.932900432900433</v>
      </c>
      <c r="N401" s="131">
        <v>0.9</v>
      </c>
      <c r="O401" s="129">
        <v>0.982135688478523</v>
      </c>
      <c r="P401" s="129">
        <v>0.940142318961909</v>
      </c>
      <c r="Q401" s="129">
        <v>0.962251201098147</v>
      </c>
      <c r="R401" s="129">
        <v>0.971587059620596</v>
      </c>
      <c r="S401" s="131">
        <v>0.9</v>
      </c>
      <c r="T401" s="129">
        <v>0.900040144520273</v>
      </c>
      <c r="U401" s="129">
        <v>0.903725408120553</v>
      </c>
      <c r="V401" s="129">
        <v>0.87211164493251</v>
      </c>
      <c r="W401" s="129">
        <v>0.884612127371274</v>
      </c>
      <c r="X401" s="131">
        <v>0.92</v>
      </c>
      <c r="Y401" s="131">
        <v>0.333333333333333</v>
      </c>
      <c r="Z401" s="131" t="s">
        <v>33</v>
      </c>
      <c r="AA401" s="131">
        <v>0</v>
      </c>
      <c r="AB401" s="131">
        <v>0.555555555555556</v>
      </c>
      <c r="AC401" s="131">
        <v>0.92</v>
      </c>
      <c r="AD401" s="129">
        <v>0.996575342465753</v>
      </c>
      <c r="AE401" s="129">
        <v>0.992358310337508</v>
      </c>
      <c r="AF401" s="129">
        <v>0.999554367201426</v>
      </c>
      <c r="AG401" s="129">
        <v>0.973008005184767</v>
      </c>
      <c r="AH401" s="131">
        <v>0.92</v>
      </c>
      <c r="AI401" s="129">
        <v>0.975130365022062</v>
      </c>
      <c r="AJ401" s="129">
        <v>0.949351192967769</v>
      </c>
      <c r="AK401" s="129">
        <v>0.969128744568946</v>
      </c>
      <c r="AL401" s="129">
        <v>0.965676316234975</v>
      </c>
      <c r="AM401" s="128">
        <v>0.99</v>
      </c>
      <c r="AN401" s="133">
        <v>1</v>
      </c>
      <c r="AO401" s="133">
        <v>1</v>
      </c>
      <c r="AP401" s="133">
        <v>1</v>
      </c>
      <c r="AQ401" s="133">
        <v>1</v>
      </c>
      <c r="AR401" s="153">
        <v>0.05</v>
      </c>
      <c r="AS401" s="137">
        <v>0.277777777777778</v>
      </c>
      <c r="AT401" s="137">
        <v>0.272727272727273</v>
      </c>
      <c r="AU401" s="137">
        <v>0.210526315789474</v>
      </c>
      <c r="AV401" s="137">
        <v>0.131221719457014</v>
      </c>
      <c r="AW401" s="93"/>
      <c r="AX401" s="91"/>
    </row>
    <row r="402" ht="14.5" spans="1:50">
      <c r="A402" s="89"/>
      <c r="B402" s="93"/>
      <c r="C402" s="148" t="s">
        <v>371</v>
      </c>
      <c r="D402" s="126" t="s">
        <v>372</v>
      </c>
      <c r="E402" s="149" t="s">
        <v>424</v>
      </c>
      <c r="F402" s="149" t="s">
        <v>424</v>
      </c>
      <c r="G402" s="149" t="s">
        <v>424</v>
      </c>
      <c r="H402" s="149" t="s">
        <v>424</v>
      </c>
      <c r="I402" s="128">
        <v>0.9</v>
      </c>
      <c r="J402" s="129">
        <v>0.978260869565217</v>
      </c>
      <c r="K402" s="129">
        <v>0.944444444444444</v>
      </c>
      <c r="L402" s="130">
        <v>0.952380952380952</v>
      </c>
      <c r="M402" s="129">
        <v>0.974576271186441</v>
      </c>
      <c r="N402" s="131">
        <v>0.9</v>
      </c>
      <c r="O402" s="129">
        <v>0.777777777777778</v>
      </c>
      <c r="P402" s="129">
        <v>0.785714285714286</v>
      </c>
      <c r="Q402" s="129">
        <v>0.3</v>
      </c>
      <c r="R402" s="129">
        <v>0.516949152542373</v>
      </c>
      <c r="S402" s="131">
        <v>0.9</v>
      </c>
      <c r="T402" s="129">
        <v>0.555555555555556</v>
      </c>
      <c r="U402" s="129">
        <v>0.785714285714286</v>
      </c>
      <c r="V402" s="129">
        <v>0.2</v>
      </c>
      <c r="W402" s="129">
        <v>0.550847457627119</v>
      </c>
      <c r="X402" s="131">
        <v>0.92</v>
      </c>
      <c r="Y402" s="131">
        <v>1</v>
      </c>
      <c r="Z402" s="131" t="s">
        <v>33</v>
      </c>
      <c r="AA402" s="131">
        <v>1</v>
      </c>
      <c r="AB402" s="131">
        <v>0.75</v>
      </c>
      <c r="AC402" s="131">
        <v>0.92</v>
      </c>
      <c r="AD402" s="129">
        <v>0.99357476635514</v>
      </c>
      <c r="AE402" s="129">
        <v>0.962303811659193</v>
      </c>
      <c r="AF402" s="129">
        <v>0.987892129884425</v>
      </c>
      <c r="AG402" s="129">
        <v>0.948740638775544</v>
      </c>
      <c r="AH402" s="131">
        <v>0.92</v>
      </c>
      <c r="AI402" s="129">
        <v>0.961220704771539</v>
      </c>
      <c r="AJ402" s="129">
        <v>0.955141476880607</v>
      </c>
      <c r="AK402" s="129">
        <v>0.957402499053389</v>
      </c>
      <c r="AL402" s="129">
        <v>0.951769846515385</v>
      </c>
      <c r="AM402" s="128">
        <v>0.99</v>
      </c>
      <c r="AN402" s="133">
        <v>1</v>
      </c>
      <c r="AO402" s="133">
        <v>1</v>
      </c>
      <c r="AP402" s="133">
        <v>1</v>
      </c>
      <c r="AQ402" s="133">
        <v>1</v>
      </c>
      <c r="AR402" s="153">
        <v>0.05</v>
      </c>
      <c r="AS402" s="137">
        <v>0.113207547169811</v>
      </c>
      <c r="AT402" s="137">
        <v>0.0625</v>
      </c>
      <c r="AU402" s="137">
        <v>0.03125</v>
      </c>
      <c r="AV402" s="137">
        <v>0.0610079575596817</v>
      </c>
      <c r="AW402" s="93"/>
      <c r="AX402" s="91"/>
    </row>
    <row r="403" ht="14.5" spans="1:50">
      <c r="A403" s="89"/>
      <c r="B403" s="93"/>
      <c r="C403" s="148" t="s">
        <v>371</v>
      </c>
      <c r="D403" s="126" t="s">
        <v>372</v>
      </c>
      <c r="E403" s="149" t="s">
        <v>425</v>
      </c>
      <c r="F403" s="149" t="s">
        <v>425</v>
      </c>
      <c r="G403" s="149" t="s">
        <v>425</v>
      </c>
      <c r="H403" s="149" t="s">
        <v>425</v>
      </c>
      <c r="I403" s="128">
        <v>0.9</v>
      </c>
      <c r="J403" s="129">
        <v>1</v>
      </c>
      <c r="K403" s="129">
        <v>1</v>
      </c>
      <c r="L403" s="130">
        <v>0.978260869565217</v>
      </c>
      <c r="M403" s="129">
        <v>0.996138996138996</v>
      </c>
      <c r="N403" s="131">
        <v>0.9</v>
      </c>
      <c r="O403" s="129">
        <v>0</v>
      </c>
      <c r="P403" s="129" t="s">
        <v>33</v>
      </c>
      <c r="Q403" s="129">
        <v>0</v>
      </c>
      <c r="R403" s="129">
        <v>0.5</v>
      </c>
      <c r="S403" s="131">
        <v>0.9</v>
      </c>
      <c r="T403" s="129">
        <v>0</v>
      </c>
      <c r="U403" s="129" t="s">
        <v>33</v>
      </c>
      <c r="V403" s="129">
        <v>0</v>
      </c>
      <c r="W403" s="129">
        <v>0.625</v>
      </c>
      <c r="X403" s="131">
        <v>0.92</v>
      </c>
      <c r="Y403" s="131" t="s">
        <v>33</v>
      </c>
      <c r="Z403" s="131" t="s">
        <v>33</v>
      </c>
      <c r="AA403" s="131" t="s">
        <v>33</v>
      </c>
      <c r="AB403" s="131" t="s">
        <v>33</v>
      </c>
      <c r="AC403" s="131">
        <v>0.92</v>
      </c>
      <c r="AD403" s="129">
        <v>0.981867633726201</v>
      </c>
      <c r="AE403" s="129">
        <v>0.996028594122319</v>
      </c>
      <c r="AF403" s="129">
        <v>0.996899224806202</v>
      </c>
      <c r="AG403" s="129">
        <v>0.975016436554898</v>
      </c>
      <c r="AH403" s="131">
        <v>0.92</v>
      </c>
      <c r="AI403" s="129">
        <v>0.96665623043206</v>
      </c>
      <c r="AJ403" s="129">
        <v>0.922248401211713</v>
      </c>
      <c r="AK403" s="129">
        <v>0.959877070172443</v>
      </c>
      <c r="AL403" s="129">
        <v>0.958746803480387</v>
      </c>
      <c r="AM403" s="128">
        <v>0.99</v>
      </c>
      <c r="AN403" s="133">
        <v>1</v>
      </c>
      <c r="AO403" s="133">
        <v>1</v>
      </c>
      <c r="AP403" s="133">
        <v>1</v>
      </c>
      <c r="AQ403" s="133">
        <v>1</v>
      </c>
      <c r="AR403" s="153">
        <v>0.05</v>
      </c>
      <c r="AS403" s="137">
        <v>0.0833333333333333</v>
      </c>
      <c r="AT403" s="137">
        <v>0.0909090909090909</v>
      </c>
      <c r="AU403" s="137">
        <v>0.2</v>
      </c>
      <c r="AV403" s="137">
        <v>0.0695652173913043</v>
      </c>
      <c r="AW403" s="93"/>
      <c r="AX403" s="91"/>
    </row>
    <row r="404" ht="14.5" spans="1:50">
      <c r="A404" s="89"/>
      <c r="B404" s="93"/>
      <c r="C404" s="148" t="s">
        <v>371</v>
      </c>
      <c r="D404" s="126" t="s">
        <v>372</v>
      </c>
      <c r="E404" s="149" t="s">
        <v>426</v>
      </c>
      <c r="F404" s="149" t="s">
        <v>426</v>
      </c>
      <c r="G404" s="149" t="s">
        <v>426</v>
      </c>
      <c r="H404" s="149" t="s">
        <v>426</v>
      </c>
      <c r="I404" s="128">
        <v>0.9</v>
      </c>
      <c r="J404" s="129">
        <v>1</v>
      </c>
      <c r="K404" s="129">
        <v>0.96</v>
      </c>
      <c r="L404" s="130">
        <v>0.916666666666667</v>
      </c>
      <c r="M404" s="129">
        <v>0.904458598726115</v>
      </c>
      <c r="N404" s="131">
        <v>0.9</v>
      </c>
      <c r="O404" s="129">
        <v>0</v>
      </c>
      <c r="P404" s="129" t="s">
        <v>33</v>
      </c>
      <c r="Q404" s="129" t="s">
        <v>33</v>
      </c>
      <c r="R404" s="129">
        <v>0.363636363636364</v>
      </c>
      <c r="S404" s="131">
        <v>0.9</v>
      </c>
      <c r="T404" s="129">
        <v>0</v>
      </c>
      <c r="U404" s="129" t="s">
        <v>33</v>
      </c>
      <c r="V404" s="129" t="s">
        <v>33</v>
      </c>
      <c r="W404" s="129">
        <v>0.272727272727273</v>
      </c>
      <c r="X404" s="131">
        <v>0.92</v>
      </c>
      <c r="Y404" s="131">
        <v>1</v>
      </c>
      <c r="Z404" s="131" t="s">
        <v>33</v>
      </c>
      <c r="AA404" s="131" t="s">
        <v>33</v>
      </c>
      <c r="AB404" s="131">
        <v>1</v>
      </c>
      <c r="AC404" s="131">
        <v>0.92</v>
      </c>
      <c r="AD404" s="129">
        <v>0.998178506375228</v>
      </c>
      <c r="AE404" s="129">
        <v>0.992654774396642</v>
      </c>
      <c r="AF404" s="129">
        <v>1</v>
      </c>
      <c r="AG404" s="129">
        <v>0.99663510213805</v>
      </c>
      <c r="AH404" s="131">
        <v>0.92</v>
      </c>
      <c r="AI404" s="129">
        <v>0.963434022257552</v>
      </c>
      <c r="AJ404" s="129">
        <v>0.964285714285714</v>
      </c>
      <c r="AK404" s="129">
        <v>0.94424882629108</v>
      </c>
      <c r="AL404" s="129">
        <v>0.955625945267243</v>
      </c>
      <c r="AM404" s="128">
        <v>0.99</v>
      </c>
      <c r="AN404" s="133">
        <v>1</v>
      </c>
      <c r="AO404" s="133">
        <v>1</v>
      </c>
      <c r="AP404" s="133">
        <v>1</v>
      </c>
      <c r="AQ404" s="133">
        <v>1</v>
      </c>
      <c r="AR404" s="153">
        <v>0.05</v>
      </c>
      <c r="AS404" s="137">
        <v>0.2</v>
      </c>
      <c r="AT404" s="137">
        <v>0.166666666666667</v>
      </c>
      <c r="AU404" s="137">
        <v>0</v>
      </c>
      <c r="AV404" s="137">
        <v>0.0350877192982456</v>
      </c>
      <c r="AW404" s="93"/>
      <c r="AX404" s="91"/>
    </row>
    <row r="405" ht="14.5" spans="1:50">
      <c r="A405" s="89"/>
      <c r="B405" s="93"/>
      <c r="C405" s="148" t="s">
        <v>371</v>
      </c>
      <c r="D405" s="126" t="s">
        <v>372</v>
      </c>
      <c r="E405" s="149" t="s">
        <v>427</v>
      </c>
      <c r="F405" s="149" t="s">
        <v>427</v>
      </c>
      <c r="G405" s="149" t="s">
        <v>427</v>
      </c>
      <c r="H405" s="149" t="s">
        <v>427</v>
      </c>
      <c r="I405" s="128">
        <v>0.9</v>
      </c>
      <c r="J405" s="129">
        <v>1</v>
      </c>
      <c r="K405" s="129">
        <v>1</v>
      </c>
      <c r="L405" s="130">
        <v>1</v>
      </c>
      <c r="M405" s="129">
        <v>1</v>
      </c>
      <c r="N405" s="131">
        <v>0.9</v>
      </c>
      <c r="O405" s="129">
        <v>0</v>
      </c>
      <c r="P405" s="129" t="s">
        <v>33</v>
      </c>
      <c r="Q405" s="129">
        <v>0</v>
      </c>
      <c r="R405" s="129">
        <v>0</v>
      </c>
      <c r="S405" s="131">
        <v>0.9</v>
      </c>
      <c r="T405" s="129">
        <v>0.142857142857143</v>
      </c>
      <c r="U405" s="129" t="s">
        <v>33</v>
      </c>
      <c r="V405" s="129">
        <v>1</v>
      </c>
      <c r="W405" s="129">
        <v>0.461538461538462</v>
      </c>
      <c r="X405" s="131">
        <v>0.92</v>
      </c>
      <c r="Y405" s="131" t="s">
        <v>33</v>
      </c>
      <c r="Z405" s="131">
        <v>0</v>
      </c>
      <c r="AA405" s="131" t="s">
        <v>33</v>
      </c>
      <c r="AB405" s="131">
        <v>0</v>
      </c>
      <c r="AC405" s="131">
        <v>0.92</v>
      </c>
      <c r="AD405" s="129">
        <v>0.844660194174757</v>
      </c>
      <c r="AE405" s="129">
        <v>0.953488372093023</v>
      </c>
      <c r="AF405" s="129">
        <v>0.967741935483871</v>
      </c>
      <c r="AG405" s="129">
        <v>0.965420560747664</v>
      </c>
      <c r="AH405" s="131">
        <v>0.92</v>
      </c>
      <c r="AI405" s="129">
        <v>0.950490998363339</v>
      </c>
      <c r="AJ405" s="129">
        <v>0.930188679245283</v>
      </c>
      <c r="AK405" s="129">
        <v>0.955577015934331</v>
      </c>
      <c r="AL405" s="129">
        <v>0.954725426063006</v>
      </c>
      <c r="AM405" s="128">
        <v>0.99</v>
      </c>
      <c r="AN405" s="133">
        <v>1</v>
      </c>
      <c r="AO405" s="133">
        <v>1</v>
      </c>
      <c r="AP405" s="133">
        <v>1</v>
      </c>
      <c r="AQ405" s="133">
        <v>1</v>
      </c>
      <c r="AR405" s="153">
        <v>0.05</v>
      </c>
      <c r="AS405" s="137">
        <v>0</v>
      </c>
      <c r="AT405" s="137">
        <v>0</v>
      </c>
      <c r="AU405" s="137">
        <v>0.2</v>
      </c>
      <c r="AV405" s="137">
        <v>0.166666666666667</v>
      </c>
      <c r="AW405" s="93"/>
      <c r="AX405" s="91"/>
    </row>
    <row r="406" ht="14.5" spans="1:50">
      <c r="A406" s="89"/>
      <c r="B406" s="93"/>
      <c r="C406" s="148" t="s">
        <v>371</v>
      </c>
      <c r="D406" s="126" t="s">
        <v>372</v>
      </c>
      <c r="E406" s="149" t="s">
        <v>428</v>
      </c>
      <c r="F406" s="149" t="s">
        <v>428</v>
      </c>
      <c r="G406" s="149" t="s">
        <v>428</v>
      </c>
      <c r="H406" s="149" t="s">
        <v>428</v>
      </c>
      <c r="I406" s="128">
        <v>0.9</v>
      </c>
      <c r="J406" s="129">
        <v>1</v>
      </c>
      <c r="K406" s="129">
        <v>1</v>
      </c>
      <c r="L406" s="130">
        <v>1</v>
      </c>
      <c r="M406" s="129">
        <v>1</v>
      </c>
      <c r="N406" s="131">
        <v>0.9</v>
      </c>
      <c r="O406" s="129" t="s">
        <v>33</v>
      </c>
      <c r="P406" s="129" t="s">
        <v>33</v>
      </c>
      <c r="Q406" s="129" t="s">
        <v>33</v>
      </c>
      <c r="R406" s="129">
        <v>0</v>
      </c>
      <c r="S406" s="131">
        <v>0.9</v>
      </c>
      <c r="T406" s="129" t="s">
        <v>33</v>
      </c>
      <c r="U406" s="129" t="s">
        <v>33</v>
      </c>
      <c r="V406" s="129" t="s">
        <v>33</v>
      </c>
      <c r="W406" s="129">
        <v>0</v>
      </c>
      <c r="X406" s="131">
        <v>0.92</v>
      </c>
      <c r="Y406" s="131" t="s">
        <v>33</v>
      </c>
      <c r="Z406" s="131">
        <v>0</v>
      </c>
      <c r="AA406" s="131" t="s">
        <v>33</v>
      </c>
      <c r="AB406" s="131">
        <v>0</v>
      </c>
      <c r="AC406" s="131">
        <v>0.92</v>
      </c>
      <c r="AD406" s="129">
        <v>0.978723404255319</v>
      </c>
      <c r="AE406" s="129">
        <v>0.966666666666667</v>
      </c>
      <c r="AF406" s="129">
        <v>1</v>
      </c>
      <c r="AG406" s="129">
        <v>0.99390243902439</v>
      </c>
      <c r="AH406" s="131">
        <v>0.92</v>
      </c>
      <c r="AI406" s="129">
        <v>0.954269381922115</v>
      </c>
      <c r="AJ406" s="129">
        <v>0.929967426710098</v>
      </c>
      <c r="AK406" s="129">
        <v>0.925271193250301</v>
      </c>
      <c r="AL406" s="129">
        <v>0.952907311456534</v>
      </c>
      <c r="AM406" s="128">
        <v>0.99</v>
      </c>
      <c r="AN406" s="133">
        <v>1</v>
      </c>
      <c r="AO406" s="133">
        <v>1</v>
      </c>
      <c r="AP406" s="133">
        <v>1</v>
      </c>
      <c r="AQ406" s="133">
        <v>1</v>
      </c>
      <c r="AR406" s="153">
        <v>0.05</v>
      </c>
      <c r="AS406" s="137">
        <v>0</v>
      </c>
      <c r="AT406" s="137">
        <v>0</v>
      </c>
      <c r="AU406" s="137">
        <v>0.111111111111111</v>
      </c>
      <c r="AV406" s="137">
        <v>0.0263157894736842</v>
      </c>
      <c r="AW406" s="93"/>
      <c r="AX406" s="91"/>
    </row>
    <row r="407" ht="14.5" spans="1:50">
      <c r="A407" s="89"/>
      <c r="B407" s="93"/>
      <c r="C407" s="148" t="s">
        <v>371</v>
      </c>
      <c r="D407" s="126" t="s">
        <v>372</v>
      </c>
      <c r="E407" s="149" t="s">
        <v>429</v>
      </c>
      <c r="F407" s="149" t="s">
        <v>429</v>
      </c>
      <c r="G407" s="149" t="s">
        <v>429</v>
      </c>
      <c r="H407" s="149" t="s">
        <v>429</v>
      </c>
      <c r="I407" s="128">
        <v>0.9</v>
      </c>
      <c r="J407" s="129">
        <v>0.85</v>
      </c>
      <c r="K407" s="129">
        <v>0.862745098039216</v>
      </c>
      <c r="L407" s="130">
        <v>0.928571428571429</v>
      </c>
      <c r="M407" s="129">
        <v>0.868263473053892</v>
      </c>
      <c r="N407" s="131">
        <v>0.9</v>
      </c>
      <c r="O407" s="129">
        <v>0</v>
      </c>
      <c r="P407" s="129">
        <v>0</v>
      </c>
      <c r="Q407" s="129" t="s">
        <v>33</v>
      </c>
      <c r="R407" s="129">
        <v>0.125</v>
      </c>
      <c r="S407" s="131">
        <v>0.9</v>
      </c>
      <c r="T407" s="129">
        <v>0</v>
      </c>
      <c r="U407" s="129">
        <v>1</v>
      </c>
      <c r="V407" s="129" t="s">
        <v>33</v>
      </c>
      <c r="W407" s="129">
        <v>0.25</v>
      </c>
      <c r="X407" s="131">
        <v>0.92</v>
      </c>
      <c r="Y407" s="131" t="s">
        <v>33</v>
      </c>
      <c r="Z407" s="131" t="s">
        <v>33</v>
      </c>
      <c r="AA407" s="131" t="s">
        <v>33</v>
      </c>
      <c r="AB407" s="131">
        <v>0.4</v>
      </c>
      <c r="AC407" s="131">
        <v>0.92</v>
      </c>
      <c r="AD407" s="129">
        <v>0.991344667697063</v>
      </c>
      <c r="AE407" s="129">
        <v>0.992255125284738</v>
      </c>
      <c r="AF407" s="129">
        <v>0.997581620314389</v>
      </c>
      <c r="AG407" s="129">
        <v>0.986987994350283</v>
      </c>
      <c r="AH407" s="131">
        <v>0.92</v>
      </c>
      <c r="AI407" s="129">
        <v>0.938473035247229</v>
      </c>
      <c r="AJ407" s="129">
        <v>0.909172460192868</v>
      </c>
      <c r="AK407" s="129">
        <v>0.946671959772396</v>
      </c>
      <c r="AL407" s="129">
        <v>0.932594868134249</v>
      </c>
      <c r="AM407" s="128">
        <v>0.99</v>
      </c>
      <c r="AN407" s="133">
        <v>1</v>
      </c>
      <c r="AO407" s="133">
        <v>1</v>
      </c>
      <c r="AP407" s="133">
        <v>1</v>
      </c>
      <c r="AQ407" s="133">
        <v>1</v>
      </c>
      <c r="AR407" s="153">
        <v>0.05</v>
      </c>
      <c r="AS407" s="137">
        <v>0</v>
      </c>
      <c r="AT407" s="137">
        <v>0</v>
      </c>
      <c r="AU407" s="137">
        <v>0.0555555555555556</v>
      </c>
      <c r="AV407" s="137">
        <v>0.0570175438596491</v>
      </c>
      <c r="AW407" s="93"/>
      <c r="AX407" s="91"/>
    </row>
    <row r="408" ht="14.5" spans="1:50">
      <c r="A408" s="89"/>
      <c r="B408" s="93"/>
      <c r="C408" s="148" t="s">
        <v>371</v>
      </c>
      <c r="D408" s="126" t="s">
        <v>372</v>
      </c>
      <c r="E408" s="149" t="s">
        <v>430</v>
      </c>
      <c r="F408" s="149" t="s">
        <v>430</v>
      </c>
      <c r="G408" s="149" t="s">
        <v>430</v>
      </c>
      <c r="H408" s="149" t="s">
        <v>430</v>
      </c>
      <c r="I408" s="128">
        <v>0.9</v>
      </c>
      <c r="J408" s="129">
        <v>1</v>
      </c>
      <c r="K408" s="129">
        <v>1</v>
      </c>
      <c r="L408" s="130">
        <v>1</v>
      </c>
      <c r="M408" s="129">
        <v>0.989010989010989</v>
      </c>
      <c r="N408" s="131">
        <v>0.9</v>
      </c>
      <c r="O408" s="129">
        <v>0.990785432207108</v>
      </c>
      <c r="P408" s="129">
        <v>0.972536348949919</v>
      </c>
      <c r="Q408" s="129">
        <v>0.984158415841584</v>
      </c>
      <c r="R408" s="129">
        <v>0.987566988210075</v>
      </c>
      <c r="S408" s="131">
        <v>0.9</v>
      </c>
      <c r="T408" s="129">
        <v>0.939008336989908</v>
      </c>
      <c r="U408" s="129">
        <v>0.924878836833603</v>
      </c>
      <c r="V408" s="129">
        <v>0.908910891089109</v>
      </c>
      <c r="W408" s="129">
        <v>0.932047159699893</v>
      </c>
      <c r="X408" s="131">
        <v>0.92</v>
      </c>
      <c r="Y408" s="131">
        <v>0.947368421052632</v>
      </c>
      <c r="Z408" s="131">
        <v>0.934458788480636</v>
      </c>
      <c r="AA408" s="131">
        <v>0.932795698924731</v>
      </c>
      <c r="AB408" s="131">
        <v>0.946193702670387</v>
      </c>
      <c r="AC408" s="131">
        <v>0.92</v>
      </c>
      <c r="AD408" s="129">
        <v>1</v>
      </c>
      <c r="AE408" s="129">
        <v>0.993664717348928</v>
      </c>
      <c r="AF408" s="129">
        <v>0.995652173913044</v>
      </c>
      <c r="AG408" s="129">
        <v>0.998254053091039</v>
      </c>
      <c r="AH408" s="131">
        <v>0.92</v>
      </c>
      <c r="AI408" s="129">
        <v>0.96684383700329</v>
      </c>
      <c r="AJ408" s="129">
        <v>0.955868832362856</v>
      </c>
      <c r="AK408" s="129">
        <v>0.969482529854047</v>
      </c>
      <c r="AL408" s="129">
        <v>0.967098986669417</v>
      </c>
      <c r="AM408" s="128">
        <v>0.99</v>
      </c>
      <c r="AN408" s="133">
        <v>1</v>
      </c>
      <c r="AO408" s="133">
        <v>1</v>
      </c>
      <c r="AP408" s="133">
        <v>1</v>
      </c>
      <c r="AQ408" s="133">
        <v>1</v>
      </c>
      <c r="AR408" s="153">
        <v>0.05</v>
      </c>
      <c r="AS408" s="137">
        <v>0.285714285714286</v>
      </c>
      <c r="AT408" s="137">
        <v>0.142857142857143</v>
      </c>
      <c r="AU408" s="137">
        <v>0.166666666666667</v>
      </c>
      <c r="AV408" s="137">
        <v>0.0574712643678161</v>
      </c>
      <c r="AW408" s="93"/>
      <c r="AX408" s="91"/>
    </row>
    <row r="409" ht="14.5" spans="1:50">
      <c r="A409" s="89"/>
      <c r="B409" s="93"/>
      <c r="C409" s="148" t="s">
        <v>371</v>
      </c>
      <c r="D409" s="126" t="s">
        <v>372</v>
      </c>
      <c r="E409" s="149" t="s">
        <v>431</v>
      </c>
      <c r="F409" s="149" t="s">
        <v>431</v>
      </c>
      <c r="G409" s="149" t="s">
        <v>431</v>
      </c>
      <c r="H409" s="149" t="s">
        <v>431</v>
      </c>
      <c r="I409" s="128">
        <v>0.9</v>
      </c>
      <c r="J409" s="129">
        <v>0.935483870967742</v>
      </c>
      <c r="K409" s="129">
        <v>0.948275862068966</v>
      </c>
      <c r="L409" s="130">
        <v>0.962962962962963</v>
      </c>
      <c r="M409" s="129">
        <v>0.948071216617211</v>
      </c>
      <c r="N409" s="131">
        <v>0.9</v>
      </c>
      <c r="O409" s="129">
        <v>0.979893102570629</v>
      </c>
      <c r="P409" s="129">
        <v>0.936575875486381</v>
      </c>
      <c r="Q409" s="129">
        <v>0.944759206798867</v>
      </c>
      <c r="R409" s="129">
        <v>0.957238448062951</v>
      </c>
      <c r="S409" s="131">
        <v>0.9</v>
      </c>
      <c r="T409" s="129">
        <v>0.896920335963349</v>
      </c>
      <c r="U409" s="129">
        <v>0.894941634241245</v>
      </c>
      <c r="V409" s="129">
        <v>0.854107648725212</v>
      </c>
      <c r="W409" s="129">
        <v>0.879469285775825</v>
      </c>
      <c r="X409" s="131">
        <v>0.92</v>
      </c>
      <c r="Y409" s="131">
        <v>0.941809485850937</v>
      </c>
      <c r="Z409" s="131">
        <v>0.934396706971958</v>
      </c>
      <c r="AA409" s="131">
        <v>0.894736842105263</v>
      </c>
      <c r="AB409" s="131">
        <v>0.89323063083324</v>
      </c>
      <c r="AC409" s="131">
        <v>0.92</v>
      </c>
      <c r="AD409" s="129">
        <v>0.99798893916541</v>
      </c>
      <c r="AE409" s="129">
        <v>0.997727129237957</v>
      </c>
      <c r="AF409" s="129">
        <v>0.996637209666067</v>
      </c>
      <c r="AG409" s="129">
        <v>0.926868363053496</v>
      </c>
      <c r="AH409" s="131">
        <v>0.92</v>
      </c>
      <c r="AI409" s="129">
        <v>0.957750854302578</v>
      </c>
      <c r="AJ409" s="129">
        <v>0.951415751199134</v>
      </c>
      <c r="AK409" s="129">
        <v>0.938313144908031</v>
      </c>
      <c r="AL409" s="129">
        <v>0.926389342574314</v>
      </c>
      <c r="AM409" s="128">
        <v>0.99</v>
      </c>
      <c r="AN409" s="133">
        <v>1</v>
      </c>
      <c r="AO409" s="133">
        <v>1</v>
      </c>
      <c r="AP409" s="133">
        <v>1</v>
      </c>
      <c r="AQ409" s="133">
        <v>1</v>
      </c>
      <c r="AR409" s="153">
        <v>0.05</v>
      </c>
      <c r="AS409" s="137">
        <v>0</v>
      </c>
      <c r="AT409" s="137">
        <v>0</v>
      </c>
      <c r="AU409" s="137">
        <v>0.208333333333333</v>
      </c>
      <c r="AV409" s="137">
        <v>0.0516795865633075</v>
      </c>
      <c r="AW409" s="93"/>
      <c r="AX409" s="91"/>
    </row>
    <row r="410" ht="14.5" spans="1:50">
      <c r="A410" s="89"/>
      <c r="B410" s="93"/>
      <c r="C410" s="148" t="s">
        <v>371</v>
      </c>
      <c r="D410" s="126" t="s">
        <v>372</v>
      </c>
      <c r="E410" s="149" t="s">
        <v>432</v>
      </c>
      <c r="F410" s="149" t="s">
        <v>432</v>
      </c>
      <c r="G410" s="149" t="s">
        <v>432</v>
      </c>
      <c r="H410" s="149" t="s">
        <v>432</v>
      </c>
      <c r="I410" s="128">
        <v>0.9</v>
      </c>
      <c r="J410" s="129">
        <v>1</v>
      </c>
      <c r="K410" s="129">
        <v>1</v>
      </c>
      <c r="L410" s="130">
        <v>0.982456140350877</v>
      </c>
      <c r="M410" s="129">
        <v>0.976744186046512</v>
      </c>
      <c r="N410" s="131">
        <v>0.9</v>
      </c>
      <c r="O410" s="129">
        <v>0.964478417266187</v>
      </c>
      <c r="P410" s="129">
        <v>0.962164207340144</v>
      </c>
      <c r="Q410" s="129">
        <v>0.96875</v>
      </c>
      <c r="R410" s="129">
        <v>0.965606899214828</v>
      </c>
      <c r="S410" s="131">
        <v>0.9</v>
      </c>
      <c r="T410" s="129">
        <v>0.939073741007194</v>
      </c>
      <c r="U410" s="129">
        <v>0.940976163450624</v>
      </c>
      <c r="V410" s="129">
        <v>0.941776315789474</v>
      </c>
      <c r="W410" s="129">
        <v>0.934817865877204</v>
      </c>
      <c r="X410" s="131">
        <v>0.92</v>
      </c>
      <c r="Y410" s="131">
        <v>0.916457811194653</v>
      </c>
      <c r="Z410" s="131">
        <v>0.935340022296544</v>
      </c>
      <c r="AA410" s="131">
        <v>0.914414414414414</v>
      </c>
      <c r="AB410" s="131">
        <v>0.923125851885507</v>
      </c>
      <c r="AC410" s="131">
        <v>0.92</v>
      </c>
      <c r="AD410" s="129">
        <v>0.990683391453703</v>
      </c>
      <c r="AE410" s="129">
        <v>0.98957114683959</v>
      </c>
      <c r="AF410" s="129">
        <v>0.979456706281834</v>
      </c>
      <c r="AG410" s="129">
        <v>0.990956000189043</v>
      </c>
      <c r="AH410" s="131">
        <v>0.92</v>
      </c>
      <c r="AI410" s="129">
        <v>0.947505908695111</v>
      </c>
      <c r="AJ410" s="129">
        <v>0.951106752591762</v>
      </c>
      <c r="AK410" s="129">
        <v>0.957641196013289</v>
      </c>
      <c r="AL410" s="129">
        <v>0.949130870094935</v>
      </c>
      <c r="AM410" s="128">
        <v>0.99</v>
      </c>
      <c r="AN410" s="133">
        <v>1</v>
      </c>
      <c r="AO410" s="133">
        <v>1</v>
      </c>
      <c r="AP410" s="133">
        <v>1</v>
      </c>
      <c r="AQ410" s="133">
        <v>1</v>
      </c>
      <c r="AR410" s="153">
        <v>0.05</v>
      </c>
      <c r="AS410" s="137">
        <v>0.0434782608695652</v>
      </c>
      <c r="AT410" s="137">
        <v>0.0625</v>
      </c>
      <c r="AU410" s="137">
        <v>0.0625</v>
      </c>
      <c r="AV410" s="137">
        <v>0.0720720720720721</v>
      </c>
      <c r="AW410" s="93"/>
      <c r="AX410" s="91"/>
    </row>
    <row r="411" ht="14.5" spans="1:50">
      <c r="A411" s="89"/>
      <c r="B411" s="93"/>
      <c r="C411" s="148" t="s">
        <v>371</v>
      </c>
      <c r="D411" s="126" t="s">
        <v>372</v>
      </c>
      <c r="E411" s="149" t="s">
        <v>433</v>
      </c>
      <c r="F411" s="149" t="s">
        <v>433</v>
      </c>
      <c r="G411" s="149" t="s">
        <v>433</v>
      </c>
      <c r="H411" s="149" t="s">
        <v>433</v>
      </c>
      <c r="I411" s="128">
        <v>0.9</v>
      </c>
      <c r="J411" s="129">
        <v>0.980769230769231</v>
      </c>
      <c r="K411" s="129">
        <v>1</v>
      </c>
      <c r="L411" s="130">
        <v>0.962962962962963</v>
      </c>
      <c r="M411" s="129">
        <v>0.97598627787307</v>
      </c>
      <c r="N411" s="131">
        <v>0.9</v>
      </c>
      <c r="O411" s="129">
        <v>0.911091549295775</v>
      </c>
      <c r="P411" s="129">
        <v>0.994557823129252</v>
      </c>
      <c r="Q411" s="129">
        <v>0.988770685579196</v>
      </c>
      <c r="R411" s="129">
        <v>0.954379562043796</v>
      </c>
      <c r="S411" s="131">
        <v>0.9</v>
      </c>
      <c r="T411" s="129">
        <v>0.909771126760563</v>
      </c>
      <c r="U411" s="129">
        <v>0.947619047619048</v>
      </c>
      <c r="V411" s="129">
        <v>0.943853427895981</v>
      </c>
      <c r="W411" s="129">
        <v>0.912283771622838</v>
      </c>
      <c r="X411" s="131">
        <v>0.92</v>
      </c>
      <c r="Y411" s="131">
        <v>0.910789172703012</v>
      </c>
      <c r="Z411" s="131">
        <v>0.879520795660036</v>
      </c>
      <c r="AA411" s="131">
        <v>0.888416578108395</v>
      </c>
      <c r="AB411" s="131">
        <v>0.903727430062253</v>
      </c>
      <c r="AC411" s="131">
        <v>0.92</v>
      </c>
      <c r="AD411" s="129">
        <v>0.989410501659184</v>
      </c>
      <c r="AE411" s="129">
        <v>0.900796756064594</v>
      </c>
      <c r="AF411" s="129">
        <v>0.914385685180264</v>
      </c>
      <c r="AG411" s="129">
        <v>0.912069585440302</v>
      </c>
      <c r="AH411" s="131">
        <v>0.92</v>
      </c>
      <c r="AI411" s="129">
        <v>0.947691449295578</v>
      </c>
      <c r="AJ411" s="129">
        <v>0.92210612023341</v>
      </c>
      <c r="AK411" s="129">
        <v>0.951965065502183</v>
      </c>
      <c r="AL411" s="129">
        <v>0.940899335847715</v>
      </c>
      <c r="AM411" s="128">
        <v>0.99</v>
      </c>
      <c r="AN411" s="133">
        <v>1</v>
      </c>
      <c r="AO411" s="133">
        <v>1</v>
      </c>
      <c r="AP411" s="133">
        <v>1</v>
      </c>
      <c r="AQ411" s="133">
        <v>1</v>
      </c>
      <c r="AR411" s="153">
        <v>0.05</v>
      </c>
      <c r="AS411" s="137">
        <v>0</v>
      </c>
      <c r="AT411" s="137">
        <v>0.1</v>
      </c>
      <c r="AU411" s="137">
        <v>0.0833333333333333</v>
      </c>
      <c r="AV411" s="137">
        <v>0.0551378446115288</v>
      </c>
      <c r="AW411" s="93"/>
      <c r="AX411" s="91"/>
    </row>
    <row r="412" ht="14.5" spans="1:50">
      <c r="A412" s="89"/>
      <c r="B412" s="93"/>
      <c r="C412" s="148" t="s">
        <v>371</v>
      </c>
      <c r="D412" s="126" t="s">
        <v>372</v>
      </c>
      <c r="E412" s="149" t="s">
        <v>434</v>
      </c>
      <c r="F412" s="149" t="s">
        <v>434</v>
      </c>
      <c r="G412" s="149" t="s">
        <v>434</v>
      </c>
      <c r="H412" s="149" t="s">
        <v>434</v>
      </c>
      <c r="I412" s="128">
        <v>0.9</v>
      </c>
      <c r="J412" s="129">
        <v>1</v>
      </c>
      <c r="K412" s="129">
        <v>0.983050847457627</v>
      </c>
      <c r="L412" s="130">
        <v>0.980392156862745</v>
      </c>
      <c r="M412" s="129">
        <v>0.976225854383358</v>
      </c>
      <c r="N412" s="131">
        <v>0.9</v>
      </c>
      <c r="O412" s="129">
        <v>0.993187140728124</v>
      </c>
      <c r="P412" s="129">
        <v>0.994970986460348</v>
      </c>
      <c r="Q412" s="129">
        <v>0.988550866862937</v>
      </c>
      <c r="R412" s="129">
        <v>0.991249048809653</v>
      </c>
      <c r="S412" s="131">
        <v>0.9</v>
      </c>
      <c r="T412" s="129">
        <v>0.934426229508197</v>
      </c>
      <c r="U412" s="129">
        <v>0.954738878143133</v>
      </c>
      <c r="V412" s="129">
        <v>0.953549231272489</v>
      </c>
      <c r="W412" s="129">
        <v>0.947467115990869</v>
      </c>
      <c r="X412" s="131">
        <v>0.92</v>
      </c>
      <c r="Y412" s="131">
        <v>0.954531101989264</v>
      </c>
      <c r="Z412" s="131">
        <v>0.956746129270091</v>
      </c>
      <c r="AA412" s="131">
        <v>0.958233890214797</v>
      </c>
      <c r="AB412" s="131">
        <v>0.960668212054021</v>
      </c>
      <c r="AC412" s="131">
        <v>0.92</v>
      </c>
      <c r="AD412" s="129">
        <v>0.998723852854686</v>
      </c>
      <c r="AE412" s="129">
        <v>0.99681120710801</v>
      </c>
      <c r="AF412" s="129">
        <v>0.996735582154516</v>
      </c>
      <c r="AG412" s="129">
        <v>0.995492751415994</v>
      </c>
      <c r="AH412" s="131">
        <v>0.92</v>
      </c>
      <c r="AI412" s="129">
        <v>0.969739351557533</v>
      </c>
      <c r="AJ412" s="129">
        <v>0.968356328734253</v>
      </c>
      <c r="AK412" s="129">
        <v>0.979096283783784</v>
      </c>
      <c r="AL412" s="129">
        <v>0.973681117017803</v>
      </c>
      <c r="AM412" s="128">
        <v>0.99</v>
      </c>
      <c r="AN412" s="133">
        <v>1</v>
      </c>
      <c r="AO412" s="133">
        <v>1</v>
      </c>
      <c r="AP412" s="133">
        <v>1</v>
      </c>
      <c r="AQ412" s="133">
        <v>1</v>
      </c>
      <c r="AR412" s="153">
        <v>0.05</v>
      </c>
      <c r="AS412" s="137">
        <v>0</v>
      </c>
      <c r="AT412" s="137">
        <v>0.1875</v>
      </c>
      <c r="AU412" s="137">
        <v>0.0714285714285714</v>
      </c>
      <c r="AV412" s="137">
        <v>0.0465116279069767</v>
      </c>
      <c r="AW412" s="93"/>
      <c r="AX412" s="91"/>
    </row>
    <row r="413" ht="14.5" spans="1:50">
      <c r="A413" s="89"/>
      <c r="B413" s="93"/>
      <c r="C413" s="148" t="s">
        <v>371</v>
      </c>
      <c r="D413" s="126" t="s">
        <v>372</v>
      </c>
      <c r="E413" s="149" t="s">
        <v>435</v>
      </c>
      <c r="F413" s="149" t="s">
        <v>435</v>
      </c>
      <c r="G413" s="149" t="s">
        <v>435</v>
      </c>
      <c r="H413" s="149" t="s">
        <v>435</v>
      </c>
      <c r="I413" s="128">
        <v>0.9</v>
      </c>
      <c r="J413" s="129">
        <v>1</v>
      </c>
      <c r="K413" s="129">
        <v>0.98</v>
      </c>
      <c r="L413" s="130">
        <v>1</v>
      </c>
      <c r="M413" s="129">
        <v>0.99009900990099</v>
      </c>
      <c r="N413" s="131">
        <v>0.9</v>
      </c>
      <c r="O413" s="129">
        <v>0.977307574363692</v>
      </c>
      <c r="P413" s="129">
        <v>0.991735537190083</v>
      </c>
      <c r="Q413" s="129">
        <v>0.993464052287582</v>
      </c>
      <c r="R413" s="129">
        <v>0.989254314555519</v>
      </c>
      <c r="S413" s="131">
        <v>0.9</v>
      </c>
      <c r="T413" s="129">
        <v>0.950015332720025</v>
      </c>
      <c r="U413" s="129">
        <v>0.949232585596222</v>
      </c>
      <c r="V413" s="129">
        <v>0.963585434173669</v>
      </c>
      <c r="W413" s="129">
        <v>0.964036325482109</v>
      </c>
      <c r="X413" s="131">
        <v>0.92</v>
      </c>
      <c r="Y413" s="131">
        <v>0.972950478568456</v>
      </c>
      <c r="Z413" s="131">
        <v>0.974787363304982</v>
      </c>
      <c r="AA413" s="131">
        <v>0.958333333333333</v>
      </c>
      <c r="AB413" s="131">
        <v>0.978510307273434</v>
      </c>
      <c r="AC413" s="131">
        <v>0.92</v>
      </c>
      <c r="AD413" s="129">
        <v>0.997959183673469</v>
      </c>
      <c r="AE413" s="129">
        <v>0.998174849425078</v>
      </c>
      <c r="AF413" s="129">
        <v>0.995648389904265</v>
      </c>
      <c r="AG413" s="129">
        <v>0.997087329885</v>
      </c>
      <c r="AH413" s="131">
        <v>0.92</v>
      </c>
      <c r="AI413" s="129">
        <v>0.981997882103777</v>
      </c>
      <c r="AJ413" s="129">
        <v>0.980615507593925</v>
      </c>
      <c r="AK413" s="129">
        <v>0.982738443534231</v>
      </c>
      <c r="AL413" s="129">
        <v>0.985878937932212</v>
      </c>
      <c r="AM413" s="128">
        <v>0.99</v>
      </c>
      <c r="AN413" s="133">
        <v>1</v>
      </c>
      <c r="AO413" s="133">
        <v>1</v>
      </c>
      <c r="AP413" s="133">
        <v>1</v>
      </c>
      <c r="AQ413" s="133">
        <v>1</v>
      </c>
      <c r="AR413" s="153">
        <v>0.05</v>
      </c>
      <c r="AS413" s="137">
        <v>0.25</v>
      </c>
      <c r="AT413" s="137">
        <v>0.0588235294117647</v>
      </c>
      <c r="AU413" s="137">
        <v>0.285714285714286</v>
      </c>
      <c r="AV413" s="137">
        <v>0.0892857142857143</v>
      </c>
      <c r="AW413" s="93"/>
      <c r="AX413" s="91"/>
    </row>
    <row r="414" ht="14.5" spans="1:50">
      <c r="A414" s="89"/>
      <c r="B414" s="93"/>
      <c r="C414" s="148" t="s">
        <v>371</v>
      </c>
      <c r="D414" s="126" t="s">
        <v>372</v>
      </c>
      <c r="E414" s="149" t="s">
        <v>436</v>
      </c>
      <c r="F414" s="149" t="s">
        <v>436</v>
      </c>
      <c r="G414" s="149" t="s">
        <v>436</v>
      </c>
      <c r="H414" s="149" t="s">
        <v>436</v>
      </c>
      <c r="I414" s="128">
        <v>0.9</v>
      </c>
      <c r="J414" s="129">
        <v>0.983333333333333</v>
      </c>
      <c r="K414" s="129">
        <v>0.943396226415094</v>
      </c>
      <c r="L414" s="130">
        <v>0.978723404255319</v>
      </c>
      <c r="M414" s="129">
        <v>0.960691823899371</v>
      </c>
      <c r="N414" s="131">
        <v>0.9</v>
      </c>
      <c r="O414" s="129">
        <v>0.960964163822526</v>
      </c>
      <c r="P414" s="129">
        <v>0.951981952948759</v>
      </c>
      <c r="Q414" s="129">
        <v>0.976245463543385</v>
      </c>
      <c r="R414" s="129">
        <v>0.977752629819192</v>
      </c>
      <c r="S414" s="131">
        <v>0.9</v>
      </c>
      <c r="T414" s="129">
        <v>0.940273037542662</v>
      </c>
      <c r="U414" s="129">
        <v>0.965839510151466</v>
      </c>
      <c r="V414" s="129">
        <v>0.946882217090069</v>
      </c>
      <c r="W414" s="129">
        <v>0.955736735166277</v>
      </c>
      <c r="X414" s="131">
        <v>0.92</v>
      </c>
      <c r="Y414" s="131">
        <v>0.952857142857143</v>
      </c>
      <c r="Z414" s="131">
        <v>0.951381509032944</v>
      </c>
      <c r="AA414" s="131">
        <v>0.959341723136496</v>
      </c>
      <c r="AB414" s="131">
        <v>0.964377448563942</v>
      </c>
      <c r="AC414" s="131">
        <v>0.92</v>
      </c>
      <c r="AD414" s="129">
        <v>0.995715968726572</v>
      </c>
      <c r="AE414" s="129">
        <v>0.949351512317574</v>
      </c>
      <c r="AF414" s="129">
        <v>0.997450359267558</v>
      </c>
      <c r="AG414" s="129">
        <v>0.985705674909791</v>
      </c>
      <c r="AH414" s="131">
        <v>0.92</v>
      </c>
      <c r="AI414" s="129">
        <v>0.955810546875</v>
      </c>
      <c r="AJ414" s="129">
        <v>0.96514667441185</v>
      </c>
      <c r="AK414" s="129">
        <v>0.972352941176471</v>
      </c>
      <c r="AL414" s="129">
        <v>0.973268655175973</v>
      </c>
      <c r="AM414" s="128">
        <v>0.99</v>
      </c>
      <c r="AN414" s="133">
        <v>1</v>
      </c>
      <c r="AO414" s="133">
        <v>1</v>
      </c>
      <c r="AP414" s="133">
        <v>1</v>
      </c>
      <c r="AQ414" s="133">
        <v>1</v>
      </c>
      <c r="AR414" s="153">
        <v>0.05</v>
      </c>
      <c r="AS414" s="137">
        <v>0</v>
      </c>
      <c r="AT414" s="137">
        <v>0.0625</v>
      </c>
      <c r="AU414" s="137">
        <v>0.25</v>
      </c>
      <c r="AV414" s="137">
        <v>0.0403726708074534</v>
      </c>
      <c r="AW414" s="93"/>
      <c r="AX414" s="91"/>
    </row>
    <row r="415" ht="14.5" spans="1:50">
      <c r="A415" s="89"/>
      <c r="B415" s="93"/>
      <c r="C415" s="148" t="s">
        <v>371</v>
      </c>
      <c r="D415" s="126" t="s">
        <v>372</v>
      </c>
      <c r="E415" s="149" t="s">
        <v>437</v>
      </c>
      <c r="F415" s="149" t="s">
        <v>437</v>
      </c>
      <c r="G415" s="149" t="s">
        <v>437</v>
      </c>
      <c r="H415" s="149" t="s">
        <v>437</v>
      </c>
      <c r="I415" s="128">
        <v>0.9</v>
      </c>
      <c r="J415" s="129">
        <v>0.925</v>
      </c>
      <c r="K415" s="129">
        <v>1</v>
      </c>
      <c r="L415" s="130">
        <v>0.939393939393939</v>
      </c>
      <c r="M415" s="129">
        <v>0.964044943820225</v>
      </c>
      <c r="N415" s="131">
        <v>0.9</v>
      </c>
      <c r="O415" s="129">
        <v>0.938991138377641</v>
      </c>
      <c r="P415" s="129">
        <v>0.914918414918415</v>
      </c>
      <c r="Q415" s="129">
        <v>0.905300077942323</v>
      </c>
      <c r="R415" s="129">
        <v>0.929307917665411</v>
      </c>
      <c r="S415" s="131">
        <v>0.9</v>
      </c>
      <c r="T415" s="129">
        <v>0.879686434901159</v>
      </c>
      <c r="U415" s="129">
        <v>0.918997668997669</v>
      </c>
      <c r="V415" s="129">
        <v>0.887763055339049</v>
      </c>
      <c r="W415" s="129">
        <v>0.906137046760263</v>
      </c>
      <c r="X415" s="131">
        <v>0.92</v>
      </c>
      <c r="Y415" s="131">
        <v>0.910897435897436</v>
      </c>
      <c r="Z415" s="131">
        <v>0.973627940128296</v>
      </c>
      <c r="AA415" s="131">
        <v>0.977760736196319</v>
      </c>
      <c r="AB415" s="131">
        <v>0.970640494119638</v>
      </c>
      <c r="AC415" s="131">
        <v>0.92</v>
      </c>
      <c r="AD415" s="129">
        <v>0.997656936444401</v>
      </c>
      <c r="AE415" s="129">
        <v>0.798593552465234</v>
      </c>
      <c r="AF415" s="129">
        <v>0.987758112094395</v>
      </c>
      <c r="AG415" s="129">
        <v>0.966255624823155</v>
      </c>
      <c r="AH415" s="131">
        <v>0.92</v>
      </c>
      <c r="AI415" s="129">
        <v>0.939946619217082</v>
      </c>
      <c r="AJ415" s="129">
        <v>0.975685234305924</v>
      </c>
      <c r="AK415" s="129">
        <v>0.986821705426357</v>
      </c>
      <c r="AL415" s="129">
        <v>0.97544955745124</v>
      </c>
      <c r="AM415" s="128">
        <v>0.99</v>
      </c>
      <c r="AN415" s="133">
        <v>1</v>
      </c>
      <c r="AO415" s="133">
        <v>1</v>
      </c>
      <c r="AP415" s="133">
        <v>1</v>
      </c>
      <c r="AQ415" s="133">
        <v>1</v>
      </c>
      <c r="AR415" s="153">
        <v>0.05</v>
      </c>
      <c r="AS415" s="137">
        <v>0.0100502512562814</v>
      </c>
      <c r="AT415" s="137">
        <v>0</v>
      </c>
      <c r="AU415" s="137">
        <v>0.00836820083682008</v>
      </c>
      <c r="AV415" s="137">
        <v>0.00754866905045689</v>
      </c>
      <c r="AW415" s="93"/>
      <c r="AX415" s="91"/>
    </row>
    <row r="416" ht="14.5" spans="1:50">
      <c r="A416" s="89"/>
      <c r="B416" s="93"/>
      <c r="C416" s="148" t="s">
        <v>371</v>
      </c>
      <c r="D416" s="126" t="s">
        <v>372</v>
      </c>
      <c r="E416" s="149" t="s">
        <v>438</v>
      </c>
      <c r="F416" s="149" t="s">
        <v>438</v>
      </c>
      <c r="G416" s="149" t="s">
        <v>438</v>
      </c>
      <c r="H416" s="149" t="s">
        <v>438</v>
      </c>
      <c r="I416" s="128">
        <v>0.9</v>
      </c>
      <c r="J416" s="129">
        <v>0.963636363636364</v>
      </c>
      <c r="K416" s="129">
        <v>1</v>
      </c>
      <c r="L416" s="130">
        <v>0.957446808510638</v>
      </c>
      <c r="M416" s="129">
        <v>0.928057553956835</v>
      </c>
      <c r="N416" s="131">
        <v>0.9</v>
      </c>
      <c r="O416" s="129">
        <v>0.987478517063589</v>
      </c>
      <c r="P416" s="129">
        <v>0.964925100474973</v>
      </c>
      <c r="Q416" s="129">
        <v>0.991053677932406</v>
      </c>
      <c r="R416" s="129">
        <v>0.979593562389019</v>
      </c>
      <c r="S416" s="131">
        <v>0.9</v>
      </c>
      <c r="T416" s="129">
        <v>0.921188313282593</v>
      </c>
      <c r="U416" s="129">
        <v>0.93167701863354</v>
      </c>
      <c r="V416" s="129">
        <v>0.924453280318091</v>
      </c>
      <c r="W416" s="129">
        <v>0.922151131655345</v>
      </c>
      <c r="X416" s="131">
        <v>0.92</v>
      </c>
      <c r="Y416" s="131">
        <v>0.93047179851011</v>
      </c>
      <c r="Z416" s="131">
        <v>0.912814835316911</v>
      </c>
      <c r="AA416" s="131">
        <v>0.94282572842221</v>
      </c>
      <c r="AB416" s="131">
        <v>0.929101977804317</v>
      </c>
      <c r="AC416" s="131">
        <v>0.92</v>
      </c>
      <c r="AD416" s="129">
        <v>0.986632992484908</v>
      </c>
      <c r="AE416" s="129">
        <v>0.91641275644932</v>
      </c>
      <c r="AF416" s="129">
        <v>0.940811077057793</v>
      </c>
      <c r="AG416" s="129">
        <v>0.974005951981383</v>
      </c>
      <c r="AH416" s="131">
        <v>0.92</v>
      </c>
      <c r="AI416" s="129">
        <v>0.958659704090513</v>
      </c>
      <c r="AJ416" s="129">
        <v>0.942722265932337</v>
      </c>
      <c r="AK416" s="129">
        <v>0.965267727930536</v>
      </c>
      <c r="AL416" s="129">
        <v>0.952971820302549</v>
      </c>
      <c r="AM416" s="128">
        <v>0.99</v>
      </c>
      <c r="AN416" s="133">
        <v>1</v>
      </c>
      <c r="AO416" s="133">
        <v>1</v>
      </c>
      <c r="AP416" s="133">
        <v>1</v>
      </c>
      <c r="AQ416" s="133">
        <v>1</v>
      </c>
      <c r="AR416" s="153">
        <v>0.05</v>
      </c>
      <c r="AS416" s="137">
        <v>0.0689655172413793</v>
      </c>
      <c r="AT416" s="137">
        <v>0</v>
      </c>
      <c r="AU416" s="137">
        <v>0.176470588235294</v>
      </c>
      <c r="AV416" s="137">
        <v>0.0592783505154639</v>
      </c>
      <c r="AW416" s="93"/>
      <c r="AX416" s="91"/>
    </row>
    <row r="417" ht="14.5" spans="1:50">
      <c r="A417" s="89"/>
      <c r="B417" s="93"/>
      <c r="C417" s="148" t="s">
        <v>371</v>
      </c>
      <c r="D417" s="126" t="s">
        <v>372</v>
      </c>
      <c r="E417" s="149" t="s">
        <v>439</v>
      </c>
      <c r="F417" s="149" t="s">
        <v>439</v>
      </c>
      <c r="G417" s="149" t="s">
        <v>439</v>
      </c>
      <c r="H417" s="149" t="s">
        <v>439</v>
      </c>
      <c r="I417" s="128">
        <v>0.9</v>
      </c>
      <c r="J417" s="129">
        <v>0.981818181818182</v>
      </c>
      <c r="K417" s="129">
        <v>0.962616822429907</v>
      </c>
      <c r="L417" s="130">
        <v>1</v>
      </c>
      <c r="M417" s="129">
        <v>0.976450798990748</v>
      </c>
      <c r="N417" s="131">
        <v>0.9</v>
      </c>
      <c r="O417" s="129">
        <v>0.977016356457981</v>
      </c>
      <c r="P417" s="129">
        <v>0.983614343386369</v>
      </c>
      <c r="Q417" s="129">
        <v>0.979928914906962</v>
      </c>
      <c r="R417" s="129">
        <v>0.98113364499975</v>
      </c>
      <c r="S417" s="131">
        <v>0.9</v>
      </c>
      <c r="T417" s="129">
        <v>0.957275803722504</v>
      </c>
      <c r="U417" s="129">
        <v>0.962954167656139</v>
      </c>
      <c r="V417" s="129">
        <v>0.959230608404767</v>
      </c>
      <c r="W417" s="129">
        <v>0.959572096428037</v>
      </c>
      <c r="X417" s="131">
        <v>0.92</v>
      </c>
      <c r="Y417" s="131">
        <v>0.964734743943576</v>
      </c>
      <c r="Z417" s="131">
        <v>0.963377166031707</v>
      </c>
      <c r="AA417" s="131">
        <v>0.95388113023709</v>
      </c>
      <c r="AB417" s="131">
        <v>0.96349147516679</v>
      </c>
      <c r="AC417" s="131">
        <v>0.92</v>
      </c>
      <c r="AD417" s="129">
        <v>0.997319296193401</v>
      </c>
      <c r="AE417" s="129">
        <v>0.990427410808901</v>
      </c>
      <c r="AF417" s="129">
        <v>0.98859872611465</v>
      </c>
      <c r="AG417" s="129">
        <v>0.983560101484612</v>
      </c>
      <c r="AH417" s="131">
        <v>0.92</v>
      </c>
      <c r="AI417" s="129">
        <v>0.97466030113845</v>
      </c>
      <c r="AJ417" s="129">
        <v>0.971721741940696</v>
      </c>
      <c r="AK417" s="129">
        <v>0.97533689295703</v>
      </c>
      <c r="AL417" s="129">
        <v>0.975025041244403</v>
      </c>
      <c r="AM417" s="128">
        <v>0.99</v>
      </c>
      <c r="AN417" s="133">
        <v>1</v>
      </c>
      <c r="AO417" s="133">
        <v>1</v>
      </c>
      <c r="AP417" s="133">
        <v>1</v>
      </c>
      <c r="AQ417" s="133">
        <v>1</v>
      </c>
      <c r="AR417" s="153">
        <v>0.05</v>
      </c>
      <c r="AS417" s="137">
        <v>0</v>
      </c>
      <c r="AT417" s="137">
        <v>0.027027027027027</v>
      </c>
      <c r="AU417" s="137">
        <v>0.137931034482759</v>
      </c>
      <c r="AV417" s="137">
        <v>0.0329067641681901</v>
      </c>
      <c r="AW417" s="93"/>
      <c r="AX417" s="91"/>
    </row>
    <row r="418" ht="14.5" spans="1:50">
      <c r="A418" s="89"/>
      <c r="B418" s="93"/>
      <c r="C418" s="148" t="s">
        <v>371</v>
      </c>
      <c r="D418" s="126" t="s">
        <v>372</v>
      </c>
      <c r="E418" s="149" t="s">
        <v>440</v>
      </c>
      <c r="F418" s="149" t="s">
        <v>440</v>
      </c>
      <c r="G418" s="149" t="s">
        <v>440</v>
      </c>
      <c r="H418" s="149" t="s">
        <v>440</v>
      </c>
      <c r="I418" s="128">
        <v>0.9</v>
      </c>
      <c r="J418" s="129">
        <v>1</v>
      </c>
      <c r="K418" s="129">
        <v>1</v>
      </c>
      <c r="L418" s="130">
        <v>0.985074626865672</v>
      </c>
      <c r="M418" s="129">
        <v>0.990011098779134</v>
      </c>
      <c r="N418" s="131">
        <v>0.9</v>
      </c>
      <c r="O418" s="129">
        <v>0.99074658254469</v>
      </c>
      <c r="P418" s="129">
        <v>0.994366197183099</v>
      </c>
      <c r="Q418" s="129">
        <v>0.991913746630728</v>
      </c>
      <c r="R418" s="129">
        <v>0.991146546664058</v>
      </c>
      <c r="S418" s="131">
        <v>0.9</v>
      </c>
      <c r="T418" s="129">
        <v>0.959621451104101</v>
      </c>
      <c r="U418" s="129">
        <v>0.961770623742455</v>
      </c>
      <c r="V418" s="129">
        <v>0.956199460916442</v>
      </c>
      <c r="W418" s="129">
        <v>0.964561729602817</v>
      </c>
      <c r="X418" s="131">
        <v>0.92</v>
      </c>
      <c r="Y418" s="131">
        <v>0.979757085020243</v>
      </c>
      <c r="Z418" s="131">
        <v>0.976029502151199</v>
      </c>
      <c r="AA418" s="131">
        <v>0.975623911781776</v>
      </c>
      <c r="AB418" s="131">
        <v>0.983723556104732</v>
      </c>
      <c r="AC418" s="131">
        <v>0.92</v>
      </c>
      <c r="AD418" s="129">
        <v>0.992628992628993</v>
      </c>
      <c r="AE418" s="129">
        <v>0.995987963891675</v>
      </c>
      <c r="AF418" s="129">
        <v>0.988357050452781</v>
      </c>
      <c r="AG418" s="129">
        <v>0.993093922651934</v>
      </c>
      <c r="AH418" s="131">
        <v>0.92</v>
      </c>
      <c r="AI418" s="129">
        <v>0.985392574558734</v>
      </c>
      <c r="AJ418" s="129">
        <v>0.981458925429693</v>
      </c>
      <c r="AK418" s="129">
        <v>0.988282914358756</v>
      </c>
      <c r="AL418" s="129">
        <v>0.989170373235351</v>
      </c>
      <c r="AM418" s="128">
        <v>0.99</v>
      </c>
      <c r="AN418" s="133">
        <v>1</v>
      </c>
      <c r="AO418" s="133">
        <v>1</v>
      </c>
      <c r="AP418" s="133">
        <v>1</v>
      </c>
      <c r="AQ418" s="133">
        <v>1</v>
      </c>
      <c r="AR418" s="153">
        <v>0.05</v>
      </c>
      <c r="AS418" s="137">
        <v>0.0384615384615385</v>
      </c>
      <c r="AT418" s="137">
        <v>0.0555555555555556</v>
      </c>
      <c r="AU418" s="137">
        <v>0.0526315789473684</v>
      </c>
      <c r="AV418" s="137">
        <v>0.040650406504065</v>
      </c>
      <c r="AW418" s="93"/>
      <c r="AX418" s="91"/>
    </row>
    <row r="419" ht="14.5" spans="1:50">
      <c r="A419" s="89"/>
      <c r="B419" s="93"/>
      <c r="C419" s="148" t="s">
        <v>371</v>
      </c>
      <c r="D419" s="126" t="s">
        <v>372</v>
      </c>
      <c r="E419" s="149" t="s">
        <v>441</v>
      </c>
      <c r="F419" s="149" t="s">
        <v>441</v>
      </c>
      <c r="G419" s="149" t="s">
        <v>441</v>
      </c>
      <c r="H419" s="149" t="s">
        <v>441</v>
      </c>
      <c r="I419" s="128">
        <v>0.9</v>
      </c>
      <c r="J419" s="129">
        <v>0.985714285714286</v>
      </c>
      <c r="K419" s="129">
        <v>1</v>
      </c>
      <c r="L419" s="130">
        <v>1</v>
      </c>
      <c r="M419" s="129">
        <v>0.988015978695073</v>
      </c>
      <c r="N419" s="131">
        <v>0.9</v>
      </c>
      <c r="O419" s="129">
        <v>0.925152542372881</v>
      </c>
      <c r="P419" s="129">
        <v>0.954269972451791</v>
      </c>
      <c r="Q419" s="129">
        <v>0.937616041589306</v>
      </c>
      <c r="R419" s="129">
        <v>0.958277593289161</v>
      </c>
      <c r="S419" s="131">
        <v>0.9</v>
      </c>
      <c r="T419" s="129">
        <v>0.951322033898305</v>
      </c>
      <c r="U419" s="129">
        <v>0.962167125803489</v>
      </c>
      <c r="V419" s="129">
        <v>0.948570367619755</v>
      </c>
      <c r="W419" s="129">
        <v>0.947182045672736</v>
      </c>
      <c r="X419" s="131">
        <v>0.92</v>
      </c>
      <c r="Y419" s="131">
        <v>0.962164540255169</v>
      </c>
      <c r="Z419" s="131">
        <v>0.949453804850954</v>
      </c>
      <c r="AA419" s="131">
        <v>0.97055359246172</v>
      </c>
      <c r="AB419" s="131">
        <v>0.948284643649725</v>
      </c>
      <c r="AC419" s="131">
        <v>0.92</v>
      </c>
      <c r="AD419" s="129">
        <v>0.973429991307343</v>
      </c>
      <c r="AE419" s="129">
        <v>0.944051239269087</v>
      </c>
      <c r="AF419" s="129">
        <v>0.890681435107151</v>
      </c>
      <c r="AG419" s="129">
        <v>0.949457075577613</v>
      </c>
      <c r="AH419" s="131">
        <v>0.92</v>
      </c>
      <c r="AI419" s="129">
        <v>0.975845005451648</v>
      </c>
      <c r="AJ419" s="129">
        <v>0.966028355735592</v>
      </c>
      <c r="AK419" s="129">
        <v>0.98053057042013</v>
      </c>
      <c r="AL419" s="129">
        <v>0.966897749890362</v>
      </c>
      <c r="AM419" s="128">
        <v>0.99</v>
      </c>
      <c r="AN419" s="133">
        <v>1</v>
      </c>
      <c r="AO419" s="133">
        <v>1</v>
      </c>
      <c r="AP419" s="133">
        <v>1</v>
      </c>
      <c r="AQ419" s="133">
        <v>1</v>
      </c>
      <c r="AR419" s="153">
        <v>0.05</v>
      </c>
      <c r="AS419" s="137">
        <v>0.0341880341880342</v>
      </c>
      <c r="AT419" s="137">
        <v>0.040983606557377</v>
      </c>
      <c r="AU419" s="137">
        <v>0.00680272108843537</v>
      </c>
      <c r="AV419" s="137">
        <v>0.020096463022508</v>
      </c>
      <c r="AW419" s="93"/>
      <c r="AX419" s="91"/>
    </row>
    <row r="420" ht="14.5" spans="1:50">
      <c r="A420" s="89"/>
      <c r="B420" s="93"/>
      <c r="C420" s="148" t="s">
        <v>371</v>
      </c>
      <c r="D420" s="126" t="s">
        <v>372</v>
      </c>
      <c r="E420" s="149" t="s">
        <v>442</v>
      </c>
      <c r="F420" s="149" t="s">
        <v>442</v>
      </c>
      <c r="G420" s="149" t="s">
        <v>442</v>
      </c>
      <c r="H420" s="149" t="s">
        <v>442</v>
      </c>
      <c r="I420" s="128">
        <v>0.9</v>
      </c>
      <c r="J420" s="129">
        <v>0.941176470588235</v>
      </c>
      <c r="K420" s="129">
        <v>0.92156862745098</v>
      </c>
      <c r="L420" s="130">
        <v>0.875</v>
      </c>
      <c r="M420" s="129">
        <v>0.927140255009107</v>
      </c>
      <c r="N420" s="131">
        <v>0.9</v>
      </c>
      <c r="O420" s="129">
        <v>0.908620301598019</v>
      </c>
      <c r="P420" s="129">
        <v>0.894518801784576</v>
      </c>
      <c r="Q420" s="129">
        <v>0.89294964028777</v>
      </c>
      <c r="R420" s="129">
        <v>0.917962801148421</v>
      </c>
      <c r="S420" s="131">
        <v>0.9</v>
      </c>
      <c r="T420" s="129">
        <v>0.854377672743642</v>
      </c>
      <c r="U420" s="129">
        <v>0.876035691523263</v>
      </c>
      <c r="V420" s="129">
        <v>0.839424460431655</v>
      </c>
      <c r="W420" s="129">
        <v>0.867656971663962</v>
      </c>
      <c r="X420" s="131">
        <v>0.92</v>
      </c>
      <c r="Y420" s="131">
        <v>0.885857033051499</v>
      </c>
      <c r="Z420" s="131">
        <v>0.886240786240786</v>
      </c>
      <c r="AA420" s="131">
        <v>0.866150442477876</v>
      </c>
      <c r="AB420" s="131">
        <v>0.904729693165215</v>
      </c>
      <c r="AC420" s="131">
        <v>0.92</v>
      </c>
      <c r="AD420" s="129">
        <v>0.996923607716857</v>
      </c>
      <c r="AE420" s="129">
        <v>0.997336596602361</v>
      </c>
      <c r="AF420" s="129">
        <v>0.991925661960395</v>
      </c>
      <c r="AG420" s="129">
        <v>0.992695287185842</v>
      </c>
      <c r="AH420" s="131">
        <v>0.92</v>
      </c>
      <c r="AI420" s="129">
        <v>0.921243082162622</v>
      </c>
      <c r="AJ420" s="129">
        <v>0.920687742651137</v>
      </c>
      <c r="AK420" s="129">
        <v>0.923586154719122</v>
      </c>
      <c r="AL420" s="129">
        <v>0.933088778565596</v>
      </c>
      <c r="AM420" s="128">
        <v>0.99</v>
      </c>
      <c r="AN420" s="133">
        <v>1</v>
      </c>
      <c r="AO420" s="133">
        <v>1</v>
      </c>
      <c r="AP420" s="133">
        <v>1</v>
      </c>
      <c r="AQ420" s="133">
        <v>1</v>
      </c>
      <c r="AR420" s="153">
        <v>0.05</v>
      </c>
      <c r="AS420" s="137">
        <v>0.05</v>
      </c>
      <c r="AT420" s="137">
        <v>0.0612244897959184</v>
      </c>
      <c r="AU420" s="137">
        <v>0.0317460317460317</v>
      </c>
      <c r="AV420" s="137">
        <v>0.0297176820208024</v>
      </c>
      <c r="AW420" s="93"/>
      <c r="AX420" s="91"/>
    </row>
    <row r="421" ht="14.5" spans="1:50">
      <c r="A421" s="89"/>
      <c r="B421" s="93"/>
      <c r="C421" s="148" t="s">
        <v>371</v>
      </c>
      <c r="D421" s="126" t="s">
        <v>372</v>
      </c>
      <c r="E421" s="149" t="s">
        <v>443</v>
      </c>
      <c r="F421" s="149" t="s">
        <v>443</v>
      </c>
      <c r="G421" s="149" t="s">
        <v>443</v>
      </c>
      <c r="H421" s="149" t="s">
        <v>443</v>
      </c>
      <c r="I421" s="128">
        <v>0.9</v>
      </c>
      <c r="J421" s="129">
        <v>1</v>
      </c>
      <c r="K421" s="129">
        <v>1</v>
      </c>
      <c r="L421" s="130">
        <v>1</v>
      </c>
      <c r="M421" s="129">
        <v>0.978967495219885</v>
      </c>
      <c r="N421" s="131">
        <v>0.9</v>
      </c>
      <c r="O421" s="129">
        <v>0.989250814332248</v>
      </c>
      <c r="P421" s="129">
        <v>0.986770895971137</v>
      </c>
      <c r="Q421" s="129">
        <v>0.99622641509434</v>
      </c>
      <c r="R421" s="129">
        <v>0.99</v>
      </c>
      <c r="S421" s="131">
        <v>0.9</v>
      </c>
      <c r="T421" s="129">
        <v>0.971661237785016</v>
      </c>
      <c r="U421" s="129">
        <v>0.971136500300661</v>
      </c>
      <c r="V421" s="129">
        <v>0.972641509433962</v>
      </c>
      <c r="W421" s="129">
        <v>0.97281954887218</v>
      </c>
      <c r="X421" s="131">
        <v>0.92</v>
      </c>
      <c r="Y421" s="131">
        <v>0.975770925110132</v>
      </c>
      <c r="Z421" s="131">
        <v>0.982330954808019</v>
      </c>
      <c r="AA421" s="131">
        <v>0.976681614349776</v>
      </c>
      <c r="AB421" s="131">
        <v>0.979538087520259</v>
      </c>
      <c r="AC421" s="131">
        <v>0.92</v>
      </c>
      <c r="AD421" s="129">
        <v>0.994704324801412</v>
      </c>
      <c r="AE421" s="129">
        <v>0.993253012048193</v>
      </c>
      <c r="AF421" s="129">
        <v>0.996955859969559</v>
      </c>
      <c r="AG421" s="129">
        <v>0.994638403990025</v>
      </c>
      <c r="AH421" s="131">
        <v>0.92</v>
      </c>
      <c r="AI421" s="129">
        <v>0.981089683579854</v>
      </c>
      <c r="AJ421" s="129">
        <v>0.984205971440935</v>
      </c>
      <c r="AK421" s="129">
        <v>0.988573193329216</v>
      </c>
      <c r="AL421" s="129">
        <v>0.985358139204293</v>
      </c>
      <c r="AM421" s="128">
        <v>0.99</v>
      </c>
      <c r="AN421" s="133">
        <v>1</v>
      </c>
      <c r="AO421" s="133">
        <v>1</v>
      </c>
      <c r="AP421" s="133">
        <v>1</v>
      </c>
      <c r="AQ421" s="133">
        <v>1</v>
      </c>
      <c r="AR421" s="153">
        <v>0.05</v>
      </c>
      <c r="AS421" s="137">
        <v>0</v>
      </c>
      <c r="AT421" s="137">
        <v>0</v>
      </c>
      <c r="AU421" s="137">
        <v>0.1</v>
      </c>
      <c r="AV421" s="137">
        <v>0.0246913580246914</v>
      </c>
      <c r="AW421" s="93"/>
      <c r="AX421" s="91"/>
    </row>
    <row r="422" ht="14.5" spans="1:50">
      <c r="A422" s="89"/>
      <c r="B422" s="93"/>
      <c r="C422" s="148" t="s">
        <v>371</v>
      </c>
      <c r="D422" s="126" t="s">
        <v>372</v>
      </c>
      <c r="E422" s="149" t="s">
        <v>444</v>
      </c>
      <c r="F422" s="149" t="s">
        <v>444</v>
      </c>
      <c r="G422" s="149" t="s">
        <v>444</v>
      </c>
      <c r="H422" s="149" t="s">
        <v>444</v>
      </c>
      <c r="I422" s="128">
        <v>0.9</v>
      </c>
      <c r="J422" s="129">
        <v>1</v>
      </c>
      <c r="K422" s="129">
        <v>0.973684210526316</v>
      </c>
      <c r="L422" s="130">
        <v>1</v>
      </c>
      <c r="M422" s="129">
        <v>0.991416309012876</v>
      </c>
      <c r="N422" s="131">
        <v>0.9</v>
      </c>
      <c r="O422" s="129">
        <v>0.99478527607362</v>
      </c>
      <c r="P422" s="129">
        <v>0.995490417136415</v>
      </c>
      <c r="Q422" s="129">
        <v>0.991795366795367</v>
      </c>
      <c r="R422" s="129">
        <v>0.992709374190444</v>
      </c>
      <c r="S422" s="131">
        <v>0.9</v>
      </c>
      <c r="T422" s="129">
        <v>0.970245398773006</v>
      </c>
      <c r="U422" s="129">
        <v>0.962232243517475</v>
      </c>
      <c r="V422" s="129">
        <v>0.969594594594595</v>
      </c>
      <c r="W422" s="129">
        <v>0.971577661818586</v>
      </c>
      <c r="X422" s="131">
        <v>0.92</v>
      </c>
      <c r="Y422" s="131">
        <v>0.978494623655914</v>
      </c>
      <c r="Z422" s="131">
        <v>0.968577907353418</v>
      </c>
      <c r="AA422" s="131">
        <v>0.976929196499602</v>
      </c>
      <c r="AB422" s="131">
        <v>0.977546458479298</v>
      </c>
      <c r="AC422" s="131">
        <v>0.92</v>
      </c>
      <c r="AD422" s="129">
        <v>0.999357974869302</v>
      </c>
      <c r="AE422" s="129">
        <v>0.997246479427268</v>
      </c>
      <c r="AF422" s="129">
        <v>0.986062717770035</v>
      </c>
      <c r="AG422" s="129">
        <v>0.99066093090196</v>
      </c>
      <c r="AH422" s="131">
        <v>0.92</v>
      </c>
      <c r="AI422" s="129">
        <v>0.985035211267606</v>
      </c>
      <c r="AJ422" s="129">
        <v>0.976185588174913</v>
      </c>
      <c r="AK422" s="129">
        <v>0.986182036647642</v>
      </c>
      <c r="AL422" s="129">
        <v>0.984873448783566</v>
      </c>
      <c r="AM422" s="128">
        <v>0.99</v>
      </c>
      <c r="AN422" s="133">
        <v>1</v>
      </c>
      <c r="AO422" s="133">
        <v>1</v>
      </c>
      <c r="AP422" s="133">
        <v>1</v>
      </c>
      <c r="AQ422" s="133">
        <v>1</v>
      </c>
      <c r="AR422" s="153">
        <v>0.05</v>
      </c>
      <c r="AS422" s="137">
        <v>0.0666666666666667</v>
      </c>
      <c r="AT422" s="137">
        <v>0</v>
      </c>
      <c r="AU422" s="137">
        <v>0</v>
      </c>
      <c r="AV422" s="137">
        <v>0.0326797385620915</v>
      </c>
      <c r="AW422" s="93"/>
      <c r="AX422" s="91"/>
    </row>
    <row r="423" ht="14.5" spans="1:50">
      <c r="A423" s="89"/>
      <c r="B423" s="93"/>
      <c r="C423" s="148" t="s">
        <v>371</v>
      </c>
      <c r="D423" s="126" t="s">
        <v>372</v>
      </c>
      <c r="E423" s="149" t="s">
        <v>445</v>
      </c>
      <c r="F423" s="149" t="s">
        <v>445</v>
      </c>
      <c r="G423" s="149" t="s">
        <v>445</v>
      </c>
      <c r="H423" s="149" t="s">
        <v>445</v>
      </c>
      <c r="I423" s="128">
        <v>0.9</v>
      </c>
      <c r="J423" s="129">
        <v>0.942857142857143</v>
      </c>
      <c r="K423" s="129">
        <v>0.90625</v>
      </c>
      <c r="L423" s="130">
        <v>0.866666666666667</v>
      </c>
      <c r="M423" s="129">
        <v>0.914438502673797</v>
      </c>
      <c r="N423" s="131">
        <v>0.9</v>
      </c>
      <c r="O423" s="129">
        <v>0.943831168831169</v>
      </c>
      <c r="P423" s="129">
        <v>0.957115928369463</v>
      </c>
      <c r="Q423" s="129">
        <v>0.945984030061062</v>
      </c>
      <c r="R423" s="129">
        <v>0.948049540195788</v>
      </c>
      <c r="S423" s="131">
        <v>0.9</v>
      </c>
      <c r="T423" s="129">
        <v>0.921428571428571</v>
      </c>
      <c r="U423" s="129">
        <v>0.943920829406221</v>
      </c>
      <c r="V423" s="129">
        <v>0.919680601221231</v>
      </c>
      <c r="W423" s="129">
        <v>0.924985167606052</v>
      </c>
      <c r="X423" s="131">
        <v>0.92</v>
      </c>
      <c r="Y423" s="131">
        <v>0.92933025404157</v>
      </c>
      <c r="Z423" s="131">
        <v>0.940650697175545</v>
      </c>
      <c r="AA423" s="131">
        <v>0.95042492917847</v>
      </c>
      <c r="AB423" s="131">
        <v>0.93454088248006</v>
      </c>
      <c r="AC423" s="131">
        <v>0.92</v>
      </c>
      <c r="AD423" s="129">
        <v>0.992428685683818</v>
      </c>
      <c r="AE423" s="129">
        <v>0.994515888304611</v>
      </c>
      <c r="AF423" s="129">
        <v>0.997999777753084</v>
      </c>
      <c r="AG423" s="129">
        <v>0.995827208965089</v>
      </c>
      <c r="AH423" s="131">
        <v>0.92</v>
      </c>
      <c r="AI423" s="129">
        <v>0.955034951823163</v>
      </c>
      <c r="AJ423" s="129">
        <v>0.957244174265451</v>
      </c>
      <c r="AK423" s="129">
        <v>0.960485464295795</v>
      </c>
      <c r="AL423" s="129">
        <v>0.952972983264475</v>
      </c>
      <c r="AM423" s="128">
        <v>0.99</v>
      </c>
      <c r="AN423" s="133">
        <v>1</v>
      </c>
      <c r="AO423" s="133">
        <v>1</v>
      </c>
      <c r="AP423" s="133">
        <v>1</v>
      </c>
      <c r="AQ423" s="133">
        <v>1</v>
      </c>
      <c r="AR423" s="153">
        <v>0.05</v>
      </c>
      <c r="AS423" s="137">
        <v>0.00709219858156028</v>
      </c>
      <c r="AT423" s="137">
        <v>0.00689655172413793</v>
      </c>
      <c r="AU423" s="137">
        <v>0.02</v>
      </c>
      <c r="AV423" s="137">
        <v>0.00452488687782805</v>
      </c>
      <c r="AW423" s="93"/>
      <c r="AX423" s="91"/>
    </row>
    <row r="424" ht="14.5" spans="1:50">
      <c r="A424" s="89"/>
      <c r="B424" s="93"/>
      <c r="C424" s="148" t="s">
        <v>371</v>
      </c>
      <c r="D424" s="126" t="s">
        <v>372</v>
      </c>
      <c r="E424" s="149" t="s">
        <v>446</v>
      </c>
      <c r="F424" s="149" t="s">
        <v>446</v>
      </c>
      <c r="G424" s="149" t="s">
        <v>446</v>
      </c>
      <c r="H424" s="149" t="s">
        <v>446</v>
      </c>
      <c r="I424" s="128">
        <v>0.9</v>
      </c>
      <c r="J424" s="129">
        <v>0.956521739130435</v>
      </c>
      <c r="K424" s="129">
        <v>0.951219512195122</v>
      </c>
      <c r="L424" s="130">
        <v>0.9</v>
      </c>
      <c r="M424" s="129">
        <v>0.885947046843177</v>
      </c>
      <c r="N424" s="131">
        <v>0.9</v>
      </c>
      <c r="O424" s="129">
        <v>0.958382526564345</v>
      </c>
      <c r="P424" s="129">
        <v>0.968904912122578</v>
      </c>
      <c r="Q424" s="129">
        <v>0.97265625</v>
      </c>
      <c r="R424" s="129">
        <v>0.963431212615552</v>
      </c>
      <c r="S424" s="131">
        <v>0.9</v>
      </c>
      <c r="T424" s="129">
        <v>0.922963400236128</v>
      </c>
      <c r="U424" s="129">
        <v>0.922036953582695</v>
      </c>
      <c r="V424" s="129">
        <v>0.934027777777778</v>
      </c>
      <c r="W424" s="129">
        <v>0.9169725394236</v>
      </c>
      <c r="X424" s="131">
        <v>0.92</v>
      </c>
      <c r="Y424" s="131">
        <v>0.950622775800712</v>
      </c>
      <c r="Z424" s="131">
        <v>0.930635838150289</v>
      </c>
      <c r="AA424" s="131">
        <v>0.96057104010877</v>
      </c>
      <c r="AB424" s="131">
        <v>0.936759039715471</v>
      </c>
      <c r="AC424" s="131">
        <v>0.92</v>
      </c>
      <c r="AD424" s="129">
        <v>0.999028618396473</v>
      </c>
      <c r="AE424" s="129">
        <v>0.998289692385518</v>
      </c>
      <c r="AF424" s="129">
        <v>0.998002955625674</v>
      </c>
      <c r="AG424" s="129">
        <v>0.998591365296467</v>
      </c>
      <c r="AH424" s="131">
        <v>0.92</v>
      </c>
      <c r="AI424" s="129">
        <v>0.959205391982973</v>
      </c>
      <c r="AJ424" s="129">
        <v>0.948262085497403</v>
      </c>
      <c r="AK424" s="129">
        <v>0.966948704389212</v>
      </c>
      <c r="AL424" s="129">
        <v>0.955069307982368</v>
      </c>
      <c r="AM424" s="128">
        <v>0.99</v>
      </c>
      <c r="AN424" s="133">
        <v>1</v>
      </c>
      <c r="AO424" s="133">
        <v>1</v>
      </c>
      <c r="AP424" s="133">
        <v>1</v>
      </c>
      <c r="AQ424" s="133">
        <v>1</v>
      </c>
      <c r="AR424" s="153">
        <v>0.05</v>
      </c>
      <c r="AS424" s="137">
        <v>0.0588235294117647</v>
      </c>
      <c r="AT424" s="137">
        <v>0</v>
      </c>
      <c r="AU424" s="137">
        <v>0</v>
      </c>
      <c r="AV424" s="137">
        <v>0.0533333333333333</v>
      </c>
      <c r="AW424" s="93"/>
      <c r="AX424" s="91"/>
    </row>
    <row r="425" ht="14.5" spans="1:50">
      <c r="A425" s="89"/>
      <c r="B425" s="93"/>
      <c r="C425" s="148" t="s">
        <v>371</v>
      </c>
      <c r="D425" s="126" t="s">
        <v>372</v>
      </c>
      <c r="E425" s="149" t="s">
        <v>447</v>
      </c>
      <c r="F425" s="149" t="s">
        <v>447</v>
      </c>
      <c r="G425" s="149" t="s">
        <v>447</v>
      </c>
      <c r="H425" s="149" t="s">
        <v>447</v>
      </c>
      <c r="I425" s="128">
        <v>0.9</v>
      </c>
      <c r="J425" s="129">
        <v>0.974358974358974</v>
      </c>
      <c r="K425" s="129">
        <v>1</v>
      </c>
      <c r="L425" s="130">
        <v>1</v>
      </c>
      <c r="M425" s="129">
        <v>0.963302752293578</v>
      </c>
      <c r="N425" s="131">
        <v>0.9</v>
      </c>
      <c r="O425" s="129">
        <v>0.986379114642452</v>
      </c>
      <c r="P425" s="129">
        <v>0.993284493284493</v>
      </c>
      <c r="Q425" s="129">
        <v>0.988814317673378</v>
      </c>
      <c r="R425" s="129">
        <v>0.991583354695377</v>
      </c>
      <c r="S425" s="131">
        <v>0.9</v>
      </c>
      <c r="T425" s="129">
        <v>0.944003026863413</v>
      </c>
      <c r="U425" s="129">
        <v>0.942002442002442</v>
      </c>
      <c r="V425" s="129">
        <v>0.921140939597315</v>
      </c>
      <c r="W425" s="129">
        <v>0.948346577800564</v>
      </c>
      <c r="X425" s="131">
        <v>0.92</v>
      </c>
      <c r="Y425" s="131">
        <v>0.949868073878628</v>
      </c>
      <c r="Z425" s="131">
        <v>0.953657428441617</v>
      </c>
      <c r="AA425" s="131">
        <v>0.865019011406844</v>
      </c>
      <c r="AB425" s="131">
        <v>0.931511873109013</v>
      </c>
      <c r="AC425" s="131">
        <v>0.92</v>
      </c>
      <c r="AD425" s="129">
        <v>0.997468600915198</v>
      </c>
      <c r="AE425" s="129">
        <v>0.987505385609651</v>
      </c>
      <c r="AF425" s="129">
        <v>0.970745326535567</v>
      </c>
      <c r="AG425" s="129">
        <v>0.986513541059988</v>
      </c>
      <c r="AH425" s="131">
        <v>0.92</v>
      </c>
      <c r="AI425" s="129">
        <v>0.96364037020714</v>
      </c>
      <c r="AJ425" s="129">
        <v>0.966251298026999</v>
      </c>
      <c r="AK425" s="129">
        <v>0.936619718309859</v>
      </c>
      <c r="AL425" s="129">
        <v>0.956978080254552</v>
      </c>
      <c r="AM425" s="128">
        <v>0.99</v>
      </c>
      <c r="AN425" s="133">
        <v>1</v>
      </c>
      <c r="AO425" s="133">
        <v>1</v>
      </c>
      <c r="AP425" s="133">
        <v>1</v>
      </c>
      <c r="AQ425" s="133">
        <v>1</v>
      </c>
      <c r="AR425" s="153">
        <v>0.05</v>
      </c>
      <c r="AS425" s="137">
        <v>0.0571428571428571</v>
      </c>
      <c r="AT425" s="137">
        <v>0.032258064516129</v>
      </c>
      <c r="AU425" s="137">
        <v>0.0769230769230769</v>
      </c>
      <c r="AV425" s="137">
        <v>0.0574712643678161</v>
      </c>
      <c r="AW425" s="93"/>
      <c r="AX425" s="91"/>
    </row>
    <row r="426" ht="14.5" spans="1:50">
      <c r="A426" s="89"/>
      <c r="B426" s="93"/>
      <c r="C426" s="148" t="s">
        <v>371</v>
      </c>
      <c r="D426" s="126" t="s">
        <v>372</v>
      </c>
      <c r="E426" s="149" t="s">
        <v>448</v>
      </c>
      <c r="F426" s="149" t="s">
        <v>448</v>
      </c>
      <c r="G426" s="149" t="s">
        <v>448</v>
      </c>
      <c r="H426" s="149" t="s">
        <v>448</v>
      </c>
      <c r="I426" s="128">
        <v>0.9</v>
      </c>
      <c r="J426" s="129">
        <v>1</v>
      </c>
      <c r="K426" s="129">
        <v>0.926829268292683</v>
      </c>
      <c r="L426" s="130">
        <v>0.95</v>
      </c>
      <c r="M426" s="129">
        <v>0.937888198757764</v>
      </c>
      <c r="N426" s="131">
        <v>0.9</v>
      </c>
      <c r="O426" s="129">
        <v>0.990781563126253</v>
      </c>
      <c r="P426" s="129">
        <v>0.970671712393567</v>
      </c>
      <c r="Q426" s="129">
        <v>0.973654708520179</v>
      </c>
      <c r="R426" s="129">
        <v>0.986291821561338</v>
      </c>
      <c r="S426" s="131">
        <v>0.9</v>
      </c>
      <c r="T426" s="129">
        <v>0.897394789579158</v>
      </c>
      <c r="U426" s="129">
        <v>0.921475875118259</v>
      </c>
      <c r="V426" s="129">
        <v>0.910313901345291</v>
      </c>
      <c r="W426" s="129">
        <v>0.929507434944238</v>
      </c>
      <c r="X426" s="131">
        <v>0.92</v>
      </c>
      <c r="Y426" s="131">
        <v>0.931322674418605</v>
      </c>
      <c r="Z426" s="131">
        <v>0.895539568345324</v>
      </c>
      <c r="AA426" s="131">
        <v>0.934554973821989</v>
      </c>
      <c r="AB426" s="131">
        <v>0.950039190640694</v>
      </c>
      <c r="AC426" s="131">
        <v>0.92</v>
      </c>
      <c r="AD426" s="129">
        <v>0.961038961038961</v>
      </c>
      <c r="AE426" s="129">
        <v>0.882978723404255</v>
      </c>
      <c r="AF426" s="129">
        <v>0.919463087248322</v>
      </c>
      <c r="AG426" s="129">
        <v>0.942760942760943</v>
      </c>
      <c r="AH426" s="131">
        <v>0.92</v>
      </c>
      <c r="AI426" s="129">
        <v>0.9499238385377</v>
      </c>
      <c r="AJ426" s="129">
        <v>0.911537613059784</v>
      </c>
      <c r="AK426" s="129">
        <v>0.958949592514337</v>
      </c>
      <c r="AL426" s="129">
        <v>0.962379421221865</v>
      </c>
      <c r="AM426" s="128">
        <v>0.99</v>
      </c>
      <c r="AN426" s="133">
        <v>1</v>
      </c>
      <c r="AO426" s="133">
        <v>1</v>
      </c>
      <c r="AP426" s="133">
        <v>1</v>
      </c>
      <c r="AQ426" s="133">
        <v>1</v>
      </c>
      <c r="AR426" s="153">
        <v>0.05</v>
      </c>
      <c r="AS426" s="137">
        <v>0.0833333333333333</v>
      </c>
      <c r="AT426" s="137">
        <v>0</v>
      </c>
      <c r="AU426" s="137">
        <v>0</v>
      </c>
      <c r="AV426" s="137">
        <v>0.0274725274725275</v>
      </c>
      <c r="AW426" s="93"/>
      <c r="AX426" s="91"/>
    </row>
    <row r="427" ht="14.5" spans="1:50">
      <c r="A427" s="89"/>
      <c r="B427" s="93"/>
      <c r="C427" s="148" t="s">
        <v>371</v>
      </c>
      <c r="D427" s="126" t="s">
        <v>372</v>
      </c>
      <c r="E427" s="149" t="s">
        <v>449</v>
      </c>
      <c r="F427" s="149" t="s">
        <v>449</v>
      </c>
      <c r="G427" s="149" t="s">
        <v>449</v>
      </c>
      <c r="H427" s="149" t="s">
        <v>449</v>
      </c>
      <c r="I427" s="128">
        <v>0.9</v>
      </c>
      <c r="J427" s="129">
        <v>1</v>
      </c>
      <c r="K427" s="129">
        <v>0.946666666666667</v>
      </c>
      <c r="L427" s="130">
        <v>1</v>
      </c>
      <c r="M427" s="129">
        <v>0.984427141268076</v>
      </c>
      <c r="N427" s="131">
        <v>0.9</v>
      </c>
      <c r="O427" s="129">
        <v>0.987589202606267</v>
      </c>
      <c r="P427" s="129">
        <v>0.979102167182663</v>
      </c>
      <c r="Q427" s="129">
        <v>0.979558610709117</v>
      </c>
      <c r="R427" s="129">
        <v>0.984275634564281</v>
      </c>
      <c r="S427" s="131">
        <v>0.9</v>
      </c>
      <c r="T427" s="129">
        <v>0.909866583928017</v>
      </c>
      <c r="U427" s="129">
        <v>0.922987616099071</v>
      </c>
      <c r="V427" s="129">
        <v>0.869392185238784</v>
      </c>
      <c r="W427" s="129">
        <v>0.905104004398424</v>
      </c>
      <c r="X427" s="131">
        <v>0.92</v>
      </c>
      <c r="Y427" s="131">
        <v>0.937650770087215</v>
      </c>
      <c r="Z427" s="131">
        <v>0.937582562747688</v>
      </c>
      <c r="AA427" s="131">
        <v>0.919434628975265</v>
      </c>
      <c r="AB427" s="131">
        <v>0.932170181003919</v>
      </c>
      <c r="AC427" s="131">
        <v>0.92</v>
      </c>
      <c r="AD427" s="129">
        <v>0.961432506887052</v>
      </c>
      <c r="AE427" s="129">
        <v>0.971786833855799</v>
      </c>
      <c r="AF427" s="129">
        <v>0.981981981981982</v>
      </c>
      <c r="AG427" s="129">
        <v>0.98032279460535</v>
      </c>
      <c r="AH427" s="131">
        <v>0.92</v>
      </c>
      <c r="AI427" s="129">
        <v>0.957006503927697</v>
      </c>
      <c r="AJ427" s="129">
        <v>0.950827259053569</v>
      </c>
      <c r="AK427" s="129">
        <v>0.953816702560421</v>
      </c>
      <c r="AL427" s="129">
        <v>0.953679253216719</v>
      </c>
      <c r="AM427" s="128">
        <v>0.99</v>
      </c>
      <c r="AN427" s="133">
        <v>1</v>
      </c>
      <c r="AO427" s="133">
        <v>1</v>
      </c>
      <c r="AP427" s="133">
        <v>1</v>
      </c>
      <c r="AQ427" s="133">
        <v>1</v>
      </c>
      <c r="AR427" s="153">
        <v>0.05</v>
      </c>
      <c r="AS427" s="137">
        <v>0.0714285714285714</v>
      </c>
      <c r="AT427" s="137">
        <v>0.0625</v>
      </c>
      <c r="AU427" s="137">
        <v>0</v>
      </c>
      <c r="AV427" s="137">
        <v>0.0372208436724566</v>
      </c>
      <c r="AW427" s="93"/>
      <c r="AX427" s="91"/>
    </row>
    <row r="428" ht="14.5" spans="1:50">
      <c r="A428" s="89"/>
      <c r="B428" s="93"/>
      <c r="C428" s="148" t="s">
        <v>371</v>
      </c>
      <c r="D428" s="126" t="s">
        <v>372</v>
      </c>
      <c r="E428" s="149" t="s">
        <v>450</v>
      </c>
      <c r="F428" s="149" t="s">
        <v>450</v>
      </c>
      <c r="G428" s="149" t="s">
        <v>450</v>
      </c>
      <c r="H428" s="149" t="s">
        <v>450</v>
      </c>
      <c r="I428" s="128">
        <v>0.9</v>
      </c>
      <c r="J428" s="129">
        <v>0.84</v>
      </c>
      <c r="K428" s="129">
        <v>0.702127659574468</v>
      </c>
      <c r="L428" s="130">
        <v>0.80952380952381</v>
      </c>
      <c r="M428" s="129">
        <v>0.809437386569873</v>
      </c>
      <c r="N428" s="131">
        <v>0.9</v>
      </c>
      <c r="O428" s="129">
        <v>0.981810430581214</v>
      </c>
      <c r="P428" s="129">
        <v>0.980294025649046</v>
      </c>
      <c r="Q428" s="129">
        <v>0.946428571428571</v>
      </c>
      <c r="R428" s="129">
        <v>0.97710409786295</v>
      </c>
      <c r="S428" s="131">
        <v>0.9</v>
      </c>
      <c r="T428" s="129">
        <v>0.745203922125906</v>
      </c>
      <c r="U428" s="129">
        <v>0.714732561776666</v>
      </c>
      <c r="V428" s="129">
        <v>0.668391188251001</v>
      </c>
      <c r="W428" s="129">
        <v>0.777246271640774</v>
      </c>
      <c r="X428" s="131">
        <v>0.92</v>
      </c>
      <c r="Y428" s="131">
        <v>0</v>
      </c>
      <c r="Z428" s="131" t="s">
        <v>33</v>
      </c>
      <c r="AA428" s="131" t="s">
        <v>33</v>
      </c>
      <c r="AB428" s="131">
        <v>0.5</v>
      </c>
      <c r="AC428" s="131">
        <v>0.92</v>
      </c>
      <c r="AD428" s="129">
        <v>0.946808510638298</v>
      </c>
      <c r="AE428" s="129">
        <v>0.956521739130435</v>
      </c>
      <c r="AF428" s="129">
        <v>0.988888888888889</v>
      </c>
      <c r="AG428" s="129">
        <v>0.975953565505804</v>
      </c>
      <c r="AH428" s="131">
        <v>0.92</v>
      </c>
      <c r="AI428" s="129">
        <v>0.963341858482523</v>
      </c>
      <c r="AJ428" s="129">
        <v>0.965592743196747</v>
      </c>
      <c r="AK428" s="129">
        <v>0.93958611481976</v>
      </c>
      <c r="AL428" s="129">
        <v>0.971492039985191</v>
      </c>
      <c r="AM428" s="128">
        <v>0.99</v>
      </c>
      <c r="AN428" s="133">
        <v>1</v>
      </c>
      <c r="AO428" s="133">
        <v>1</v>
      </c>
      <c r="AP428" s="133">
        <v>1</v>
      </c>
      <c r="AQ428" s="133">
        <v>1</v>
      </c>
      <c r="AR428" s="153">
        <v>0.05</v>
      </c>
      <c r="AS428" s="137">
        <v>0.153846153846154</v>
      </c>
      <c r="AT428" s="137">
        <v>0.0526315789473684</v>
      </c>
      <c r="AU428" s="137">
        <v>0.111111111111111</v>
      </c>
      <c r="AV428" s="137">
        <v>0.102564102564103</v>
      </c>
      <c r="AW428" s="93"/>
      <c r="AX428" s="91"/>
    </row>
    <row r="429" ht="14.5" spans="1:50">
      <c r="A429" s="89"/>
      <c r="B429" s="93"/>
      <c r="C429" s="148" t="s">
        <v>371</v>
      </c>
      <c r="D429" s="126" t="s">
        <v>372</v>
      </c>
      <c r="E429" s="149" t="s">
        <v>451</v>
      </c>
      <c r="F429" s="149" t="s">
        <v>451</v>
      </c>
      <c r="G429" s="149" t="s">
        <v>451</v>
      </c>
      <c r="H429" s="149" t="s">
        <v>451</v>
      </c>
      <c r="I429" s="128">
        <v>0.9</v>
      </c>
      <c r="J429" s="129">
        <v>1</v>
      </c>
      <c r="K429" s="129">
        <v>1</v>
      </c>
      <c r="L429" s="130">
        <v>1</v>
      </c>
      <c r="M429" s="129">
        <v>0.960132890365448</v>
      </c>
      <c r="N429" s="131">
        <v>0.9</v>
      </c>
      <c r="O429" s="129">
        <v>0.985412474849095</v>
      </c>
      <c r="P429" s="129">
        <v>0.983534577387486</v>
      </c>
      <c r="Q429" s="129">
        <v>0.976796407185629</v>
      </c>
      <c r="R429" s="129">
        <v>0.976781954887218</v>
      </c>
      <c r="S429" s="131">
        <v>0.9</v>
      </c>
      <c r="T429" s="129">
        <v>0.929577464788732</v>
      </c>
      <c r="U429" s="129">
        <v>0.917672886937431</v>
      </c>
      <c r="V429" s="129">
        <v>0.912425149700599</v>
      </c>
      <c r="W429" s="129">
        <v>0.924511278195489</v>
      </c>
      <c r="X429" s="131">
        <v>0.92</v>
      </c>
      <c r="Y429" s="131">
        <v>0.968533086534012</v>
      </c>
      <c r="Z429" s="131">
        <v>0.93341307814992</v>
      </c>
      <c r="AA429" s="131">
        <v>0.924689440993789</v>
      </c>
      <c r="AB429" s="131">
        <v>0.958281373993878</v>
      </c>
      <c r="AC429" s="131">
        <v>0.92</v>
      </c>
      <c r="AD429" s="129">
        <v>0.9875</v>
      </c>
      <c r="AE429" s="129">
        <v>0.997402597402597</v>
      </c>
      <c r="AF429" s="129">
        <v>0.977635782747604</v>
      </c>
      <c r="AG429" s="129">
        <v>0.965558550464211</v>
      </c>
      <c r="AH429" s="131">
        <v>0.92</v>
      </c>
      <c r="AI429" s="129">
        <v>0.971112181030332</v>
      </c>
      <c r="AJ429" s="129">
        <v>0.947429906542056</v>
      </c>
      <c r="AK429" s="129">
        <v>0.956173780487805</v>
      </c>
      <c r="AL429" s="129">
        <v>0.969037734536262</v>
      </c>
      <c r="AM429" s="128">
        <v>0.99</v>
      </c>
      <c r="AN429" s="133">
        <v>1</v>
      </c>
      <c r="AO429" s="133">
        <v>1</v>
      </c>
      <c r="AP429" s="133">
        <v>1</v>
      </c>
      <c r="AQ429" s="133">
        <v>1</v>
      </c>
      <c r="AR429" s="153">
        <v>0.05</v>
      </c>
      <c r="AS429" s="137">
        <v>0</v>
      </c>
      <c r="AT429" s="137">
        <v>0.1</v>
      </c>
      <c r="AU429" s="137">
        <v>0</v>
      </c>
      <c r="AV429" s="137">
        <v>0.032258064516129</v>
      </c>
      <c r="AW429" s="93"/>
      <c r="AX429" s="91"/>
    </row>
    <row r="430" ht="14.5" spans="1:50">
      <c r="A430" s="89"/>
      <c r="B430" s="93"/>
      <c r="C430" s="148" t="s">
        <v>371</v>
      </c>
      <c r="D430" s="126" t="s">
        <v>372</v>
      </c>
      <c r="E430" s="149" t="s">
        <v>452</v>
      </c>
      <c r="F430" s="149" t="s">
        <v>452</v>
      </c>
      <c r="G430" s="149" t="s">
        <v>452</v>
      </c>
      <c r="H430" s="149" t="s">
        <v>452</v>
      </c>
      <c r="I430" s="128">
        <v>0.9</v>
      </c>
      <c r="J430" s="129">
        <v>0.673913043478261</v>
      </c>
      <c r="K430" s="129">
        <v>0.795454545454545</v>
      </c>
      <c r="L430" s="130">
        <v>0.75609756097561</v>
      </c>
      <c r="M430" s="129">
        <v>0.768924302788845</v>
      </c>
      <c r="N430" s="131">
        <v>0.9</v>
      </c>
      <c r="O430" s="129">
        <v>0.935206611570248</v>
      </c>
      <c r="P430" s="129">
        <v>0.960431654676259</v>
      </c>
      <c r="Q430" s="129">
        <v>0.949050949050949</v>
      </c>
      <c r="R430" s="129">
        <v>0.922322479403688</v>
      </c>
      <c r="S430" s="131">
        <v>0.9</v>
      </c>
      <c r="T430" s="129">
        <v>0.810247933884297</v>
      </c>
      <c r="U430" s="129">
        <v>0.862589928057554</v>
      </c>
      <c r="V430" s="129">
        <v>0.820679320679321</v>
      </c>
      <c r="W430" s="129">
        <v>0.82204786190663</v>
      </c>
      <c r="X430" s="131">
        <v>0.92</v>
      </c>
      <c r="Y430" s="131">
        <v>0.884710234278668</v>
      </c>
      <c r="Z430" s="131">
        <v>0.867267413541159</v>
      </c>
      <c r="AA430" s="131">
        <v>0.901785714285714</v>
      </c>
      <c r="AB430" s="131">
        <v>0.860796802797552</v>
      </c>
      <c r="AC430" s="131">
        <v>0.92</v>
      </c>
      <c r="AD430" s="129">
        <v>0.951737451737452</v>
      </c>
      <c r="AE430" s="129">
        <v>0.963855421686747</v>
      </c>
      <c r="AF430" s="129">
        <v>0.981873111782477</v>
      </c>
      <c r="AG430" s="129">
        <v>0.960771840542833</v>
      </c>
      <c r="AH430" s="131">
        <v>0.92</v>
      </c>
      <c r="AI430" s="129">
        <v>0.914754620777565</v>
      </c>
      <c r="AJ430" s="129">
        <v>0.887577188521613</v>
      </c>
      <c r="AK430" s="129">
        <v>0.932297154899895</v>
      </c>
      <c r="AL430" s="129">
        <v>0.893940317615143</v>
      </c>
      <c r="AM430" s="128">
        <v>0.99</v>
      </c>
      <c r="AN430" s="133">
        <v>1</v>
      </c>
      <c r="AO430" s="133">
        <v>1</v>
      </c>
      <c r="AP430" s="133">
        <v>1</v>
      </c>
      <c r="AQ430" s="133">
        <v>1</v>
      </c>
      <c r="AR430" s="153">
        <v>0.05</v>
      </c>
      <c r="AS430" s="137">
        <v>0.0714285714285714</v>
      </c>
      <c r="AT430" s="137">
        <v>0.25</v>
      </c>
      <c r="AU430" s="137">
        <v>0</v>
      </c>
      <c r="AV430" s="137">
        <v>0.0273972602739726</v>
      </c>
      <c r="AW430" s="93"/>
      <c r="AX430" s="91"/>
    </row>
    <row r="431" ht="14.5" spans="1:50">
      <c r="A431" s="89"/>
      <c r="B431" s="93"/>
      <c r="C431" s="148" t="s">
        <v>371</v>
      </c>
      <c r="D431" s="126" t="s">
        <v>372</v>
      </c>
      <c r="E431" s="149" t="s">
        <v>453</v>
      </c>
      <c r="F431" s="149" t="s">
        <v>453</v>
      </c>
      <c r="G431" s="149" t="s">
        <v>453</v>
      </c>
      <c r="H431" s="149" t="s">
        <v>453</v>
      </c>
      <c r="I431" s="128">
        <v>0.9</v>
      </c>
      <c r="J431" s="129">
        <v>0.909090909090909</v>
      </c>
      <c r="K431" s="129">
        <v>0.969230769230769</v>
      </c>
      <c r="L431" s="130">
        <v>0.931034482758621</v>
      </c>
      <c r="M431" s="129">
        <v>0.930809399477807</v>
      </c>
      <c r="N431" s="131">
        <v>0.9</v>
      </c>
      <c r="O431" s="129">
        <v>0.893021009418015</v>
      </c>
      <c r="P431" s="129">
        <v>0.979166666666667</v>
      </c>
      <c r="Q431" s="129">
        <v>0.944475602916433</v>
      </c>
      <c r="R431" s="129">
        <v>0.956223688701786</v>
      </c>
      <c r="S431" s="131">
        <v>0.9</v>
      </c>
      <c r="T431" s="129">
        <v>0.89060613378411</v>
      </c>
      <c r="U431" s="129">
        <v>0.892454954954955</v>
      </c>
      <c r="V431" s="129">
        <v>0.866236679753225</v>
      </c>
      <c r="W431" s="129">
        <v>0.891256115599044</v>
      </c>
      <c r="X431" s="131">
        <v>0.92</v>
      </c>
      <c r="Y431" s="131">
        <v>0.922115384615385</v>
      </c>
      <c r="Z431" s="131">
        <v>0.934947901999437</v>
      </c>
      <c r="AA431" s="131">
        <v>0.9293659621802</v>
      </c>
      <c r="AB431" s="131">
        <v>0.925241365067892</v>
      </c>
      <c r="AC431" s="131">
        <v>0.92</v>
      </c>
      <c r="AD431" s="129">
        <v>0.987179487179487</v>
      </c>
      <c r="AE431" s="129">
        <v>0.967567567567568</v>
      </c>
      <c r="AF431" s="129">
        <v>0.988304093567251</v>
      </c>
      <c r="AG431" s="129">
        <v>0.979476654694715</v>
      </c>
      <c r="AH431" s="131">
        <v>0.92</v>
      </c>
      <c r="AI431" s="129">
        <v>0.951273227804542</v>
      </c>
      <c r="AJ431" s="129">
        <v>0.949146181272284</v>
      </c>
      <c r="AK431" s="129">
        <v>0.958620689655172</v>
      </c>
      <c r="AL431" s="129">
        <v>0.949215580200162</v>
      </c>
      <c r="AM431" s="128">
        <v>0.99</v>
      </c>
      <c r="AN431" s="133">
        <v>1</v>
      </c>
      <c r="AO431" s="133">
        <v>1</v>
      </c>
      <c r="AP431" s="133">
        <v>1</v>
      </c>
      <c r="AQ431" s="133">
        <v>1</v>
      </c>
      <c r="AR431" s="153">
        <v>0.05</v>
      </c>
      <c r="AS431" s="137">
        <v>0</v>
      </c>
      <c r="AT431" s="137">
        <v>0</v>
      </c>
      <c r="AU431" s="137">
        <v>0.25</v>
      </c>
      <c r="AV431" s="137">
        <v>0.0786026200873362</v>
      </c>
      <c r="AW431" s="93"/>
      <c r="AX431" s="91"/>
    </row>
    <row r="432" ht="14.5" spans="1:50">
      <c r="A432" s="89"/>
      <c r="B432" s="93"/>
      <c r="C432" s="148" t="s">
        <v>371</v>
      </c>
      <c r="D432" s="126" t="s">
        <v>372</v>
      </c>
      <c r="E432" s="149" t="s">
        <v>454</v>
      </c>
      <c r="F432" s="149" t="s">
        <v>454</v>
      </c>
      <c r="G432" s="149" t="s">
        <v>454</v>
      </c>
      <c r="H432" s="149" t="s">
        <v>454</v>
      </c>
      <c r="I432" s="128">
        <v>0.9</v>
      </c>
      <c r="J432" s="129">
        <v>1</v>
      </c>
      <c r="K432" s="129">
        <v>0.954545454545455</v>
      </c>
      <c r="L432" s="130">
        <v>0.975609756097561</v>
      </c>
      <c r="M432" s="129">
        <v>0.961182994454713</v>
      </c>
      <c r="N432" s="131">
        <v>0.9</v>
      </c>
      <c r="O432" s="129">
        <v>0.974716369529984</v>
      </c>
      <c r="P432" s="129">
        <v>0.952738184546137</v>
      </c>
      <c r="Q432" s="129">
        <v>0.927210365853659</v>
      </c>
      <c r="R432" s="129">
        <v>0.961470327723649</v>
      </c>
      <c r="S432" s="131">
        <v>0.9</v>
      </c>
      <c r="T432" s="129">
        <v>0.878282009724473</v>
      </c>
      <c r="U432" s="129">
        <v>0.922355588897224</v>
      </c>
      <c r="V432" s="129">
        <v>0.83936737804878</v>
      </c>
      <c r="W432" s="129">
        <v>0.89257000749472</v>
      </c>
      <c r="X432" s="131">
        <v>0.92</v>
      </c>
      <c r="Y432" s="131">
        <v>0</v>
      </c>
      <c r="Z432" s="131" t="s">
        <v>33</v>
      </c>
      <c r="AA432" s="131" t="s">
        <v>33</v>
      </c>
      <c r="AB432" s="131">
        <v>0</v>
      </c>
      <c r="AC432" s="131">
        <v>0.92</v>
      </c>
      <c r="AD432" s="129">
        <v>0.984455958549223</v>
      </c>
      <c r="AE432" s="129">
        <v>0.973404255319149</v>
      </c>
      <c r="AF432" s="129">
        <v>0.996587030716723</v>
      </c>
      <c r="AG432" s="129">
        <v>0.981684981684982</v>
      </c>
      <c r="AH432" s="131">
        <v>0.92</v>
      </c>
      <c r="AI432" s="129">
        <v>0.970345162858532</v>
      </c>
      <c r="AJ432" s="129">
        <v>0.978627671541057</v>
      </c>
      <c r="AK432" s="129">
        <v>0.952190476190476</v>
      </c>
      <c r="AL432" s="129">
        <v>0.974809667364979</v>
      </c>
      <c r="AM432" s="128">
        <v>0.99</v>
      </c>
      <c r="AN432" s="133">
        <v>1</v>
      </c>
      <c r="AO432" s="133">
        <v>1</v>
      </c>
      <c r="AP432" s="133">
        <v>1</v>
      </c>
      <c r="AQ432" s="133">
        <v>1</v>
      </c>
      <c r="AR432" s="153">
        <v>0.05</v>
      </c>
      <c r="AS432" s="137">
        <v>0</v>
      </c>
      <c r="AT432" s="137">
        <v>0.2</v>
      </c>
      <c r="AU432" s="137">
        <v>0.125</v>
      </c>
      <c r="AV432" s="137">
        <v>0.0593220338983051</v>
      </c>
      <c r="AW432" s="93"/>
      <c r="AX432" s="91"/>
    </row>
    <row r="433" ht="14.5" spans="1:50">
      <c r="A433" s="89"/>
      <c r="B433" s="93"/>
      <c r="C433" s="148" t="s">
        <v>371</v>
      </c>
      <c r="D433" s="126" t="s">
        <v>372</v>
      </c>
      <c r="E433" s="149" t="s">
        <v>455</v>
      </c>
      <c r="F433" s="149" t="s">
        <v>455</v>
      </c>
      <c r="G433" s="149" t="s">
        <v>455</v>
      </c>
      <c r="H433" s="149" t="s">
        <v>455</v>
      </c>
      <c r="I433" s="128">
        <v>0.9</v>
      </c>
      <c r="J433" s="129">
        <v>0.887096774193548</v>
      </c>
      <c r="K433" s="129">
        <v>0.875</v>
      </c>
      <c r="L433" s="130">
        <v>0.8</v>
      </c>
      <c r="M433" s="129">
        <v>0.887096774193548</v>
      </c>
      <c r="N433" s="131">
        <v>0.9</v>
      </c>
      <c r="O433" s="129">
        <v>0.947613721103654</v>
      </c>
      <c r="P433" s="129">
        <v>0.831546177793151</v>
      </c>
      <c r="Q433" s="129">
        <v>0.917102510460251</v>
      </c>
      <c r="R433" s="129">
        <v>0.924015049036185</v>
      </c>
      <c r="S433" s="131">
        <v>0.9</v>
      </c>
      <c r="T433" s="129">
        <v>0.852721849366145</v>
      </c>
      <c r="U433" s="129">
        <v>0.786924939467312</v>
      </c>
      <c r="V433" s="129">
        <v>0.829497907949791</v>
      </c>
      <c r="W433" s="129">
        <v>0.851390767669936</v>
      </c>
      <c r="X433" s="131">
        <v>0.92</v>
      </c>
      <c r="Y433" s="131">
        <v>0.946160064672595</v>
      </c>
      <c r="Z433" s="131">
        <v>0.949124036440084</v>
      </c>
      <c r="AA433" s="131">
        <v>0.954712362301102</v>
      </c>
      <c r="AB433" s="131">
        <v>0.945499465811966</v>
      </c>
      <c r="AC433" s="131">
        <v>0.92</v>
      </c>
      <c r="AD433" s="129">
        <v>0.988390092879257</v>
      </c>
      <c r="AE433" s="129">
        <v>0.963757396449704</v>
      </c>
      <c r="AF433" s="129">
        <v>0.988177339901478</v>
      </c>
      <c r="AG433" s="129">
        <v>0.987534164389041</v>
      </c>
      <c r="AH433" s="131">
        <v>0.92</v>
      </c>
      <c r="AI433" s="129">
        <v>0.956454121306376</v>
      </c>
      <c r="AJ433" s="129">
        <v>0.9564135734899</v>
      </c>
      <c r="AK433" s="129">
        <v>0.967360720315138</v>
      </c>
      <c r="AL433" s="129">
        <v>0.957252806510123</v>
      </c>
      <c r="AM433" s="128">
        <v>0.99</v>
      </c>
      <c r="AN433" s="133">
        <v>1</v>
      </c>
      <c r="AO433" s="133">
        <v>1</v>
      </c>
      <c r="AP433" s="133">
        <v>1</v>
      </c>
      <c r="AQ433" s="133">
        <v>1</v>
      </c>
      <c r="AR433" s="153">
        <v>0.05</v>
      </c>
      <c r="AS433" s="137">
        <v>0.0625</v>
      </c>
      <c r="AT433" s="137">
        <v>0.0769230769230769</v>
      </c>
      <c r="AU433" s="137">
        <v>0.216216216216216</v>
      </c>
      <c r="AV433" s="137">
        <v>0.0601001669449082</v>
      </c>
      <c r="AW433" s="93"/>
      <c r="AX433" s="91"/>
    </row>
    <row r="434" ht="14.5" spans="1:50">
      <c r="A434" s="89"/>
      <c r="B434" s="93"/>
      <c r="C434" s="148" t="s">
        <v>371</v>
      </c>
      <c r="D434" s="126" t="s">
        <v>372</v>
      </c>
      <c r="E434" s="149" t="s">
        <v>456</v>
      </c>
      <c r="F434" s="149" t="s">
        <v>456</v>
      </c>
      <c r="G434" s="149" t="s">
        <v>456</v>
      </c>
      <c r="H434" s="149" t="s">
        <v>456</v>
      </c>
      <c r="I434" s="128">
        <v>0.9</v>
      </c>
      <c r="J434" s="129">
        <v>0.744186046511628</v>
      </c>
      <c r="K434" s="129">
        <v>0.829268292682927</v>
      </c>
      <c r="L434" s="130">
        <v>0.72972972972973</v>
      </c>
      <c r="M434" s="129">
        <v>0.796178343949045</v>
      </c>
      <c r="N434" s="131">
        <v>0.9</v>
      </c>
      <c r="O434" s="129">
        <v>0.941458026509573</v>
      </c>
      <c r="P434" s="129">
        <v>0.961688819390149</v>
      </c>
      <c r="Q434" s="129">
        <v>0.840770314701738</v>
      </c>
      <c r="R434" s="129">
        <v>0.909479316403131</v>
      </c>
      <c r="S434" s="131">
        <v>0.9</v>
      </c>
      <c r="T434" s="129">
        <v>0.82879234167894</v>
      </c>
      <c r="U434" s="129">
        <v>0.842845973416732</v>
      </c>
      <c r="V434" s="129">
        <v>0.770784405824331</v>
      </c>
      <c r="W434" s="129">
        <v>0.800910397700048</v>
      </c>
      <c r="X434" s="131">
        <v>0.92</v>
      </c>
      <c r="Y434" s="131">
        <v>0.932098765432099</v>
      </c>
      <c r="Z434" s="131">
        <v>0.892256820060623</v>
      </c>
      <c r="AA434" s="131">
        <v>0.787667248400233</v>
      </c>
      <c r="AB434" s="131">
        <v>0.892426827667673</v>
      </c>
      <c r="AC434" s="131">
        <v>0.92</v>
      </c>
      <c r="AD434" s="129">
        <v>0.973027646662171</v>
      </c>
      <c r="AE434" s="129">
        <v>0.994547787042976</v>
      </c>
      <c r="AF434" s="129">
        <v>0.967517077931131</v>
      </c>
      <c r="AG434" s="129">
        <v>0.984990667439017</v>
      </c>
      <c r="AH434" s="131">
        <v>0.92</v>
      </c>
      <c r="AI434" s="129">
        <v>0.955414012738854</v>
      </c>
      <c r="AJ434" s="129">
        <v>0.908517991461679</v>
      </c>
      <c r="AK434" s="129">
        <v>0.866008828875617</v>
      </c>
      <c r="AL434" s="129">
        <v>0.918309903698667</v>
      </c>
      <c r="AM434" s="128">
        <v>0.99</v>
      </c>
      <c r="AN434" s="133">
        <v>1</v>
      </c>
      <c r="AO434" s="133">
        <v>1</v>
      </c>
      <c r="AP434" s="133">
        <v>1</v>
      </c>
      <c r="AQ434" s="133">
        <v>1</v>
      </c>
      <c r="AR434" s="153">
        <v>0.05</v>
      </c>
      <c r="AS434" s="137">
        <v>0.166666666666667</v>
      </c>
      <c r="AT434" s="137">
        <v>0</v>
      </c>
      <c r="AU434" s="137">
        <v>0</v>
      </c>
      <c r="AV434" s="137">
        <v>0.0286885245901639</v>
      </c>
      <c r="AW434" s="93"/>
      <c r="AX434" s="91"/>
    </row>
    <row r="435" ht="14.5" spans="1:50">
      <c r="A435" s="89"/>
      <c r="B435" s="93"/>
      <c r="C435" s="148" t="s">
        <v>371</v>
      </c>
      <c r="D435" s="126" t="s">
        <v>372</v>
      </c>
      <c r="E435" s="149" t="s">
        <v>457</v>
      </c>
      <c r="F435" s="149" t="s">
        <v>457</v>
      </c>
      <c r="G435" s="149" t="s">
        <v>457</v>
      </c>
      <c r="H435" s="149" t="s">
        <v>457</v>
      </c>
      <c r="I435" s="128">
        <v>0.9</v>
      </c>
      <c r="J435" s="129">
        <v>0.901639344262295</v>
      </c>
      <c r="K435" s="129">
        <v>0.813559322033898</v>
      </c>
      <c r="L435" s="130">
        <v>0.924528301886792</v>
      </c>
      <c r="M435" s="129">
        <v>0.855051244509517</v>
      </c>
      <c r="N435" s="131">
        <v>0.9</v>
      </c>
      <c r="O435" s="129">
        <v>0.831325301204819</v>
      </c>
      <c r="P435" s="129">
        <v>0.92115711854793</v>
      </c>
      <c r="Q435" s="129">
        <v>0.90726096333573</v>
      </c>
      <c r="R435" s="129">
        <v>0.859319834635927</v>
      </c>
      <c r="S435" s="131">
        <v>0.9</v>
      </c>
      <c r="T435" s="129">
        <v>0.889994761655317</v>
      </c>
      <c r="U435" s="129">
        <v>0.892796369824163</v>
      </c>
      <c r="V435" s="129">
        <v>0.843997124370956</v>
      </c>
      <c r="W435" s="129">
        <v>0.884275325145599</v>
      </c>
      <c r="X435" s="131">
        <v>0.92</v>
      </c>
      <c r="Y435" s="131">
        <v>0.9467047347133</v>
      </c>
      <c r="Z435" s="131">
        <v>0.939526066350711</v>
      </c>
      <c r="AA435" s="131">
        <v>0.930626057529611</v>
      </c>
      <c r="AB435" s="131">
        <v>0.921779170047744</v>
      </c>
      <c r="AC435" s="131">
        <v>0.92</v>
      </c>
      <c r="AD435" s="129">
        <v>0.998387096774194</v>
      </c>
      <c r="AE435" s="129">
        <v>0.988255763375381</v>
      </c>
      <c r="AF435" s="129">
        <v>0.991455800197174</v>
      </c>
      <c r="AG435" s="129">
        <v>0.992084120982987</v>
      </c>
      <c r="AH435" s="131">
        <v>0.92</v>
      </c>
      <c r="AI435" s="129">
        <v>0.953798256537983</v>
      </c>
      <c r="AJ435" s="129">
        <v>0.946068691456145</v>
      </c>
      <c r="AK435" s="129">
        <v>0.947797399573064</v>
      </c>
      <c r="AL435" s="129">
        <v>0.939263931727001</v>
      </c>
      <c r="AM435" s="128">
        <v>0.99</v>
      </c>
      <c r="AN435" s="133">
        <v>1</v>
      </c>
      <c r="AO435" s="133">
        <v>1</v>
      </c>
      <c r="AP435" s="133">
        <v>1</v>
      </c>
      <c r="AQ435" s="133">
        <v>1</v>
      </c>
      <c r="AR435" s="153">
        <v>0.05</v>
      </c>
      <c r="AS435" s="137">
        <v>0.05</v>
      </c>
      <c r="AT435" s="137">
        <v>0.0666666666666667</v>
      </c>
      <c r="AU435" s="137">
        <v>0</v>
      </c>
      <c r="AV435" s="137">
        <v>0.0564971751412429</v>
      </c>
      <c r="AW435" s="93"/>
      <c r="AX435" s="91"/>
    </row>
    <row r="436" ht="14.5" spans="1:50">
      <c r="A436" s="89"/>
      <c r="B436" s="93"/>
      <c r="C436" s="148" t="s">
        <v>371</v>
      </c>
      <c r="D436" s="126" t="s">
        <v>372</v>
      </c>
      <c r="E436" s="149" t="s">
        <v>458</v>
      </c>
      <c r="F436" s="149" t="s">
        <v>458</v>
      </c>
      <c r="G436" s="149" t="s">
        <v>458</v>
      </c>
      <c r="H436" s="149" t="s">
        <v>458</v>
      </c>
      <c r="I436" s="128">
        <v>0.9</v>
      </c>
      <c r="J436" s="129">
        <v>0.608695652173913</v>
      </c>
      <c r="K436" s="129">
        <v>0.523809523809524</v>
      </c>
      <c r="L436" s="130">
        <v>0.65</v>
      </c>
      <c r="M436" s="129">
        <v>0.591375770020534</v>
      </c>
      <c r="N436" s="131">
        <v>0.9</v>
      </c>
      <c r="O436" s="129">
        <v>0.687004754358162</v>
      </c>
      <c r="P436" s="129">
        <v>0.720588235294118</v>
      </c>
      <c r="Q436" s="129">
        <v>0.707456978967495</v>
      </c>
      <c r="R436" s="129">
        <v>0.680440599912876</v>
      </c>
      <c r="S436" s="131">
        <v>0.9</v>
      </c>
      <c r="T436" s="129">
        <v>0.725832012678288</v>
      </c>
      <c r="U436" s="129">
        <v>0.780024509803922</v>
      </c>
      <c r="V436" s="129">
        <v>0.688336520076482</v>
      </c>
      <c r="W436" s="129">
        <v>0.711214139025453</v>
      </c>
      <c r="X436" s="131">
        <v>0.92</v>
      </c>
      <c r="Y436" s="131">
        <v>0.833386530481966</v>
      </c>
      <c r="Z436" s="131">
        <v>0.819634703196347</v>
      </c>
      <c r="AA436" s="131">
        <v>0.618461538461539</v>
      </c>
      <c r="AB436" s="131">
        <v>0.740222567010861</v>
      </c>
      <c r="AC436" s="131">
        <v>0.92</v>
      </c>
      <c r="AD436" s="129">
        <v>0.912254160363086</v>
      </c>
      <c r="AE436" s="129">
        <v>0.865069356872636</v>
      </c>
      <c r="AF436" s="129">
        <v>0.854860186418109</v>
      </c>
      <c r="AG436" s="129">
        <v>0.89388379204893</v>
      </c>
      <c r="AH436" s="131">
        <v>0.92</v>
      </c>
      <c r="AI436" s="129">
        <v>0.897906137184115</v>
      </c>
      <c r="AJ436" s="129">
        <v>0.851167315175097</v>
      </c>
      <c r="AK436" s="129">
        <v>0.803859869939165</v>
      </c>
      <c r="AL436" s="129">
        <v>0.818733114904869</v>
      </c>
      <c r="AM436" s="128">
        <v>0.99</v>
      </c>
      <c r="AN436" s="133">
        <v>1</v>
      </c>
      <c r="AO436" s="133">
        <v>1</v>
      </c>
      <c r="AP436" s="133">
        <v>1</v>
      </c>
      <c r="AQ436" s="133">
        <v>0.999236058059587</v>
      </c>
      <c r="AR436" s="153">
        <v>0.05</v>
      </c>
      <c r="AS436" s="137">
        <v>0.166666666666667</v>
      </c>
      <c r="AT436" s="137">
        <v>0</v>
      </c>
      <c r="AU436" s="137">
        <v>0</v>
      </c>
      <c r="AV436" s="137">
        <v>0.039647577092511</v>
      </c>
      <c r="AW436" s="93"/>
      <c r="AX436" s="91"/>
    </row>
    <row r="437" ht="14.5" spans="1:50">
      <c r="A437" s="89"/>
      <c r="B437" s="93"/>
      <c r="C437" s="148" t="s">
        <v>371</v>
      </c>
      <c r="D437" s="126" t="s">
        <v>372</v>
      </c>
      <c r="E437" s="149" t="s">
        <v>459</v>
      </c>
      <c r="F437" s="149" t="s">
        <v>459</v>
      </c>
      <c r="G437" s="149" t="s">
        <v>459</v>
      </c>
      <c r="H437" s="149" t="s">
        <v>459</v>
      </c>
      <c r="I437" s="128">
        <v>0.9</v>
      </c>
      <c r="J437" s="129">
        <v>0.827586206896552</v>
      </c>
      <c r="K437" s="129">
        <v>0.773584905660377</v>
      </c>
      <c r="L437" s="130">
        <v>0.804347826086957</v>
      </c>
      <c r="M437" s="129">
        <v>0.799347471451876</v>
      </c>
      <c r="N437" s="131">
        <v>0.9</v>
      </c>
      <c r="O437" s="129">
        <v>0.851119894598156</v>
      </c>
      <c r="P437" s="129">
        <v>0.823561054330285</v>
      </c>
      <c r="Q437" s="129">
        <v>0.837522123893805</v>
      </c>
      <c r="R437" s="129">
        <v>0.842229627385641</v>
      </c>
      <c r="S437" s="131">
        <v>0.9</v>
      </c>
      <c r="T437" s="129">
        <v>0.857707509881423</v>
      </c>
      <c r="U437" s="129">
        <v>0.826788596019365</v>
      </c>
      <c r="V437" s="129">
        <v>0.821946902654867</v>
      </c>
      <c r="W437" s="129">
        <v>0.832959709179037</v>
      </c>
      <c r="X437" s="131">
        <v>0.92</v>
      </c>
      <c r="Y437" s="131">
        <v>0.929137423590672</v>
      </c>
      <c r="Z437" s="131">
        <v>0.925228416930822</v>
      </c>
      <c r="AA437" s="131">
        <v>0.866695242177454</v>
      </c>
      <c r="AB437" s="131">
        <v>0.899947111933814</v>
      </c>
      <c r="AC437" s="131">
        <v>0.92</v>
      </c>
      <c r="AD437" s="129">
        <v>0.996941896024465</v>
      </c>
      <c r="AE437" s="129">
        <v>0.99815157116451</v>
      </c>
      <c r="AF437" s="129">
        <v>0.996372869060573</v>
      </c>
      <c r="AG437" s="129">
        <v>0.995681804829328</v>
      </c>
      <c r="AH437" s="131">
        <v>0.92</v>
      </c>
      <c r="AI437" s="129">
        <v>0.946222168146977</v>
      </c>
      <c r="AJ437" s="129">
        <v>0.934948096885813</v>
      </c>
      <c r="AK437" s="129">
        <v>0.914905989532855</v>
      </c>
      <c r="AL437" s="129">
        <v>0.920374979645956</v>
      </c>
      <c r="AM437" s="128">
        <v>0.99</v>
      </c>
      <c r="AN437" s="133">
        <v>1</v>
      </c>
      <c r="AO437" s="133">
        <v>1</v>
      </c>
      <c r="AP437" s="133">
        <v>1</v>
      </c>
      <c r="AQ437" s="133">
        <v>1</v>
      </c>
      <c r="AR437" s="153">
        <v>0.05</v>
      </c>
      <c r="AS437" s="137">
        <v>0.0833333333333333</v>
      </c>
      <c r="AT437" s="137">
        <v>0.0666666666666667</v>
      </c>
      <c r="AU437" s="137">
        <v>0.444444444444444</v>
      </c>
      <c r="AV437" s="137">
        <v>0.0627177700348432</v>
      </c>
      <c r="AW437" s="93"/>
      <c r="AX437" s="91"/>
    </row>
    <row r="438" ht="14.5" spans="1:50">
      <c r="A438" s="89"/>
      <c r="B438" s="93"/>
      <c r="C438" s="148" t="s">
        <v>371</v>
      </c>
      <c r="D438" s="126" t="s">
        <v>372</v>
      </c>
      <c r="E438" s="149" t="s">
        <v>460</v>
      </c>
      <c r="F438" s="149" t="s">
        <v>460</v>
      </c>
      <c r="G438" s="149" t="s">
        <v>460</v>
      </c>
      <c r="H438" s="149" t="s">
        <v>460</v>
      </c>
      <c r="I438" s="128">
        <v>0.9</v>
      </c>
      <c r="J438" s="129">
        <v>0.953125</v>
      </c>
      <c r="K438" s="129">
        <v>0.928571428571429</v>
      </c>
      <c r="L438" s="130">
        <v>0.865384615384615</v>
      </c>
      <c r="M438" s="129">
        <v>0.926756352765321</v>
      </c>
      <c r="N438" s="131">
        <v>0.9</v>
      </c>
      <c r="O438" s="129">
        <v>0.98017218888599</v>
      </c>
      <c r="P438" s="129">
        <v>0.971273712737127</v>
      </c>
      <c r="Q438" s="129">
        <v>0.983530254206946</v>
      </c>
      <c r="R438" s="129">
        <v>0.980993584961957</v>
      </c>
      <c r="S438" s="131">
        <v>0.9</v>
      </c>
      <c r="T438" s="129">
        <v>0.907122358465954</v>
      </c>
      <c r="U438" s="129">
        <v>0.913821138211382</v>
      </c>
      <c r="V438" s="129">
        <v>0.874328678839957</v>
      </c>
      <c r="W438" s="129">
        <v>0.905176786513501</v>
      </c>
      <c r="X438" s="131">
        <v>0.92</v>
      </c>
      <c r="Y438" s="131">
        <v>0.943741209563994</v>
      </c>
      <c r="Z438" s="131">
        <v>0.924324324324324</v>
      </c>
      <c r="AA438" s="131">
        <v>0.939407744874715</v>
      </c>
      <c r="AB438" s="131">
        <v>0.932922084084654</v>
      </c>
      <c r="AC438" s="131">
        <v>0.92</v>
      </c>
      <c r="AD438" s="129">
        <v>0.940157480314961</v>
      </c>
      <c r="AE438" s="129">
        <v>0.949519230769231</v>
      </c>
      <c r="AF438" s="129">
        <v>0.909626719056974</v>
      </c>
      <c r="AG438" s="129">
        <v>0.954617719323602</v>
      </c>
      <c r="AH438" s="131">
        <v>0.92</v>
      </c>
      <c r="AI438" s="129">
        <v>0.956130622304375</v>
      </c>
      <c r="AJ438" s="129">
        <v>0.938239159001314</v>
      </c>
      <c r="AK438" s="129">
        <v>0.961553864637565</v>
      </c>
      <c r="AL438" s="129">
        <v>0.950780743211936</v>
      </c>
      <c r="AM438" s="128">
        <v>0.99</v>
      </c>
      <c r="AN438" s="133">
        <v>1</v>
      </c>
      <c r="AO438" s="133">
        <v>1</v>
      </c>
      <c r="AP438" s="133">
        <v>1</v>
      </c>
      <c r="AQ438" s="133">
        <v>1</v>
      </c>
      <c r="AR438" s="153">
        <v>0.05</v>
      </c>
      <c r="AS438" s="137">
        <v>0.0344827586206897</v>
      </c>
      <c r="AT438" s="137">
        <v>0</v>
      </c>
      <c r="AU438" s="137">
        <v>0.0588235294117647</v>
      </c>
      <c r="AV438" s="137">
        <v>0.0349854227405248</v>
      </c>
      <c r="AW438" s="93"/>
      <c r="AX438" s="91"/>
    </row>
    <row r="439" ht="14.5" spans="1:50">
      <c r="A439" s="89"/>
      <c r="B439" s="93"/>
      <c r="C439" s="148" t="s">
        <v>371</v>
      </c>
      <c r="D439" s="126" t="s">
        <v>372</v>
      </c>
      <c r="E439" s="149" t="s">
        <v>461</v>
      </c>
      <c r="F439" s="149" t="s">
        <v>461</v>
      </c>
      <c r="G439" s="149" t="s">
        <v>461</v>
      </c>
      <c r="H439" s="149" t="s">
        <v>461</v>
      </c>
      <c r="I439" s="128">
        <v>0.9</v>
      </c>
      <c r="J439" s="129">
        <v>0.733333333333333</v>
      </c>
      <c r="K439" s="129">
        <v>0.716981132075472</v>
      </c>
      <c r="L439" s="130">
        <v>0.72</v>
      </c>
      <c r="M439" s="129">
        <v>0.735524256651017</v>
      </c>
      <c r="N439" s="131">
        <v>0.9</v>
      </c>
      <c r="O439" s="129">
        <v>0.922337465216291</v>
      </c>
      <c r="P439" s="129">
        <v>0.908028455284553</v>
      </c>
      <c r="Q439" s="129">
        <v>0.971688220901783</v>
      </c>
      <c r="R439" s="129">
        <v>0.956451473261955</v>
      </c>
      <c r="S439" s="131">
        <v>0.9</v>
      </c>
      <c r="T439" s="129">
        <v>0.849481406526689</v>
      </c>
      <c r="U439" s="129">
        <v>0.82520325203252</v>
      </c>
      <c r="V439" s="129">
        <v>0.818944425026215</v>
      </c>
      <c r="W439" s="129">
        <v>0.824478370032611</v>
      </c>
      <c r="X439" s="131">
        <v>0.92</v>
      </c>
      <c r="Y439" s="131">
        <v>0.952142701762019</v>
      </c>
      <c r="Z439" s="131">
        <v>0.918788958147818</v>
      </c>
      <c r="AA439" s="131">
        <v>0.910513643659711</v>
      </c>
      <c r="AB439" s="131">
        <v>0.922472563285007</v>
      </c>
      <c r="AC439" s="131">
        <v>0.92</v>
      </c>
      <c r="AD439" s="129">
        <v>0.997388181521384</v>
      </c>
      <c r="AE439" s="129">
        <v>0.985957132298596</v>
      </c>
      <c r="AF439" s="129">
        <v>0.937108886107635</v>
      </c>
      <c r="AG439" s="129">
        <v>0.989545337047994</v>
      </c>
      <c r="AH439" s="131">
        <v>0.92</v>
      </c>
      <c r="AI439" s="129">
        <v>0.95440196422308</v>
      </c>
      <c r="AJ439" s="129">
        <v>0.924364211358545</v>
      </c>
      <c r="AK439" s="129">
        <v>0.927944745193205</v>
      </c>
      <c r="AL439" s="129">
        <v>0.933001016626767</v>
      </c>
      <c r="AM439" s="128">
        <v>0.99</v>
      </c>
      <c r="AN439" s="133">
        <v>1</v>
      </c>
      <c r="AO439" s="133">
        <v>1</v>
      </c>
      <c r="AP439" s="133">
        <v>1</v>
      </c>
      <c r="AQ439" s="133">
        <v>1</v>
      </c>
      <c r="AR439" s="153">
        <v>0.05</v>
      </c>
      <c r="AS439" s="137">
        <v>0.0909090909090909</v>
      </c>
      <c r="AT439" s="137">
        <v>0.0909090909090909</v>
      </c>
      <c r="AU439" s="137">
        <v>0.0465116279069767</v>
      </c>
      <c r="AV439" s="137">
        <v>0.0444839857651246</v>
      </c>
      <c r="AW439" s="93"/>
      <c r="AX439" s="91"/>
    </row>
    <row r="440" ht="14.5" spans="1:50">
      <c r="A440" s="89"/>
      <c r="B440" s="93"/>
      <c r="C440" s="148" t="s">
        <v>371</v>
      </c>
      <c r="D440" s="126" t="s">
        <v>372</v>
      </c>
      <c r="E440" s="149" t="s">
        <v>462</v>
      </c>
      <c r="F440" s="149" t="s">
        <v>462</v>
      </c>
      <c r="G440" s="149" t="s">
        <v>462</v>
      </c>
      <c r="H440" s="149" t="s">
        <v>462</v>
      </c>
      <c r="I440" s="128">
        <v>0.9</v>
      </c>
      <c r="J440" s="129">
        <v>0.666666666666667</v>
      </c>
      <c r="K440" s="129">
        <v>0.666666666666667</v>
      </c>
      <c r="L440" s="130">
        <v>0.605263157894737</v>
      </c>
      <c r="M440" s="129">
        <v>0.566202090592335</v>
      </c>
      <c r="N440" s="131">
        <v>0.9</v>
      </c>
      <c r="O440" s="129">
        <v>0.647610921501707</v>
      </c>
      <c r="P440" s="129">
        <v>0.733147632311978</v>
      </c>
      <c r="Q440" s="129">
        <v>0.534958050339593</v>
      </c>
      <c r="R440" s="129">
        <v>0.609756097560976</v>
      </c>
      <c r="S440" s="131">
        <v>0.9</v>
      </c>
      <c r="T440" s="129">
        <v>0.655290102389078</v>
      </c>
      <c r="U440" s="129">
        <v>0.683565459610028</v>
      </c>
      <c r="V440" s="129">
        <v>0.557730723132241</v>
      </c>
      <c r="W440" s="129">
        <v>0.672664090156215</v>
      </c>
      <c r="X440" s="131">
        <v>0.92</v>
      </c>
      <c r="Y440" s="131">
        <v>0.778114792347177</v>
      </c>
      <c r="Z440" s="131">
        <v>0.71263704558569</v>
      </c>
      <c r="AA440" s="131">
        <v>0.644148020654045</v>
      </c>
      <c r="AB440" s="131">
        <v>0.738036016316784</v>
      </c>
      <c r="AC440" s="131">
        <v>0.92</v>
      </c>
      <c r="AD440" s="129">
        <v>0.995177402686876</v>
      </c>
      <c r="AE440" s="129">
        <v>0.995744680851064</v>
      </c>
      <c r="AF440" s="129">
        <v>0.982397716460514</v>
      </c>
      <c r="AG440" s="129">
        <v>0.984050265828903</v>
      </c>
      <c r="AH440" s="131">
        <v>0.92</v>
      </c>
      <c r="AI440" s="129">
        <v>0.772517911975435</v>
      </c>
      <c r="AJ440" s="129">
        <v>0.742142857142857</v>
      </c>
      <c r="AK440" s="129">
        <v>0.699585921325052</v>
      </c>
      <c r="AL440" s="129">
        <v>0.780251204871254</v>
      </c>
      <c r="AM440" s="128">
        <v>0.99</v>
      </c>
      <c r="AN440" s="133">
        <v>1</v>
      </c>
      <c r="AO440" s="133">
        <v>1</v>
      </c>
      <c r="AP440" s="133">
        <v>1</v>
      </c>
      <c r="AQ440" s="133">
        <v>1</v>
      </c>
      <c r="AR440" s="153">
        <v>0.05</v>
      </c>
      <c r="AS440" s="137">
        <v>0.037037037037037</v>
      </c>
      <c r="AT440" s="137">
        <v>0.0294117647058824</v>
      </c>
      <c r="AU440" s="137">
        <v>0.0714285714285714</v>
      </c>
      <c r="AV440" s="137">
        <v>0.0198511166253102</v>
      </c>
      <c r="AW440" s="93"/>
      <c r="AX440" s="91"/>
    </row>
    <row r="441" ht="14.5" spans="1:50">
      <c r="A441" s="89"/>
      <c r="B441" s="93"/>
      <c r="C441" s="148" t="s">
        <v>371</v>
      </c>
      <c r="D441" s="126" t="s">
        <v>372</v>
      </c>
      <c r="E441" s="149" t="s">
        <v>463</v>
      </c>
      <c r="F441" s="149" t="s">
        <v>463</v>
      </c>
      <c r="G441" s="149" t="s">
        <v>463</v>
      </c>
      <c r="H441" s="149" t="s">
        <v>463</v>
      </c>
      <c r="I441" s="128">
        <v>0.9</v>
      </c>
      <c r="J441" s="129">
        <v>0.97979797979798</v>
      </c>
      <c r="K441" s="129">
        <v>0.902173913043478</v>
      </c>
      <c r="L441" s="130">
        <v>0.952380952380952</v>
      </c>
      <c r="M441" s="129">
        <v>0.9496336996337</v>
      </c>
      <c r="N441" s="131">
        <v>0.9</v>
      </c>
      <c r="O441" s="129">
        <v>0.982563475068828</v>
      </c>
      <c r="P441" s="129">
        <v>0.975775927327782</v>
      </c>
      <c r="Q441" s="129">
        <v>0.969839263138884</v>
      </c>
      <c r="R441" s="129">
        <v>0.979127238317077</v>
      </c>
      <c r="S441" s="131">
        <v>0.9</v>
      </c>
      <c r="T441" s="129">
        <v>0.902569593147752</v>
      </c>
      <c r="U441" s="129">
        <v>0.922028766086298</v>
      </c>
      <c r="V441" s="129">
        <v>0.87122990789236</v>
      </c>
      <c r="W441" s="129">
        <v>0.917637210656573</v>
      </c>
      <c r="X441" s="131">
        <v>0.92</v>
      </c>
      <c r="Y441" s="131">
        <v>0.942376950780312</v>
      </c>
      <c r="Z441" s="131">
        <v>0.958419567262465</v>
      </c>
      <c r="AA441" s="131">
        <v>0.942230347349177</v>
      </c>
      <c r="AB441" s="131">
        <v>0.945369346775125</v>
      </c>
      <c r="AC441" s="131">
        <v>0.92</v>
      </c>
      <c r="AD441" s="129">
        <v>0.983394833948339</v>
      </c>
      <c r="AE441" s="129">
        <v>0.65034965034965</v>
      </c>
      <c r="AF441" s="129">
        <v>0.997347480106101</v>
      </c>
      <c r="AG441" s="129">
        <v>0.91383055756698</v>
      </c>
      <c r="AH441" s="131">
        <v>0.92</v>
      </c>
      <c r="AI441" s="129">
        <v>0.958683412732785</v>
      </c>
      <c r="AJ441" s="129">
        <v>0.967604218985434</v>
      </c>
      <c r="AK441" s="129">
        <v>0.967726338692131</v>
      </c>
      <c r="AL441" s="129">
        <v>0.963669854886971</v>
      </c>
      <c r="AM441" s="128">
        <v>0.99</v>
      </c>
      <c r="AN441" s="133">
        <v>1</v>
      </c>
      <c r="AO441" s="133">
        <v>1</v>
      </c>
      <c r="AP441" s="133">
        <v>1</v>
      </c>
      <c r="AQ441" s="133">
        <v>1</v>
      </c>
      <c r="AR441" s="153">
        <v>0.05</v>
      </c>
      <c r="AS441" s="137">
        <v>0</v>
      </c>
      <c r="AT441" s="137">
        <v>0</v>
      </c>
      <c r="AU441" s="137">
        <v>0.0526315789473684</v>
      </c>
      <c r="AV441" s="137">
        <v>0.0291005291005291</v>
      </c>
      <c r="AW441" s="93"/>
      <c r="AX441" s="91"/>
    </row>
    <row r="442" ht="14.5" spans="1:50">
      <c r="A442" s="89"/>
      <c r="B442" s="93"/>
      <c r="C442" s="148" t="s">
        <v>371</v>
      </c>
      <c r="D442" s="126" t="s">
        <v>372</v>
      </c>
      <c r="E442" s="166" t="s">
        <v>464</v>
      </c>
      <c r="F442" s="166" t="s">
        <v>464</v>
      </c>
      <c r="G442" s="166" t="s">
        <v>464</v>
      </c>
      <c r="H442" s="166" t="s">
        <v>464</v>
      </c>
      <c r="I442" s="128">
        <v>0.9</v>
      </c>
      <c r="J442" s="129">
        <v>0.95</v>
      </c>
      <c r="K442" s="129">
        <v>0.866666666666667</v>
      </c>
      <c r="L442" s="130">
        <v>0.8125</v>
      </c>
      <c r="M442" s="129">
        <v>0.870813397129187</v>
      </c>
      <c r="N442" s="131">
        <v>0.9</v>
      </c>
      <c r="O442" s="129">
        <v>0.984643179765131</v>
      </c>
      <c r="P442" s="129">
        <v>0.96544502617801</v>
      </c>
      <c r="Q442" s="129">
        <v>0.951033732317737</v>
      </c>
      <c r="R442" s="129">
        <v>0.976844660194175</v>
      </c>
      <c r="S442" s="131">
        <v>0.9</v>
      </c>
      <c r="T442" s="129">
        <v>0.918247515808491</v>
      </c>
      <c r="U442" s="129">
        <v>0.932984293193717</v>
      </c>
      <c r="V442" s="129">
        <v>0.916757344940152</v>
      </c>
      <c r="W442" s="129">
        <v>0.946165048543689</v>
      </c>
      <c r="X442" s="131">
        <v>0.92</v>
      </c>
      <c r="Y442" s="131" t="s">
        <v>33</v>
      </c>
      <c r="Z442" s="131" t="s">
        <v>33</v>
      </c>
      <c r="AA442" s="131" t="s">
        <v>33</v>
      </c>
      <c r="AB442" s="131">
        <v>0</v>
      </c>
      <c r="AC442" s="131">
        <v>0.92</v>
      </c>
      <c r="AD442" s="129">
        <v>0.985507246376812</v>
      </c>
      <c r="AE442" s="129">
        <v>0.928571428571429</v>
      </c>
      <c r="AF442" s="129">
        <v>0.9875</v>
      </c>
      <c r="AG442" s="129">
        <v>0.976237623762376</v>
      </c>
      <c r="AH442" s="131">
        <v>0.92</v>
      </c>
      <c r="AI442" s="129">
        <v>0.981038374717833</v>
      </c>
      <c r="AJ442" s="129">
        <v>0.973821989528796</v>
      </c>
      <c r="AK442" s="129">
        <v>0.963003264417845</v>
      </c>
      <c r="AL442" s="129">
        <v>0.985827994564162</v>
      </c>
      <c r="AM442" s="128">
        <v>0.99</v>
      </c>
      <c r="AN442" s="133">
        <v>1</v>
      </c>
      <c r="AO442" s="133">
        <v>1</v>
      </c>
      <c r="AP442" s="133">
        <v>1</v>
      </c>
      <c r="AQ442" s="133">
        <v>1</v>
      </c>
      <c r="AR442" s="153">
        <v>0.05</v>
      </c>
      <c r="AS442" s="137">
        <v>0</v>
      </c>
      <c r="AT442" s="137">
        <v>0.2</v>
      </c>
      <c r="AU442" s="137">
        <v>0</v>
      </c>
      <c r="AV442" s="137">
        <v>0.087719298245614</v>
      </c>
      <c r="AW442" s="93"/>
      <c r="AX442" s="91"/>
    </row>
    <row r="443" ht="14.5" spans="1:50">
      <c r="A443" s="89"/>
      <c r="B443" s="93"/>
      <c r="C443" s="148" t="s">
        <v>371</v>
      </c>
      <c r="D443" s="126" t="s">
        <v>372</v>
      </c>
      <c r="E443" s="149" t="s">
        <v>465</v>
      </c>
      <c r="F443" s="149" t="s">
        <v>465</v>
      </c>
      <c r="G443" s="149" t="s">
        <v>465</v>
      </c>
      <c r="H443" s="149" t="s">
        <v>465</v>
      </c>
      <c r="I443" s="128">
        <v>0.9</v>
      </c>
      <c r="J443" s="129">
        <v>0.878787878787879</v>
      </c>
      <c r="K443" s="129">
        <v>0.901639344262295</v>
      </c>
      <c r="L443" s="130">
        <v>0.924528301886792</v>
      </c>
      <c r="M443" s="129">
        <v>0.882521489971347</v>
      </c>
      <c r="N443" s="131">
        <v>0.9</v>
      </c>
      <c r="O443" s="129">
        <v>0.796388380005234</v>
      </c>
      <c r="P443" s="129">
        <v>0.926321709786277</v>
      </c>
      <c r="Q443" s="129">
        <v>0.919835943325876</v>
      </c>
      <c r="R443" s="129">
        <v>0.91401129602223</v>
      </c>
      <c r="S443" s="131">
        <v>0.9</v>
      </c>
      <c r="T443" s="129">
        <v>0.839832504579953</v>
      </c>
      <c r="U443" s="129">
        <v>0.88132733408324</v>
      </c>
      <c r="V443" s="129">
        <v>0.848993288590604</v>
      </c>
      <c r="W443" s="129">
        <v>0.853181914283125</v>
      </c>
      <c r="X443" s="131">
        <v>0.92</v>
      </c>
      <c r="Y443" s="131">
        <v>0.925292529252925</v>
      </c>
      <c r="Z443" s="131">
        <v>0.907488151658768</v>
      </c>
      <c r="AA443" s="131">
        <v>0.888938848920863</v>
      </c>
      <c r="AB443" s="131">
        <v>0.894804275906909</v>
      </c>
      <c r="AC443" s="131">
        <v>0.92</v>
      </c>
      <c r="AD443" s="129">
        <v>0.993103448275862</v>
      </c>
      <c r="AE443" s="129">
        <v>0.998435054773083</v>
      </c>
      <c r="AF443" s="129">
        <v>0.998349834983498</v>
      </c>
      <c r="AG443" s="129">
        <v>0.995620437956204</v>
      </c>
      <c r="AH443" s="131">
        <v>0.92</v>
      </c>
      <c r="AI443" s="129">
        <v>0.941091260260744</v>
      </c>
      <c r="AJ443" s="129">
        <v>0.923044217687075</v>
      </c>
      <c r="AK443" s="129">
        <v>0.923155320016307</v>
      </c>
      <c r="AL443" s="129">
        <v>0.922017758332261</v>
      </c>
      <c r="AM443" s="128">
        <v>0.99</v>
      </c>
      <c r="AN443" s="133">
        <v>1</v>
      </c>
      <c r="AO443" s="133">
        <v>1</v>
      </c>
      <c r="AP443" s="133">
        <v>1</v>
      </c>
      <c r="AQ443" s="133">
        <v>1</v>
      </c>
      <c r="AR443" s="153">
        <v>0.05</v>
      </c>
      <c r="AS443" s="137">
        <v>0</v>
      </c>
      <c r="AT443" s="137">
        <v>0.0476190476190476</v>
      </c>
      <c r="AU443" s="137">
        <v>0.130434782608696</v>
      </c>
      <c r="AV443" s="137">
        <v>0.021505376344086</v>
      </c>
      <c r="AW443" s="93"/>
      <c r="AX443" s="91"/>
    </row>
    <row r="444" ht="14.5" spans="1:50">
      <c r="A444" s="89"/>
      <c r="B444" s="93"/>
      <c r="C444" s="148" t="s">
        <v>371</v>
      </c>
      <c r="D444" s="126" t="s">
        <v>372</v>
      </c>
      <c r="E444" s="149" t="s">
        <v>466</v>
      </c>
      <c r="F444" s="149" t="s">
        <v>466</v>
      </c>
      <c r="G444" s="149" t="s">
        <v>466</v>
      </c>
      <c r="H444" s="149" t="s">
        <v>466</v>
      </c>
      <c r="I444" s="128">
        <v>0.9</v>
      </c>
      <c r="J444" s="129">
        <v>0.903846153846154</v>
      </c>
      <c r="K444" s="129">
        <v>0.854166666666667</v>
      </c>
      <c r="L444" s="130">
        <v>0.777777777777778</v>
      </c>
      <c r="M444" s="129">
        <v>0.849056603773585</v>
      </c>
      <c r="N444" s="131">
        <v>0.9</v>
      </c>
      <c r="O444" s="129">
        <v>0.935593220338983</v>
      </c>
      <c r="P444" s="129">
        <v>0.963849287169043</v>
      </c>
      <c r="Q444" s="129">
        <v>0.941073919107392</v>
      </c>
      <c r="R444" s="129">
        <v>0.946456916099773</v>
      </c>
      <c r="S444" s="131">
        <v>0.9</v>
      </c>
      <c r="T444" s="129">
        <v>0.878692493946731</v>
      </c>
      <c r="U444" s="129">
        <v>0.890020366598778</v>
      </c>
      <c r="V444" s="129">
        <v>0.877963737796374</v>
      </c>
      <c r="W444" s="129">
        <v>0.892318594104308</v>
      </c>
      <c r="X444" s="131">
        <v>0.92</v>
      </c>
      <c r="Y444" s="131">
        <v>0.958735372613426</v>
      </c>
      <c r="Z444" s="131">
        <v>0.961880088823094</v>
      </c>
      <c r="AA444" s="131">
        <v>0.950454170107349</v>
      </c>
      <c r="AB444" s="131">
        <v>0.952940964917013</v>
      </c>
      <c r="AC444" s="131">
        <v>0.92</v>
      </c>
      <c r="AD444" s="129">
        <v>0.998056365403304</v>
      </c>
      <c r="AE444" s="129">
        <v>0.998147004323657</v>
      </c>
      <c r="AF444" s="129">
        <v>0.993000874890639</v>
      </c>
      <c r="AG444" s="129">
        <v>0.994957614732534</v>
      </c>
      <c r="AH444" s="131">
        <v>0.92</v>
      </c>
      <c r="AI444" s="129">
        <v>0.968132356206973</v>
      </c>
      <c r="AJ444" s="129">
        <v>0.967435549525102</v>
      </c>
      <c r="AK444" s="129">
        <v>0.967321496033245</v>
      </c>
      <c r="AL444" s="129">
        <v>0.963878473329448</v>
      </c>
      <c r="AM444" s="128">
        <v>0.99</v>
      </c>
      <c r="AN444" s="133">
        <v>1</v>
      </c>
      <c r="AO444" s="133">
        <v>1</v>
      </c>
      <c r="AP444" s="133">
        <v>1</v>
      </c>
      <c r="AQ444" s="133">
        <v>1</v>
      </c>
      <c r="AR444" s="153">
        <v>0.05</v>
      </c>
      <c r="AS444" s="137">
        <v>0</v>
      </c>
      <c r="AT444" s="137">
        <v>0.1</v>
      </c>
      <c r="AU444" s="137">
        <v>0.181818181818182</v>
      </c>
      <c r="AV444" s="137">
        <v>0.052924791086351</v>
      </c>
      <c r="AW444" s="93"/>
      <c r="AX444" s="91"/>
    </row>
    <row r="445" ht="14.5" spans="1:50">
      <c r="A445" s="89"/>
      <c r="B445" s="93"/>
      <c r="C445" s="148" t="s">
        <v>371</v>
      </c>
      <c r="D445" s="126" t="s">
        <v>372</v>
      </c>
      <c r="E445" s="149" t="s">
        <v>467</v>
      </c>
      <c r="F445" s="149" t="s">
        <v>467</v>
      </c>
      <c r="G445" s="149" t="s">
        <v>467</v>
      </c>
      <c r="H445" s="149" t="s">
        <v>467</v>
      </c>
      <c r="I445" s="128">
        <v>0.9</v>
      </c>
      <c r="J445" s="129">
        <v>0.945454545454545</v>
      </c>
      <c r="K445" s="129">
        <v>0.944444444444444</v>
      </c>
      <c r="L445" s="130">
        <v>0.854166666666667</v>
      </c>
      <c r="M445" s="129">
        <v>0.913961038961039</v>
      </c>
      <c r="N445" s="131">
        <v>0.9</v>
      </c>
      <c r="O445" s="129">
        <v>0.976545842217484</v>
      </c>
      <c r="P445" s="129">
        <v>0.962301587301587</v>
      </c>
      <c r="Q445" s="129">
        <v>0.97581202487906</v>
      </c>
      <c r="R445" s="129">
        <v>0.976725104613954</v>
      </c>
      <c r="S445" s="131">
        <v>0.9</v>
      </c>
      <c r="T445" s="129">
        <v>0.891257995735608</v>
      </c>
      <c r="U445" s="129">
        <v>0.912202380952381</v>
      </c>
      <c r="V445" s="129">
        <v>0.872149274360746</v>
      </c>
      <c r="W445" s="129">
        <v>0.898175751442715</v>
      </c>
      <c r="X445" s="131">
        <v>0.92</v>
      </c>
      <c r="Y445" s="131">
        <v>0.951356993736952</v>
      </c>
      <c r="Z445" s="131">
        <v>0.96527174856746</v>
      </c>
      <c r="AA445" s="131">
        <v>0.949780789159028</v>
      </c>
      <c r="AB445" s="131">
        <v>0.955033676001418</v>
      </c>
      <c r="AC445" s="131">
        <v>0.92</v>
      </c>
      <c r="AD445" s="129">
        <v>0.967105263157895</v>
      </c>
      <c r="AE445" s="129">
        <v>0.961325966850829</v>
      </c>
      <c r="AF445" s="129">
        <v>0.91044776119403</v>
      </c>
      <c r="AG445" s="129">
        <v>0.954655380894801</v>
      </c>
      <c r="AH445" s="131">
        <v>0.92</v>
      </c>
      <c r="AI445" s="129">
        <v>0.962441834699756</v>
      </c>
      <c r="AJ445" s="129">
        <v>0.969976905311778</v>
      </c>
      <c r="AK445" s="129">
        <v>0.963770794824399</v>
      </c>
      <c r="AL445" s="129">
        <v>0.966199602727224</v>
      </c>
      <c r="AM445" s="128">
        <v>0.99</v>
      </c>
      <c r="AN445" s="133">
        <v>1</v>
      </c>
      <c r="AO445" s="133">
        <v>1</v>
      </c>
      <c r="AP445" s="133">
        <v>1</v>
      </c>
      <c r="AQ445" s="133">
        <v>1</v>
      </c>
      <c r="AR445" s="153">
        <v>0.05</v>
      </c>
      <c r="AS445" s="137">
        <v>0.15</v>
      </c>
      <c r="AT445" s="137">
        <v>0.0869565217391304</v>
      </c>
      <c r="AU445" s="137">
        <v>0</v>
      </c>
      <c r="AV445" s="137">
        <v>0.0334448160535117</v>
      </c>
      <c r="AW445" s="93"/>
      <c r="AX445" s="91"/>
    </row>
    <row r="446" ht="14.5" spans="1:50">
      <c r="A446" s="89"/>
      <c r="B446" s="93"/>
      <c r="C446" s="148" t="s">
        <v>371</v>
      </c>
      <c r="D446" s="126" t="s">
        <v>372</v>
      </c>
      <c r="E446" s="149" t="s">
        <v>468</v>
      </c>
      <c r="F446" s="149" t="s">
        <v>468</v>
      </c>
      <c r="G446" s="149" t="s">
        <v>468</v>
      </c>
      <c r="H446" s="149" t="s">
        <v>468</v>
      </c>
      <c r="I446" s="128">
        <v>0.9</v>
      </c>
      <c r="J446" s="129">
        <v>0.965116279069767</v>
      </c>
      <c r="K446" s="129">
        <v>0.9375</v>
      </c>
      <c r="L446" s="130">
        <v>0.925373134328358</v>
      </c>
      <c r="M446" s="129">
        <v>0.941489361702128</v>
      </c>
      <c r="N446" s="131">
        <v>0.9</v>
      </c>
      <c r="O446" s="129">
        <v>0.986359761295823</v>
      </c>
      <c r="P446" s="129">
        <v>0.978909669717469</v>
      </c>
      <c r="Q446" s="129">
        <v>0.958604173794047</v>
      </c>
      <c r="R446" s="129">
        <v>0.982011728036346</v>
      </c>
      <c r="S446" s="131">
        <v>0.9</v>
      </c>
      <c r="T446" s="129">
        <v>0.940110826939471</v>
      </c>
      <c r="U446" s="129">
        <v>0.929964186231596</v>
      </c>
      <c r="V446" s="129">
        <v>0.909681833732467</v>
      </c>
      <c r="W446" s="129">
        <v>0.918220719530879</v>
      </c>
      <c r="X446" s="131">
        <v>0.92</v>
      </c>
      <c r="Y446" s="131">
        <v>0.929383886255924</v>
      </c>
      <c r="Z446" s="131">
        <v>0.914057142857143</v>
      </c>
      <c r="AA446" s="131">
        <v>0.910793494332183</v>
      </c>
      <c r="AB446" s="131">
        <v>0.909453326246065</v>
      </c>
      <c r="AC446" s="131">
        <v>0.92</v>
      </c>
      <c r="AD446" s="129">
        <v>0.995829858215179</v>
      </c>
      <c r="AE446" s="129">
        <v>0.991839631009402</v>
      </c>
      <c r="AF446" s="129">
        <v>0.996823379923761</v>
      </c>
      <c r="AG446" s="129">
        <v>0.995461971319659</v>
      </c>
      <c r="AH446" s="131">
        <v>0.92</v>
      </c>
      <c r="AI446" s="129">
        <v>0.95446899181339</v>
      </c>
      <c r="AJ446" s="129">
        <v>0.936892499637313</v>
      </c>
      <c r="AK446" s="129">
        <v>0.948738647830474</v>
      </c>
      <c r="AL446" s="129">
        <v>0.939440367712281</v>
      </c>
      <c r="AM446" s="128">
        <v>0.99</v>
      </c>
      <c r="AN446" s="133">
        <v>1</v>
      </c>
      <c r="AO446" s="133">
        <v>1</v>
      </c>
      <c r="AP446" s="133">
        <v>1</v>
      </c>
      <c r="AQ446" s="133">
        <v>1</v>
      </c>
      <c r="AR446" s="153">
        <v>0.05</v>
      </c>
      <c r="AS446" s="137">
        <v>0.130434782608696</v>
      </c>
      <c r="AT446" s="137">
        <v>0.173913043478261</v>
      </c>
      <c r="AU446" s="137">
        <v>0.0833333333333333</v>
      </c>
      <c r="AV446" s="137">
        <v>0.0684410646387833</v>
      </c>
      <c r="AW446" s="93"/>
      <c r="AX446" s="91"/>
    </row>
    <row r="447" ht="14.5" spans="1:50">
      <c r="A447" s="89"/>
      <c r="B447" s="93"/>
      <c r="C447" s="148" t="s">
        <v>371</v>
      </c>
      <c r="D447" s="126" t="s">
        <v>372</v>
      </c>
      <c r="E447" s="149" t="s">
        <v>469</v>
      </c>
      <c r="F447" s="149" t="s">
        <v>469</v>
      </c>
      <c r="G447" s="149" t="s">
        <v>469</v>
      </c>
      <c r="H447" s="149" t="s">
        <v>469</v>
      </c>
      <c r="I447" s="128">
        <v>0.9</v>
      </c>
      <c r="J447" s="129">
        <v>0.944444444444444</v>
      </c>
      <c r="K447" s="129">
        <v>0.923076923076923</v>
      </c>
      <c r="L447" s="130">
        <v>0.819672131147541</v>
      </c>
      <c r="M447" s="129">
        <v>0.876165113182423</v>
      </c>
      <c r="N447" s="131">
        <v>0.9</v>
      </c>
      <c r="O447" s="129">
        <v>0.993049829190717</v>
      </c>
      <c r="P447" s="129">
        <v>0.994687579053883</v>
      </c>
      <c r="Q447" s="129">
        <v>0.992987168009549</v>
      </c>
      <c r="R447" s="129">
        <v>0.989820985057206</v>
      </c>
      <c r="S447" s="131">
        <v>0.9</v>
      </c>
      <c r="T447" s="129">
        <v>0.921074331487808</v>
      </c>
      <c r="U447" s="129">
        <v>0.916519099418163</v>
      </c>
      <c r="V447" s="129">
        <v>0.919277827514175</v>
      </c>
      <c r="W447" s="129">
        <v>0.906122338187592</v>
      </c>
      <c r="X447" s="131">
        <v>0.92</v>
      </c>
      <c r="Y447" s="131">
        <v>0.75</v>
      </c>
      <c r="Z447" s="131">
        <v>0.6</v>
      </c>
      <c r="AA447" s="131">
        <v>1</v>
      </c>
      <c r="AB447" s="131">
        <v>0.826086956521739</v>
      </c>
      <c r="AC447" s="131">
        <v>0.92</v>
      </c>
      <c r="AD447" s="129">
        <v>0.992994746059545</v>
      </c>
      <c r="AE447" s="129">
        <v>0.987868284228769</v>
      </c>
      <c r="AF447" s="129">
        <v>0.982954545454545</v>
      </c>
      <c r="AG447" s="129">
        <v>0.988400994200497</v>
      </c>
      <c r="AH447" s="131">
        <v>0.92</v>
      </c>
      <c r="AI447" s="129">
        <v>0.983986812669257</v>
      </c>
      <c r="AJ447" s="129">
        <v>0.979535118746842</v>
      </c>
      <c r="AK447" s="129">
        <v>0.97927538392724</v>
      </c>
      <c r="AL447" s="129">
        <v>0.982362837141152</v>
      </c>
      <c r="AM447" s="128">
        <v>0.99</v>
      </c>
      <c r="AN447" s="133">
        <v>1</v>
      </c>
      <c r="AO447" s="133">
        <v>1</v>
      </c>
      <c r="AP447" s="133">
        <v>1</v>
      </c>
      <c r="AQ447" s="133">
        <v>1</v>
      </c>
      <c r="AR447" s="153">
        <v>0.05</v>
      </c>
      <c r="AS447" s="137">
        <v>0</v>
      </c>
      <c r="AT447" s="137">
        <v>0.19047619047619</v>
      </c>
      <c r="AU447" s="137">
        <v>0.0588235294117647</v>
      </c>
      <c r="AV447" s="137">
        <v>0.0222222222222222</v>
      </c>
      <c r="AW447" s="93"/>
      <c r="AX447" s="91"/>
    </row>
    <row r="448" ht="14.5" spans="1:50">
      <c r="A448" s="89"/>
      <c r="B448" s="93"/>
      <c r="C448" s="148" t="s">
        <v>371</v>
      </c>
      <c r="D448" s="126" t="s">
        <v>372</v>
      </c>
      <c r="E448" s="149" t="s">
        <v>470</v>
      </c>
      <c r="F448" s="149" t="s">
        <v>470</v>
      </c>
      <c r="G448" s="149" t="s">
        <v>470</v>
      </c>
      <c r="H448" s="149" t="s">
        <v>470</v>
      </c>
      <c r="I448" s="128">
        <v>0.9</v>
      </c>
      <c r="J448" s="129">
        <v>0.95</v>
      </c>
      <c r="K448" s="129">
        <v>0.916666666666667</v>
      </c>
      <c r="L448" s="130">
        <v>0.96</v>
      </c>
      <c r="M448" s="129">
        <v>0.948470209339775</v>
      </c>
      <c r="N448" s="131">
        <v>0.9</v>
      </c>
      <c r="O448" s="129">
        <v>0.975627240143369</v>
      </c>
      <c r="P448" s="129">
        <v>0.943117672600955</v>
      </c>
      <c r="Q448" s="129">
        <v>0.968995010691376</v>
      </c>
      <c r="R448" s="129">
        <v>0.961089927356731</v>
      </c>
      <c r="S448" s="131">
        <v>0.9</v>
      </c>
      <c r="T448" s="129">
        <v>0.950298685782557</v>
      </c>
      <c r="U448" s="129">
        <v>0.930959617889709</v>
      </c>
      <c r="V448" s="129">
        <v>0.949750534568781</v>
      </c>
      <c r="W448" s="129">
        <v>0.944640819393804</v>
      </c>
      <c r="X448" s="131">
        <v>0.92</v>
      </c>
      <c r="Y448" s="131">
        <v>0.959872442200372</v>
      </c>
      <c r="Z448" s="131">
        <v>0.930122950819672</v>
      </c>
      <c r="AA448" s="131">
        <v>0.962012320328542</v>
      </c>
      <c r="AB448" s="131">
        <v>0.941465990705534</v>
      </c>
      <c r="AC448" s="131">
        <v>0.92</v>
      </c>
      <c r="AD448" s="129">
        <v>0.994682108248641</v>
      </c>
      <c r="AE448" s="129">
        <v>0.996287741296816</v>
      </c>
      <c r="AF448" s="129">
        <v>0.996607431340872</v>
      </c>
      <c r="AG448" s="129">
        <v>0.992772983652202</v>
      </c>
      <c r="AH448" s="131">
        <v>0.92</v>
      </c>
      <c r="AI448" s="129">
        <v>0.969933324946534</v>
      </c>
      <c r="AJ448" s="129">
        <v>0.942002781641168</v>
      </c>
      <c r="AK448" s="129">
        <v>0.976250525430853</v>
      </c>
      <c r="AL448" s="129">
        <v>0.959392142505612</v>
      </c>
      <c r="AM448" s="128">
        <v>0.99</v>
      </c>
      <c r="AN448" s="133">
        <v>1</v>
      </c>
      <c r="AO448" s="133">
        <v>1</v>
      </c>
      <c r="AP448" s="133">
        <v>1</v>
      </c>
      <c r="AQ448" s="133">
        <v>1</v>
      </c>
      <c r="AR448" s="153">
        <v>0.05</v>
      </c>
      <c r="AS448" s="137">
        <v>0.0740740740740741</v>
      </c>
      <c r="AT448" s="137">
        <v>0.0857142857142857</v>
      </c>
      <c r="AU448" s="137">
        <v>0.117647058823529</v>
      </c>
      <c r="AV448" s="137">
        <v>0.0440528634361234</v>
      </c>
      <c r="AW448" s="93"/>
      <c r="AX448" s="91"/>
    </row>
    <row r="449" ht="14.5" spans="1:50">
      <c r="A449" s="89"/>
      <c r="B449" s="93"/>
      <c r="C449" s="148" t="s">
        <v>371</v>
      </c>
      <c r="D449" s="126" t="s">
        <v>372</v>
      </c>
      <c r="E449" s="149" t="s">
        <v>471</v>
      </c>
      <c r="F449" s="149" t="s">
        <v>471</v>
      </c>
      <c r="G449" s="149" t="s">
        <v>471</v>
      </c>
      <c r="H449" s="149" t="s">
        <v>471</v>
      </c>
      <c r="I449" s="128">
        <v>0.9</v>
      </c>
      <c r="J449" s="129">
        <v>1</v>
      </c>
      <c r="K449" s="129">
        <v>0.944444444444444</v>
      </c>
      <c r="L449" s="130">
        <v>1</v>
      </c>
      <c r="M449" s="129">
        <v>0.95959595959596</v>
      </c>
      <c r="N449" s="131">
        <v>0.9</v>
      </c>
      <c r="O449" s="129">
        <v>0.950351675630947</v>
      </c>
      <c r="P449" s="129">
        <v>0.988589211618257</v>
      </c>
      <c r="Q449" s="129">
        <v>0.966318234610918</v>
      </c>
      <c r="R449" s="129">
        <v>0.97092778686609</v>
      </c>
      <c r="S449" s="131">
        <v>0.9</v>
      </c>
      <c r="T449" s="129">
        <v>0.962350020686802</v>
      </c>
      <c r="U449" s="129">
        <v>0.938796680497925</v>
      </c>
      <c r="V449" s="129">
        <v>0.91869918699187</v>
      </c>
      <c r="W449" s="129">
        <v>0.934190231362468</v>
      </c>
      <c r="X449" s="131">
        <v>0.92</v>
      </c>
      <c r="Y449" s="131">
        <v>0.333333333333333</v>
      </c>
      <c r="Z449" s="131">
        <v>0.5</v>
      </c>
      <c r="AA449" s="131" t="s">
        <v>33</v>
      </c>
      <c r="AB449" s="131">
        <v>0.428571428571429</v>
      </c>
      <c r="AC449" s="131">
        <v>0.92</v>
      </c>
      <c r="AD449" s="129">
        <v>1</v>
      </c>
      <c r="AE449" s="129">
        <v>1</v>
      </c>
      <c r="AF449" s="129">
        <v>1</v>
      </c>
      <c r="AG449" s="129">
        <v>0.995352439969016</v>
      </c>
      <c r="AH449" s="131">
        <v>0.92</v>
      </c>
      <c r="AI449" s="129">
        <v>0.982231404958678</v>
      </c>
      <c r="AJ449" s="129">
        <v>0.989648033126294</v>
      </c>
      <c r="AK449" s="129">
        <v>0.957607433217189</v>
      </c>
      <c r="AL449" s="129">
        <v>0.978973927670311</v>
      </c>
      <c r="AM449" s="128">
        <v>0.99</v>
      </c>
      <c r="AN449" s="133">
        <v>1</v>
      </c>
      <c r="AO449" s="133">
        <v>1</v>
      </c>
      <c r="AP449" s="133">
        <v>1</v>
      </c>
      <c r="AQ449" s="133">
        <v>1</v>
      </c>
      <c r="AR449" s="153">
        <v>0.05</v>
      </c>
      <c r="AS449" s="137">
        <v>0.142857142857143</v>
      </c>
      <c r="AT449" s="137">
        <v>0</v>
      </c>
      <c r="AU449" s="137">
        <v>0</v>
      </c>
      <c r="AV449" s="137">
        <v>0.0465116279069767</v>
      </c>
      <c r="AW449" s="93"/>
      <c r="AX449" s="91"/>
    </row>
    <row r="450" ht="14.5" spans="1:50">
      <c r="A450" s="89"/>
      <c r="B450" s="93"/>
      <c r="C450" s="148" t="s">
        <v>371</v>
      </c>
      <c r="D450" s="126" t="s">
        <v>372</v>
      </c>
      <c r="E450" s="149" t="s">
        <v>472</v>
      </c>
      <c r="F450" s="149" t="s">
        <v>472</v>
      </c>
      <c r="G450" s="149" t="s">
        <v>472</v>
      </c>
      <c r="H450" s="149" t="s">
        <v>472</v>
      </c>
      <c r="I450" s="128">
        <v>0.9</v>
      </c>
      <c r="J450" s="129">
        <v>0.976744186046512</v>
      </c>
      <c r="K450" s="129">
        <v>0.96875</v>
      </c>
      <c r="L450" s="130">
        <v>0.857142857142857</v>
      </c>
      <c r="M450" s="129">
        <v>0.916849015317287</v>
      </c>
      <c r="N450" s="131">
        <v>0.9</v>
      </c>
      <c r="O450" s="129">
        <v>0.978545343883141</v>
      </c>
      <c r="P450" s="129">
        <v>0.947485207100592</v>
      </c>
      <c r="Q450" s="129">
        <v>0.977490621092122</v>
      </c>
      <c r="R450" s="129">
        <v>0.975485991995426</v>
      </c>
      <c r="S450" s="131">
        <v>0.9</v>
      </c>
      <c r="T450" s="129">
        <v>0.943091905051735</v>
      </c>
      <c r="U450" s="129">
        <v>0.909023668639053</v>
      </c>
      <c r="V450" s="129">
        <v>0.908711963318049</v>
      </c>
      <c r="W450" s="129">
        <v>0.936517295597484</v>
      </c>
      <c r="X450" s="131">
        <v>0.92</v>
      </c>
      <c r="Y450" s="131">
        <v>0</v>
      </c>
      <c r="Z450" s="131">
        <v>0</v>
      </c>
      <c r="AA450" s="131">
        <v>0</v>
      </c>
      <c r="AB450" s="131">
        <v>0.166666666666667</v>
      </c>
      <c r="AC450" s="131">
        <v>0.92</v>
      </c>
      <c r="AD450" s="129">
        <v>0.997860962566845</v>
      </c>
      <c r="AE450" s="129">
        <v>0.996348143639683</v>
      </c>
      <c r="AF450" s="129">
        <v>0.997557401074744</v>
      </c>
      <c r="AG450" s="129">
        <v>0.996377059265842</v>
      </c>
      <c r="AH450" s="131">
        <v>0.92</v>
      </c>
      <c r="AI450" s="129">
        <v>0.97246310664841</v>
      </c>
      <c r="AJ450" s="129">
        <v>0.939416328038419</v>
      </c>
      <c r="AK450" s="129">
        <v>0.96375</v>
      </c>
      <c r="AL450" s="129">
        <v>0.969525919045407</v>
      </c>
      <c r="AM450" s="128">
        <v>0.99</v>
      </c>
      <c r="AN450" s="133">
        <v>1</v>
      </c>
      <c r="AO450" s="133">
        <v>1</v>
      </c>
      <c r="AP450" s="133">
        <v>1</v>
      </c>
      <c r="AQ450" s="133">
        <v>1</v>
      </c>
      <c r="AR450" s="153">
        <v>0.05</v>
      </c>
      <c r="AS450" s="137">
        <v>0.0833333333333333</v>
      </c>
      <c r="AT450" s="137">
        <v>0.125</v>
      </c>
      <c r="AU450" s="137">
        <v>0.166666666666667</v>
      </c>
      <c r="AV450" s="137">
        <v>0.0534351145038168</v>
      </c>
      <c r="AW450" s="93"/>
      <c r="AX450" s="91"/>
    </row>
    <row r="451" ht="14.5" spans="1:50">
      <c r="A451" s="89"/>
      <c r="B451" s="93"/>
      <c r="C451" s="148" t="s">
        <v>371</v>
      </c>
      <c r="D451" s="126" t="s">
        <v>372</v>
      </c>
      <c r="E451" s="149" t="s">
        <v>473</v>
      </c>
      <c r="F451" s="149" t="s">
        <v>473</v>
      </c>
      <c r="G451" s="149" t="s">
        <v>473</v>
      </c>
      <c r="H451" s="149" t="s">
        <v>473</v>
      </c>
      <c r="I451" s="128">
        <v>0.9</v>
      </c>
      <c r="J451" s="129">
        <v>0.929577464788732</v>
      </c>
      <c r="K451" s="129">
        <v>0.955882352941177</v>
      </c>
      <c r="L451" s="130">
        <v>0.967213114754098</v>
      </c>
      <c r="M451" s="129">
        <v>0.974905897114178</v>
      </c>
      <c r="N451" s="131">
        <v>0.9</v>
      </c>
      <c r="O451" s="129">
        <v>0.984133333333333</v>
      </c>
      <c r="P451" s="129">
        <v>0.99206086668872</v>
      </c>
      <c r="Q451" s="129">
        <v>0.987537764350453</v>
      </c>
      <c r="R451" s="129">
        <v>0.987996892194016</v>
      </c>
      <c r="S451" s="131">
        <v>0.9</v>
      </c>
      <c r="T451" s="129">
        <v>0.942533333333333</v>
      </c>
      <c r="U451" s="129">
        <v>0.953688389017532</v>
      </c>
      <c r="V451" s="129">
        <v>0.958270392749245</v>
      </c>
      <c r="W451" s="129">
        <v>0.947944249766122</v>
      </c>
      <c r="X451" s="131">
        <v>0.92</v>
      </c>
      <c r="Y451" s="131">
        <v>0</v>
      </c>
      <c r="Z451" s="131" t="s">
        <v>33</v>
      </c>
      <c r="AA451" s="131">
        <v>1</v>
      </c>
      <c r="AB451" s="131">
        <v>0.692307692307692</v>
      </c>
      <c r="AC451" s="131">
        <v>0.92</v>
      </c>
      <c r="AD451" s="129">
        <v>0.985111662531017</v>
      </c>
      <c r="AE451" s="129">
        <v>0.994186046511628</v>
      </c>
      <c r="AF451" s="129">
        <v>0.991501416430595</v>
      </c>
      <c r="AG451" s="129">
        <v>0.988713318284424</v>
      </c>
      <c r="AH451" s="131">
        <v>0.92</v>
      </c>
      <c r="AI451" s="129">
        <v>0.978405758464409</v>
      </c>
      <c r="AJ451" s="129">
        <v>0.984783327820046</v>
      </c>
      <c r="AK451" s="129">
        <v>0.981121389465735</v>
      </c>
      <c r="AL451" s="129">
        <v>0.982547356740905</v>
      </c>
      <c r="AM451" s="128">
        <v>0.99</v>
      </c>
      <c r="AN451" s="133">
        <v>1</v>
      </c>
      <c r="AO451" s="133">
        <v>1</v>
      </c>
      <c r="AP451" s="133">
        <v>1</v>
      </c>
      <c r="AQ451" s="133">
        <v>1</v>
      </c>
      <c r="AR451" s="153">
        <v>0.05</v>
      </c>
      <c r="AS451" s="137">
        <v>0</v>
      </c>
      <c r="AT451" s="137">
        <v>0.111111111111111</v>
      </c>
      <c r="AU451" s="137">
        <v>0</v>
      </c>
      <c r="AV451" s="137">
        <v>0.0534351145038168</v>
      </c>
      <c r="AW451" s="93"/>
      <c r="AX451" s="91"/>
    </row>
    <row r="452" ht="14.5" spans="1:50">
      <c r="A452" s="89"/>
      <c r="B452" s="93"/>
      <c r="C452" s="148" t="s">
        <v>371</v>
      </c>
      <c r="D452" s="126" t="s">
        <v>372</v>
      </c>
      <c r="E452" s="149" t="s">
        <v>474</v>
      </c>
      <c r="F452" s="149" t="s">
        <v>474</v>
      </c>
      <c r="G452" s="149" t="s">
        <v>474</v>
      </c>
      <c r="H452" s="149" t="s">
        <v>474</v>
      </c>
      <c r="I452" s="128">
        <v>0.9</v>
      </c>
      <c r="J452" s="129">
        <v>0.945652173913043</v>
      </c>
      <c r="K452" s="129">
        <v>0.944444444444444</v>
      </c>
      <c r="L452" s="130">
        <v>0.944444444444444</v>
      </c>
      <c r="M452" s="129">
        <v>0.911468812877264</v>
      </c>
      <c r="N452" s="131">
        <v>0.9</v>
      </c>
      <c r="O452" s="129">
        <v>0.955074875207987</v>
      </c>
      <c r="P452" s="129">
        <v>0.944351961950059</v>
      </c>
      <c r="Q452" s="129">
        <v>0.959287531806616</v>
      </c>
      <c r="R452" s="129">
        <v>0.955265335066777</v>
      </c>
      <c r="S452" s="131">
        <v>0.9</v>
      </c>
      <c r="T452" s="129">
        <v>0.906309996160246</v>
      </c>
      <c r="U452" s="129">
        <v>0.922235434007134</v>
      </c>
      <c r="V452" s="129">
        <v>0.918183597572911</v>
      </c>
      <c r="W452" s="129">
        <v>0.895225150691408</v>
      </c>
      <c r="X452" s="131">
        <v>0.92</v>
      </c>
      <c r="Y452" s="131">
        <v>0.939308530627584</v>
      </c>
      <c r="Z452" s="131">
        <v>0.936975964225825</v>
      </c>
      <c r="AA452" s="131">
        <v>0.931379821958457</v>
      </c>
      <c r="AB452" s="131">
        <v>0.90630140015757</v>
      </c>
      <c r="AC452" s="131">
        <v>0.92</v>
      </c>
      <c r="AD452" s="129">
        <v>0.996228868660598</v>
      </c>
      <c r="AE452" s="129">
        <v>0.986917312333291</v>
      </c>
      <c r="AF452" s="129">
        <v>0.708333333333333</v>
      </c>
      <c r="AG452" s="129">
        <v>0.954442818314865</v>
      </c>
      <c r="AH452" s="131">
        <v>0.92</v>
      </c>
      <c r="AI452" s="129">
        <v>0.963785757760195</v>
      </c>
      <c r="AJ452" s="129">
        <v>0.953280056204444</v>
      </c>
      <c r="AK452" s="129">
        <v>0.965706973768394</v>
      </c>
      <c r="AL452" s="129">
        <v>0.941605266724203</v>
      </c>
      <c r="AM452" s="128">
        <v>0.99</v>
      </c>
      <c r="AN452" s="133">
        <v>1</v>
      </c>
      <c r="AO452" s="133">
        <v>1</v>
      </c>
      <c r="AP452" s="133">
        <v>1</v>
      </c>
      <c r="AQ452" s="133">
        <v>1</v>
      </c>
      <c r="AR452" s="153">
        <v>0.05</v>
      </c>
      <c r="AS452" s="137">
        <v>0</v>
      </c>
      <c r="AT452" s="137">
        <v>0.282051282051282</v>
      </c>
      <c r="AU452" s="137">
        <v>0.0909090909090909</v>
      </c>
      <c r="AV452" s="137">
        <v>0.060377358490566</v>
      </c>
      <c r="AW452" s="93"/>
      <c r="AX452" s="91"/>
    </row>
    <row r="453" ht="14.5" spans="1:50">
      <c r="A453" s="89"/>
      <c r="B453" s="93"/>
      <c r="C453" s="148" t="s">
        <v>371</v>
      </c>
      <c r="D453" s="126" t="s">
        <v>372</v>
      </c>
      <c r="E453" s="149" t="s">
        <v>475</v>
      </c>
      <c r="F453" s="149" t="s">
        <v>475</v>
      </c>
      <c r="G453" s="149" t="s">
        <v>475</v>
      </c>
      <c r="H453" s="149" t="s">
        <v>475</v>
      </c>
      <c r="I453" s="128">
        <v>0.9</v>
      </c>
      <c r="J453" s="129">
        <v>0.968253968253968</v>
      </c>
      <c r="K453" s="129">
        <v>0.962962962962963</v>
      </c>
      <c r="L453" s="130">
        <v>0.979166666666667</v>
      </c>
      <c r="M453" s="129">
        <v>0.978294573643411</v>
      </c>
      <c r="N453" s="131">
        <v>0.9</v>
      </c>
      <c r="O453" s="129">
        <v>0.969095844643976</v>
      </c>
      <c r="P453" s="129">
        <v>0.960157790927022</v>
      </c>
      <c r="Q453" s="129">
        <v>0.961538461538462</v>
      </c>
      <c r="R453" s="129">
        <v>0.965930599369085</v>
      </c>
      <c r="S453" s="131">
        <v>0.9</v>
      </c>
      <c r="T453" s="129">
        <v>0.942159114637711</v>
      </c>
      <c r="U453" s="129">
        <v>0.940039447731755</v>
      </c>
      <c r="V453" s="129">
        <v>0.931245745405037</v>
      </c>
      <c r="W453" s="129">
        <v>0.942839116719243</v>
      </c>
      <c r="X453" s="131">
        <v>0.92</v>
      </c>
      <c r="Y453" s="131">
        <v>0.964093357271095</v>
      </c>
      <c r="Z453" s="131">
        <v>0.960152227445713</v>
      </c>
      <c r="AA453" s="131">
        <v>0.954656862745098</v>
      </c>
      <c r="AB453" s="131">
        <v>0.95025309827195</v>
      </c>
      <c r="AC453" s="131">
        <v>0.92</v>
      </c>
      <c r="AD453" s="129">
        <v>0.996651565885365</v>
      </c>
      <c r="AE453" s="129">
        <v>0.997181586364246</v>
      </c>
      <c r="AF453" s="129">
        <v>0.991007194244604</v>
      </c>
      <c r="AG453" s="129">
        <v>0.996008243140182</v>
      </c>
      <c r="AH453" s="131">
        <v>0.92</v>
      </c>
      <c r="AI453" s="129">
        <v>0.975039960654125</v>
      </c>
      <c r="AJ453" s="129">
        <v>0.967213114754098</v>
      </c>
      <c r="AK453" s="129">
        <v>0.966520787746171</v>
      </c>
      <c r="AL453" s="129">
        <v>0.965009531160463</v>
      </c>
      <c r="AM453" s="128">
        <v>0.99</v>
      </c>
      <c r="AN453" s="133">
        <v>1</v>
      </c>
      <c r="AO453" s="133">
        <v>1</v>
      </c>
      <c r="AP453" s="133">
        <v>1</v>
      </c>
      <c r="AQ453" s="133">
        <v>1</v>
      </c>
      <c r="AR453" s="153">
        <v>0.05</v>
      </c>
      <c r="AS453" s="137">
        <v>0.0416666666666667</v>
      </c>
      <c r="AT453" s="137">
        <v>0.105263157894737</v>
      </c>
      <c r="AU453" s="137">
        <v>0.0869565217391304</v>
      </c>
      <c r="AV453" s="137">
        <v>0.0345821325648415</v>
      </c>
      <c r="AW453" s="93"/>
      <c r="AX453" s="91"/>
    </row>
    <row r="454" ht="14.5" spans="1:50">
      <c r="A454" s="89"/>
      <c r="B454" s="93"/>
      <c r="C454" s="148" t="s">
        <v>371</v>
      </c>
      <c r="D454" s="126" t="s">
        <v>372</v>
      </c>
      <c r="E454" s="149" t="s">
        <v>476</v>
      </c>
      <c r="F454" s="149" t="s">
        <v>476</v>
      </c>
      <c r="G454" s="149" t="s">
        <v>476</v>
      </c>
      <c r="H454" s="149" t="s">
        <v>476</v>
      </c>
      <c r="I454" s="128">
        <v>0.9</v>
      </c>
      <c r="J454" s="129">
        <v>0.9375</v>
      </c>
      <c r="K454" s="129">
        <v>0.863636363636364</v>
      </c>
      <c r="L454" s="130">
        <v>0.923076923076923</v>
      </c>
      <c r="M454" s="129">
        <v>0.933712121212121</v>
      </c>
      <c r="N454" s="131">
        <v>0.9</v>
      </c>
      <c r="O454" s="129">
        <v>0.986340640809444</v>
      </c>
      <c r="P454" s="129">
        <v>0.962006639616378</v>
      </c>
      <c r="Q454" s="129">
        <v>0.97702589807853</v>
      </c>
      <c r="R454" s="129">
        <v>0.974150651567139</v>
      </c>
      <c r="S454" s="131">
        <v>0.9</v>
      </c>
      <c r="T454" s="129">
        <v>0.948060708263069</v>
      </c>
      <c r="U454" s="129">
        <v>0.912578384360015</v>
      </c>
      <c r="V454" s="129">
        <v>0.902046783625731</v>
      </c>
      <c r="W454" s="129">
        <v>0.928016498071077</v>
      </c>
      <c r="X454" s="131">
        <v>0.92</v>
      </c>
      <c r="Y454" s="131" t="s">
        <v>33</v>
      </c>
      <c r="Z454" s="131">
        <v>0</v>
      </c>
      <c r="AA454" s="131" t="s">
        <v>33</v>
      </c>
      <c r="AB454" s="131">
        <v>0.91304347826087</v>
      </c>
      <c r="AC454" s="131">
        <v>0.92</v>
      </c>
      <c r="AD454" s="129">
        <v>0.996392062537583</v>
      </c>
      <c r="AE454" s="129">
        <v>0.997794441993824</v>
      </c>
      <c r="AF454" s="129">
        <v>0.992063492063492</v>
      </c>
      <c r="AG454" s="129">
        <v>0.995539357014633</v>
      </c>
      <c r="AH454" s="131">
        <v>0.92</v>
      </c>
      <c r="AI454" s="129">
        <v>0.983645253751475</v>
      </c>
      <c r="AJ454" s="129">
        <v>0.954294139329156</v>
      </c>
      <c r="AK454" s="129">
        <v>0.973063269993736</v>
      </c>
      <c r="AL454" s="129">
        <v>0.978996748227517</v>
      </c>
      <c r="AM454" s="128">
        <v>0.99</v>
      </c>
      <c r="AN454" s="133">
        <v>1</v>
      </c>
      <c r="AO454" s="133">
        <v>1</v>
      </c>
      <c r="AP454" s="133">
        <v>1</v>
      </c>
      <c r="AQ454" s="133">
        <v>1</v>
      </c>
      <c r="AR454" s="153">
        <v>0.05</v>
      </c>
      <c r="AS454" s="137">
        <v>0</v>
      </c>
      <c r="AT454" s="137">
        <v>0.125</v>
      </c>
      <c r="AU454" s="137">
        <v>0.2</v>
      </c>
      <c r="AV454" s="137">
        <v>0.0306748466257669</v>
      </c>
      <c r="AW454" s="93"/>
      <c r="AX454" s="91"/>
    </row>
    <row r="455" ht="14.5" spans="1:50">
      <c r="A455" s="89"/>
      <c r="B455" s="93"/>
      <c r="C455" s="148" t="s">
        <v>371</v>
      </c>
      <c r="D455" s="126" t="s">
        <v>372</v>
      </c>
      <c r="E455" s="149" t="s">
        <v>477</v>
      </c>
      <c r="F455" s="149" t="s">
        <v>477</v>
      </c>
      <c r="G455" s="149" t="s">
        <v>477</v>
      </c>
      <c r="H455" s="149" t="s">
        <v>477</v>
      </c>
      <c r="I455" s="128">
        <v>0.9</v>
      </c>
      <c r="J455" s="129">
        <v>1</v>
      </c>
      <c r="K455" s="129">
        <v>0.9375</v>
      </c>
      <c r="L455" s="130">
        <v>0.958333333333333</v>
      </c>
      <c r="M455" s="129">
        <v>0.979667282809612</v>
      </c>
      <c r="N455" s="131">
        <v>0.9</v>
      </c>
      <c r="O455" s="129">
        <v>0.984213547646383</v>
      </c>
      <c r="P455" s="129">
        <v>0.984728161270617</v>
      </c>
      <c r="Q455" s="129">
        <v>0.979561316051844</v>
      </c>
      <c r="R455" s="129">
        <v>0.985898424589622</v>
      </c>
      <c r="S455" s="131">
        <v>0.9</v>
      </c>
      <c r="T455" s="129">
        <v>0.950918484500574</v>
      </c>
      <c r="U455" s="129">
        <v>0.971899816737935</v>
      </c>
      <c r="V455" s="129">
        <v>0.967597208374875</v>
      </c>
      <c r="W455" s="129">
        <v>0.960522933421468</v>
      </c>
      <c r="X455" s="131">
        <v>0.92</v>
      </c>
      <c r="Y455" s="131">
        <v>0.983310152990264</v>
      </c>
      <c r="Z455" s="131">
        <v>0.984042553191489</v>
      </c>
      <c r="AA455" s="131">
        <v>0.985063480209111</v>
      </c>
      <c r="AB455" s="131">
        <v>0.970996399953548</v>
      </c>
      <c r="AC455" s="131">
        <v>0.92</v>
      </c>
      <c r="AD455" s="129">
        <v>0.996994489898147</v>
      </c>
      <c r="AE455" s="129">
        <v>0.993833504624872</v>
      </c>
      <c r="AF455" s="129">
        <v>0.988297013720743</v>
      </c>
      <c r="AG455" s="129">
        <v>0.993996848671103</v>
      </c>
      <c r="AH455" s="131">
        <v>0.92</v>
      </c>
      <c r="AI455" s="129">
        <v>0.9849222553793</v>
      </c>
      <c r="AJ455" s="129">
        <v>0.987765614938828</v>
      </c>
      <c r="AK455" s="129">
        <v>0.991634299372572</v>
      </c>
      <c r="AL455" s="129">
        <v>0.980812202467697</v>
      </c>
      <c r="AM455" s="128">
        <v>0.99</v>
      </c>
      <c r="AN455" s="133">
        <v>1</v>
      </c>
      <c r="AO455" s="133">
        <v>1</v>
      </c>
      <c r="AP455" s="133">
        <v>1</v>
      </c>
      <c r="AQ455" s="133">
        <v>1</v>
      </c>
      <c r="AR455" s="153">
        <v>0.05</v>
      </c>
      <c r="AS455" s="137">
        <v>0.117647058823529</v>
      </c>
      <c r="AT455" s="137">
        <v>0</v>
      </c>
      <c r="AU455" s="137">
        <v>0.4</v>
      </c>
      <c r="AV455" s="137">
        <v>0.0802469135802469</v>
      </c>
      <c r="AW455" s="93"/>
      <c r="AX455" s="91"/>
    </row>
    <row r="456" ht="14.5" spans="1:50">
      <c r="A456" s="89"/>
      <c r="B456" s="93"/>
      <c r="C456" s="148" t="s">
        <v>371</v>
      </c>
      <c r="D456" s="126" t="s">
        <v>372</v>
      </c>
      <c r="E456" s="149" t="s">
        <v>478</v>
      </c>
      <c r="F456" s="149" t="s">
        <v>478</v>
      </c>
      <c r="G456" s="149" t="s">
        <v>478</v>
      </c>
      <c r="H456" s="149" t="s">
        <v>478</v>
      </c>
      <c r="I456" s="128">
        <v>0.9</v>
      </c>
      <c r="J456" s="129">
        <v>0.976190476190476</v>
      </c>
      <c r="K456" s="129">
        <v>0.975609756097561</v>
      </c>
      <c r="L456" s="130">
        <v>0.966666666666667</v>
      </c>
      <c r="M456" s="129">
        <v>0.990430622009569</v>
      </c>
      <c r="N456" s="131">
        <v>0.9</v>
      </c>
      <c r="O456" s="129">
        <v>0.994663998666</v>
      </c>
      <c r="P456" s="129">
        <v>0.99623352165725</v>
      </c>
      <c r="Q456" s="129">
        <v>0.996538195245788</v>
      </c>
      <c r="R456" s="129">
        <v>0.995487187536789</v>
      </c>
      <c r="S456" s="131">
        <v>0.9</v>
      </c>
      <c r="T456" s="129">
        <v>0.966649991662498</v>
      </c>
      <c r="U456" s="129">
        <v>0.975517890772128</v>
      </c>
      <c r="V456" s="129">
        <v>0.978536810523886</v>
      </c>
      <c r="W456" s="129">
        <v>0.970352784209081</v>
      </c>
      <c r="X456" s="131">
        <v>0.92</v>
      </c>
      <c r="Y456" s="131">
        <v>0.333333333333333</v>
      </c>
      <c r="Z456" s="131" t="s">
        <v>33</v>
      </c>
      <c r="AA456" s="131">
        <v>0</v>
      </c>
      <c r="AB456" s="131">
        <v>0.75</v>
      </c>
      <c r="AC456" s="131">
        <v>0.92</v>
      </c>
      <c r="AD456" s="129">
        <v>0.999692307692308</v>
      </c>
      <c r="AE456" s="129">
        <v>0.9989438479141</v>
      </c>
      <c r="AF456" s="129">
        <v>0.99863154293534</v>
      </c>
      <c r="AG456" s="129">
        <v>0.980962876528804</v>
      </c>
      <c r="AH456" s="131">
        <v>0.92</v>
      </c>
      <c r="AI456" s="129">
        <v>0.992666666666667</v>
      </c>
      <c r="AJ456" s="129">
        <v>0.995110943963896</v>
      </c>
      <c r="AK456" s="129">
        <v>0.99677047289504</v>
      </c>
      <c r="AL456" s="129">
        <v>0.996881986116014</v>
      </c>
      <c r="AM456" s="128">
        <v>0.99</v>
      </c>
      <c r="AN456" s="133">
        <v>1</v>
      </c>
      <c r="AO456" s="133">
        <v>1</v>
      </c>
      <c r="AP456" s="133">
        <v>1</v>
      </c>
      <c r="AQ456" s="133">
        <v>1</v>
      </c>
      <c r="AR456" s="153">
        <v>0.05</v>
      </c>
      <c r="AS456" s="137">
        <v>0</v>
      </c>
      <c r="AT456" s="137">
        <v>0.0909090909090909</v>
      </c>
      <c r="AU456" s="137">
        <v>0.111111111111111</v>
      </c>
      <c r="AV456" s="137">
        <v>0.0225563909774436</v>
      </c>
      <c r="AW456" s="93"/>
      <c r="AX456" s="91"/>
    </row>
    <row r="457" ht="14.5" spans="1:50">
      <c r="A457" s="89"/>
      <c r="B457" s="93"/>
      <c r="C457" s="148" t="s">
        <v>371</v>
      </c>
      <c r="D457" s="126" t="s">
        <v>372</v>
      </c>
      <c r="E457" s="149" t="s">
        <v>479</v>
      </c>
      <c r="F457" s="149" t="s">
        <v>479</v>
      </c>
      <c r="G457" s="149" t="s">
        <v>479</v>
      </c>
      <c r="H457" s="149" t="s">
        <v>479</v>
      </c>
      <c r="I457" s="128">
        <v>0.9</v>
      </c>
      <c r="J457" s="129">
        <v>0.926829268292683</v>
      </c>
      <c r="K457" s="129">
        <v>0.911764705882353</v>
      </c>
      <c r="L457" s="130">
        <v>0.925373134328358</v>
      </c>
      <c r="M457" s="129">
        <v>0.913194444444444</v>
      </c>
      <c r="N457" s="131">
        <v>0.9</v>
      </c>
      <c r="O457" s="129">
        <v>1</v>
      </c>
      <c r="P457" s="129" t="s">
        <v>33</v>
      </c>
      <c r="Q457" s="129">
        <v>0.5</v>
      </c>
      <c r="R457" s="129">
        <v>0.75</v>
      </c>
      <c r="S457" s="131">
        <v>0.9</v>
      </c>
      <c r="T457" s="129">
        <v>1</v>
      </c>
      <c r="U457" s="129" t="s">
        <v>33</v>
      </c>
      <c r="V457" s="129">
        <v>1</v>
      </c>
      <c r="W457" s="129">
        <v>0.791666666666667</v>
      </c>
      <c r="X457" s="131">
        <v>0.92</v>
      </c>
      <c r="Y457" s="131" t="s">
        <v>33</v>
      </c>
      <c r="Z457" s="131" t="s">
        <v>33</v>
      </c>
      <c r="AA457" s="131" t="s">
        <v>33</v>
      </c>
      <c r="AB457" s="131">
        <v>0</v>
      </c>
      <c r="AC457" s="131">
        <v>0.92</v>
      </c>
      <c r="AD457" s="129">
        <v>0.999214454045562</v>
      </c>
      <c r="AE457" s="129">
        <v>0.995581087052585</v>
      </c>
      <c r="AF457" s="129">
        <v>0.982608695652174</v>
      </c>
      <c r="AG457" s="129">
        <v>0.994072543368318</v>
      </c>
      <c r="AH457" s="131">
        <v>0.92</v>
      </c>
      <c r="AI457" s="129">
        <v>0.97936400541272</v>
      </c>
      <c r="AJ457" s="129">
        <v>0.973411326774794</v>
      </c>
      <c r="AK457" s="129">
        <v>0.974207811348563</v>
      </c>
      <c r="AL457" s="129">
        <v>0.974702196686396</v>
      </c>
      <c r="AM457" s="128">
        <v>0.99</v>
      </c>
      <c r="AN457" s="133">
        <v>1</v>
      </c>
      <c r="AO457" s="133">
        <v>1</v>
      </c>
      <c r="AP457" s="133">
        <v>1</v>
      </c>
      <c r="AQ457" s="133">
        <v>1</v>
      </c>
      <c r="AR457" s="153">
        <v>0.05</v>
      </c>
      <c r="AS457" s="137">
        <v>0.0357142857142857</v>
      </c>
      <c r="AT457" s="137">
        <v>0.0526315789473684</v>
      </c>
      <c r="AU457" s="137">
        <v>0.142857142857143</v>
      </c>
      <c r="AV457" s="137">
        <v>0.0557768924302789</v>
      </c>
      <c r="AW457" s="93"/>
      <c r="AX457" s="91"/>
    </row>
    <row r="458" ht="14.5" spans="1:50">
      <c r="A458" s="89"/>
      <c r="B458" s="93"/>
      <c r="C458" s="148" t="s">
        <v>371</v>
      </c>
      <c r="D458" s="126" t="s">
        <v>372</v>
      </c>
      <c r="E458" s="149" t="s">
        <v>480</v>
      </c>
      <c r="F458" s="149" t="s">
        <v>480</v>
      </c>
      <c r="G458" s="149" t="s">
        <v>480</v>
      </c>
      <c r="H458" s="149" t="s">
        <v>480</v>
      </c>
      <c r="I458" s="128">
        <v>0.9</v>
      </c>
      <c r="J458" s="129">
        <v>0.918918918918919</v>
      </c>
      <c r="K458" s="129">
        <v>0.938461538461538</v>
      </c>
      <c r="L458" s="130">
        <v>0.859375</v>
      </c>
      <c r="M458" s="129">
        <v>0.899752475247525</v>
      </c>
      <c r="N458" s="131">
        <v>0.9</v>
      </c>
      <c r="O458" s="129">
        <v>0.968895471857808</v>
      </c>
      <c r="P458" s="129">
        <v>0.968140929535232</v>
      </c>
      <c r="Q458" s="129">
        <v>0.96500630517024</v>
      </c>
      <c r="R458" s="129">
        <v>0.96602234974328</v>
      </c>
      <c r="S458" s="131">
        <v>0.9</v>
      </c>
      <c r="T458" s="129">
        <v>0.943504020313161</v>
      </c>
      <c r="U458" s="129">
        <v>0.934032983508246</v>
      </c>
      <c r="V458" s="129">
        <v>0.924653215636822</v>
      </c>
      <c r="W458" s="129">
        <v>0.927413671599718</v>
      </c>
      <c r="X458" s="131">
        <v>0.92</v>
      </c>
      <c r="Y458" s="131">
        <v>0.930204572803851</v>
      </c>
      <c r="Z458" s="131">
        <v>0.914947368421053</v>
      </c>
      <c r="AA458" s="131">
        <v>0.89061689994816</v>
      </c>
      <c r="AB458" s="131">
        <v>0.918260388030773</v>
      </c>
      <c r="AC458" s="131">
        <v>0.92</v>
      </c>
      <c r="AD458" s="129">
        <v>0.998826397038909</v>
      </c>
      <c r="AE458" s="129">
        <v>0.998671890563782</v>
      </c>
      <c r="AF458" s="129">
        <v>0.992597087378641</v>
      </c>
      <c r="AG458" s="129">
        <v>0.989888040511137</v>
      </c>
      <c r="AH458" s="131">
        <v>0.92</v>
      </c>
      <c r="AI458" s="129">
        <v>0.956208488123382</v>
      </c>
      <c r="AJ458" s="129">
        <v>0.938045961564306</v>
      </c>
      <c r="AK458" s="129">
        <v>0.944738389182834</v>
      </c>
      <c r="AL458" s="129">
        <v>0.943150252874581</v>
      </c>
      <c r="AM458" s="128">
        <v>0.99</v>
      </c>
      <c r="AN458" s="133">
        <v>1</v>
      </c>
      <c r="AO458" s="133">
        <v>1</v>
      </c>
      <c r="AP458" s="133">
        <v>1</v>
      </c>
      <c r="AQ458" s="133">
        <v>1</v>
      </c>
      <c r="AR458" s="153">
        <v>0.05</v>
      </c>
      <c r="AS458" s="137">
        <v>0.05</v>
      </c>
      <c r="AT458" s="137">
        <v>0</v>
      </c>
      <c r="AU458" s="137">
        <v>0.0588235294117647</v>
      </c>
      <c r="AV458" s="137">
        <v>0.0406779661016949</v>
      </c>
      <c r="AW458" s="93"/>
      <c r="AX458" s="91"/>
    </row>
    <row r="459" ht="14.5" spans="1:50">
      <c r="A459" s="89"/>
      <c r="B459" s="93"/>
      <c r="C459" s="148" t="s">
        <v>371</v>
      </c>
      <c r="D459" s="126" t="s">
        <v>372</v>
      </c>
      <c r="E459" s="149" t="s">
        <v>481</v>
      </c>
      <c r="F459" s="149" t="s">
        <v>481</v>
      </c>
      <c r="G459" s="149" t="s">
        <v>481</v>
      </c>
      <c r="H459" s="149" t="s">
        <v>481</v>
      </c>
      <c r="I459" s="128">
        <v>0.9</v>
      </c>
      <c r="J459" s="129">
        <v>0.96875</v>
      </c>
      <c r="K459" s="129">
        <v>0.946428571428571</v>
      </c>
      <c r="L459" s="130">
        <v>0.943396226415094</v>
      </c>
      <c r="M459" s="129">
        <v>0.936106983655275</v>
      </c>
      <c r="N459" s="131">
        <v>0.9</v>
      </c>
      <c r="O459" s="129">
        <v>0.969565217391304</v>
      </c>
      <c r="P459" s="129">
        <v>0.950970110120608</v>
      </c>
      <c r="Q459" s="129">
        <v>0.951084448546378</v>
      </c>
      <c r="R459" s="129">
        <v>0.963224523958987</v>
      </c>
      <c r="S459" s="131">
        <v>0.9</v>
      </c>
      <c r="T459" s="129">
        <v>0.94223602484472</v>
      </c>
      <c r="U459" s="129">
        <v>0.899056109071841</v>
      </c>
      <c r="V459" s="129">
        <v>0.890324565451469</v>
      </c>
      <c r="W459" s="129">
        <v>0.927756852898096</v>
      </c>
      <c r="X459" s="131">
        <v>0.92</v>
      </c>
      <c r="Y459" s="131">
        <v>0</v>
      </c>
      <c r="Z459" s="131">
        <v>0</v>
      </c>
      <c r="AA459" s="131" t="s">
        <v>33</v>
      </c>
      <c r="AB459" s="131">
        <v>0.307692307692308</v>
      </c>
      <c r="AC459" s="131">
        <v>0.92</v>
      </c>
      <c r="AD459" s="129">
        <v>0.994357932746558</v>
      </c>
      <c r="AE459" s="129">
        <v>0.992141162514828</v>
      </c>
      <c r="AF459" s="129">
        <v>0.967520585544373</v>
      </c>
      <c r="AG459" s="129">
        <v>0.98731202144654</v>
      </c>
      <c r="AH459" s="131">
        <v>0.92</v>
      </c>
      <c r="AI459" s="129">
        <v>0.978393145411648</v>
      </c>
      <c r="AJ459" s="129">
        <v>0.949174744563794</v>
      </c>
      <c r="AK459" s="129">
        <v>0.951699738501769</v>
      </c>
      <c r="AL459" s="129">
        <v>0.966514121338912</v>
      </c>
      <c r="AM459" s="128">
        <v>0.99</v>
      </c>
      <c r="AN459" s="133">
        <v>1</v>
      </c>
      <c r="AO459" s="133">
        <v>1</v>
      </c>
      <c r="AP459" s="133">
        <v>1</v>
      </c>
      <c r="AQ459" s="133">
        <v>1</v>
      </c>
      <c r="AR459" s="153">
        <v>0.05</v>
      </c>
      <c r="AS459" s="137">
        <v>0</v>
      </c>
      <c r="AT459" s="137">
        <v>0</v>
      </c>
      <c r="AU459" s="137">
        <v>0.166666666666667</v>
      </c>
      <c r="AV459" s="137">
        <v>0.043010752688172</v>
      </c>
      <c r="AW459" s="93"/>
      <c r="AX459" s="91"/>
    </row>
    <row r="460" ht="14.5" spans="1:50">
      <c r="A460" s="89"/>
      <c r="B460" s="93"/>
      <c r="C460" s="148" t="s">
        <v>371</v>
      </c>
      <c r="D460" s="126" t="s">
        <v>372</v>
      </c>
      <c r="E460" s="149" t="s">
        <v>482</v>
      </c>
      <c r="F460" s="149" t="s">
        <v>482</v>
      </c>
      <c r="G460" s="149" t="s">
        <v>482</v>
      </c>
      <c r="H460" s="149" t="s">
        <v>482</v>
      </c>
      <c r="I460" s="128">
        <v>0.9</v>
      </c>
      <c r="J460" s="129">
        <v>0.966666666666667</v>
      </c>
      <c r="K460" s="129">
        <v>0.96</v>
      </c>
      <c r="L460" s="130">
        <v>1</v>
      </c>
      <c r="M460" s="129">
        <v>0.980830670926518</v>
      </c>
      <c r="N460" s="131">
        <v>0.9</v>
      </c>
      <c r="O460" s="129">
        <v>0.976201586560896</v>
      </c>
      <c r="P460" s="129">
        <v>0.992383025027203</v>
      </c>
      <c r="Q460" s="129">
        <v>0.981620718462824</v>
      </c>
      <c r="R460" s="129">
        <v>0.983600670337563</v>
      </c>
      <c r="S460" s="131">
        <v>0.9</v>
      </c>
      <c r="T460" s="129">
        <v>0.965468968735418</v>
      </c>
      <c r="U460" s="129">
        <v>0.981501632208923</v>
      </c>
      <c r="V460" s="129">
        <v>0.954887218045113</v>
      </c>
      <c r="W460" s="129">
        <v>0.968877184582236</v>
      </c>
      <c r="X460" s="131">
        <v>0.92</v>
      </c>
      <c r="Y460" s="131">
        <v>0.967139175257732</v>
      </c>
      <c r="Z460" s="131">
        <v>0.975058004640371</v>
      </c>
      <c r="AA460" s="131">
        <v>0.983116883116883</v>
      </c>
      <c r="AB460" s="131">
        <v>0.977361541571217</v>
      </c>
      <c r="AC460" s="131">
        <v>0.92</v>
      </c>
      <c r="AD460" s="129">
        <v>0.990654205607477</v>
      </c>
      <c r="AE460" s="129">
        <v>0.994764397905759</v>
      </c>
      <c r="AF460" s="129">
        <v>0.918918918918919</v>
      </c>
      <c r="AG460" s="129">
        <v>0.985670983742078</v>
      </c>
      <c r="AH460" s="131">
        <v>0.92</v>
      </c>
      <c r="AI460" s="129">
        <v>0.977819853935623</v>
      </c>
      <c r="AJ460" s="129">
        <v>0.981509433962264</v>
      </c>
      <c r="AK460" s="129">
        <v>0.98729674796748</v>
      </c>
      <c r="AL460" s="129">
        <v>0.983180349725655</v>
      </c>
      <c r="AM460" s="128">
        <v>0.99</v>
      </c>
      <c r="AN460" s="133">
        <v>1</v>
      </c>
      <c r="AO460" s="133">
        <v>1</v>
      </c>
      <c r="AP460" s="133">
        <v>1</v>
      </c>
      <c r="AQ460" s="133">
        <v>1</v>
      </c>
      <c r="AR460" s="153">
        <v>0.05</v>
      </c>
      <c r="AS460" s="137">
        <v>0</v>
      </c>
      <c r="AT460" s="137">
        <v>0.0833333333333333</v>
      </c>
      <c r="AU460" s="137">
        <v>0.3</v>
      </c>
      <c r="AV460" s="137">
        <v>0.0366492146596859</v>
      </c>
      <c r="AW460" s="93"/>
      <c r="AX460" s="91"/>
    </row>
    <row r="461" ht="14.5" spans="1:50">
      <c r="A461" s="89"/>
      <c r="B461" s="93"/>
      <c r="C461" s="148" t="s">
        <v>371</v>
      </c>
      <c r="D461" s="126" t="s">
        <v>372</v>
      </c>
      <c r="E461" s="149" t="s">
        <v>483</v>
      </c>
      <c r="F461" s="149" t="s">
        <v>483</v>
      </c>
      <c r="G461" s="149" t="s">
        <v>483</v>
      </c>
      <c r="H461" s="149" t="s">
        <v>483</v>
      </c>
      <c r="I461" s="128">
        <v>0.9</v>
      </c>
      <c r="J461" s="129">
        <v>0.987012987012987</v>
      </c>
      <c r="K461" s="129">
        <v>1</v>
      </c>
      <c r="L461" s="130">
        <v>1</v>
      </c>
      <c r="M461" s="129">
        <v>0.998759305210918</v>
      </c>
      <c r="N461" s="131">
        <v>0.9</v>
      </c>
      <c r="O461" s="129">
        <v>0.980975348338692</v>
      </c>
      <c r="P461" s="129">
        <v>0.995849297573436</v>
      </c>
      <c r="Q461" s="129">
        <v>0.99315302978432</v>
      </c>
      <c r="R461" s="129">
        <v>0.989434625815873</v>
      </c>
      <c r="S461" s="131">
        <v>0.9</v>
      </c>
      <c r="T461" s="129">
        <v>0.903269024651661</v>
      </c>
      <c r="U461" s="129">
        <v>0.934546615581098</v>
      </c>
      <c r="V461" s="129">
        <v>0.903286545703526</v>
      </c>
      <c r="W461" s="129">
        <v>0.92373260215182</v>
      </c>
      <c r="X461" s="131">
        <v>0.92</v>
      </c>
      <c r="Y461" s="131">
        <v>0.902546093064091</v>
      </c>
      <c r="Z461" s="131">
        <v>0.855742296918767</v>
      </c>
      <c r="AA461" s="131">
        <v>0.860244233378562</v>
      </c>
      <c r="AB461" s="131">
        <v>0.89174885734905</v>
      </c>
      <c r="AC461" s="131">
        <v>0.92</v>
      </c>
      <c r="AD461" s="129">
        <v>0.997923156801661</v>
      </c>
      <c r="AE461" s="129">
        <v>0.995878413189078</v>
      </c>
      <c r="AF461" s="129">
        <v>0.99406528189911</v>
      </c>
      <c r="AG461" s="129">
        <v>0.992150493977534</v>
      </c>
      <c r="AH461" s="131">
        <v>0.92</v>
      </c>
      <c r="AI461" s="129">
        <v>0.971644392794887</v>
      </c>
      <c r="AJ461" s="129">
        <v>0.943421052631579</v>
      </c>
      <c r="AK461" s="129">
        <v>0.972792217662259</v>
      </c>
      <c r="AL461" s="129">
        <v>0.971337019351596</v>
      </c>
      <c r="AM461" s="128">
        <v>0.99</v>
      </c>
      <c r="AN461" s="133">
        <v>1</v>
      </c>
      <c r="AO461" s="133">
        <v>1</v>
      </c>
      <c r="AP461" s="133">
        <v>1</v>
      </c>
      <c r="AQ461" s="133">
        <v>1</v>
      </c>
      <c r="AR461" s="153">
        <v>0.05</v>
      </c>
      <c r="AS461" s="137">
        <v>0</v>
      </c>
      <c r="AT461" s="137">
        <v>0.2</v>
      </c>
      <c r="AU461" s="137">
        <v>0</v>
      </c>
      <c r="AV461" s="137">
        <v>0.0704225352112676</v>
      </c>
      <c r="AW461" s="93"/>
      <c r="AX461" s="91"/>
    </row>
    <row r="462" ht="14.5" spans="1:50">
      <c r="A462" s="89"/>
      <c r="B462" s="93"/>
      <c r="C462" s="148" t="s">
        <v>371</v>
      </c>
      <c r="D462" s="126" t="s">
        <v>372</v>
      </c>
      <c r="E462" s="149" t="s">
        <v>484</v>
      </c>
      <c r="F462" s="149" t="s">
        <v>484</v>
      </c>
      <c r="G462" s="149" t="s">
        <v>484</v>
      </c>
      <c r="H462" s="149" t="s">
        <v>484</v>
      </c>
      <c r="I462" s="128">
        <v>0.9</v>
      </c>
      <c r="J462" s="129">
        <v>1</v>
      </c>
      <c r="K462" s="129">
        <v>0.983333333333333</v>
      </c>
      <c r="L462" s="130">
        <v>1</v>
      </c>
      <c r="M462" s="129">
        <v>0.997546012269939</v>
      </c>
      <c r="N462" s="131">
        <v>0.9</v>
      </c>
      <c r="O462" s="129">
        <v>0.995404411764706</v>
      </c>
      <c r="P462" s="129">
        <v>0.994152046783626</v>
      </c>
      <c r="Q462" s="129">
        <v>0.994711992445704</v>
      </c>
      <c r="R462" s="129">
        <v>0.991978334647424</v>
      </c>
      <c r="S462" s="131">
        <v>0.9</v>
      </c>
      <c r="T462" s="129">
        <v>0.903492647058823</v>
      </c>
      <c r="U462" s="129">
        <v>0.913450292397661</v>
      </c>
      <c r="V462" s="129">
        <v>0.958640226628895</v>
      </c>
      <c r="W462" s="129">
        <v>0.934524013575126</v>
      </c>
      <c r="X462" s="131">
        <v>0.92</v>
      </c>
      <c r="Y462" s="131">
        <v>0.843230403800475</v>
      </c>
      <c r="Z462" s="131">
        <v>0.690613026819923</v>
      </c>
      <c r="AA462" s="131">
        <v>0.893790849673203</v>
      </c>
      <c r="AB462" s="131">
        <v>0.852956141243513</v>
      </c>
      <c r="AC462" s="131">
        <v>0.92</v>
      </c>
      <c r="AD462" s="129">
        <v>0.998</v>
      </c>
      <c r="AE462" s="129">
        <v>0.999233128834356</v>
      </c>
      <c r="AF462" s="129">
        <v>0.998795180722892</v>
      </c>
      <c r="AG462" s="129">
        <v>0.993560583682873</v>
      </c>
      <c r="AH462" s="131">
        <v>0.92</v>
      </c>
      <c r="AI462" s="129">
        <v>0.962691629358296</v>
      </c>
      <c r="AJ462" s="129">
        <v>0.887534626038781</v>
      </c>
      <c r="AK462" s="129">
        <v>0.976807177924496</v>
      </c>
      <c r="AL462" s="129">
        <v>0.964971983454103</v>
      </c>
      <c r="AM462" s="128">
        <v>0.99</v>
      </c>
      <c r="AN462" s="133">
        <v>1</v>
      </c>
      <c r="AO462" s="133">
        <v>1</v>
      </c>
      <c r="AP462" s="133">
        <v>1</v>
      </c>
      <c r="AQ462" s="133">
        <v>1</v>
      </c>
      <c r="AR462" s="153">
        <v>0.05</v>
      </c>
      <c r="AS462" s="137">
        <v>0</v>
      </c>
      <c r="AT462" s="137">
        <v>0</v>
      </c>
      <c r="AU462" s="137">
        <v>0.1</v>
      </c>
      <c r="AV462" s="137">
        <v>0.0656565656565657</v>
      </c>
      <c r="AW462" s="93"/>
      <c r="AX462" s="91"/>
    </row>
    <row r="463" ht="14.5" spans="1:50">
      <c r="A463" s="89"/>
      <c r="B463" s="93"/>
      <c r="C463" s="148" t="s">
        <v>371</v>
      </c>
      <c r="D463" s="126" t="s">
        <v>372</v>
      </c>
      <c r="E463" s="149" t="s">
        <v>485</v>
      </c>
      <c r="F463" s="149" t="s">
        <v>485</v>
      </c>
      <c r="G463" s="149" t="s">
        <v>485</v>
      </c>
      <c r="H463" s="149" t="s">
        <v>485</v>
      </c>
      <c r="I463" s="128">
        <v>0.9</v>
      </c>
      <c r="J463" s="129">
        <v>1</v>
      </c>
      <c r="K463" s="129">
        <v>1</v>
      </c>
      <c r="L463" s="130">
        <v>1</v>
      </c>
      <c r="M463" s="129">
        <v>0.995238095238095</v>
      </c>
      <c r="N463" s="131">
        <v>0.9</v>
      </c>
      <c r="O463" s="129">
        <v>0.989335520918786</v>
      </c>
      <c r="P463" s="129">
        <v>0.989988448209473</v>
      </c>
      <c r="Q463" s="129">
        <v>0.988414634146341</v>
      </c>
      <c r="R463" s="129">
        <v>0.981635197719986</v>
      </c>
      <c r="S463" s="131">
        <v>0.9</v>
      </c>
      <c r="T463" s="129">
        <v>0.944544708777687</v>
      </c>
      <c r="U463" s="129">
        <v>0.955718136311128</v>
      </c>
      <c r="V463" s="129">
        <v>0.946951219512195</v>
      </c>
      <c r="W463" s="129">
        <v>0.950463127894549</v>
      </c>
      <c r="X463" s="131">
        <v>0.92</v>
      </c>
      <c r="Y463" s="131">
        <v>0.891061452513967</v>
      </c>
      <c r="Z463" s="131">
        <v>0.891891891891892</v>
      </c>
      <c r="AA463" s="131">
        <v>0.845257903494176</v>
      </c>
      <c r="AB463" s="131">
        <v>0.878661087866109</v>
      </c>
      <c r="AC463" s="131">
        <v>0.92</v>
      </c>
      <c r="AD463" s="129">
        <v>0.997603833865815</v>
      </c>
      <c r="AE463" s="129">
        <v>0.998136645962733</v>
      </c>
      <c r="AF463" s="129">
        <v>0.954485776805252</v>
      </c>
      <c r="AG463" s="129">
        <v>0.985350190648204</v>
      </c>
      <c r="AH463" s="131">
        <v>0.92</v>
      </c>
      <c r="AI463" s="129">
        <v>0.970432357043236</v>
      </c>
      <c r="AJ463" s="129">
        <v>0.955474070193819</v>
      </c>
      <c r="AK463" s="129">
        <v>0.971744249230212</v>
      </c>
      <c r="AL463" s="129">
        <v>0.970657014760862</v>
      </c>
      <c r="AM463" s="128">
        <v>0.99</v>
      </c>
      <c r="AN463" s="133">
        <v>1</v>
      </c>
      <c r="AO463" s="133">
        <v>1</v>
      </c>
      <c r="AP463" s="133">
        <v>1</v>
      </c>
      <c r="AQ463" s="133">
        <v>1</v>
      </c>
      <c r="AR463" s="153">
        <v>0.05</v>
      </c>
      <c r="AS463" s="137">
        <v>0</v>
      </c>
      <c r="AT463" s="137">
        <v>0.181818181818182</v>
      </c>
      <c r="AU463" s="137">
        <v>0</v>
      </c>
      <c r="AV463" s="137">
        <v>0.0493273542600897</v>
      </c>
      <c r="AW463" s="93"/>
      <c r="AX463" s="91"/>
    </row>
    <row r="464" ht="14.5" spans="1:50">
      <c r="A464" s="89"/>
      <c r="B464" s="93"/>
      <c r="C464" s="148" t="s">
        <v>371</v>
      </c>
      <c r="D464" s="126" t="s">
        <v>372</v>
      </c>
      <c r="E464" s="149" t="s">
        <v>486</v>
      </c>
      <c r="F464" s="149" t="s">
        <v>486</v>
      </c>
      <c r="G464" s="149" t="s">
        <v>486</v>
      </c>
      <c r="H464" s="149" t="s">
        <v>486</v>
      </c>
      <c r="I464" s="128">
        <v>0.9</v>
      </c>
      <c r="J464" s="129">
        <v>1</v>
      </c>
      <c r="K464" s="129">
        <v>1</v>
      </c>
      <c r="L464" s="130">
        <v>1</v>
      </c>
      <c r="M464" s="129">
        <v>0.993893129770992</v>
      </c>
      <c r="N464" s="131">
        <v>0.9</v>
      </c>
      <c r="O464" s="129">
        <v>0.983948635634029</v>
      </c>
      <c r="P464" s="129">
        <v>0.984012789768185</v>
      </c>
      <c r="Q464" s="129">
        <v>0.979743695742042</v>
      </c>
      <c r="R464" s="129">
        <v>0.980243906871922</v>
      </c>
      <c r="S464" s="131">
        <v>0.9</v>
      </c>
      <c r="T464" s="129">
        <v>0.935313001605136</v>
      </c>
      <c r="U464" s="129">
        <v>0.930055955235811</v>
      </c>
      <c r="V464" s="129">
        <v>0.926622571310459</v>
      </c>
      <c r="W464" s="129">
        <v>0.935715454099344</v>
      </c>
      <c r="X464" s="131">
        <v>0.92</v>
      </c>
      <c r="Y464" s="131">
        <v>0.87010078387458</v>
      </c>
      <c r="Z464" s="131">
        <v>0.787214611872146</v>
      </c>
      <c r="AA464" s="131">
        <v>0.875354107648725</v>
      </c>
      <c r="AB464" s="131">
        <v>0.870808033629145</v>
      </c>
      <c r="AC464" s="131">
        <v>0.92</v>
      </c>
      <c r="AD464" s="129">
        <v>0.999174236168456</v>
      </c>
      <c r="AE464" s="129">
        <v>0.995283018867924</v>
      </c>
      <c r="AF464" s="129">
        <v>0.95160517489219</v>
      </c>
      <c r="AG464" s="129">
        <v>0.983746891086818</v>
      </c>
      <c r="AH464" s="131">
        <v>0.92</v>
      </c>
      <c r="AI464" s="129">
        <v>0.967148673311807</v>
      </c>
      <c r="AJ464" s="129">
        <v>0.919933277731443</v>
      </c>
      <c r="AK464" s="129">
        <v>0.971861471861472</v>
      </c>
      <c r="AL464" s="129">
        <v>0.966771140796641</v>
      </c>
      <c r="AM464" s="128">
        <v>0.99</v>
      </c>
      <c r="AN464" s="133">
        <v>1</v>
      </c>
      <c r="AO464" s="133">
        <v>1</v>
      </c>
      <c r="AP464" s="133">
        <v>1</v>
      </c>
      <c r="AQ464" s="133">
        <v>1</v>
      </c>
      <c r="AR464" s="153">
        <v>0.05</v>
      </c>
      <c r="AS464" s="137">
        <v>0</v>
      </c>
      <c r="AT464" s="137">
        <v>0</v>
      </c>
      <c r="AU464" s="137">
        <v>0</v>
      </c>
      <c r="AV464" s="137">
        <v>0.0491803278688525</v>
      </c>
      <c r="AW464" s="93"/>
      <c r="AX464" s="91"/>
    </row>
    <row r="465" ht="14.5" spans="1:50">
      <c r="A465" s="89"/>
      <c r="B465" s="93"/>
      <c r="C465" s="148" t="s">
        <v>371</v>
      </c>
      <c r="D465" s="126" t="s">
        <v>372</v>
      </c>
      <c r="E465" s="149" t="s">
        <v>487</v>
      </c>
      <c r="F465" s="149" t="s">
        <v>487</v>
      </c>
      <c r="G465" s="149" t="s">
        <v>487</v>
      </c>
      <c r="H465" s="149" t="s">
        <v>487</v>
      </c>
      <c r="I465" s="128">
        <v>0.9</v>
      </c>
      <c r="J465" s="129">
        <v>1</v>
      </c>
      <c r="K465" s="129">
        <v>0.975609756097561</v>
      </c>
      <c r="L465" s="130">
        <v>1</v>
      </c>
      <c r="M465" s="129">
        <v>0.991197183098592</v>
      </c>
      <c r="N465" s="131">
        <v>0.9</v>
      </c>
      <c r="O465" s="129">
        <v>0.985451638689049</v>
      </c>
      <c r="P465" s="129">
        <v>0.9871065604854</v>
      </c>
      <c r="Q465" s="129">
        <v>0.984061270958394</v>
      </c>
      <c r="R465" s="129">
        <v>0.984759381898455</v>
      </c>
      <c r="S465" s="131">
        <v>0.9</v>
      </c>
      <c r="T465" s="129">
        <v>0.950759392486011</v>
      </c>
      <c r="U465" s="129">
        <v>0.964732650739477</v>
      </c>
      <c r="V465" s="129">
        <v>0.90705858000414</v>
      </c>
      <c r="W465" s="129">
        <v>0.93285651214128</v>
      </c>
      <c r="X465" s="131">
        <v>0.92</v>
      </c>
      <c r="Y465" s="131">
        <v>0.948742746615087</v>
      </c>
      <c r="Z465" s="131">
        <v>0.963692307692308</v>
      </c>
      <c r="AA465" s="131">
        <v>0.940700808625337</v>
      </c>
      <c r="AB465" s="131">
        <v>0.958887545344619</v>
      </c>
      <c r="AC465" s="131">
        <v>0.92</v>
      </c>
      <c r="AD465" s="129">
        <v>0.99775712912528</v>
      </c>
      <c r="AE465" s="129">
        <v>0.997808733761152</v>
      </c>
      <c r="AF465" s="129">
        <v>0.997503744383425</v>
      </c>
      <c r="AG465" s="129">
        <v>0.996974563926344</v>
      </c>
      <c r="AH465" s="131">
        <v>0.92</v>
      </c>
      <c r="AI465" s="129">
        <v>0.980107010563863</v>
      </c>
      <c r="AJ465" s="129">
        <v>0.977709995307367</v>
      </c>
      <c r="AK465" s="129">
        <v>0.97882648483761</v>
      </c>
      <c r="AL465" s="129">
        <v>0.980531614398494</v>
      </c>
      <c r="AM465" s="128">
        <v>0.99</v>
      </c>
      <c r="AN465" s="133">
        <v>1</v>
      </c>
      <c r="AO465" s="133">
        <v>1</v>
      </c>
      <c r="AP465" s="133">
        <v>1</v>
      </c>
      <c r="AQ465" s="133">
        <v>1</v>
      </c>
      <c r="AR465" s="153">
        <v>0.05</v>
      </c>
      <c r="AS465" s="137">
        <v>0</v>
      </c>
      <c r="AT465" s="137">
        <v>0.166666666666667</v>
      </c>
      <c r="AU465" s="137">
        <v>0.15</v>
      </c>
      <c r="AV465" s="137">
        <v>0.0606060606060606</v>
      </c>
      <c r="AW465" s="93"/>
      <c r="AX465" s="91"/>
    </row>
    <row r="466" ht="14.5" spans="1:50">
      <c r="A466" s="89"/>
      <c r="B466" s="93"/>
      <c r="C466" s="148" t="s">
        <v>371</v>
      </c>
      <c r="D466" s="126" t="s">
        <v>372</v>
      </c>
      <c r="E466" s="149" t="s">
        <v>488</v>
      </c>
      <c r="F466" s="149" t="s">
        <v>488</v>
      </c>
      <c r="G466" s="149" t="s">
        <v>488</v>
      </c>
      <c r="H466" s="149" t="s">
        <v>488</v>
      </c>
      <c r="I466" s="128">
        <v>0.9</v>
      </c>
      <c r="J466" s="129">
        <v>1</v>
      </c>
      <c r="K466" s="129">
        <v>0.958333333333333</v>
      </c>
      <c r="L466" s="130">
        <v>1</v>
      </c>
      <c r="M466" s="129">
        <v>0.982456140350877</v>
      </c>
      <c r="N466" s="131">
        <v>0.9</v>
      </c>
      <c r="O466" s="129">
        <v>0.993185689948893</v>
      </c>
      <c r="P466" s="129">
        <v>0.995890410958904</v>
      </c>
      <c r="Q466" s="129">
        <v>0.996933691069375</v>
      </c>
      <c r="R466" s="129">
        <v>0.994226475279107</v>
      </c>
      <c r="S466" s="131">
        <v>0.9</v>
      </c>
      <c r="T466" s="129">
        <v>0.95854628052243</v>
      </c>
      <c r="U466" s="129">
        <v>0.954109589041096</v>
      </c>
      <c r="V466" s="129">
        <v>0.963970870065159</v>
      </c>
      <c r="W466" s="129">
        <v>0.95792663476874</v>
      </c>
      <c r="X466" s="131">
        <v>0.92</v>
      </c>
      <c r="Y466" s="131">
        <v>0.968460111317254</v>
      </c>
      <c r="Z466" s="131">
        <v>0.956521739130435</v>
      </c>
      <c r="AA466" s="131">
        <v>0.952853598014888</v>
      </c>
      <c r="AB466" s="131">
        <v>0.965213562307354</v>
      </c>
      <c r="AC466" s="131">
        <v>0.92</v>
      </c>
      <c r="AD466" s="129">
        <v>0.999618757148304</v>
      </c>
      <c r="AE466" s="129">
        <v>0.997891407485503</v>
      </c>
      <c r="AF466" s="129">
        <v>0.995522388059702</v>
      </c>
      <c r="AG466" s="129">
        <v>0.996898135955286</v>
      </c>
      <c r="AH466" s="131">
        <v>0.92</v>
      </c>
      <c r="AI466" s="129">
        <v>0.981531642452598</v>
      </c>
      <c r="AJ466" s="129">
        <v>0.974834437086093</v>
      </c>
      <c r="AK466" s="129">
        <v>0.985723771580345</v>
      </c>
      <c r="AL466" s="129">
        <v>0.984200597390347</v>
      </c>
      <c r="AM466" s="128">
        <v>0.99</v>
      </c>
      <c r="AN466" s="133">
        <v>1</v>
      </c>
      <c r="AO466" s="133">
        <v>1</v>
      </c>
      <c r="AP466" s="133">
        <v>1</v>
      </c>
      <c r="AQ466" s="133">
        <v>1</v>
      </c>
      <c r="AR466" s="153">
        <v>0.05</v>
      </c>
      <c r="AS466" s="137">
        <v>0</v>
      </c>
      <c r="AT466" s="137">
        <v>0.25</v>
      </c>
      <c r="AU466" s="137">
        <v>0</v>
      </c>
      <c r="AV466" s="137">
        <v>0.0284090909090909</v>
      </c>
      <c r="AW466" s="93"/>
      <c r="AX466" s="91"/>
    </row>
    <row r="467" ht="14.5" spans="1:50">
      <c r="A467" s="89"/>
      <c r="B467" s="93"/>
      <c r="C467" s="148" t="s">
        <v>371</v>
      </c>
      <c r="D467" s="126" t="s">
        <v>372</v>
      </c>
      <c r="E467" s="149" t="s">
        <v>489</v>
      </c>
      <c r="F467" s="149" t="s">
        <v>489</v>
      </c>
      <c r="G467" s="149" t="s">
        <v>489</v>
      </c>
      <c r="H467" s="149" t="s">
        <v>489</v>
      </c>
      <c r="I467" s="128">
        <v>0.9</v>
      </c>
      <c r="J467" s="129">
        <v>0.924528301886792</v>
      </c>
      <c r="K467" s="129">
        <v>0.897435897435897</v>
      </c>
      <c r="L467" s="130">
        <v>1</v>
      </c>
      <c r="M467" s="129">
        <v>0.98021582733813</v>
      </c>
      <c r="N467" s="131">
        <v>0.9</v>
      </c>
      <c r="O467" s="129">
        <v>0.98477729750047</v>
      </c>
      <c r="P467" s="129">
        <v>0.981497056349874</v>
      </c>
      <c r="Q467" s="129">
        <v>0.986430542778289</v>
      </c>
      <c r="R467" s="129">
        <v>0.983297854920583</v>
      </c>
      <c r="S467" s="131">
        <v>0.9</v>
      </c>
      <c r="T467" s="129">
        <v>0.890809998120654</v>
      </c>
      <c r="U467" s="129">
        <v>0.896551724137931</v>
      </c>
      <c r="V467" s="129">
        <v>0.882934682612695</v>
      </c>
      <c r="W467" s="129">
        <v>0.886666939577534</v>
      </c>
      <c r="X467" s="131">
        <v>0.92</v>
      </c>
      <c r="Y467" s="131">
        <v>0.776608187134503</v>
      </c>
      <c r="Z467" s="131">
        <v>0.791746641074856</v>
      </c>
      <c r="AA467" s="131">
        <v>0.82020202020202</v>
      </c>
      <c r="AB467" s="131">
        <v>0.81026835218452</v>
      </c>
      <c r="AC467" s="131">
        <v>0.92</v>
      </c>
      <c r="AD467" s="129">
        <v>0.995523724261415</v>
      </c>
      <c r="AE467" s="129">
        <v>0.996630160067397</v>
      </c>
      <c r="AF467" s="129">
        <v>0.990750816104461</v>
      </c>
      <c r="AG467" s="129">
        <v>0.994793005914117</v>
      </c>
      <c r="AH467" s="131">
        <v>0.92</v>
      </c>
      <c r="AI467" s="129">
        <v>0.94626962291633</v>
      </c>
      <c r="AJ467" s="129">
        <v>0.913157894736842</v>
      </c>
      <c r="AK467" s="129">
        <v>0.96180053685732</v>
      </c>
      <c r="AL467" s="129">
        <v>0.949016965550603</v>
      </c>
      <c r="AM467" s="128">
        <v>0.99</v>
      </c>
      <c r="AN467" s="133">
        <v>1</v>
      </c>
      <c r="AO467" s="133">
        <v>1</v>
      </c>
      <c r="AP467" s="133">
        <v>1</v>
      </c>
      <c r="AQ467" s="133">
        <v>1</v>
      </c>
      <c r="AR467" s="153">
        <v>0.05</v>
      </c>
      <c r="AS467" s="137">
        <v>0</v>
      </c>
      <c r="AT467" s="137">
        <v>0.25</v>
      </c>
      <c r="AU467" s="137">
        <v>0</v>
      </c>
      <c r="AV467" s="137">
        <v>0.0309734513274336</v>
      </c>
      <c r="AW467" s="93"/>
      <c r="AX467" s="91"/>
    </row>
    <row r="468" ht="14.5" spans="1:50">
      <c r="A468" s="89"/>
      <c r="B468" s="93"/>
      <c r="C468" s="148" t="s">
        <v>371</v>
      </c>
      <c r="D468" s="126" t="s">
        <v>372</v>
      </c>
      <c r="E468" s="149" t="s">
        <v>490</v>
      </c>
      <c r="F468" s="149" t="s">
        <v>490</v>
      </c>
      <c r="G468" s="149" t="s">
        <v>490</v>
      </c>
      <c r="H468" s="149" t="s">
        <v>490</v>
      </c>
      <c r="I468" s="128">
        <v>0.9</v>
      </c>
      <c r="J468" s="129">
        <v>1</v>
      </c>
      <c r="K468" s="129">
        <v>1</v>
      </c>
      <c r="L468" s="130">
        <v>1</v>
      </c>
      <c r="M468" s="129">
        <v>0.991610738255034</v>
      </c>
      <c r="N468" s="131">
        <v>0.9</v>
      </c>
      <c r="O468" s="129">
        <v>0.987835981950167</v>
      </c>
      <c r="P468" s="129">
        <v>0.98589562764457</v>
      </c>
      <c r="Q468" s="129">
        <v>0.984883423007943</v>
      </c>
      <c r="R468" s="129">
        <v>0.987078777058692</v>
      </c>
      <c r="S468" s="131">
        <v>0.9</v>
      </c>
      <c r="T468" s="129">
        <v>0.942515205022562</v>
      </c>
      <c r="U468" s="129">
        <v>0.929478138222849</v>
      </c>
      <c r="V468" s="129">
        <v>0.919549064821932</v>
      </c>
      <c r="W468" s="129">
        <v>0.932358848471323</v>
      </c>
      <c r="X468" s="131">
        <v>0.92</v>
      </c>
      <c r="Y468" s="131">
        <v>0.956151035322777</v>
      </c>
      <c r="Z468" s="131">
        <v>0.949404761904762</v>
      </c>
      <c r="AA468" s="131">
        <v>0.903409090909091</v>
      </c>
      <c r="AB468" s="131">
        <v>0.91157332093888</v>
      </c>
      <c r="AC468" s="131">
        <v>0.92</v>
      </c>
      <c r="AD468" s="129">
        <v>0.997569275644142</v>
      </c>
      <c r="AE468" s="129">
        <v>0.994575936883629</v>
      </c>
      <c r="AF468" s="129">
        <v>0.977660972404731</v>
      </c>
      <c r="AG468" s="129">
        <v>0.988035058370004</v>
      </c>
      <c r="AH468" s="131">
        <v>0.92</v>
      </c>
      <c r="AI468" s="129">
        <v>0.985468063534978</v>
      </c>
      <c r="AJ468" s="129">
        <v>0.975757575757576</v>
      </c>
      <c r="AK468" s="129">
        <v>0.968855788761002</v>
      </c>
      <c r="AL468" s="129">
        <v>0.974598480026955</v>
      </c>
      <c r="AM468" s="128">
        <v>0.99</v>
      </c>
      <c r="AN468" s="133">
        <v>1</v>
      </c>
      <c r="AO468" s="133">
        <v>1</v>
      </c>
      <c r="AP468" s="133">
        <v>1</v>
      </c>
      <c r="AQ468" s="133">
        <v>1</v>
      </c>
      <c r="AR468" s="153">
        <v>0.05</v>
      </c>
      <c r="AS468" s="137">
        <v>0</v>
      </c>
      <c r="AT468" s="137">
        <v>0.142857142857143</v>
      </c>
      <c r="AU468" s="137">
        <v>0</v>
      </c>
      <c r="AV468" s="137">
        <v>0.0196078431372549</v>
      </c>
      <c r="AW468" s="93"/>
      <c r="AX468" s="91"/>
    </row>
    <row r="469" ht="14.5" spans="1:50">
      <c r="A469" s="89"/>
      <c r="B469" s="93"/>
      <c r="C469" s="148" t="s">
        <v>371</v>
      </c>
      <c r="D469" s="126" t="s">
        <v>372</v>
      </c>
      <c r="E469" s="149" t="s">
        <v>491</v>
      </c>
      <c r="F469" s="149" t="s">
        <v>491</v>
      </c>
      <c r="G469" s="149" t="s">
        <v>491</v>
      </c>
      <c r="H469" s="149" t="s">
        <v>491</v>
      </c>
      <c r="I469" s="128">
        <v>0.9</v>
      </c>
      <c r="J469" s="129">
        <v>1</v>
      </c>
      <c r="K469" s="129">
        <v>1</v>
      </c>
      <c r="L469" s="130">
        <v>0.981481481481482</v>
      </c>
      <c r="M469" s="129">
        <v>0.987951807228916</v>
      </c>
      <c r="N469" s="131">
        <v>0.9</v>
      </c>
      <c r="O469" s="129">
        <v>0.985244233378562</v>
      </c>
      <c r="P469" s="129">
        <v>0.992019154030327</v>
      </c>
      <c r="Q469" s="129">
        <v>0.990907122753843</v>
      </c>
      <c r="R469" s="129">
        <v>0.988448311895579</v>
      </c>
      <c r="S469" s="131">
        <v>0.9</v>
      </c>
      <c r="T469" s="129">
        <v>0.944199457259159</v>
      </c>
      <c r="U469" s="129">
        <v>0.941739824421389</v>
      </c>
      <c r="V469" s="129">
        <v>0.940463303745399</v>
      </c>
      <c r="W469" s="129">
        <v>0.939467634373872</v>
      </c>
      <c r="X469" s="131">
        <v>0.92</v>
      </c>
      <c r="Y469" s="131">
        <v>0.91469681397739</v>
      </c>
      <c r="Z469" s="131">
        <v>0.932605905006418</v>
      </c>
      <c r="AA469" s="131">
        <v>0.917274939172749</v>
      </c>
      <c r="AB469" s="131">
        <v>0.926555083687235</v>
      </c>
      <c r="AC469" s="131">
        <v>0.92</v>
      </c>
      <c r="AD469" s="129">
        <v>0.997636492554952</v>
      </c>
      <c r="AE469" s="129">
        <v>0.997787121044479</v>
      </c>
      <c r="AF469" s="129">
        <v>0.997938616582684</v>
      </c>
      <c r="AG469" s="129">
        <v>0.995917321176837</v>
      </c>
      <c r="AH469" s="131">
        <v>0.92</v>
      </c>
      <c r="AI469" s="129">
        <v>0.971619851549993</v>
      </c>
      <c r="AJ469" s="129">
        <v>0.961614173228346</v>
      </c>
      <c r="AK469" s="129">
        <v>0.975004594743613</v>
      </c>
      <c r="AL469" s="129">
        <v>0.974569192216069</v>
      </c>
      <c r="AM469" s="128">
        <v>0.99</v>
      </c>
      <c r="AN469" s="133">
        <v>1</v>
      </c>
      <c r="AO469" s="133">
        <v>1</v>
      </c>
      <c r="AP469" s="133">
        <v>1</v>
      </c>
      <c r="AQ469" s="133">
        <v>1</v>
      </c>
      <c r="AR469" s="153">
        <v>0.05</v>
      </c>
      <c r="AS469" s="137">
        <v>0.0625</v>
      </c>
      <c r="AT469" s="137">
        <v>0.0769230769230769</v>
      </c>
      <c r="AU469" s="137">
        <v>0.0555555555555556</v>
      </c>
      <c r="AV469" s="137">
        <v>0.0450819672131148</v>
      </c>
      <c r="AW469" s="93"/>
      <c r="AX469" s="91"/>
    </row>
    <row r="470" ht="14.5" spans="1:50">
      <c r="A470" s="89"/>
      <c r="B470" s="93"/>
      <c r="C470" s="148" t="s">
        <v>371</v>
      </c>
      <c r="D470" s="126" t="s">
        <v>372</v>
      </c>
      <c r="E470" s="149" t="s">
        <v>492</v>
      </c>
      <c r="F470" s="149" t="s">
        <v>492</v>
      </c>
      <c r="G470" s="149" t="s">
        <v>492</v>
      </c>
      <c r="H470" s="149" t="s">
        <v>492</v>
      </c>
      <c r="I470" s="128">
        <v>0.9</v>
      </c>
      <c r="J470" s="129">
        <v>1</v>
      </c>
      <c r="K470" s="129">
        <v>0.981818181818182</v>
      </c>
      <c r="L470" s="130">
        <v>0.926470588235294</v>
      </c>
      <c r="M470" s="129">
        <v>0.969230769230769</v>
      </c>
      <c r="N470" s="131">
        <v>0.9</v>
      </c>
      <c r="O470" s="129">
        <v>0.988455988455988</v>
      </c>
      <c r="P470" s="129">
        <v>0.991461412151067</v>
      </c>
      <c r="Q470" s="129">
        <v>0.986955755332276</v>
      </c>
      <c r="R470" s="129">
        <v>0.989269934778035</v>
      </c>
      <c r="S470" s="131">
        <v>0.9</v>
      </c>
      <c r="T470" s="129">
        <v>0.904617604617605</v>
      </c>
      <c r="U470" s="129">
        <v>0.927093596059113</v>
      </c>
      <c r="V470" s="129">
        <v>0.929490569363652</v>
      </c>
      <c r="W470" s="129">
        <v>0.926507954490281</v>
      </c>
      <c r="X470" s="131">
        <v>0.92</v>
      </c>
      <c r="Y470" s="131">
        <v>0.88177874186551</v>
      </c>
      <c r="Z470" s="131">
        <v>0.785302593659942</v>
      </c>
      <c r="AA470" s="131">
        <v>0.89792899408284</v>
      </c>
      <c r="AB470" s="131">
        <v>0.894245996832659</v>
      </c>
      <c r="AC470" s="131">
        <v>0.92</v>
      </c>
      <c r="AD470" s="129">
        <v>0.9948</v>
      </c>
      <c r="AE470" s="129">
        <v>0.99805144193297</v>
      </c>
      <c r="AF470" s="129">
        <v>0.998963193364438</v>
      </c>
      <c r="AG470" s="129">
        <v>0.96629953529218</v>
      </c>
      <c r="AH470" s="131">
        <v>0.92</v>
      </c>
      <c r="AI470" s="129">
        <v>0.966760061130922</v>
      </c>
      <c r="AJ470" s="129">
        <v>0.916760658696143</v>
      </c>
      <c r="AK470" s="129">
        <v>0.973539140022051</v>
      </c>
      <c r="AL470" s="129">
        <v>0.970857595888351</v>
      </c>
      <c r="AM470" s="128">
        <v>0.99</v>
      </c>
      <c r="AN470" s="133">
        <v>1</v>
      </c>
      <c r="AO470" s="133">
        <v>1</v>
      </c>
      <c r="AP470" s="133">
        <v>1</v>
      </c>
      <c r="AQ470" s="133">
        <v>1</v>
      </c>
      <c r="AR470" s="153">
        <v>0.05</v>
      </c>
      <c r="AS470" s="137">
        <v>0</v>
      </c>
      <c r="AT470" s="137">
        <v>0</v>
      </c>
      <c r="AU470" s="137">
        <v>0.0909090909090909</v>
      </c>
      <c r="AV470" s="137">
        <v>0.0223463687150838</v>
      </c>
      <c r="AW470" s="93"/>
      <c r="AX470" s="91"/>
    </row>
    <row r="471" ht="14.5" spans="1:50">
      <c r="A471" s="89"/>
      <c r="B471" s="93"/>
      <c r="C471" s="148" t="s">
        <v>371</v>
      </c>
      <c r="D471" s="126" t="s">
        <v>372</v>
      </c>
      <c r="E471" s="149" t="s">
        <v>493</v>
      </c>
      <c r="F471" s="149" t="s">
        <v>493</v>
      </c>
      <c r="G471" s="149" t="s">
        <v>493</v>
      </c>
      <c r="H471" s="149" t="s">
        <v>493</v>
      </c>
      <c r="I471" s="128">
        <v>0.9</v>
      </c>
      <c r="J471" s="129">
        <v>1</v>
      </c>
      <c r="K471" s="129">
        <v>1</v>
      </c>
      <c r="L471" s="130">
        <v>1</v>
      </c>
      <c r="M471" s="129">
        <v>0.989528795811518</v>
      </c>
      <c r="N471" s="131">
        <v>0.9</v>
      </c>
      <c r="O471" s="129">
        <v>0.997737556561086</v>
      </c>
      <c r="P471" s="129">
        <v>0.995833333333333</v>
      </c>
      <c r="Q471" s="129">
        <v>0.999349381912817</v>
      </c>
      <c r="R471" s="129">
        <v>0.996807511737089</v>
      </c>
      <c r="S471" s="131">
        <v>0.9</v>
      </c>
      <c r="T471" s="129">
        <v>0.967760180995475</v>
      </c>
      <c r="U471" s="129">
        <v>0.968055555555556</v>
      </c>
      <c r="V471" s="129">
        <v>0.959661678594665</v>
      </c>
      <c r="W471" s="129">
        <v>0.956682316118936</v>
      </c>
      <c r="X471" s="131">
        <v>0.92</v>
      </c>
      <c r="Y471" s="131">
        <v>0.905923344947735</v>
      </c>
      <c r="Z471" s="131">
        <v>0.872340425531915</v>
      </c>
      <c r="AA471" s="131">
        <v>0.9</v>
      </c>
      <c r="AB471" s="131">
        <v>0.916894664842681</v>
      </c>
      <c r="AC471" s="131">
        <v>0.92</v>
      </c>
      <c r="AD471" s="129">
        <v>1</v>
      </c>
      <c r="AE471" s="129">
        <v>0.994186046511628</v>
      </c>
      <c r="AF471" s="129">
        <v>1</v>
      </c>
      <c r="AG471" s="129">
        <v>0.995192307692308</v>
      </c>
      <c r="AH471" s="131">
        <v>0.92</v>
      </c>
      <c r="AI471" s="129">
        <v>0.974695863746959</v>
      </c>
      <c r="AJ471" s="129">
        <v>0.951382268827455</v>
      </c>
      <c r="AK471" s="129">
        <v>0.980312680949624</v>
      </c>
      <c r="AL471" s="129">
        <v>0.981004285941055</v>
      </c>
      <c r="AM471" s="128">
        <v>0.99</v>
      </c>
      <c r="AN471" s="133">
        <v>1</v>
      </c>
      <c r="AO471" s="133">
        <v>1</v>
      </c>
      <c r="AP471" s="133">
        <v>1</v>
      </c>
      <c r="AQ471" s="133">
        <v>1</v>
      </c>
      <c r="AR471" s="153">
        <v>0.05</v>
      </c>
      <c r="AS471" s="137">
        <v>0</v>
      </c>
      <c r="AT471" s="137">
        <v>0</v>
      </c>
      <c r="AU471" s="137">
        <v>0</v>
      </c>
      <c r="AV471" s="137">
        <v>0.0178571428571429</v>
      </c>
      <c r="AW471" s="93"/>
      <c r="AX471" s="91"/>
    </row>
    <row r="472" ht="14.5" spans="1:50">
      <c r="A472" s="89"/>
      <c r="B472" s="93"/>
      <c r="C472" s="148" t="s">
        <v>371</v>
      </c>
      <c r="D472" s="126" t="s">
        <v>372</v>
      </c>
      <c r="E472" s="149" t="s">
        <v>494</v>
      </c>
      <c r="F472" s="149" t="s">
        <v>494</v>
      </c>
      <c r="G472" s="149" t="s">
        <v>494</v>
      </c>
      <c r="H472" s="149" t="s">
        <v>494</v>
      </c>
      <c r="I472" s="128">
        <v>0.9</v>
      </c>
      <c r="J472" s="129">
        <v>0.961538461538462</v>
      </c>
      <c r="K472" s="129">
        <v>0.981818181818182</v>
      </c>
      <c r="L472" s="130">
        <v>0.972602739726027</v>
      </c>
      <c r="M472" s="129">
        <v>0.978443113772455</v>
      </c>
      <c r="N472" s="131">
        <v>0.9</v>
      </c>
      <c r="O472" s="129">
        <v>0.971249270286048</v>
      </c>
      <c r="P472" s="129">
        <v>0.982327442480827</v>
      </c>
      <c r="Q472" s="129">
        <v>0.974751197935864</v>
      </c>
      <c r="R472" s="129">
        <v>0.981478197791569</v>
      </c>
      <c r="S472" s="131">
        <v>0.9</v>
      </c>
      <c r="T472" s="129">
        <v>0.93476357267951</v>
      </c>
      <c r="U472" s="129">
        <v>0.945315105035012</v>
      </c>
      <c r="V472" s="129">
        <v>0.936970143752304</v>
      </c>
      <c r="W472" s="129">
        <v>0.931361328282421</v>
      </c>
      <c r="X472" s="131">
        <v>0.92</v>
      </c>
      <c r="Y472" s="131">
        <v>0.86284046692607</v>
      </c>
      <c r="Z472" s="131">
        <v>0.838537699923839</v>
      </c>
      <c r="AA472" s="131">
        <v>0.86217008797654</v>
      </c>
      <c r="AB472" s="131">
        <v>0.838499609273248</v>
      </c>
      <c r="AC472" s="131">
        <v>0.92</v>
      </c>
      <c r="AD472" s="129">
        <v>0.99535472972973</v>
      </c>
      <c r="AE472" s="129">
        <v>0.987012987012987</v>
      </c>
      <c r="AF472" s="129">
        <v>0.988182329769274</v>
      </c>
      <c r="AG472" s="129">
        <v>0.987799905911871</v>
      </c>
      <c r="AH472" s="131">
        <v>0.92</v>
      </c>
      <c r="AI472" s="129">
        <v>0.957994923857868</v>
      </c>
      <c r="AJ472" s="129">
        <v>0.930426716141002</v>
      </c>
      <c r="AK472" s="129">
        <v>0.95645055664702</v>
      </c>
      <c r="AL472" s="129">
        <v>0.95289495507008</v>
      </c>
      <c r="AM472" s="128">
        <v>0.99</v>
      </c>
      <c r="AN472" s="133">
        <v>1</v>
      </c>
      <c r="AO472" s="133">
        <v>1</v>
      </c>
      <c r="AP472" s="133">
        <v>1</v>
      </c>
      <c r="AQ472" s="133">
        <v>1</v>
      </c>
      <c r="AR472" s="153">
        <v>0.05</v>
      </c>
      <c r="AS472" s="137">
        <v>0</v>
      </c>
      <c r="AT472" s="137">
        <v>0</v>
      </c>
      <c r="AU472" s="137">
        <v>0.0909090909090909</v>
      </c>
      <c r="AV472" s="137">
        <v>0.0390625</v>
      </c>
      <c r="AW472" s="93"/>
      <c r="AX472" s="91"/>
    </row>
    <row r="473" ht="14.5" spans="1:50">
      <c r="A473" s="89"/>
      <c r="B473" s="93"/>
      <c r="C473" s="148" t="s">
        <v>371</v>
      </c>
      <c r="D473" s="126" t="s">
        <v>372</v>
      </c>
      <c r="E473" s="149" t="s">
        <v>495</v>
      </c>
      <c r="F473" s="149" t="s">
        <v>495</v>
      </c>
      <c r="G473" s="149" t="s">
        <v>495</v>
      </c>
      <c r="H473" s="149" t="s">
        <v>495</v>
      </c>
      <c r="I473" s="128">
        <v>0.9</v>
      </c>
      <c r="J473" s="129">
        <v>1</v>
      </c>
      <c r="K473" s="129">
        <v>1</v>
      </c>
      <c r="L473" s="130">
        <v>1</v>
      </c>
      <c r="M473" s="129">
        <v>0.995176848874598</v>
      </c>
      <c r="N473" s="131">
        <v>0.9</v>
      </c>
      <c r="O473" s="129">
        <v>0.984866319152514</v>
      </c>
      <c r="P473" s="129">
        <v>0.979430379746835</v>
      </c>
      <c r="Q473" s="129">
        <v>0.989193862113681</v>
      </c>
      <c r="R473" s="129">
        <v>0.985782901056676</v>
      </c>
      <c r="S473" s="131">
        <v>0.9</v>
      </c>
      <c r="T473" s="129">
        <v>0.957961997645872</v>
      </c>
      <c r="U473" s="129">
        <v>0.948180379746835</v>
      </c>
      <c r="V473" s="129">
        <v>0.952452993300195</v>
      </c>
      <c r="W473" s="129">
        <v>0.939135446685879</v>
      </c>
      <c r="X473" s="131">
        <v>0.92</v>
      </c>
      <c r="Y473" s="131">
        <v>0.939150401836969</v>
      </c>
      <c r="Z473" s="131">
        <v>0.937685459940653</v>
      </c>
      <c r="AA473" s="131">
        <v>0.884250474383302</v>
      </c>
      <c r="AB473" s="131">
        <v>0.912910877668587</v>
      </c>
      <c r="AC473" s="131">
        <v>0.92</v>
      </c>
      <c r="AD473" s="129">
        <v>0.995604395604396</v>
      </c>
      <c r="AE473" s="129">
        <v>0.99486301369863</v>
      </c>
      <c r="AF473" s="129">
        <v>0.991687979539642</v>
      </c>
      <c r="AG473" s="129">
        <v>0.990868001106909</v>
      </c>
      <c r="AH473" s="131">
        <v>0.92</v>
      </c>
      <c r="AI473" s="129">
        <v>0.983426224699325</v>
      </c>
      <c r="AJ473" s="129">
        <v>0.970056497175141</v>
      </c>
      <c r="AK473" s="129">
        <v>0.980791618160652</v>
      </c>
      <c r="AL473" s="129">
        <v>0.978113096019966</v>
      </c>
      <c r="AM473" s="128">
        <v>0.99</v>
      </c>
      <c r="AN473" s="133">
        <v>1</v>
      </c>
      <c r="AO473" s="133">
        <v>1</v>
      </c>
      <c r="AP473" s="133">
        <v>1</v>
      </c>
      <c r="AQ473" s="133">
        <v>1</v>
      </c>
      <c r="AR473" s="153">
        <v>0.05</v>
      </c>
      <c r="AS473" s="137">
        <v>0</v>
      </c>
      <c r="AT473" s="137">
        <v>0.142857142857143</v>
      </c>
      <c r="AU473" s="137">
        <v>0.111111111111111</v>
      </c>
      <c r="AV473" s="137">
        <v>0.0685714285714286</v>
      </c>
      <c r="AW473" s="93"/>
      <c r="AX473" s="91"/>
    </row>
    <row r="474" ht="14.5" spans="1:50">
      <c r="A474" s="89"/>
      <c r="B474" s="93"/>
      <c r="C474" s="148" t="s">
        <v>371</v>
      </c>
      <c r="D474" s="126" t="s">
        <v>372</v>
      </c>
      <c r="E474" s="149" t="s">
        <v>496</v>
      </c>
      <c r="F474" s="149" t="s">
        <v>496</v>
      </c>
      <c r="G474" s="149" t="s">
        <v>496</v>
      </c>
      <c r="H474" s="149" t="s">
        <v>496</v>
      </c>
      <c r="I474" s="128">
        <v>0.9</v>
      </c>
      <c r="J474" s="129">
        <v>0.976744186046512</v>
      </c>
      <c r="K474" s="129">
        <v>0.972222222222222</v>
      </c>
      <c r="L474" s="130">
        <v>0.945945945945946</v>
      </c>
      <c r="M474" s="129">
        <v>0.953333333333333</v>
      </c>
      <c r="N474" s="131">
        <v>0.9</v>
      </c>
      <c r="O474" s="129">
        <v>0.982980792608801</v>
      </c>
      <c r="P474" s="129">
        <v>0.989551321450522</v>
      </c>
      <c r="Q474" s="129">
        <v>0.98545101842871</v>
      </c>
      <c r="R474" s="129">
        <v>0.984270227983907</v>
      </c>
      <c r="S474" s="131">
        <v>0.9</v>
      </c>
      <c r="T474" s="129">
        <v>0.916849015317287</v>
      </c>
      <c r="U474" s="129">
        <v>0.940381069452981</v>
      </c>
      <c r="V474" s="129">
        <v>0.936631102489492</v>
      </c>
      <c r="W474" s="129">
        <v>0.921351139919535</v>
      </c>
      <c r="X474" s="131">
        <v>0.92</v>
      </c>
      <c r="Y474" s="131">
        <v>0.815465729349736</v>
      </c>
      <c r="Z474" s="131">
        <v>0.834224598930481</v>
      </c>
      <c r="AA474" s="131">
        <v>0.548926014319809</v>
      </c>
      <c r="AB474" s="131">
        <v>0.725908489039282</v>
      </c>
      <c r="AC474" s="131">
        <v>0.92</v>
      </c>
      <c r="AD474" s="129">
        <v>0.995073891625616</v>
      </c>
      <c r="AE474" s="129">
        <v>0.96</v>
      </c>
      <c r="AF474" s="129">
        <v>0.976190476190476</v>
      </c>
      <c r="AG474" s="129">
        <v>0.951391011922959</v>
      </c>
      <c r="AH474" s="131">
        <v>0.92</v>
      </c>
      <c r="AI474" s="129">
        <v>0.953011533532678</v>
      </c>
      <c r="AJ474" s="129">
        <v>0.931368421052632</v>
      </c>
      <c r="AK474" s="129">
        <v>0.922266514806378</v>
      </c>
      <c r="AL474" s="129">
        <v>0.937379666588401</v>
      </c>
      <c r="AM474" s="128">
        <v>0.99</v>
      </c>
      <c r="AN474" s="133">
        <v>1</v>
      </c>
      <c r="AO474" s="133">
        <v>1</v>
      </c>
      <c r="AP474" s="133">
        <v>1</v>
      </c>
      <c r="AQ474" s="133">
        <v>1</v>
      </c>
      <c r="AR474" s="153">
        <v>0.05</v>
      </c>
      <c r="AS474" s="137">
        <v>0</v>
      </c>
      <c r="AT474" s="137">
        <v>0</v>
      </c>
      <c r="AU474" s="137">
        <v>0.0434782608695652</v>
      </c>
      <c r="AV474" s="137">
        <v>0.0365296803652968</v>
      </c>
      <c r="AW474" s="93"/>
      <c r="AX474" s="91"/>
    </row>
    <row r="475" ht="14.5" spans="1:50">
      <c r="A475" s="89"/>
      <c r="B475" s="93"/>
      <c r="C475" s="148" t="s">
        <v>371</v>
      </c>
      <c r="D475" s="126" t="s">
        <v>372</v>
      </c>
      <c r="E475" s="149" t="s">
        <v>497</v>
      </c>
      <c r="F475" s="149" t="s">
        <v>497</v>
      </c>
      <c r="G475" s="149" t="s">
        <v>497</v>
      </c>
      <c r="H475" s="149" t="s">
        <v>497</v>
      </c>
      <c r="I475" s="128">
        <v>0.9</v>
      </c>
      <c r="J475" s="129">
        <v>1</v>
      </c>
      <c r="K475" s="129">
        <v>0.958333333333333</v>
      </c>
      <c r="L475" s="130">
        <v>1</v>
      </c>
      <c r="M475" s="129">
        <v>0.983660130718954</v>
      </c>
      <c r="N475" s="131">
        <v>0.9</v>
      </c>
      <c r="O475" s="129">
        <v>0.980678233438486</v>
      </c>
      <c r="P475" s="129">
        <v>0.974452554744526</v>
      </c>
      <c r="Q475" s="129">
        <v>0.9822454308094</v>
      </c>
      <c r="R475" s="129">
        <v>0.97958459080419</v>
      </c>
      <c r="S475" s="131">
        <v>0.9</v>
      </c>
      <c r="T475" s="129">
        <v>0.865930599369085</v>
      </c>
      <c r="U475" s="129">
        <v>0.906021897810219</v>
      </c>
      <c r="V475" s="129">
        <v>0.875718015665796</v>
      </c>
      <c r="W475" s="129">
        <v>0.863527427658441</v>
      </c>
      <c r="X475" s="131">
        <v>0.92</v>
      </c>
      <c r="Y475" s="131" t="s">
        <v>33</v>
      </c>
      <c r="Z475" s="131">
        <v>0</v>
      </c>
      <c r="AA475" s="131">
        <v>0</v>
      </c>
      <c r="AB475" s="131">
        <v>0.571428571428571</v>
      </c>
      <c r="AC475" s="131">
        <v>0.92</v>
      </c>
      <c r="AD475" s="129">
        <v>0.991636363636364</v>
      </c>
      <c r="AE475" s="129">
        <v>0.993402243237299</v>
      </c>
      <c r="AF475" s="129">
        <v>0.994612068965517</v>
      </c>
      <c r="AG475" s="129">
        <v>0.986722915264765</v>
      </c>
      <c r="AH475" s="131">
        <v>0.92</v>
      </c>
      <c r="AI475" s="129">
        <v>0.960614415124065</v>
      </c>
      <c r="AJ475" s="129">
        <v>0.927985414767548</v>
      </c>
      <c r="AK475" s="129">
        <v>0.96452790818988</v>
      </c>
      <c r="AL475" s="129">
        <v>0.961098296664301</v>
      </c>
      <c r="AM475" s="128">
        <v>0.99</v>
      </c>
      <c r="AN475" s="133">
        <v>1</v>
      </c>
      <c r="AO475" s="133">
        <v>1</v>
      </c>
      <c r="AP475" s="133">
        <v>1</v>
      </c>
      <c r="AQ475" s="133">
        <v>1</v>
      </c>
      <c r="AR475" s="153">
        <v>0.05</v>
      </c>
      <c r="AS475" s="137">
        <v>0</v>
      </c>
      <c r="AT475" s="137">
        <v>0.2</v>
      </c>
      <c r="AU475" s="137">
        <v>0.0833333333333333</v>
      </c>
      <c r="AV475" s="137">
        <v>0.0802919708029197</v>
      </c>
      <c r="AW475" s="93"/>
      <c r="AX475" s="91"/>
    </row>
    <row r="476" ht="14.5" spans="1:50">
      <c r="A476" s="89"/>
      <c r="B476" s="93"/>
      <c r="C476" s="148" t="s">
        <v>371</v>
      </c>
      <c r="D476" s="126" t="s">
        <v>372</v>
      </c>
      <c r="E476" s="149" t="s">
        <v>498</v>
      </c>
      <c r="F476" s="149" t="s">
        <v>498</v>
      </c>
      <c r="G476" s="149" t="s">
        <v>498</v>
      </c>
      <c r="H476" s="149" t="s">
        <v>498</v>
      </c>
      <c r="I476" s="128">
        <v>0.9</v>
      </c>
      <c r="J476" s="129">
        <v>1</v>
      </c>
      <c r="K476" s="129">
        <v>1</v>
      </c>
      <c r="L476" s="130">
        <v>1</v>
      </c>
      <c r="M476" s="129">
        <v>1</v>
      </c>
      <c r="N476" s="131">
        <v>0.9</v>
      </c>
      <c r="O476" s="129">
        <v>0.977193538169148</v>
      </c>
      <c r="P476" s="129">
        <v>0.979958534899793</v>
      </c>
      <c r="Q476" s="129">
        <v>0.998405103668262</v>
      </c>
      <c r="R476" s="129">
        <v>0.992859667727112</v>
      </c>
      <c r="S476" s="131">
        <v>0.9</v>
      </c>
      <c r="T476" s="129">
        <v>0.946151409566044</v>
      </c>
      <c r="U476" s="129">
        <v>0.961299239806496</v>
      </c>
      <c r="V476" s="129">
        <v>0.967304625199362</v>
      </c>
      <c r="W476" s="129">
        <v>0.954648285613291</v>
      </c>
      <c r="X476" s="131">
        <v>0.92</v>
      </c>
      <c r="Y476" s="131">
        <v>0.941304347826087</v>
      </c>
      <c r="Z476" s="131">
        <v>0.969738651994498</v>
      </c>
      <c r="AA476" s="131">
        <v>0.940568475452196</v>
      </c>
      <c r="AB476" s="131">
        <v>0.958207452165156</v>
      </c>
      <c r="AC476" s="131">
        <v>0.92</v>
      </c>
      <c r="AD476" s="129">
        <v>0.999360286591607</v>
      </c>
      <c r="AE476" s="129">
        <v>0.996964097148891</v>
      </c>
      <c r="AF476" s="129">
        <v>0.994012665515256</v>
      </c>
      <c r="AG476" s="129">
        <v>0.995912435280225</v>
      </c>
      <c r="AH476" s="131">
        <v>0.92</v>
      </c>
      <c r="AI476" s="129">
        <v>0.978711639480232</v>
      </c>
      <c r="AJ476" s="129">
        <v>0.982980680772769</v>
      </c>
      <c r="AK476" s="129">
        <v>0.985146804835924</v>
      </c>
      <c r="AL476" s="129">
        <v>0.984263233190272</v>
      </c>
      <c r="AM476" s="128">
        <v>0.99</v>
      </c>
      <c r="AN476" s="133">
        <v>1</v>
      </c>
      <c r="AO476" s="133">
        <v>1</v>
      </c>
      <c r="AP476" s="133">
        <v>1</v>
      </c>
      <c r="AQ476" s="133">
        <v>1</v>
      </c>
      <c r="AR476" s="153">
        <v>0.05</v>
      </c>
      <c r="AS476" s="137">
        <v>0</v>
      </c>
      <c r="AT476" s="137">
        <v>0.125</v>
      </c>
      <c r="AU476" s="137">
        <v>0</v>
      </c>
      <c r="AV476" s="137">
        <v>0.0440251572327044</v>
      </c>
      <c r="AW476" s="93"/>
      <c r="AX476" s="91"/>
    </row>
    <row r="477" ht="14.5" spans="1:50">
      <c r="A477" s="89"/>
      <c r="B477" s="93"/>
      <c r="C477" s="148" t="s">
        <v>371</v>
      </c>
      <c r="D477" s="126" t="s">
        <v>372</v>
      </c>
      <c r="E477" s="149" t="s">
        <v>499</v>
      </c>
      <c r="F477" s="149" t="s">
        <v>499</v>
      </c>
      <c r="G477" s="149" t="s">
        <v>499</v>
      </c>
      <c r="H477" s="149" t="s">
        <v>499</v>
      </c>
      <c r="I477" s="128">
        <v>0.9</v>
      </c>
      <c r="J477" s="129">
        <v>0.893617021276596</v>
      </c>
      <c r="K477" s="129">
        <v>0.861111111111111</v>
      </c>
      <c r="L477" s="130">
        <v>0.871794871794872</v>
      </c>
      <c r="M477" s="129">
        <v>0.892857142857143</v>
      </c>
      <c r="N477" s="131">
        <v>0.9</v>
      </c>
      <c r="O477" s="129">
        <v>0.981182795698925</v>
      </c>
      <c r="P477" s="129">
        <v>0.987152034261242</v>
      </c>
      <c r="Q477" s="129">
        <v>0.984469170143718</v>
      </c>
      <c r="R477" s="129">
        <v>0.984532589196731</v>
      </c>
      <c r="S477" s="131">
        <v>0.9</v>
      </c>
      <c r="T477" s="129">
        <v>0.91415770609319</v>
      </c>
      <c r="U477" s="129">
        <v>0.913918629550321</v>
      </c>
      <c r="V477" s="129">
        <v>0.86810384793695</v>
      </c>
      <c r="W477" s="129">
        <v>0.881164042256328</v>
      </c>
      <c r="X477" s="131">
        <v>0.92</v>
      </c>
      <c r="Y477" s="131" t="s">
        <v>33</v>
      </c>
      <c r="Z477" s="131" t="s">
        <v>33</v>
      </c>
      <c r="AA477" s="131" t="s">
        <v>33</v>
      </c>
      <c r="AB477" s="131" t="s">
        <v>33</v>
      </c>
      <c r="AC477" s="131">
        <v>0.92</v>
      </c>
      <c r="AD477" s="129">
        <v>1</v>
      </c>
      <c r="AE477" s="129">
        <v>0.993464052287582</v>
      </c>
      <c r="AF477" s="129">
        <v>0.992977528089888</v>
      </c>
      <c r="AG477" s="129">
        <v>0.99298330510525</v>
      </c>
      <c r="AH477" s="131">
        <v>0.92</v>
      </c>
      <c r="AI477" s="129">
        <v>0.972595378828587</v>
      </c>
      <c r="AJ477" s="129">
        <v>0.96745182012848</v>
      </c>
      <c r="AK477" s="129">
        <v>0.964765878535002</v>
      </c>
      <c r="AL477" s="129">
        <v>0.975464891475495</v>
      </c>
      <c r="AM477" s="128">
        <v>0.99</v>
      </c>
      <c r="AN477" s="133">
        <v>1</v>
      </c>
      <c r="AO477" s="133">
        <v>1</v>
      </c>
      <c r="AP477" s="133">
        <v>1</v>
      </c>
      <c r="AQ477" s="133">
        <v>1</v>
      </c>
      <c r="AR477" s="153">
        <v>0.05</v>
      </c>
      <c r="AS477" s="137">
        <v>0.0588235294117647</v>
      </c>
      <c r="AT477" s="137">
        <v>0.142857142857143</v>
      </c>
      <c r="AU477" s="137">
        <v>0.0769230769230769</v>
      </c>
      <c r="AV477" s="137">
        <v>0.0489130434782609</v>
      </c>
      <c r="AW477" s="93"/>
      <c r="AX477" s="91"/>
    </row>
    <row r="478" ht="14.5" spans="1:50">
      <c r="A478" s="89"/>
      <c r="B478" s="93"/>
      <c r="C478" s="148" t="s">
        <v>371</v>
      </c>
      <c r="D478" s="126" t="s">
        <v>372</v>
      </c>
      <c r="E478" s="149" t="s">
        <v>500</v>
      </c>
      <c r="F478" s="149" t="s">
        <v>500</v>
      </c>
      <c r="G478" s="149" t="s">
        <v>500</v>
      </c>
      <c r="H478" s="149" t="s">
        <v>500</v>
      </c>
      <c r="I478" s="128">
        <v>0.9</v>
      </c>
      <c r="J478" s="129">
        <v>0.966666666666667</v>
      </c>
      <c r="K478" s="129">
        <v>0.962962962962963</v>
      </c>
      <c r="L478" s="130">
        <v>1</v>
      </c>
      <c r="M478" s="129">
        <v>0.960843373493976</v>
      </c>
      <c r="N478" s="131">
        <v>0.9</v>
      </c>
      <c r="O478" s="129">
        <v>0.985647952722668</v>
      </c>
      <c r="P478" s="129">
        <v>0.984205330700888</v>
      </c>
      <c r="Q478" s="129">
        <v>0.987639060568603</v>
      </c>
      <c r="R478" s="129">
        <v>0.98851982243992</v>
      </c>
      <c r="S478" s="131">
        <v>0.9</v>
      </c>
      <c r="T478" s="129">
        <v>0.886449978894048</v>
      </c>
      <c r="U478" s="129">
        <v>0.923988153998026</v>
      </c>
      <c r="V478" s="129">
        <v>0.828800988875155</v>
      </c>
      <c r="W478" s="129">
        <v>0.866115618143783</v>
      </c>
      <c r="X478" s="131">
        <v>0.92</v>
      </c>
      <c r="Y478" s="131">
        <v>0.947800149142431</v>
      </c>
      <c r="Z478" s="131">
        <v>0.919064748201439</v>
      </c>
      <c r="AA478" s="131">
        <v>0.900818926296633</v>
      </c>
      <c r="AB478" s="131">
        <v>0.903276278981556</v>
      </c>
      <c r="AC478" s="131">
        <v>0.92</v>
      </c>
      <c r="AD478" s="129">
        <v>1</v>
      </c>
      <c r="AE478" s="129">
        <v>0.995433789954338</v>
      </c>
      <c r="AF478" s="129">
        <v>1</v>
      </c>
      <c r="AG478" s="129">
        <v>0.998225691980128</v>
      </c>
      <c r="AH478" s="131">
        <v>0.92</v>
      </c>
      <c r="AI478" s="129">
        <v>0.965777418485583</v>
      </c>
      <c r="AJ478" s="129">
        <v>0.936669755946864</v>
      </c>
      <c r="AK478" s="129">
        <v>0.94147957305852</v>
      </c>
      <c r="AL478" s="129">
        <v>0.938819135605297</v>
      </c>
      <c r="AM478" s="128">
        <v>0.99</v>
      </c>
      <c r="AN478" s="133">
        <v>1</v>
      </c>
      <c r="AO478" s="133">
        <v>1</v>
      </c>
      <c r="AP478" s="133">
        <v>1</v>
      </c>
      <c r="AQ478" s="133">
        <v>1</v>
      </c>
      <c r="AR478" s="153">
        <v>0.05</v>
      </c>
      <c r="AS478" s="137">
        <v>0.375</v>
      </c>
      <c r="AT478" s="137">
        <v>0.142857142857143</v>
      </c>
      <c r="AU478" s="137">
        <v>0.0769230769230769</v>
      </c>
      <c r="AV478" s="137">
        <v>0.0512820512820513</v>
      </c>
      <c r="AW478" s="93"/>
      <c r="AX478" s="91"/>
    </row>
    <row r="479" ht="14.5" spans="1:50">
      <c r="A479" s="89"/>
      <c r="B479" s="93"/>
      <c r="C479" s="148" t="s">
        <v>371</v>
      </c>
      <c r="D479" s="126" t="s">
        <v>372</v>
      </c>
      <c r="E479" s="149" t="s">
        <v>501</v>
      </c>
      <c r="F479" s="149" t="s">
        <v>501</v>
      </c>
      <c r="G479" s="149" t="s">
        <v>501</v>
      </c>
      <c r="H479" s="149" t="s">
        <v>501</v>
      </c>
      <c r="I479" s="128">
        <v>0.9</v>
      </c>
      <c r="J479" s="129">
        <v>0.896551724137931</v>
      </c>
      <c r="K479" s="129">
        <v>0.961538461538462</v>
      </c>
      <c r="L479" s="130">
        <v>0.96</v>
      </c>
      <c r="M479" s="129">
        <v>0.883435582822086</v>
      </c>
      <c r="N479" s="131">
        <v>0.9</v>
      </c>
      <c r="O479" s="129">
        <v>0.972280334728033</v>
      </c>
      <c r="P479" s="129">
        <v>0.995257854179016</v>
      </c>
      <c r="Q479" s="129">
        <v>0.994725738396624</v>
      </c>
      <c r="R479" s="129">
        <v>0.99191141356256</v>
      </c>
      <c r="S479" s="131">
        <v>0.9</v>
      </c>
      <c r="T479" s="129">
        <v>0.890690376569038</v>
      </c>
      <c r="U479" s="129">
        <v>0.911677534084173</v>
      </c>
      <c r="V479" s="129">
        <v>0.90365682137834</v>
      </c>
      <c r="W479" s="129">
        <v>0.916278653295129</v>
      </c>
      <c r="X479" s="131">
        <v>0.92</v>
      </c>
      <c r="Y479" s="131">
        <v>0</v>
      </c>
      <c r="Z479" s="131" t="s">
        <v>33</v>
      </c>
      <c r="AA479" s="131" t="s">
        <v>33</v>
      </c>
      <c r="AB479" s="131">
        <v>0</v>
      </c>
      <c r="AC479" s="131">
        <v>0.92</v>
      </c>
      <c r="AD479" s="129">
        <v>0.995073891625616</v>
      </c>
      <c r="AE479" s="129">
        <v>0.996632996632997</v>
      </c>
      <c r="AF479" s="129">
        <v>0.996153846153846</v>
      </c>
      <c r="AG479" s="129">
        <v>0.991704374057315</v>
      </c>
      <c r="AH479" s="131">
        <v>0.92</v>
      </c>
      <c r="AI479" s="129">
        <v>0.982222222222222</v>
      </c>
      <c r="AJ479" s="129">
        <v>0.988737403675163</v>
      </c>
      <c r="AK479" s="129">
        <v>0.988045007032349</v>
      </c>
      <c r="AL479" s="129">
        <v>0.98928582087325</v>
      </c>
      <c r="AM479" s="128">
        <v>0.99</v>
      </c>
      <c r="AN479" s="133">
        <v>1</v>
      </c>
      <c r="AO479" s="133">
        <v>1</v>
      </c>
      <c r="AP479" s="133">
        <v>1</v>
      </c>
      <c r="AQ479" s="133">
        <v>1</v>
      </c>
      <c r="AR479" s="153">
        <v>0.05</v>
      </c>
      <c r="AS479" s="137">
        <v>0.5</v>
      </c>
      <c r="AT479" s="137">
        <v>0</v>
      </c>
      <c r="AU479" s="137">
        <v>0</v>
      </c>
      <c r="AV479" s="137">
        <v>0.0444444444444444</v>
      </c>
      <c r="AW479" s="93"/>
      <c r="AX479" s="91"/>
    </row>
    <row r="480" ht="14.5" spans="1:50">
      <c r="A480" s="89"/>
      <c r="B480" s="93"/>
      <c r="C480" s="148" t="s">
        <v>371</v>
      </c>
      <c r="D480" s="126" t="s">
        <v>372</v>
      </c>
      <c r="E480" s="149" t="s">
        <v>502</v>
      </c>
      <c r="F480" s="149" t="s">
        <v>502</v>
      </c>
      <c r="G480" s="149" t="s">
        <v>502</v>
      </c>
      <c r="H480" s="149" t="s">
        <v>502</v>
      </c>
      <c r="I480" s="128">
        <v>0.9</v>
      </c>
      <c r="J480" s="129">
        <v>0.784313725490196</v>
      </c>
      <c r="K480" s="129">
        <v>0.795918367346939</v>
      </c>
      <c r="L480" s="130">
        <v>0.720930232558139</v>
      </c>
      <c r="M480" s="129">
        <v>0.771992818671454</v>
      </c>
      <c r="N480" s="131">
        <v>0.9</v>
      </c>
      <c r="O480" s="129">
        <v>0.985145172180959</v>
      </c>
      <c r="P480" s="129">
        <v>0.99131190269331</v>
      </c>
      <c r="Q480" s="129">
        <v>0.971028037383178</v>
      </c>
      <c r="R480" s="129">
        <v>0.985951203291907</v>
      </c>
      <c r="S480" s="131">
        <v>0.9</v>
      </c>
      <c r="T480" s="129">
        <v>0.895003376097232</v>
      </c>
      <c r="U480" s="129">
        <v>0.901824500434405</v>
      </c>
      <c r="V480" s="129">
        <v>0.835981308411215</v>
      </c>
      <c r="W480" s="129">
        <v>0.887734319797165</v>
      </c>
      <c r="X480" s="131">
        <v>0.92</v>
      </c>
      <c r="Y480" s="131">
        <v>0.916227299355595</v>
      </c>
      <c r="Z480" s="131">
        <v>0.854825628548256</v>
      </c>
      <c r="AA480" s="131">
        <v>0.834298118668596</v>
      </c>
      <c r="AB480" s="131">
        <v>0.849830845771144</v>
      </c>
      <c r="AC480" s="131">
        <v>0.92</v>
      </c>
      <c r="AD480" s="129">
        <v>1</v>
      </c>
      <c r="AE480" s="129">
        <v>0.995529061102832</v>
      </c>
      <c r="AF480" s="129">
        <v>0.994786235662148</v>
      </c>
      <c r="AG480" s="129">
        <v>0.994230769230769</v>
      </c>
      <c r="AH480" s="131">
        <v>0.92</v>
      </c>
      <c r="AI480" s="129">
        <v>0.952666523880917</v>
      </c>
      <c r="AJ480" s="129">
        <v>0.890331491712707</v>
      </c>
      <c r="AK480" s="129">
        <v>0.911130039750142</v>
      </c>
      <c r="AL480" s="129">
        <v>0.911145894741122</v>
      </c>
      <c r="AM480" s="128">
        <v>0.99</v>
      </c>
      <c r="AN480" s="133">
        <v>1</v>
      </c>
      <c r="AO480" s="133">
        <v>1</v>
      </c>
      <c r="AP480" s="133">
        <v>1</v>
      </c>
      <c r="AQ480" s="133">
        <v>1</v>
      </c>
      <c r="AR480" s="153">
        <v>0.05</v>
      </c>
      <c r="AS480" s="137">
        <v>0.0769230769230769</v>
      </c>
      <c r="AT480" s="137">
        <v>0.375</v>
      </c>
      <c r="AU480" s="137">
        <v>0</v>
      </c>
      <c r="AV480" s="137">
        <v>0.0476190476190476</v>
      </c>
      <c r="AW480" s="93"/>
      <c r="AX480" s="91"/>
    </row>
    <row r="481" ht="14.5" spans="1:50">
      <c r="A481" s="89"/>
      <c r="B481" s="93"/>
      <c r="C481" s="148" t="s">
        <v>371</v>
      </c>
      <c r="D481" s="126" t="s">
        <v>372</v>
      </c>
      <c r="E481" s="149" t="s">
        <v>503</v>
      </c>
      <c r="F481" s="149" t="s">
        <v>503</v>
      </c>
      <c r="G481" s="149" t="s">
        <v>503</v>
      </c>
      <c r="H481" s="149" t="s">
        <v>503</v>
      </c>
      <c r="I481" s="128">
        <v>0.9</v>
      </c>
      <c r="J481" s="129">
        <v>1</v>
      </c>
      <c r="K481" s="129">
        <v>1</v>
      </c>
      <c r="L481" s="130">
        <v>0.96875</v>
      </c>
      <c r="M481" s="129">
        <v>0.983372921615202</v>
      </c>
      <c r="N481" s="131">
        <v>0.9</v>
      </c>
      <c r="O481" s="129">
        <v>0.989795918367347</v>
      </c>
      <c r="P481" s="129">
        <v>0.994871794871795</v>
      </c>
      <c r="Q481" s="129">
        <v>0.997286295793758</v>
      </c>
      <c r="R481" s="129">
        <v>0.996305678699599</v>
      </c>
      <c r="S481" s="131">
        <v>0.9</v>
      </c>
      <c r="T481" s="129">
        <v>0.928571428571429</v>
      </c>
      <c r="U481" s="129">
        <v>0.918803418803419</v>
      </c>
      <c r="V481" s="129">
        <v>0.903663500678426</v>
      </c>
      <c r="W481" s="129">
        <v>0.923158116951657</v>
      </c>
      <c r="X481" s="131">
        <v>0.92</v>
      </c>
      <c r="Y481" s="131">
        <v>0.960447119518487</v>
      </c>
      <c r="Z481" s="131">
        <v>0.963618956438487</v>
      </c>
      <c r="AA481" s="131">
        <v>0.949411764705882</v>
      </c>
      <c r="AB481" s="131">
        <v>0.952184892402284</v>
      </c>
      <c r="AC481" s="131">
        <v>0.92</v>
      </c>
      <c r="AD481" s="129">
        <v>0.984732824427481</v>
      </c>
      <c r="AE481" s="129">
        <v>0.996911196911197</v>
      </c>
      <c r="AF481" s="129">
        <v>0.981741573033708</v>
      </c>
      <c r="AG481" s="129">
        <v>0.991622293219737</v>
      </c>
      <c r="AH481" s="131">
        <v>0.92</v>
      </c>
      <c r="AI481" s="129">
        <v>0.974096385542169</v>
      </c>
      <c r="AJ481" s="129">
        <v>0.969315741024854</v>
      </c>
      <c r="AK481" s="129">
        <v>0.96989247311828</v>
      </c>
      <c r="AL481" s="129">
        <v>0.96736527751621</v>
      </c>
      <c r="AM481" s="128">
        <v>0.99</v>
      </c>
      <c r="AN481" s="133">
        <v>1</v>
      </c>
      <c r="AO481" s="133">
        <v>1</v>
      </c>
      <c r="AP481" s="133">
        <v>1</v>
      </c>
      <c r="AQ481" s="133">
        <v>1</v>
      </c>
      <c r="AR481" s="153">
        <v>0.05</v>
      </c>
      <c r="AS481" s="137">
        <v>0.285714285714286</v>
      </c>
      <c r="AT481" s="137">
        <v>0.0666666666666667</v>
      </c>
      <c r="AU481" s="137">
        <v>0</v>
      </c>
      <c r="AV481" s="137">
        <v>0.045</v>
      </c>
      <c r="AW481" s="93"/>
      <c r="AX481" s="91"/>
    </row>
    <row r="482" ht="14.5" spans="1:50">
      <c r="A482" s="89"/>
      <c r="B482" s="93"/>
      <c r="C482" s="148" t="s">
        <v>371</v>
      </c>
      <c r="D482" s="126" t="s">
        <v>372</v>
      </c>
      <c r="E482" s="149" t="s">
        <v>504</v>
      </c>
      <c r="F482" s="149" t="s">
        <v>504</v>
      </c>
      <c r="G482" s="149" t="s">
        <v>504</v>
      </c>
      <c r="H482" s="149" t="s">
        <v>504</v>
      </c>
      <c r="I482" s="128">
        <v>0.9</v>
      </c>
      <c r="J482" s="129">
        <v>1</v>
      </c>
      <c r="K482" s="129">
        <v>0.944444444444444</v>
      </c>
      <c r="L482" s="130">
        <v>0.888888888888889</v>
      </c>
      <c r="M482" s="129">
        <v>0.943478260869565</v>
      </c>
      <c r="N482" s="131">
        <v>0.9</v>
      </c>
      <c r="O482" s="129">
        <v>0.994560994560995</v>
      </c>
      <c r="P482" s="129">
        <v>0.990859232175503</v>
      </c>
      <c r="Q482" s="129">
        <v>0.997587454764777</v>
      </c>
      <c r="R482" s="129">
        <v>0.994622279129321</v>
      </c>
      <c r="S482" s="131">
        <v>0.9</v>
      </c>
      <c r="T482" s="129">
        <v>0.948717948717949</v>
      </c>
      <c r="U482" s="129">
        <v>0.930530164533821</v>
      </c>
      <c r="V482" s="129">
        <v>0.928829915560917</v>
      </c>
      <c r="W482" s="129">
        <v>0.930516431924883</v>
      </c>
      <c r="X482" s="131">
        <v>0.92</v>
      </c>
      <c r="Y482" s="131">
        <v>0.97075208913649</v>
      </c>
      <c r="Z482" s="131">
        <v>0.960766423357664</v>
      </c>
      <c r="AA482" s="131">
        <v>0.947467166979362</v>
      </c>
      <c r="AB482" s="131">
        <v>0.96177665957035</v>
      </c>
      <c r="AC482" s="131">
        <v>0.92</v>
      </c>
      <c r="AD482" s="129">
        <v>0.992125984251969</v>
      </c>
      <c r="AE482" s="129">
        <v>0.987421383647799</v>
      </c>
      <c r="AF482" s="129">
        <v>1</v>
      </c>
      <c r="AG482" s="129">
        <v>0.987473903966597</v>
      </c>
      <c r="AH482" s="131">
        <v>0.92</v>
      </c>
      <c r="AI482" s="129">
        <v>0.987531172069825</v>
      </c>
      <c r="AJ482" s="129">
        <v>0.971428571428571</v>
      </c>
      <c r="AK482" s="129">
        <v>0.975770925110132</v>
      </c>
      <c r="AL482" s="129">
        <v>0.977780800798077</v>
      </c>
      <c r="AM482" s="128">
        <v>0.99</v>
      </c>
      <c r="AN482" s="133">
        <v>1</v>
      </c>
      <c r="AO482" s="133">
        <v>1</v>
      </c>
      <c r="AP482" s="133">
        <v>1</v>
      </c>
      <c r="AQ482" s="133">
        <v>1</v>
      </c>
      <c r="AR482" s="153">
        <v>0.05</v>
      </c>
      <c r="AS482" s="137">
        <v>0.2</v>
      </c>
      <c r="AT482" s="137">
        <v>0.166666666666667</v>
      </c>
      <c r="AU482" s="137">
        <v>0.166666666666667</v>
      </c>
      <c r="AV482" s="137">
        <v>0.0869565217391304</v>
      </c>
      <c r="AW482" s="93"/>
      <c r="AX482" s="91"/>
    </row>
    <row r="483" ht="14.5" spans="1:50">
      <c r="A483" s="89"/>
      <c r="B483" s="93"/>
      <c r="C483" s="148" t="s">
        <v>371</v>
      </c>
      <c r="D483" s="126" t="s">
        <v>372</v>
      </c>
      <c r="E483" s="149" t="s">
        <v>505</v>
      </c>
      <c r="F483" s="149" t="s">
        <v>505</v>
      </c>
      <c r="G483" s="149" t="s">
        <v>505</v>
      </c>
      <c r="H483" s="149" t="s">
        <v>505</v>
      </c>
      <c r="I483" s="128">
        <v>0.9</v>
      </c>
      <c r="J483" s="129">
        <v>0.924528301886792</v>
      </c>
      <c r="K483" s="129">
        <v>0.9</v>
      </c>
      <c r="L483" s="130">
        <v>0.952380952380952</v>
      </c>
      <c r="M483" s="129">
        <v>0.86734693877551</v>
      </c>
      <c r="N483" s="131">
        <v>0.9</v>
      </c>
      <c r="O483" s="129">
        <v>0.9593804792519</v>
      </c>
      <c r="P483" s="129">
        <v>0.95430747263208</v>
      </c>
      <c r="Q483" s="129">
        <v>0.926605504587156</v>
      </c>
      <c r="R483" s="129">
        <v>0.942119809744183</v>
      </c>
      <c r="S483" s="131">
        <v>0.9</v>
      </c>
      <c r="T483" s="129">
        <v>0.836937463471654</v>
      </c>
      <c r="U483" s="129">
        <v>0.839600190385531</v>
      </c>
      <c r="V483" s="129">
        <v>0.780650542118432</v>
      </c>
      <c r="W483" s="129">
        <v>0.844517290140121</v>
      </c>
      <c r="X483" s="131">
        <v>0.92</v>
      </c>
      <c r="Y483" s="131">
        <v>0.89622641509434</v>
      </c>
      <c r="Z483" s="131">
        <v>0.877377235310815</v>
      </c>
      <c r="AA483" s="131">
        <v>0.825962910128388</v>
      </c>
      <c r="AB483" s="131">
        <v>0.877135726626992</v>
      </c>
      <c r="AC483" s="131">
        <v>0.92</v>
      </c>
      <c r="AD483" s="129">
        <v>0.983757961783439</v>
      </c>
      <c r="AE483" s="129">
        <v>0.959795162344737</v>
      </c>
      <c r="AF483" s="129">
        <v>0.65617796219456</v>
      </c>
      <c r="AG483" s="129">
        <v>0.912321186654727</v>
      </c>
      <c r="AH483" s="131">
        <v>0.92</v>
      </c>
      <c r="AI483" s="129">
        <v>0.944076526857984</v>
      </c>
      <c r="AJ483" s="129">
        <v>0.9088</v>
      </c>
      <c r="AK483" s="129">
        <v>0.906603525388056</v>
      </c>
      <c r="AL483" s="129">
        <v>0.922662562524048</v>
      </c>
      <c r="AM483" s="128">
        <v>0.99</v>
      </c>
      <c r="AN483" s="133">
        <v>1</v>
      </c>
      <c r="AO483" s="133">
        <v>1</v>
      </c>
      <c r="AP483" s="133">
        <v>1</v>
      </c>
      <c r="AQ483" s="133">
        <v>1</v>
      </c>
      <c r="AR483" s="153">
        <v>0.05</v>
      </c>
      <c r="AS483" s="137">
        <v>0.289473684210526</v>
      </c>
      <c r="AT483" s="137">
        <v>0</v>
      </c>
      <c r="AU483" s="137">
        <v>0</v>
      </c>
      <c r="AV483" s="137">
        <v>0.0565552699228792</v>
      </c>
      <c r="AW483" s="93"/>
      <c r="AX483" s="91"/>
    </row>
    <row r="484" ht="14.5" spans="1:50">
      <c r="A484" s="89"/>
      <c r="B484" s="93"/>
      <c r="C484" s="148" t="s">
        <v>371</v>
      </c>
      <c r="D484" s="126" t="s">
        <v>372</v>
      </c>
      <c r="E484" s="149" t="s">
        <v>506</v>
      </c>
      <c r="F484" s="149" t="s">
        <v>506</v>
      </c>
      <c r="G484" s="149" t="s">
        <v>506</v>
      </c>
      <c r="H484" s="149" t="s">
        <v>506</v>
      </c>
      <c r="I484" s="128">
        <v>0.9</v>
      </c>
      <c r="J484" s="129">
        <v>0.9</v>
      </c>
      <c r="K484" s="129">
        <v>0.805555555555556</v>
      </c>
      <c r="L484" s="130">
        <v>0.878787878787879</v>
      </c>
      <c r="M484" s="129">
        <v>0.843822843822844</v>
      </c>
      <c r="N484" s="131">
        <v>0.9</v>
      </c>
      <c r="O484" s="129">
        <v>0.941574936494496</v>
      </c>
      <c r="P484" s="129">
        <v>0.948430493273543</v>
      </c>
      <c r="Q484" s="129">
        <v>0.960904092852779</v>
      </c>
      <c r="R484" s="129">
        <v>0.937014711892113</v>
      </c>
      <c r="S484" s="131">
        <v>0.9</v>
      </c>
      <c r="T484" s="129">
        <v>0.887383573243014</v>
      </c>
      <c r="U484" s="129">
        <v>0.890881913303438</v>
      </c>
      <c r="V484" s="129">
        <v>0.849725106902871</v>
      </c>
      <c r="W484" s="129">
        <v>0.887617490805067</v>
      </c>
      <c r="X484" s="131">
        <v>0.92</v>
      </c>
      <c r="Y484" s="131">
        <v>0.924142961342086</v>
      </c>
      <c r="Z484" s="131">
        <v>0.871747211895911</v>
      </c>
      <c r="AA484" s="131">
        <v>0.871212121212121</v>
      </c>
      <c r="AB484" s="131">
        <v>0.881984306703881</v>
      </c>
      <c r="AC484" s="131">
        <v>0.92</v>
      </c>
      <c r="AD484" s="129">
        <v>0.997261940979617</v>
      </c>
      <c r="AE484" s="129">
        <v>0.989223014079611</v>
      </c>
      <c r="AF484" s="129">
        <v>0.995129079396006</v>
      </c>
      <c r="AG484" s="129">
        <v>0.99577706622117</v>
      </c>
      <c r="AH484" s="131">
        <v>0.92</v>
      </c>
      <c r="AI484" s="129">
        <v>0.95446021966247</v>
      </c>
      <c r="AJ484" s="129">
        <v>0.906903466055571</v>
      </c>
      <c r="AK484" s="129">
        <v>0.921905505661851</v>
      </c>
      <c r="AL484" s="129">
        <v>0.923751004640792</v>
      </c>
      <c r="AM484" s="128">
        <v>0.99</v>
      </c>
      <c r="AN484" s="133">
        <v>1</v>
      </c>
      <c r="AO484" s="133">
        <v>1</v>
      </c>
      <c r="AP484" s="133">
        <v>1</v>
      </c>
      <c r="AQ484" s="133">
        <v>1</v>
      </c>
      <c r="AR484" s="153">
        <v>0.05</v>
      </c>
      <c r="AS484" s="137">
        <v>0.173913043478261</v>
      </c>
      <c r="AT484" s="137">
        <v>0</v>
      </c>
      <c r="AU484" s="137">
        <v>0.0909090909090909</v>
      </c>
      <c r="AV484" s="137">
        <v>0.0662983425414365</v>
      </c>
      <c r="AW484" s="93"/>
      <c r="AX484" s="91"/>
    </row>
    <row r="485" ht="14.5" spans="1:50">
      <c r="A485" s="89"/>
      <c r="B485" s="93"/>
      <c r="C485" s="148" t="s">
        <v>371</v>
      </c>
      <c r="D485" s="126" t="s">
        <v>372</v>
      </c>
      <c r="E485" s="149" t="s">
        <v>507</v>
      </c>
      <c r="F485" s="149" t="s">
        <v>507</v>
      </c>
      <c r="G485" s="149" t="s">
        <v>507</v>
      </c>
      <c r="H485" s="149" t="s">
        <v>507</v>
      </c>
      <c r="I485" s="128">
        <v>0.9</v>
      </c>
      <c r="J485" s="129">
        <v>0.790697674418605</v>
      </c>
      <c r="K485" s="129">
        <v>0.840909090909091</v>
      </c>
      <c r="L485" s="130">
        <v>0.844444444444444</v>
      </c>
      <c r="M485" s="129">
        <v>0.753535353535354</v>
      </c>
      <c r="N485" s="131">
        <v>0.9</v>
      </c>
      <c r="O485" s="129">
        <v>0.957119296316657</v>
      </c>
      <c r="P485" s="129">
        <v>0.98037425832953</v>
      </c>
      <c r="Q485" s="129">
        <v>0.953752843062927</v>
      </c>
      <c r="R485" s="129">
        <v>0.944854151577007</v>
      </c>
      <c r="S485" s="131">
        <v>0.9</v>
      </c>
      <c r="T485" s="129">
        <v>0.799615173172073</v>
      </c>
      <c r="U485" s="129">
        <v>0.889091738931995</v>
      </c>
      <c r="V485" s="129">
        <v>0.810083396512509</v>
      </c>
      <c r="W485" s="129">
        <v>0.81793639296767</v>
      </c>
      <c r="X485" s="131">
        <v>0.92</v>
      </c>
      <c r="Y485" s="131">
        <v>0.897448242657679</v>
      </c>
      <c r="Z485" s="131">
        <v>0.908748317631225</v>
      </c>
      <c r="AA485" s="131">
        <v>0.910529187124932</v>
      </c>
      <c r="AB485" s="131">
        <v>0.855068467971694</v>
      </c>
      <c r="AC485" s="131">
        <v>0.92</v>
      </c>
      <c r="AD485" s="129">
        <v>0.963511659807956</v>
      </c>
      <c r="AE485" s="129">
        <v>0.983830606352262</v>
      </c>
      <c r="AF485" s="129">
        <v>0.937400318979266</v>
      </c>
      <c r="AG485" s="129">
        <v>0.977733664976562</v>
      </c>
      <c r="AH485" s="131">
        <v>0.92</v>
      </c>
      <c r="AI485" s="129">
        <v>0.939293212036389</v>
      </c>
      <c r="AJ485" s="129">
        <v>0.93280297901151</v>
      </c>
      <c r="AK485" s="129">
        <v>0.94274211585775</v>
      </c>
      <c r="AL485" s="129">
        <v>0.90436755350372</v>
      </c>
      <c r="AM485" s="128">
        <v>0.99</v>
      </c>
      <c r="AN485" s="133">
        <v>1</v>
      </c>
      <c r="AO485" s="133">
        <v>1</v>
      </c>
      <c r="AP485" s="133">
        <v>1</v>
      </c>
      <c r="AQ485" s="133">
        <v>1</v>
      </c>
      <c r="AR485" s="153">
        <v>0.05</v>
      </c>
      <c r="AS485" s="137">
        <v>0.0165016501650165</v>
      </c>
      <c r="AT485" s="137">
        <v>0.00277008310249307</v>
      </c>
      <c r="AU485" s="137">
        <v>0.00308641975308642</v>
      </c>
      <c r="AV485" s="137">
        <v>0.00613496932515337</v>
      </c>
      <c r="AW485" s="93"/>
      <c r="AX485" s="91"/>
    </row>
    <row r="486" ht="14.5" spans="1:50">
      <c r="A486" s="89"/>
      <c r="B486" s="93"/>
      <c r="C486" s="148" t="s">
        <v>371</v>
      </c>
      <c r="D486" s="126" t="s">
        <v>372</v>
      </c>
      <c r="E486" s="149" t="s">
        <v>508</v>
      </c>
      <c r="F486" s="149" t="s">
        <v>508</v>
      </c>
      <c r="G486" s="149" t="s">
        <v>508</v>
      </c>
      <c r="H486" s="149" t="s">
        <v>508</v>
      </c>
      <c r="I486" s="128">
        <v>0.9</v>
      </c>
      <c r="J486" s="129">
        <v>1</v>
      </c>
      <c r="K486" s="129">
        <v>0.973684210526316</v>
      </c>
      <c r="L486" s="130">
        <v>0.96969696969697</v>
      </c>
      <c r="M486" s="129">
        <v>0.986078886310905</v>
      </c>
      <c r="N486" s="131">
        <v>0.9</v>
      </c>
      <c r="O486" s="129">
        <v>0.988990825688073</v>
      </c>
      <c r="P486" s="129">
        <v>0.998659517426273</v>
      </c>
      <c r="Q486" s="129">
        <v>0.995446784291406</v>
      </c>
      <c r="R486" s="129">
        <v>0.99319407584967</v>
      </c>
      <c r="S486" s="131">
        <v>0.9</v>
      </c>
      <c r="T486" s="129">
        <v>0.921834862385321</v>
      </c>
      <c r="U486" s="129">
        <v>0.922252010723861</v>
      </c>
      <c r="V486" s="129">
        <v>0.891861126920888</v>
      </c>
      <c r="W486" s="129">
        <v>0.925862511771252</v>
      </c>
      <c r="X486" s="131">
        <v>0.92</v>
      </c>
      <c r="Y486" s="131">
        <v>0.93956043956044</v>
      </c>
      <c r="Z486" s="131">
        <v>0.933950357593605</v>
      </c>
      <c r="AA486" s="131">
        <v>0.940839694656489</v>
      </c>
      <c r="AB486" s="131">
        <v>0.936663973426699</v>
      </c>
      <c r="AC486" s="131">
        <v>0.92</v>
      </c>
      <c r="AD486" s="129">
        <v>0.996105160662123</v>
      </c>
      <c r="AE486" s="129">
        <v>0.998553868402025</v>
      </c>
      <c r="AF486" s="129">
        <v>0.999105545617174</v>
      </c>
      <c r="AG486" s="129">
        <v>0.997454364832981</v>
      </c>
      <c r="AH486" s="131">
        <v>0.92</v>
      </c>
      <c r="AI486" s="129">
        <v>0.969399952187425</v>
      </c>
      <c r="AJ486" s="129">
        <v>0.954005167958656</v>
      </c>
      <c r="AK486" s="129">
        <v>0.963992869875223</v>
      </c>
      <c r="AL486" s="129">
        <v>0.962492331960389</v>
      </c>
      <c r="AM486" s="128">
        <v>0.99</v>
      </c>
      <c r="AN486" s="133">
        <v>1</v>
      </c>
      <c r="AO486" s="133">
        <v>1</v>
      </c>
      <c r="AP486" s="133">
        <v>1</v>
      </c>
      <c r="AQ486" s="133">
        <v>1</v>
      </c>
      <c r="AR486" s="153">
        <v>0.05</v>
      </c>
      <c r="AS486" s="137">
        <v>0.1875</v>
      </c>
      <c r="AT486" s="137">
        <v>0</v>
      </c>
      <c r="AU486" s="137">
        <v>0.0769230769230769</v>
      </c>
      <c r="AV486" s="137">
        <v>0.0656565656565657</v>
      </c>
      <c r="AW486" s="93"/>
      <c r="AX486" s="91"/>
    </row>
    <row r="487" ht="14.5" spans="1:50">
      <c r="A487" s="89"/>
      <c r="B487" s="93"/>
      <c r="C487" s="148" t="s">
        <v>371</v>
      </c>
      <c r="D487" s="126" t="s">
        <v>372</v>
      </c>
      <c r="E487" s="149" t="s">
        <v>509</v>
      </c>
      <c r="F487" s="149" t="s">
        <v>509</v>
      </c>
      <c r="G487" s="149" t="s">
        <v>509</v>
      </c>
      <c r="H487" s="149" t="s">
        <v>509</v>
      </c>
      <c r="I487" s="128">
        <v>0.9</v>
      </c>
      <c r="J487" s="129">
        <v>1</v>
      </c>
      <c r="K487" s="129">
        <v>0.923076923076923</v>
      </c>
      <c r="L487" s="130">
        <v>0.947368421052632</v>
      </c>
      <c r="M487" s="129">
        <v>0.954063604240283</v>
      </c>
      <c r="N487" s="131">
        <v>0.9</v>
      </c>
      <c r="O487" s="129">
        <v>0.958960328317373</v>
      </c>
      <c r="P487" s="129">
        <v>0.851162790697674</v>
      </c>
      <c r="Q487" s="129">
        <v>0.891713747645951</v>
      </c>
      <c r="R487" s="129">
        <v>0.925923022654229</v>
      </c>
      <c r="S487" s="131">
        <v>0.9</v>
      </c>
      <c r="T487" s="129">
        <v>0.864569083447332</v>
      </c>
      <c r="U487" s="129">
        <v>0.919767441860465</v>
      </c>
      <c r="V487" s="129">
        <v>0.868173258003766</v>
      </c>
      <c r="W487" s="129">
        <v>0.866269499098534</v>
      </c>
      <c r="X487" s="131">
        <v>0.92</v>
      </c>
      <c r="Y487" s="131">
        <v>0.909653465346535</v>
      </c>
      <c r="Z487" s="131">
        <v>0.944229279628195</v>
      </c>
      <c r="AA487" s="131">
        <v>0.903107861060329</v>
      </c>
      <c r="AB487" s="131">
        <v>0.894273127753304</v>
      </c>
      <c r="AC487" s="131">
        <v>0.92</v>
      </c>
      <c r="AD487" s="129">
        <v>0.99009900990099</v>
      </c>
      <c r="AE487" s="129">
        <v>1</v>
      </c>
      <c r="AF487" s="129">
        <v>1</v>
      </c>
      <c r="AG487" s="129">
        <v>0.992928452579035</v>
      </c>
      <c r="AH487" s="131">
        <v>0.92</v>
      </c>
      <c r="AI487" s="129">
        <v>0.941850220264317</v>
      </c>
      <c r="AJ487" s="129">
        <v>0.95583449558345</v>
      </c>
      <c r="AK487" s="129">
        <v>0.940957116221255</v>
      </c>
      <c r="AL487" s="129">
        <v>0.931447180948504</v>
      </c>
      <c r="AM487" s="128">
        <v>0.99</v>
      </c>
      <c r="AN487" s="133">
        <v>1</v>
      </c>
      <c r="AO487" s="133">
        <v>1</v>
      </c>
      <c r="AP487" s="133">
        <v>1</v>
      </c>
      <c r="AQ487" s="133">
        <v>1</v>
      </c>
      <c r="AR487" s="153">
        <v>0.05</v>
      </c>
      <c r="AS487" s="137">
        <v>0.0303030303030303</v>
      </c>
      <c r="AT487" s="137">
        <v>0.0196078431372549</v>
      </c>
      <c r="AU487" s="137">
        <v>0</v>
      </c>
      <c r="AV487" s="137">
        <v>0.00481695568400771</v>
      </c>
      <c r="AW487" s="93"/>
      <c r="AX487" s="91"/>
    </row>
    <row r="488" ht="14.5" spans="1:50">
      <c r="A488" s="89"/>
      <c r="B488" s="93"/>
      <c r="C488" s="148" t="s">
        <v>371</v>
      </c>
      <c r="D488" s="126" t="s">
        <v>372</v>
      </c>
      <c r="E488" s="149" t="s">
        <v>510</v>
      </c>
      <c r="F488" s="149" t="s">
        <v>510</v>
      </c>
      <c r="G488" s="149" t="s">
        <v>510</v>
      </c>
      <c r="H488" s="149" t="s">
        <v>510</v>
      </c>
      <c r="I488" s="128">
        <v>0.9</v>
      </c>
      <c r="J488" s="129">
        <v>0.783783783783784</v>
      </c>
      <c r="K488" s="129">
        <v>0.513513513513513</v>
      </c>
      <c r="L488" s="130">
        <v>0.542857142857143</v>
      </c>
      <c r="M488" s="129">
        <v>0.695863746958638</v>
      </c>
      <c r="N488" s="131">
        <v>0.9</v>
      </c>
      <c r="O488" s="129">
        <v>0.987315875613748</v>
      </c>
      <c r="P488" s="129">
        <v>0.994423791821561</v>
      </c>
      <c r="Q488" s="129">
        <v>0.958625079567155</v>
      </c>
      <c r="R488" s="129">
        <v>0.958807395367737</v>
      </c>
      <c r="S488" s="131">
        <v>0.9</v>
      </c>
      <c r="T488" s="129">
        <v>0.801554828150573</v>
      </c>
      <c r="U488" s="129">
        <v>0.881040892193308</v>
      </c>
      <c r="V488" s="129">
        <v>0.837046467218332</v>
      </c>
      <c r="W488" s="129">
        <v>0.815522145469321</v>
      </c>
      <c r="X488" s="131">
        <v>0.92</v>
      </c>
      <c r="Y488" s="131">
        <v>0.924806201550388</v>
      </c>
      <c r="Z488" s="131">
        <v>0.889334001001502</v>
      </c>
      <c r="AA488" s="131">
        <v>0.866220735785953</v>
      </c>
      <c r="AB488" s="131">
        <v>0.861460702552439</v>
      </c>
      <c r="AC488" s="131">
        <v>0.92</v>
      </c>
      <c r="AD488" s="129">
        <v>0.99388379204893</v>
      </c>
      <c r="AE488" s="129">
        <v>0.991150442477876</v>
      </c>
      <c r="AF488" s="129">
        <v>0.995098039215686</v>
      </c>
      <c r="AG488" s="129">
        <v>0.984875672904383</v>
      </c>
      <c r="AH488" s="131">
        <v>0.92</v>
      </c>
      <c r="AI488" s="129">
        <v>0.95607927155865</v>
      </c>
      <c r="AJ488" s="129">
        <v>0.920051998700033</v>
      </c>
      <c r="AK488" s="129">
        <v>0.939627228525122</v>
      </c>
      <c r="AL488" s="129">
        <v>0.914368209102652</v>
      </c>
      <c r="AM488" s="128">
        <v>0.99</v>
      </c>
      <c r="AN488" s="133">
        <v>1</v>
      </c>
      <c r="AO488" s="133">
        <v>1</v>
      </c>
      <c r="AP488" s="133">
        <v>1</v>
      </c>
      <c r="AQ488" s="133">
        <v>1</v>
      </c>
      <c r="AR488" s="153">
        <v>0.05</v>
      </c>
      <c r="AS488" s="137">
        <v>0.333333333333333</v>
      </c>
      <c r="AT488" s="137">
        <v>0</v>
      </c>
      <c r="AU488" s="137">
        <v>0.285714285714286</v>
      </c>
      <c r="AV488" s="137">
        <v>0.115384615384615</v>
      </c>
      <c r="AW488" s="93"/>
      <c r="AX488" s="91"/>
    </row>
    <row r="489" ht="14.5" spans="1:50">
      <c r="A489" s="89"/>
      <c r="B489" s="93"/>
      <c r="C489" s="148" t="s">
        <v>371</v>
      </c>
      <c r="D489" s="126" t="s">
        <v>372</v>
      </c>
      <c r="E489" s="149" t="s">
        <v>511</v>
      </c>
      <c r="F489" s="149" t="s">
        <v>511</v>
      </c>
      <c r="G489" s="149" t="s">
        <v>511</v>
      </c>
      <c r="H489" s="149" t="s">
        <v>511</v>
      </c>
      <c r="I489" s="128">
        <v>0.9</v>
      </c>
      <c r="J489" s="129">
        <v>1</v>
      </c>
      <c r="K489" s="129">
        <v>0.976744186046512</v>
      </c>
      <c r="L489" s="130">
        <v>0.916666666666667</v>
      </c>
      <c r="M489" s="129">
        <v>0.961620469083156</v>
      </c>
      <c r="N489" s="131">
        <v>0.9</v>
      </c>
      <c r="O489" s="129">
        <v>0.990469208211144</v>
      </c>
      <c r="P489" s="129">
        <v>0.982769230769231</v>
      </c>
      <c r="Q489" s="129">
        <v>0.979106210098665</v>
      </c>
      <c r="R489" s="129">
        <v>0.980447284345048</v>
      </c>
      <c r="S489" s="131">
        <v>0.9</v>
      </c>
      <c r="T489" s="129">
        <v>0.933284457478006</v>
      </c>
      <c r="U489" s="129">
        <v>0.942153846153846</v>
      </c>
      <c r="V489" s="129">
        <v>0.87811955890888</v>
      </c>
      <c r="W489" s="129">
        <v>0.916379126730564</v>
      </c>
      <c r="X489" s="131">
        <v>0.92</v>
      </c>
      <c r="Y489" s="131">
        <v>0.938131313131313</v>
      </c>
      <c r="Z489" s="131">
        <v>0.946059678653405</v>
      </c>
      <c r="AA489" s="131">
        <v>0.903256704980843</v>
      </c>
      <c r="AB489" s="131">
        <v>0.916787169712107</v>
      </c>
      <c r="AC489" s="131">
        <v>0.92</v>
      </c>
      <c r="AD489" s="129">
        <v>0.998299030447355</v>
      </c>
      <c r="AE489" s="129">
        <v>0.995658914728682</v>
      </c>
      <c r="AF489" s="129">
        <v>0.989206534422404</v>
      </c>
      <c r="AG489" s="129">
        <v>0.988330006005421</v>
      </c>
      <c r="AH489" s="131">
        <v>0.92</v>
      </c>
      <c r="AI489" s="129">
        <v>0.962894248608534</v>
      </c>
      <c r="AJ489" s="129">
        <v>0.96085828813959</v>
      </c>
      <c r="AK489" s="129">
        <v>0.949765088543549</v>
      </c>
      <c r="AL489" s="129">
        <v>0.948208462020259</v>
      </c>
      <c r="AM489" s="128">
        <v>0.99</v>
      </c>
      <c r="AN489" s="133">
        <v>1</v>
      </c>
      <c r="AO489" s="133">
        <v>1</v>
      </c>
      <c r="AP489" s="133">
        <v>1</v>
      </c>
      <c r="AQ489" s="133">
        <v>1</v>
      </c>
      <c r="AR489" s="153">
        <v>0.05</v>
      </c>
      <c r="AS489" s="137">
        <v>0.15</v>
      </c>
      <c r="AT489" s="137">
        <v>0.125</v>
      </c>
      <c r="AU489" s="137">
        <v>0</v>
      </c>
      <c r="AV489" s="137">
        <v>0.0495495495495496</v>
      </c>
      <c r="AW489" s="93"/>
      <c r="AX489" s="91"/>
    </row>
    <row r="490" ht="14.5" spans="1:50">
      <c r="A490" s="89"/>
      <c r="B490" s="93"/>
      <c r="C490" s="148" t="s">
        <v>371</v>
      </c>
      <c r="D490" s="126" t="s">
        <v>372</v>
      </c>
      <c r="E490" s="149" t="s">
        <v>512</v>
      </c>
      <c r="F490" s="149" t="s">
        <v>512</v>
      </c>
      <c r="G490" s="149" t="s">
        <v>512</v>
      </c>
      <c r="H490" s="149" t="s">
        <v>512</v>
      </c>
      <c r="I490" s="128">
        <v>0.9</v>
      </c>
      <c r="J490" s="129">
        <v>0.923076923076923</v>
      </c>
      <c r="K490" s="129">
        <v>0.918367346938776</v>
      </c>
      <c r="L490" s="130">
        <v>0.875</v>
      </c>
      <c r="M490" s="129">
        <v>0.907534246575342</v>
      </c>
      <c r="N490" s="131">
        <v>0.9</v>
      </c>
      <c r="O490" s="129">
        <v>0.960023748268355</v>
      </c>
      <c r="P490" s="129">
        <v>0.959276018099548</v>
      </c>
      <c r="Q490" s="129">
        <v>0.965628090999011</v>
      </c>
      <c r="R490" s="129">
        <v>0.957750472589792</v>
      </c>
      <c r="S490" s="131">
        <v>0.9</v>
      </c>
      <c r="T490" s="129">
        <v>0.91925588759153</v>
      </c>
      <c r="U490" s="129">
        <v>0.954248366013072</v>
      </c>
      <c r="V490" s="129">
        <v>0.910979228486647</v>
      </c>
      <c r="W490" s="129">
        <v>0.929347826086957</v>
      </c>
      <c r="X490" s="131">
        <v>0.92</v>
      </c>
      <c r="Y490" s="131">
        <v>0.926851851851852</v>
      </c>
      <c r="Z490" s="131">
        <v>0.956245027844073</v>
      </c>
      <c r="AA490" s="131">
        <v>0.958181818181818</v>
      </c>
      <c r="AB490" s="131">
        <v>0.948821120993929</v>
      </c>
      <c r="AC490" s="131">
        <v>0.92</v>
      </c>
      <c r="AD490" s="129">
        <v>0.992227979274611</v>
      </c>
      <c r="AE490" s="129">
        <v>0.997566909975669</v>
      </c>
      <c r="AF490" s="129">
        <v>0.994219653179191</v>
      </c>
      <c r="AG490" s="129">
        <v>0.993971803597472</v>
      </c>
      <c r="AH490" s="131">
        <v>0.92</v>
      </c>
      <c r="AI490" s="129">
        <v>0.97328990228013</v>
      </c>
      <c r="AJ490" s="129">
        <v>0.976278496611214</v>
      </c>
      <c r="AK490" s="129">
        <v>0.984059097978227</v>
      </c>
      <c r="AL490" s="129">
        <v>0.979928493044002</v>
      </c>
      <c r="AM490" s="128">
        <v>0.99</v>
      </c>
      <c r="AN490" s="133">
        <v>1</v>
      </c>
      <c r="AO490" s="133">
        <v>1</v>
      </c>
      <c r="AP490" s="133">
        <v>1</v>
      </c>
      <c r="AQ490" s="133">
        <v>1</v>
      </c>
      <c r="AR490" s="153">
        <v>0.05</v>
      </c>
      <c r="AS490" s="137">
        <v>0.05</v>
      </c>
      <c r="AT490" s="137">
        <v>0.0625</v>
      </c>
      <c r="AU490" s="137">
        <v>0.1</v>
      </c>
      <c r="AV490" s="137">
        <v>0.0796019900497512</v>
      </c>
      <c r="AW490" s="93"/>
      <c r="AX490" s="91"/>
    </row>
    <row r="491" ht="14.5" spans="1:50">
      <c r="A491" s="89"/>
      <c r="B491" s="93"/>
      <c r="C491" s="148" t="s">
        <v>371</v>
      </c>
      <c r="D491" s="126" t="s">
        <v>372</v>
      </c>
      <c r="E491" s="149" t="s">
        <v>513</v>
      </c>
      <c r="F491" s="149" t="s">
        <v>513</v>
      </c>
      <c r="G491" s="149" t="s">
        <v>513</v>
      </c>
      <c r="H491" s="149" t="s">
        <v>513</v>
      </c>
      <c r="I491" s="128">
        <v>0.9</v>
      </c>
      <c r="J491" s="129">
        <v>0.95</v>
      </c>
      <c r="K491" s="129">
        <v>0.833333333333333</v>
      </c>
      <c r="L491" s="130">
        <v>0.894736842105263</v>
      </c>
      <c r="M491" s="129">
        <v>0.895981087470449</v>
      </c>
      <c r="N491" s="131">
        <v>0.9</v>
      </c>
      <c r="O491" s="129">
        <v>0.980135658914729</v>
      </c>
      <c r="P491" s="129">
        <v>0.968463302752294</v>
      </c>
      <c r="Q491" s="129">
        <v>0.951075101277657</v>
      </c>
      <c r="R491" s="129">
        <v>0.955609362389023</v>
      </c>
      <c r="S491" s="131">
        <v>0.9</v>
      </c>
      <c r="T491" s="129">
        <v>0.930232558139535</v>
      </c>
      <c r="U491" s="129">
        <v>0.907683486238532</v>
      </c>
      <c r="V491" s="129">
        <v>0.94920535992521</v>
      </c>
      <c r="W491" s="129">
        <v>0.901783974840667</v>
      </c>
      <c r="X491" s="131">
        <v>0.92</v>
      </c>
      <c r="Y491" s="131">
        <v>0.916102841677943</v>
      </c>
      <c r="Z491" s="131">
        <v>0.869767441860465</v>
      </c>
      <c r="AA491" s="131">
        <v>0.947191011235955</v>
      </c>
      <c r="AB491" s="131">
        <v>0.911001128766172</v>
      </c>
      <c r="AC491" s="131">
        <v>0.92</v>
      </c>
      <c r="AD491" s="129">
        <v>0.995919755185311</v>
      </c>
      <c r="AE491" s="129">
        <v>0.998870694522868</v>
      </c>
      <c r="AF491" s="129">
        <v>0.998926462694579</v>
      </c>
      <c r="AG491" s="129">
        <v>0.998262014483213</v>
      </c>
      <c r="AH491" s="131">
        <v>0.92</v>
      </c>
      <c r="AI491" s="129">
        <v>0.958932238193018</v>
      </c>
      <c r="AJ491" s="129">
        <v>0.912025540971976</v>
      </c>
      <c r="AK491" s="129">
        <v>0.968772871432057</v>
      </c>
      <c r="AL491" s="129">
        <v>0.95429546747582</v>
      </c>
      <c r="AM491" s="128">
        <v>0.99</v>
      </c>
      <c r="AN491" s="133">
        <v>1</v>
      </c>
      <c r="AO491" s="133">
        <v>1</v>
      </c>
      <c r="AP491" s="133">
        <v>1</v>
      </c>
      <c r="AQ491" s="133">
        <v>1</v>
      </c>
      <c r="AR491" s="153">
        <v>0.05</v>
      </c>
      <c r="AS491" s="137">
        <v>0</v>
      </c>
      <c r="AT491" s="137">
        <v>0</v>
      </c>
      <c r="AU491" s="137">
        <v>0</v>
      </c>
      <c r="AV491" s="137">
        <v>0.0305343511450382</v>
      </c>
      <c r="AW491" s="93"/>
      <c r="AX491" s="91"/>
    </row>
    <row r="492" ht="14.5" spans="1:50">
      <c r="A492" s="89"/>
      <c r="B492" s="93"/>
      <c r="C492" s="148" t="s">
        <v>371</v>
      </c>
      <c r="D492" s="126" t="s">
        <v>372</v>
      </c>
      <c r="E492" s="149" t="s">
        <v>514</v>
      </c>
      <c r="F492" s="149" t="s">
        <v>514</v>
      </c>
      <c r="G492" s="149" t="s">
        <v>514</v>
      </c>
      <c r="H492" s="149" t="s">
        <v>514</v>
      </c>
      <c r="I492" s="128">
        <v>0.9</v>
      </c>
      <c r="J492" s="129">
        <v>0.959183673469388</v>
      </c>
      <c r="K492" s="129">
        <v>0.953488372093023</v>
      </c>
      <c r="L492" s="130">
        <v>0.979591836734694</v>
      </c>
      <c r="M492" s="129">
        <v>0.965201465201465</v>
      </c>
      <c r="N492" s="131">
        <v>0.9</v>
      </c>
      <c r="O492" s="129">
        <v>0.5</v>
      </c>
      <c r="P492" s="129">
        <v>0.666666666666667</v>
      </c>
      <c r="Q492" s="129" t="s">
        <v>33</v>
      </c>
      <c r="R492" s="129">
        <v>0.666666666666667</v>
      </c>
      <c r="S492" s="131">
        <v>0.9</v>
      </c>
      <c r="T492" s="129">
        <v>0</v>
      </c>
      <c r="U492" s="129">
        <v>0.666666666666667</v>
      </c>
      <c r="V492" s="129" t="s">
        <v>33</v>
      </c>
      <c r="W492" s="129">
        <v>0.333333333333333</v>
      </c>
      <c r="X492" s="131">
        <v>0.92</v>
      </c>
      <c r="Y492" s="131">
        <v>0</v>
      </c>
      <c r="Z492" s="131" t="s">
        <v>33</v>
      </c>
      <c r="AA492" s="131" t="s">
        <v>33</v>
      </c>
      <c r="AB492" s="131">
        <v>0</v>
      </c>
      <c r="AC492" s="131">
        <v>0.92</v>
      </c>
      <c r="AD492" s="129">
        <v>0.997113997113997</v>
      </c>
      <c r="AE492" s="129">
        <v>0.997666277712952</v>
      </c>
      <c r="AF492" s="129">
        <v>0.982558139534884</v>
      </c>
      <c r="AG492" s="129">
        <v>0.988702623906705</v>
      </c>
      <c r="AH492" s="131">
        <v>0.92</v>
      </c>
      <c r="AI492" s="129">
        <v>0.972363831499866</v>
      </c>
      <c r="AJ492" s="129">
        <v>0.967408585055644</v>
      </c>
      <c r="AK492" s="129">
        <v>0.979391756702681</v>
      </c>
      <c r="AL492" s="129">
        <v>0.972448926547798</v>
      </c>
      <c r="AM492" s="128">
        <v>0.99</v>
      </c>
      <c r="AN492" s="133">
        <v>1</v>
      </c>
      <c r="AO492" s="133">
        <v>1</v>
      </c>
      <c r="AP492" s="133">
        <v>1</v>
      </c>
      <c r="AQ492" s="133">
        <v>1</v>
      </c>
      <c r="AR492" s="153">
        <v>0.05</v>
      </c>
      <c r="AS492" s="137">
        <v>0</v>
      </c>
      <c r="AT492" s="137">
        <v>0</v>
      </c>
      <c r="AU492" s="137">
        <v>0.105263157894737</v>
      </c>
      <c r="AV492" s="137">
        <v>0.0739130434782609</v>
      </c>
      <c r="AW492" s="93"/>
      <c r="AX492" s="91"/>
    </row>
    <row r="493" ht="14.5" spans="1:50">
      <c r="A493" s="89"/>
      <c r="B493" s="93"/>
      <c r="C493" s="148" t="s">
        <v>371</v>
      </c>
      <c r="D493" s="126" t="s">
        <v>372</v>
      </c>
      <c r="E493" s="149" t="s">
        <v>515</v>
      </c>
      <c r="F493" s="149" t="s">
        <v>515</v>
      </c>
      <c r="G493" s="149" t="s">
        <v>515</v>
      </c>
      <c r="H493" s="149" t="s">
        <v>515</v>
      </c>
      <c r="I493" s="128">
        <v>0.9</v>
      </c>
      <c r="J493" s="129">
        <v>0.927272727272727</v>
      </c>
      <c r="K493" s="129">
        <v>0.861111111111111</v>
      </c>
      <c r="L493" s="130">
        <v>0.92156862745098</v>
      </c>
      <c r="M493" s="129">
        <v>0.888519134775374</v>
      </c>
      <c r="N493" s="131">
        <v>0.9</v>
      </c>
      <c r="O493" s="129">
        <v>0</v>
      </c>
      <c r="P493" s="129">
        <v>0</v>
      </c>
      <c r="Q493" s="129">
        <v>0</v>
      </c>
      <c r="R493" s="129">
        <v>0</v>
      </c>
      <c r="S493" s="131">
        <v>0.9</v>
      </c>
      <c r="T493" s="129">
        <v>0</v>
      </c>
      <c r="U493" s="129">
        <v>0</v>
      </c>
      <c r="V493" s="129">
        <v>0</v>
      </c>
      <c r="W493" s="129">
        <v>0.269230769230769</v>
      </c>
      <c r="X493" s="131">
        <v>0.92</v>
      </c>
      <c r="Y493" s="131">
        <v>0</v>
      </c>
      <c r="Z493" s="131">
        <v>0</v>
      </c>
      <c r="AA493" s="131">
        <v>0</v>
      </c>
      <c r="AB493" s="131">
        <v>0.125</v>
      </c>
      <c r="AC493" s="131">
        <v>0.92</v>
      </c>
      <c r="AD493" s="129">
        <v>1</v>
      </c>
      <c r="AE493" s="129">
        <v>0.952646239554318</v>
      </c>
      <c r="AF493" s="129">
        <v>0.995841995841996</v>
      </c>
      <c r="AG493" s="129">
        <v>0.987438939288207</v>
      </c>
      <c r="AH493" s="131">
        <v>0.92</v>
      </c>
      <c r="AI493" s="129">
        <v>0.896077337795129</v>
      </c>
      <c r="AJ493" s="129">
        <v>0.783582089552239</v>
      </c>
      <c r="AK493" s="129">
        <v>0.94218814753419</v>
      </c>
      <c r="AL493" s="129">
        <v>0.917497584717184</v>
      </c>
      <c r="AM493" s="128">
        <v>0.99</v>
      </c>
      <c r="AN493" s="133">
        <v>1</v>
      </c>
      <c r="AO493" s="133">
        <v>1</v>
      </c>
      <c r="AP493" s="133">
        <v>1</v>
      </c>
      <c r="AQ493" s="133">
        <v>1</v>
      </c>
      <c r="AR493" s="153">
        <v>0.05</v>
      </c>
      <c r="AS493" s="137">
        <v>0</v>
      </c>
      <c r="AT493" s="137">
        <v>0</v>
      </c>
      <c r="AU493" s="137">
        <v>0</v>
      </c>
      <c r="AV493" s="137">
        <v>0.0470588235294118</v>
      </c>
      <c r="AW493" s="93"/>
      <c r="AX493" s="91"/>
    </row>
    <row r="494" ht="14.5" spans="1:50">
      <c r="A494" s="89"/>
      <c r="B494" s="93"/>
      <c r="C494" s="148" t="s">
        <v>371</v>
      </c>
      <c r="D494" s="126" t="s">
        <v>372</v>
      </c>
      <c r="E494" s="149" t="s">
        <v>516</v>
      </c>
      <c r="F494" s="149" t="s">
        <v>516</v>
      </c>
      <c r="G494" s="149" t="s">
        <v>516</v>
      </c>
      <c r="H494" s="149" t="s">
        <v>516</v>
      </c>
      <c r="I494" s="128">
        <v>0.9</v>
      </c>
      <c r="J494" s="129">
        <v>0.972972972972973</v>
      </c>
      <c r="K494" s="129">
        <v>0.935483870967742</v>
      </c>
      <c r="L494" s="130">
        <v>0.972972972972973</v>
      </c>
      <c r="M494" s="129">
        <v>0.919117647058823</v>
      </c>
      <c r="N494" s="131">
        <v>0.9</v>
      </c>
      <c r="O494" s="129">
        <v>0.90875486381323</v>
      </c>
      <c r="P494" s="129">
        <v>0.907949790794979</v>
      </c>
      <c r="Q494" s="129">
        <v>0.941662364481156</v>
      </c>
      <c r="R494" s="129">
        <v>0.925433766488021</v>
      </c>
      <c r="S494" s="131">
        <v>0.9</v>
      </c>
      <c r="T494" s="129">
        <v>0.828210116731518</v>
      </c>
      <c r="U494" s="129">
        <v>0.898326359832636</v>
      </c>
      <c r="V494" s="129">
        <v>0.893649974186887</v>
      </c>
      <c r="W494" s="129">
        <v>0.870689866138071</v>
      </c>
      <c r="X494" s="131">
        <v>0.92</v>
      </c>
      <c r="Y494" s="131" t="s">
        <v>33</v>
      </c>
      <c r="Z494" s="131">
        <v>0</v>
      </c>
      <c r="AA494" s="131" t="s">
        <v>33</v>
      </c>
      <c r="AB494" s="131">
        <v>0.5</v>
      </c>
      <c r="AC494" s="131">
        <v>0.92</v>
      </c>
      <c r="AD494" s="129">
        <v>0.998825601879037</v>
      </c>
      <c r="AE494" s="129">
        <v>0.99611838913149</v>
      </c>
      <c r="AF494" s="129">
        <v>0.997198879551821</v>
      </c>
      <c r="AG494" s="129">
        <v>0.996777243038845</v>
      </c>
      <c r="AH494" s="131">
        <v>0.92</v>
      </c>
      <c r="AI494" s="129">
        <v>0.962674961119751</v>
      </c>
      <c r="AJ494" s="129">
        <v>0.961522375575073</v>
      </c>
      <c r="AK494" s="129">
        <v>0.98218895198761</v>
      </c>
      <c r="AL494" s="129">
        <v>0.965504587155963</v>
      </c>
      <c r="AM494" s="128">
        <v>0.99</v>
      </c>
      <c r="AN494" s="133">
        <v>1</v>
      </c>
      <c r="AO494" s="133">
        <v>1</v>
      </c>
      <c r="AP494" s="133">
        <v>1</v>
      </c>
      <c r="AQ494" s="133">
        <v>1</v>
      </c>
      <c r="AR494" s="153">
        <v>0.05</v>
      </c>
      <c r="AS494" s="137">
        <v>0.2</v>
      </c>
      <c r="AT494" s="137">
        <v>0.166666666666667</v>
      </c>
      <c r="AU494" s="137">
        <v>0.166666666666667</v>
      </c>
      <c r="AV494" s="137">
        <v>0.0738255033557047</v>
      </c>
      <c r="AW494" s="93"/>
      <c r="AX494" s="91"/>
    </row>
    <row r="495" ht="14.5" spans="1:50">
      <c r="A495" s="89"/>
      <c r="B495" s="93"/>
      <c r="C495" s="148" t="s">
        <v>371</v>
      </c>
      <c r="D495" s="126" t="s">
        <v>372</v>
      </c>
      <c r="E495" s="149" t="s">
        <v>517</v>
      </c>
      <c r="F495" s="149" t="s">
        <v>517</v>
      </c>
      <c r="G495" s="149" t="s">
        <v>517</v>
      </c>
      <c r="H495" s="149" t="s">
        <v>517</v>
      </c>
      <c r="I495" s="128">
        <v>0.9</v>
      </c>
      <c r="J495" s="129">
        <v>0.938775510204082</v>
      </c>
      <c r="K495" s="129">
        <v>0.976744186046512</v>
      </c>
      <c r="L495" s="130">
        <v>0.918367346938776</v>
      </c>
      <c r="M495" s="129">
        <v>0.967181467181467</v>
      </c>
      <c r="N495" s="131">
        <v>0.9</v>
      </c>
      <c r="O495" s="129">
        <v>0.946927374301676</v>
      </c>
      <c r="P495" s="129">
        <v>0.969310670443815</v>
      </c>
      <c r="Q495" s="129">
        <v>0.958167796214069</v>
      </c>
      <c r="R495" s="129">
        <v>0.960285546469073</v>
      </c>
      <c r="S495" s="131">
        <v>0.9</v>
      </c>
      <c r="T495" s="129">
        <v>0.897392923649907</v>
      </c>
      <c r="U495" s="129">
        <v>0.936260623229462</v>
      </c>
      <c r="V495" s="129">
        <v>0.922178078990418</v>
      </c>
      <c r="W495" s="129">
        <v>0.912958026476302</v>
      </c>
      <c r="X495" s="131">
        <v>0.92</v>
      </c>
      <c r="Y495" s="131">
        <v>0.903790087463557</v>
      </c>
      <c r="Z495" s="131">
        <v>0.918272937548188</v>
      </c>
      <c r="AA495" s="131">
        <v>0.924254633360193</v>
      </c>
      <c r="AB495" s="131">
        <v>0.903298045602606</v>
      </c>
      <c r="AC495" s="131">
        <v>0.92</v>
      </c>
      <c r="AD495" s="129">
        <v>0.997791275538377</v>
      </c>
      <c r="AE495" s="129">
        <v>0.989252814738997</v>
      </c>
      <c r="AF495" s="129">
        <v>0.998254037538193</v>
      </c>
      <c r="AG495" s="129">
        <v>0.993980969240983</v>
      </c>
      <c r="AH495" s="131">
        <v>0.92</v>
      </c>
      <c r="AI495" s="129">
        <v>0.953956609957859</v>
      </c>
      <c r="AJ495" s="129">
        <v>0.953161592505855</v>
      </c>
      <c r="AK495" s="129">
        <v>0.96667270422025</v>
      </c>
      <c r="AL495" s="129">
        <v>0.95394469296462</v>
      </c>
      <c r="AM495" s="128">
        <v>0.99</v>
      </c>
      <c r="AN495" s="133">
        <v>1</v>
      </c>
      <c r="AO495" s="133">
        <v>1</v>
      </c>
      <c r="AP495" s="133">
        <v>1</v>
      </c>
      <c r="AQ495" s="133">
        <v>1</v>
      </c>
      <c r="AR495" s="153">
        <v>0.05</v>
      </c>
      <c r="AS495" s="137">
        <v>0.0526315789473684</v>
      </c>
      <c r="AT495" s="137">
        <v>0.0454545454545455</v>
      </c>
      <c r="AU495" s="137">
        <v>0</v>
      </c>
      <c r="AV495" s="137">
        <v>0.027972027972028</v>
      </c>
      <c r="AW495" s="93"/>
      <c r="AX495" s="91"/>
    </row>
    <row r="496" ht="14.5" spans="1:50">
      <c r="A496" s="89"/>
      <c r="B496" s="93"/>
      <c r="C496" s="148" t="s">
        <v>371</v>
      </c>
      <c r="D496" s="126" t="s">
        <v>372</v>
      </c>
      <c r="E496" s="149" t="s">
        <v>518</v>
      </c>
      <c r="F496" s="149" t="s">
        <v>518</v>
      </c>
      <c r="G496" s="149" t="s">
        <v>518</v>
      </c>
      <c r="H496" s="149" t="s">
        <v>518</v>
      </c>
      <c r="I496" s="128">
        <v>0.9</v>
      </c>
      <c r="J496" s="129">
        <v>0.978260869565217</v>
      </c>
      <c r="K496" s="129">
        <v>0.954545454545455</v>
      </c>
      <c r="L496" s="130">
        <v>0.977272727272727</v>
      </c>
      <c r="M496" s="129">
        <v>0.975</v>
      </c>
      <c r="N496" s="131">
        <v>0.9</v>
      </c>
      <c r="O496" s="129">
        <v>0.976022566995769</v>
      </c>
      <c r="P496" s="129">
        <v>0.961463414634146</v>
      </c>
      <c r="Q496" s="129">
        <v>0.977062853738457</v>
      </c>
      <c r="R496" s="129">
        <v>0.976457928717653</v>
      </c>
      <c r="S496" s="131">
        <v>0.9</v>
      </c>
      <c r="T496" s="129">
        <v>0.88696353012291</v>
      </c>
      <c r="U496" s="129">
        <v>0.91219512195122</v>
      </c>
      <c r="V496" s="129">
        <v>0.915996425379803</v>
      </c>
      <c r="W496" s="129">
        <v>0.921290220985775</v>
      </c>
      <c r="X496" s="131">
        <v>0.92</v>
      </c>
      <c r="Y496" s="131">
        <v>0.920411985018727</v>
      </c>
      <c r="Z496" s="131">
        <v>0.946268656716418</v>
      </c>
      <c r="AA496" s="131">
        <v>0.936651583710407</v>
      </c>
      <c r="AB496" s="131">
        <v>0.934736511427001</v>
      </c>
      <c r="AC496" s="131">
        <v>0.92</v>
      </c>
      <c r="AD496" s="129">
        <v>0.997711670480549</v>
      </c>
      <c r="AE496" s="129">
        <v>1</v>
      </c>
      <c r="AF496" s="129">
        <v>0.998153277931671</v>
      </c>
      <c r="AG496" s="129">
        <v>0.998346361996392</v>
      </c>
      <c r="AH496" s="131">
        <v>0.92</v>
      </c>
      <c r="AI496" s="129">
        <v>0.964380384360504</v>
      </c>
      <c r="AJ496" s="129">
        <v>0.968455188679245</v>
      </c>
      <c r="AK496" s="129">
        <v>0.97355445988346</v>
      </c>
      <c r="AL496" s="129">
        <v>0.972071983479202</v>
      </c>
      <c r="AM496" s="128">
        <v>0.99</v>
      </c>
      <c r="AN496" s="133">
        <v>1</v>
      </c>
      <c r="AO496" s="133">
        <v>1</v>
      </c>
      <c r="AP496" s="133">
        <v>1</v>
      </c>
      <c r="AQ496" s="133">
        <v>1</v>
      </c>
      <c r="AR496" s="153">
        <v>0.05</v>
      </c>
      <c r="AS496" s="137">
        <v>0</v>
      </c>
      <c r="AT496" s="137">
        <v>0.142857142857143</v>
      </c>
      <c r="AU496" s="137">
        <v>0</v>
      </c>
      <c r="AV496" s="137">
        <v>0.0419161676646707</v>
      </c>
      <c r="AW496" s="93"/>
      <c r="AX496" s="91"/>
    </row>
    <row r="497" ht="14.5" spans="1:50">
      <c r="A497" s="89"/>
      <c r="B497" s="93"/>
      <c r="C497" s="148" t="s">
        <v>371</v>
      </c>
      <c r="D497" s="126" t="s">
        <v>372</v>
      </c>
      <c r="E497" s="149" t="s">
        <v>519</v>
      </c>
      <c r="F497" s="149" t="s">
        <v>519</v>
      </c>
      <c r="G497" s="149" t="s">
        <v>519</v>
      </c>
      <c r="H497" s="149" t="s">
        <v>519</v>
      </c>
      <c r="I497" s="128">
        <v>0.9</v>
      </c>
      <c r="J497" s="129">
        <v>1</v>
      </c>
      <c r="K497" s="129">
        <v>0.968253968253968</v>
      </c>
      <c r="L497" s="130">
        <v>0.962962962962963</v>
      </c>
      <c r="M497" s="129">
        <v>0.981262327416174</v>
      </c>
      <c r="N497" s="131">
        <v>0.9</v>
      </c>
      <c r="O497" s="129">
        <v>0.964272422776331</v>
      </c>
      <c r="P497" s="129">
        <v>0.977746478873239</v>
      </c>
      <c r="Q497" s="129">
        <v>0.982740348221045</v>
      </c>
      <c r="R497" s="129">
        <v>0.979560879287573</v>
      </c>
      <c r="S497" s="131">
        <v>0.9</v>
      </c>
      <c r="T497" s="129">
        <v>0.9387172807344</v>
      </c>
      <c r="U497" s="129">
        <v>0.911830985915493</v>
      </c>
      <c r="V497" s="129">
        <v>0.963512490537472</v>
      </c>
      <c r="W497" s="129">
        <v>0.946345673523296</v>
      </c>
      <c r="X497" s="131">
        <v>0.92</v>
      </c>
      <c r="Y497" s="131">
        <v>0.93339815264949</v>
      </c>
      <c r="Z497" s="131">
        <v>0.926905132192846</v>
      </c>
      <c r="AA497" s="131">
        <v>0.935376415722851</v>
      </c>
      <c r="AB497" s="131">
        <v>0.942188107267781</v>
      </c>
      <c r="AC497" s="131">
        <v>0.92</v>
      </c>
      <c r="AD497" s="129">
        <v>0.993927125506073</v>
      </c>
      <c r="AE497" s="129">
        <v>0.995115995115995</v>
      </c>
      <c r="AF497" s="129">
        <v>0.983899821109123</v>
      </c>
      <c r="AG497" s="129">
        <v>0.981810115350488</v>
      </c>
      <c r="AH497" s="131">
        <v>0.92</v>
      </c>
      <c r="AI497" s="129">
        <v>0.967697322927986</v>
      </c>
      <c r="AJ497" s="129">
        <v>0.963510308337895</v>
      </c>
      <c r="AK497" s="129">
        <v>0.981253083374445</v>
      </c>
      <c r="AL497" s="129">
        <v>0.980654133402009</v>
      </c>
      <c r="AM497" s="128">
        <v>0.99</v>
      </c>
      <c r="AN497" s="133">
        <v>1</v>
      </c>
      <c r="AO497" s="133">
        <v>1</v>
      </c>
      <c r="AP497" s="133">
        <v>1</v>
      </c>
      <c r="AQ497" s="133">
        <v>1</v>
      </c>
      <c r="AR497" s="153">
        <v>0.05</v>
      </c>
      <c r="AS497" s="137">
        <v>0</v>
      </c>
      <c r="AT497" s="137">
        <v>0</v>
      </c>
      <c r="AU497" s="137">
        <v>0.05</v>
      </c>
      <c r="AV497" s="137">
        <v>0.0527950310559006</v>
      </c>
      <c r="AW497" s="93"/>
      <c r="AX497" s="91"/>
    </row>
    <row r="498" ht="14.5" spans="1:50">
      <c r="A498" s="89"/>
      <c r="B498" s="93"/>
      <c r="C498" s="148" t="s">
        <v>371</v>
      </c>
      <c r="D498" s="126" t="s">
        <v>372</v>
      </c>
      <c r="E498" s="149" t="s">
        <v>520</v>
      </c>
      <c r="F498" s="149" t="s">
        <v>520</v>
      </c>
      <c r="G498" s="149" t="s">
        <v>520</v>
      </c>
      <c r="H498" s="149" t="s">
        <v>520</v>
      </c>
      <c r="I498" s="128">
        <v>0.9</v>
      </c>
      <c r="J498" s="129">
        <v>0.911764705882353</v>
      </c>
      <c r="K498" s="129">
        <v>0.961538461538462</v>
      </c>
      <c r="L498" s="130">
        <v>0.9375</v>
      </c>
      <c r="M498" s="129">
        <v>0.967302452316076</v>
      </c>
      <c r="N498" s="131">
        <v>0.9</v>
      </c>
      <c r="O498" s="129">
        <v>1</v>
      </c>
      <c r="P498" s="129" t="s">
        <v>33</v>
      </c>
      <c r="Q498" s="129" t="s">
        <v>33</v>
      </c>
      <c r="R498" s="129">
        <v>0.666666666666667</v>
      </c>
      <c r="S498" s="131">
        <v>0.9</v>
      </c>
      <c r="T498" s="129">
        <v>0</v>
      </c>
      <c r="U498" s="129" t="s">
        <v>33</v>
      </c>
      <c r="V498" s="129" t="s">
        <v>33</v>
      </c>
      <c r="W498" s="129">
        <v>0.166666666666667</v>
      </c>
      <c r="X498" s="131">
        <v>0.92</v>
      </c>
      <c r="Y498" s="131">
        <v>0</v>
      </c>
      <c r="Z498" s="131" t="s">
        <v>33</v>
      </c>
      <c r="AA498" s="131">
        <v>1</v>
      </c>
      <c r="AB498" s="131">
        <v>0.333333333333333</v>
      </c>
      <c r="AC498" s="131">
        <v>0.92</v>
      </c>
      <c r="AD498" s="129">
        <v>1</v>
      </c>
      <c r="AE498" s="129">
        <v>0.895522388059702</v>
      </c>
      <c r="AF498" s="129">
        <v>1</v>
      </c>
      <c r="AG498" s="129">
        <v>0.96875</v>
      </c>
      <c r="AH498" s="131">
        <v>0.92</v>
      </c>
      <c r="AI498" s="129">
        <v>0.973980309423347</v>
      </c>
      <c r="AJ498" s="129">
        <v>0.982420894023104</v>
      </c>
      <c r="AK498" s="129">
        <v>0.982176110667731</v>
      </c>
      <c r="AL498" s="129">
        <v>0.984152343649342</v>
      </c>
      <c r="AM498" s="128">
        <v>0.99</v>
      </c>
      <c r="AN498" s="133">
        <v>1</v>
      </c>
      <c r="AO498" s="133">
        <v>1</v>
      </c>
      <c r="AP498" s="133">
        <v>1</v>
      </c>
      <c r="AQ498" s="133">
        <v>1</v>
      </c>
      <c r="AR498" s="153">
        <v>0.05</v>
      </c>
      <c r="AS498" s="137">
        <v>0</v>
      </c>
      <c r="AT498" s="137">
        <v>0.285714285714286</v>
      </c>
      <c r="AU498" s="137">
        <v>0</v>
      </c>
      <c r="AV498" s="137">
        <v>0.0365853658536585</v>
      </c>
      <c r="AW498" s="93"/>
      <c r="AX498" s="91"/>
    </row>
    <row r="499" ht="14.5" spans="1:50">
      <c r="A499" s="89"/>
      <c r="B499" s="93"/>
      <c r="C499" s="148" t="s">
        <v>371</v>
      </c>
      <c r="D499" s="126" t="s">
        <v>372</v>
      </c>
      <c r="E499" s="149" t="s">
        <v>521</v>
      </c>
      <c r="F499" s="149" t="s">
        <v>521</v>
      </c>
      <c r="G499" s="149" t="s">
        <v>521</v>
      </c>
      <c r="H499" s="149" t="s">
        <v>521</v>
      </c>
      <c r="I499" s="128">
        <v>0.9</v>
      </c>
      <c r="J499" s="129">
        <v>0.933333333333333</v>
      </c>
      <c r="K499" s="129">
        <v>0.784313725490196</v>
      </c>
      <c r="L499" s="130">
        <v>0.925925925925926</v>
      </c>
      <c r="M499" s="129">
        <v>0.915902140672783</v>
      </c>
      <c r="N499" s="131">
        <v>0.9</v>
      </c>
      <c r="O499" s="129">
        <v>1</v>
      </c>
      <c r="P499" s="129">
        <v>1</v>
      </c>
      <c r="Q499" s="129">
        <v>0.5</v>
      </c>
      <c r="R499" s="129">
        <v>0.769230769230769</v>
      </c>
      <c r="S499" s="131">
        <v>0.9</v>
      </c>
      <c r="T499" s="129">
        <v>0</v>
      </c>
      <c r="U499" s="129">
        <v>0.5</v>
      </c>
      <c r="V499" s="129">
        <v>0</v>
      </c>
      <c r="W499" s="129">
        <v>0.153846153846154</v>
      </c>
      <c r="X499" s="131">
        <v>0.92</v>
      </c>
      <c r="Y499" s="131" t="s">
        <v>33</v>
      </c>
      <c r="Z499" s="131">
        <v>0</v>
      </c>
      <c r="AA499" s="131" t="s">
        <v>33</v>
      </c>
      <c r="AB499" s="131">
        <v>0</v>
      </c>
      <c r="AC499" s="131">
        <v>0.92</v>
      </c>
      <c r="AD499" s="129">
        <v>0.982532751091703</v>
      </c>
      <c r="AE499" s="129">
        <v>0.991341991341991</v>
      </c>
      <c r="AF499" s="129">
        <v>0.983108108108108</v>
      </c>
      <c r="AG499" s="129">
        <v>0.98873137041076</v>
      </c>
      <c r="AH499" s="131">
        <v>0.92</v>
      </c>
      <c r="AI499" s="129">
        <v>0.975854584915898</v>
      </c>
      <c r="AJ499" s="129">
        <v>0.967152317880795</v>
      </c>
      <c r="AK499" s="129">
        <v>0.97344262295082</v>
      </c>
      <c r="AL499" s="129">
        <v>0.968973833572089</v>
      </c>
      <c r="AM499" s="128">
        <v>0.99</v>
      </c>
      <c r="AN499" s="133">
        <v>1</v>
      </c>
      <c r="AO499" s="133">
        <v>1</v>
      </c>
      <c r="AP499" s="133">
        <v>1</v>
      </c>
      <c r="AQ499" s="133">
        <v>1</v>
      </c>
      <c r="AR499" s="153">
        <v>0.05</v>
      </c>
      <c r="AS499" s="137">
        <v>0</v>
      </c>
      <c r="AT499" s="137">
        <v>0.125</v>
      </c>
      <c r="AU499" s="137">
        <v>0.0952380952380952</v>
      </c>
      <c r="AV499" s="137">
        <v>0.0328638497652582</v>
      </c>
      <c r="AW499" s="93"/>
      <c r="AX499" s="91"/>
    </row>
    <row r="500" ht="14.5" spans="1:50">
      <c r="A500" s="89"/>
      <c r="B500" s="93"/>
      <c r="C500" s="148" t="s">
        <v>371</v>
      </c>
      <c r="D500" s="126" t="s">
        <v>372</v>
      </c>
      <c r="E500" s="149" t="s">
        <v>522</v>
      </c>
      <c r="F500" s="149" t="s">
        <v>522</v>
      </c>
      <c r="G500" s="149" t="s">
        <v>522</v>
      </c>
      <c r="H500" s="149" t="s">
        <v>522</v>
      </c>
      <c r="I500" s="128">
        <v>0.9</v>
      </c>
      <c r="J500" s="129">
        <v>0.956521739130435</v>
      </c>
      <c r="K500" s="129">
        <v>0.882352941176471</v>
      </c>
      <c r="L500" s="130">
        <v>0.952380952380952</v>
      </c>
      <c r="M500" s="129">
        <v>0.927756653992395</v>
      </c>
      <c r="N500" s="131">
        <v>0.9</v>
      </c>
      <c r="O500" s="129" t="s">
        <v>33</v>
      </c>
      <c r="P500" s="129" t="s">
        <v>33</v>
      </c>
      <c r="Q500" s="129" t="s">
        <v>33</v>
      </c>
      <c r="R500" s="129">
        <v>1</v>
      </c>
      <c r="S500" s="131">
        <v>0.9</v>
      </c>
      <c r="T500" s="129" t="s">
        <v>33</v>
      </c>
      <c r="U500" s="129" t="s">
        <v>33</v>
      </c>
      <c r="V500" s="129" t="s">
        <v>33</v>
      </c>
      <c r="W500" s="129">
        <v>1</v>
      </c>
      <c r="X500" s="131">
        <v>0.92</v>
      </c>
      <c r="Y500" s="131" t="s">
        <v>33</v>
      </c>
      <c r="Z500" s="131" t="s">
        <v>33</v>
      </c>
      <c r="AA500" s="131" t="s">
        <v>33</v>
      </c>
      <c r="AB500" s="131">
        <v>1</v>
      </c>
      <c r="AC500" s="131">
        <v>0.92</v>
      </c>
      <c r="AD500" s="129">
        <v>0.991525423728814</v>
      </c>
      <c r="AE500" s="129">
        <v>0.785714285714286</v>
      </c>
      <c r="AF500" s="129">
        <v>0.980132450331126</v>
      </c>
      <c r="AG500" s="129">
        <v>0.914357682619647</v>
      </c>
      <c r="AH500" s="131">
        <v>0.92</v>
      </c>
      <c r="AI500" s="129">
        <v>0.933810375670841</v>
      </c>
      <c r="AJ500" s="129">
        <v>0.908969210174029</v>
      </c>
      <c r="AK500" s="129">
        <v>0.968550955414013</v>
      </c>
      <c r="AL500" s="129">
        <v>0.963026784041955</v>
      </c>
      <c r="AM500" s="128">
        <v>0.99</v>
      </c>
      <c r="AN500" s="133">
        <v>1</v>
      </c>
      <c r="AO500" s="133">
        <v>1</v>
      </c>
      <c r="AP500" s="133">
        <v>1</v>
      </c>
      <c r="AQ500" s="133">
        <v>1</v>
      </c>
      <c r="AR500" s="153">
        <v>0.05</v>
      </c>
      <c r="AS500" s="137">
        <v>0</v>
      </c>
      <c r="AT500" s="137">
        <v>2</v>
      </c>
      <c r="AU500" s="137">
        <v>0.2</v>
      </c>
      <c r="AV500" s="137">
        <v>0.0845070422535211</v>
      </c>
      <c r="AW500" s="93"/>
      <c r="AX500" s="91"/>
    </row>
    <row r="501" ht="14.5" spans="1:50">
      <c r="A501" s="89"/>
      <c r="B501" s="93"/>
      <c r="C501" s="148" t="s">
        <v>371</v>
      </c>
      <c r="D501" s="126" t="s">
        <v>372</v>
      </c>
      <c r="E501" s="149" t="s">
        <v>523</v>
      </c>
      <c r="F501" s="149" t="s">
        <v>523</v>
      </c>
      <c r="G501" s="149" t="s">
        <v>523</v>
      </c>
      <c r="H501" s="149" t="s">
        <v>523</v>
      </c>
      <c r="I501" s="128">
        <v>0.9</v>
      </c>
      <c r="J501" s="129">
        <v>0.953125</v>
      </c>
      <c r="K501" s="129">
        <v>0.924528301886792</v>
      </c>
      <c r="L501" s="130">
        <v>0.934426229508197</v>
      </c>
      <c r="M501" s="129">
        <v>0.922962962962963</v>
      </c>
      <c r="N501" s="131">
        <v>0.9</v>
      </c>
      <c r="O501" s="129">
        <v>0.962894868794919</v>
      </c>
      <c r="P501" s="129">
        <v>0.965545196595055</v>
      </c>
      <c r="Q501" s="129">
        <v>0.970263381478335</v>
      </c>
      <c r="R501" s="129">
        <v>0.957226689021834</v>
      </c>
      <c r="S501" s="131">
        <v>0.9</v>
      </c>
      <c r="T501" s="129">
        <v>0.905900050142069</v>
      </c>
      <c r="U501" s="129">
        <v>0.939197405755979</v>
      </c>
      <c r="V501" s="129">
        <v>0.912276975361088</v>
      </c>
      <c r="W501" s="129">
        <v>0.874919026025988</v>
      </c>
      <c r="X501" s="131">
        <v>0.92</v>
      </c>
      <c r="Y501" s="131">
        <v>0.95</v>
      </c>
      <c r="Z501" s="131">
        <v>0.939938080495356</v>
      </c>
      <c r="AA501" s="131">
        <v>0.941052631578947</v>
      </c>
      <c r="AB501" s="131">
        <v>0.91663897197297</v>
      </c>
      <c r="AC501" s="131">
        <v>0.92</v>
      </c>
      <c r="AD501" s="129">
        <v>0.997341839447103</v>
      </c>
      <c r="AE501" s="129">
        <v>0.996708721886999</v>
      </c>
      <c r="AF501" s="129">
        <v>0.995110024449878</v>
      </c>
      <c r="AG501" s="129">
        <v>0.993556701030928</v>
      </c>
      <c r="AH501" s="131">
        <v>0.92</v>
      </c>
      <c r="AI501" s="129">
        <v>0.975248198014416</v>
      </c>
      <c r="AJ501" s="129">
        <v>0.96937775600196</v>
      </c>
      <c r="AK501" s="129">
        <v>0.979139504563233</v>
      </c>
      <c r="AL501" s="129">
        <v>0.962727813837476</v>
      </c>
      <c r="AM501" s="128">
        <v>0.99</v>
      </c>
      <c r="AN501" s="133">
        <v>1</v>
      </c>
      <c r="AO501" s="133">
        <v>1</v>
      </c>
      <c r="AP501" s="133">
        <v>1</v>
      </c>
      <c r="AQ501" s="133">
        <v>1</v>
      </c>
      <c r="AR501" s="153">
        <v>0.05</v>
      </c>
      <c r="AS501" s="137">
        <v>0.222222222222222</v>
      </c>
      <c r="AT501" s="137">
        <v>0</v>
      </c>
      <c r="AU501" s="137">
        <v>0.111111111111111</v>
      </c>
      <c r="AV501" s="137">
        <v>0.0797872340425532</v>
      </c>
      <c r="AW501" s="93"/>
      <c r="AX501" s="91"/>
    </row>
    <row r="502" ht="14.5" spans="1:50">
      <c r="A502" s="89"/>
      <c r="B502" s="93"/>
      <c r="C502" s="148" t="s">
        <v>371</v>
      </c>
      <c r="D502" s="126" t="s">
        <v>372</v>
      </c>
      <c r="E502" s="149" t="s">
        <v>524</v>
      </c>
      <c r="F502" s="149" t="s">
        <v>524</v>
      </c>
      <c r="G502" s="149" t="s">
        <v>524</v>
      </c>
      <c r="H502" s="149" t="s">
        <v>524</v>
      </c>
      <c r="I502" s="128">
        <v>0.9</v>
      </c>
      <c r="J502" s="129">
        <v>0.9375</v>
      </c>
      <c r="K502" s="129">
        <v>0.923076923076923</v>
      </c>
      <c r="L502" s="130">
        <v>1</v>
      </c>
      <c r="M502" s="129">
        <v>0.978021978021978</v>
      </c>
      <c r="N502" s="131">
        <v>0.9</v>
      </c>
      <c r="O502" s="129">
        <v>0.966933867735471</v>
      </c>
      <c r="P502" s="129">
        <v>0.983736612455375</v>
      </c>
      <c r="Q502" s="129">
        <v>0.979442791452529</v>
      </c>
      <c r="R502" s="129">
        <v>0.980214795891768</v>
      </c>
      <c r="S502" s="131">
        <v>0.9</v>
      </c>
      <c r="T502" s="129">
        <v>0.842084168336673</v>
      </c>
      <c r="U502" s="129">
        <v>0.907973026576755</v>
      </c>
      <c r="V502" s="129">
        <v>0.898025426021098</v>
      </c>
      <c r="W502" s="129">
        <v>0.913091079714301</v>
      </c>
      <c r="X502" s="131">
        <v>0.92</v>
      </c>
      <c r="Y502" s="131" t="s">
        <v>33</v>
      </c>
      <c r="Z502" s="131" t="s">
        <v>33</v>
      </c>
      <c r="AA502" s="131" t="s">
        <v>33</v>
      </c>
      <c r="AB502" s="131">
        <v>0</v>
      </c>
      <c r="AC502" s="131">
        <v>0.92</v>
      </c>
      <c r="AD502" s="129">
        <v>0.99802371541502</v>
      </c>
      <c r="AE502" s="129">
        <v>0.9906191369606</v>
      </c>
      <c r="AF502" s="129">
        <v>0.989583333333333</v>
      </c>
      <c r="AG502" s="129">
        <v>0.991866666666667</v>
      </c>
      <c r="AH502" s="131">
        <v>0.92</v>
      </c>
      <c r="AI502" s="129">
        <v>0.979563213784813</v>
      </c>
      <c r="AJ502" s="129">
        <v>0.982149940499802</v>
      </c>
      <c r="AK502" s="129">
        <v>0.989991885312415</v>
      </c>
      <c r="AL502" s="129">
        <v>0.986081426262837</v>
      </c>
      <c r="AM502" s="128">
        <v>0.99</v>
      </c>
      <c r="AN502" s="133">
        <v>1</v>
      </c>
      <c r="AO502" s="133">
        <v>1</v>
      </c>
      <c r="AP502" s="133">
        <v>1</v>
      </c>
      <c r="AQ502" s="133">
        <v>1</v>
      </c>
      <c r="AR502" s="153">
        <v>0.05</v>
      </c>
      <c r="AS502" s="137">
        <v>0.142857142857143</v>
      </c>
      <c r="AT502" s="137">
        <v>0</v>
      </c>
      <c r="AU502" s="137">
        <v>0</v>
      </c>
      <c r="AV502" s="137">
        <v>0.0393258426966292</v>
      </c>
      <c r="AW502" s="93"/>
      <c r="AX502" s="91"/>
    </row>
    <row r="503" ht="14.5" spans="1:50">
      <c r="A503" s="89"/>
      <c r="B503" s="93"/>
      <c r="C503" s="148" t="s">
        <v>371</v>
      </c>
      <c r="D503" s="126" t="s">
        <v>372</v>
      </c>
      <c r="E503" s="149" t="s">
        <v>525</v>
      </c>
      <c r="F503" s="149" t="s">
        <v>525</v>
      </c>
      <c r="G503" s="149" t="s">
        <v>525</v>
      </c>
      <c r="H503" s="149" t="s">
        <v>525</v>
      </c>
      <c r="I503" s="128">
        <v>0.9</v>
      </c>
      <c r="J503" s="129">
        <v>1</v>
      </c>
      <c r="K503" s="129">
        <v>0.962962962962963</v>
      </c>
      <c r="L503" s="130">
        <v>0.964285714285714</v>
      </c>
      <c r="M503" s="129">
        <v>0.99390243902439</v>
      </c>
      <c r="N503" s="131">
        <v>0.9</v>
      </c>
      <c r="O503" s="129">
        <v>0.25</v>
      </c>
      <c r="P503" s="129">
        <v>1</v>
      </c>
      <c r="Q503" s="129" t="s">
        <v>33</v>
      </c>
      <c r="R503" s="129">
        <v>0.285714285714286</v>
      </c>
      <c r="S503" s="131">
        <v>0.9</v>
      </c>
      <c r="T503" s="129">
        <v>0.25</v>
      </c>
      <c r="U503" s="129">
        <v>1</v>
      </c>
      <c r="V503" s="129" t="s">
        <v>33</v>
      </c>
      <c r="W503" s="129">
        <v>0.285714285714286</v>
      </c>
      <c r="X503" s="131">
        <v>0.92</v>
      </c>
      <c r="Y503" s="131" t="s">
        <v>33</v>
      </c>
      <c r="Z503" s="131" t="s">
        <v>33</v>
      </c>
      <c r="AA503" s="131" t="s">
        <v>33</v>
      </c>
      <c r="AB503" s="131" t="s">
        <v>33</v>
      </c>
      <c r="AC503" s="131">
        <v>0.92</v>
      </c>
      <c r="AD503" s="129">
        <v>0.994750656167979</v>
      </c>
      <c r="AE503" s="129">
        <v>0.994638069705094</v>
      </c>
      <c r="AF503" s="129">
        <v>0.995433789954338</v>
      </c>
      <c r="AG503" s="129">
        <v>0.99395532194481</v>
      </c>
      <c r="AH503" s="131">
        <v>0.92</v>
      </c>
      <c r="AI503" s="129">
        <v>0.955206649734472</v>
      </c>
      <c r="AJ503" s="129">
        <v>0.98313878080415</v>
      </c>
      <c r="AK503" s="129">
        <v>0.981544576944918</v>
      </c>
      <c r="AL503" s="129">
        <v>0.981711494355583</v>
      </c>
      <c r="AM503" s="128">
        <v>0.99</v>
      </c>
      <c r="AN503" s="133">
        <v>1</v>
      </c>
      <c r="AO503" s="133">
        <v>1</v>
      </c>
      <c r="AP503" s="133">
        <v>1</v>
      </c>
      <c r="AQ503" s="133">
        <v>1</v>
      </c>
      <c r="AR503" s="153">
        <v>0.05</v>
      </c>
      <c r="AS503" s="137">
        <v>0.222222222222222</v>
      </c>
      <c r="AT503" s="137">
        <v>0</v>
      </c>
      <c r="AU503" s="137">
        <v>0</v>
      </c>
      <c r="AV503" s="137">
        <v>0.0987654320987654</v>
      </c>
      <c r="AW503" s="93"/>
      <c r="AX503" s="91"/>
    </row>
    <row r="504" ht="14.5" spans="1:50">
      <c r="A504" s="89"/>
      <c r="B504" s="93"/>
      <c r="C504" s="148" t="s">
        <v>371</v>
      </c>
      <c r="D504" s="126" t="s">
        <v>372</v>
      </c>
      <c r="E504" s="149" t="s">
        <v>526</v>
      </c>
      <c r="F504" s="149" t="s">
        <v>526</v>
      </c>
      <c r="G504" s="149" t="s">
        <v>526</v>
      </c>
      <c r="H504" s="149" t="s">
        <v>526</v>
      </c>
      <c r="I504" s="128">
        <v>0.9</v>
      </c>
      <c r="J504" s="129">
        <v>0.978723404255319</v>
      </c>
      <c r="K504" s="129">
        <v>0.95</v>
      </c>
      <c r="L504" s="130">
        <v>0.951219512195122</v>
      </c>
      <c r="M504" s="129">
        <v>0.976190476190476</v>
      </c>
      <c r="N504" s="131">
        <v>0.9</v>
      </c>
      <c r="O504" s="129">
        <v>0</v>
      </c>
      <c r="P504" s="129" t="s">
        <v>33</v>
      </c>
      <c r="Q504" s="129" t="s">
        <v>33</v>
      </c>
      <c r="R504" s="129">
        <v>0.117647058823529</v>
      </c>
      <c r="S504" s="131">
        <v>0.9</v>
      </c>
      <c r="T504" s="129">
        <v>0</v>
      </c>
      <c r="U504" s="129" t="s">
        <v>33</v>
      </c>
      <c r="V504" s="129" t="s">
        <v>33</v>
      </c>
      <c r="W504" s="129">
        <v>0.117647058823529</v>
      </c>
      <c r="X504" s="131">
        <v>0.92</v>
      </c>
      <c r="Y504" s="131">
        <v>0.125</v>
      </c>
      <c r="Z504" s="131">
        <v>0</v>
      </c>
      <c r="AA504" s="131" t="s">
        <v>33</v>
      </c>
      <c r="AB504" s="131">
        <v>0.272727272727273</v>
      </c>
      <c r="AC504" s="131">
        <v>0.92</v>
      </c>
      <c r="AD504" s="129">
        <v>0.994652406417112</v>
      </c>
      <c r="AE504" s="129">
        <v>0.987854251012146</v>
      </c>
      <c r="AF504" s="129">
        <v>0.986460348162476</v>
      </c>
      <c r="AG504" s="129">
        <v>0.989151599443672</v>
      </c>
      <c r="AH504" s="131">
        <v>0.92</v>
      </c>
      <c r="AI504" s="129">
        <v>0.945048654836863</v>
      </c>
      <c r="AJ504" s="129">
        <v>0.947473139673697</v>
      </c>
      <c r="AK504" s="129">
        <v>0.947154471544715</v>
      </c>
      <c r="AL504" s="129">
        <v>0.961204310632152</v>
      </c>
      <c r="AM504" s="128">
        <v>0.99</v>
      </c>
      <c r="AN504" s="133">
        <v>1</v>
      </c>
      <c r="AO504" s="133">
        <v>1</v>
      </c>
      <c r="AP504" s="133">
        <v>1</v>
      </c>
      <c r="AQ504" s="133">
        <v>1</v>
      </c>
      <c r="AR504" s="153">
        <v>0.05</v>
      </c>
      <c r="AS504" s="137">
        <v>0</v>
      </c>
      <c r="AT504" s="137">
        <v>0.333333333333333</v>
      </c>
      <c r="AU504" s="137">
        <v>0</v>
      </c>
      <c r="AV504" s="137">
        <v>0.036036036036036</v>
      </c>
      <c r="AW504" s="93"/>
      <c r="AX504" s="91"/>
    </row>
    <row r="505" ht="14.5" spans="1:50">
      <c r="A505" s="89"/>
      <c r="B505" s="93"/>
      <c r="C505" s="148" t="s">
        <v>371</v>
      </c>
      <c r="D505" s="126" t="s">
        <v>372</v>
      </c>
      <c r="E505" s="149" t="s">
        <v>527</v>
      </c>
      <c r="F505" s="149" t="s">
        <v>527</v>
      </c>
      <c r="G505" s="149" t="s">
        <v>527</v>
      </c>
      <c r="H505" s="149" t="s">
        <v>527</v>
      </c>
      <c r="I505" s="128">
        <v>0.9</v>
      </c>
      <c r="J505" s="129">
        <v>0.979591836734694</v>
      </c>
      <c r="K505" s="129">
        <v>0.96969696969697</v>
      </c>
      <c r="L505" s="130">
        <v>0.930232558139535</v>
      </c>
      <c r="M505" s="129">
        <v>0.957854406130268</v>
      </c>
      <c r="N505" s="131">
        <v>0.9</v>
      </c>
      <c r="O505" s="129">
        <v>0</v>
      </c>
      <c r="P505" s="129" t="s">
        <v>33</v>
      </c>
      <c r="Q505" s="129">
        <v>0</v>
      </c>
      <c r="R505" s="129">
        <v>0.333333333333333</v>
      </c>
      <c r="S505" s="131">
        <v>0.9</v>
      </c>
      <c r="T505" s="129">
        <v>0</v>
      </c>
      <c r="U505" s="129" t="s">
        <v>33</v>
      </c>
      <c r="V505" s="129">
        <v>0</v>
      </c>
      <c r="W505" s="129">
        <v>0.666666666666667</v>
      </c>
      <c r="X505" s="131">
        <v>0.92</v>
      </c>
      <c r="Y505" s="131" t="s">
        <v>33</v>
      </c>
      <c r="Z505" s="131">
        <v>0</v>
      </c>
      <c r="AA505" s="131" t="s">
        <v>33</v>
      </c>
      <c r="AB505" s="131">
        <v>0</v>
      </c>
      <c r="AC505" s="131">
        <v>0.92</v>
      </c>
      <c r="AD505" s="129">
        <v>0.984848484848485</v>
      </c>
      <c r="AE505" s="129">
        <v>0.990291262135922</v>
      </c>
      <c r="AF505" s="129">
        <v>0.891891891891892</v>
      </c>
      <c r="AG505" s="129">
        <v>0.97411003236246</v>
      </c>
      <c r="AH505" s="131">
        <v>0.92</v>
      </c>
      <c r="AI505" s="129">
        <v>0.980635732553891</v>
      </c>
      <c r="AJ505" s="129">
        <v>0.979974968710889</v>
      </c>
      <c r="AK505" s="129">
        <v>0.984052732298533</v>
      </c>
      <c r="AL505" s="129">
        <v>0.988671584709358</v>
      </c>
      <c r="AM505" s="128">
        <v>0.99</v>
      </c>
      <c r="AN505" s="133">
        <v>1</v>
      </c>
      <c r="AO505" s="133">
        <v>1</v>
      </c>
      <c r="AP505" s="133">
        <v>1</v>
      </c>
      <c r="AQ505" s="133">
        <v>1</v>
      </c>
      <c r="AR505" s="153">
        <v>0.05</v>
      </c>
      <c r="AS505" s="137">
        <v>0.1</v>
      </c>
      <c r="AT505" s="137">
        <v>0</v>
      </c>
      <c r="AU505" s="137">
        <v>0.166666666666667</v>
      </c>
      <c r="AV505" s="137">
        <v>0.104347826086957</v>
      </c>
      <c r="AW505" s="93"/>
      <c r="AX505" s="91"/>
    </row>
    <row r="506" ht="14.5" spans="1:50">
      <c r="A506" s="89"/>
      <c r="B506" s="93"/>
      <c r="C506" s="148" t="s">
        <v>371</v>
      </c>
      <c r="D506" s="126" t="s">
        <v>372</v>
      </c>
      <c r="E506" s="149" t="s">
        <v>528</v>
      </c>
      <c r="F506" s="149" t="s">
        <v>528</v>
      </c>
      <c r="G506" s="149" t="s">
        <v>528</v>
      </c>
      <c r="H506" s="149" t="s">
        <v>528</v>
      </c>
      <c r="I506" s="128">
        <v>0.9</v>
      </c>
      <c r="J506" s="129">
        <v>1</v>
      </c>
      <c r="K506" s="129">
        <v>1</v>
      </c>
      <c r="L506" s="130">
        <v>1</v>
      </c>
      <c r="M506" s="129">
        <v>1</v>
      </c>
      <c r="N506" s="131">
        <v>0.9</v>
      </c>
      <c r="O506" s="129">
        <v>0.990150637311703</v>
      </c>
      <c r="P506" s="129">
        <v>0.991851851851852</v>
      </c>
      <c r="Q506" s="129">
        <v>0.990031717263253</v>
      </c>
      <c r="R506" s="129">
        <v>0.994115325271807</v>
      </c>
      <c r="S506" s="131">
        <v>0.9</v>
      </c>
      <c r="T506" s="129">
        <v>0.945828505214368</v>
      </c>
      <c r="U506" s="129">
        <v>0.96</v>
      </c>
      <c r="V506" s="129">
        <v>0.961486180335297</v>
      </c>
      <c r="W506" s="129">
        <v>0.962216082385446</v>
      </c>
      <c r="X506" s="131">
        <v>0.92</v>
      </c>
      <c r="Y506" s="131">
        <v>0.957359009628611</v>
      </c>
      <c r="Z506" s="131">
        <v>0.958333333333333</v>
      </c>
      <c r="AA506" s="131">
        <v>0.934840425531915</v>
      </c>
      <c r="AB506" s="131">
        <v>0.949141767323585</v>
      </c>
      <c r="AC506" s="131">
        <v>0.92</v>
      </c>
      <c r="AD506" s="129">
        <v>0.997503121098627</v>
      </c>
      <c r="AE506" s="129">
        <v>0.999293785310734</v>
      </c>
      <c r="AF506" s="129">
        <v>0.99935608499678</v>
      </c>
      <c r="AG506" s="129">
        <v>0.998986936816849</v>
      </c>
      <c r="AH506" s="131">
        <v>0.92</v>
      </c>
      <c r="AI506" s="129">
        <v>0.983496771107391</v>
      </c>
      <c r="AJ506" s="129">
        <v>0.978787878787879</v>
      </c>
      <c r="AK506" s="129">
        <v>0.979722879351132</v>
      </c>
      <c r="AL506" s="129">
        <v>0.98419093986961</v>
      </c>
      <c r="AM506" s="128">
        <v>0.99</v>
      </c>
      <c r="AN506" s="133">
        <v>1</v>
      </c>
      <c r="AO506" s="133">
        <v>1</v>
      </c>
      <c r="AP506" s="133">
        <v>1</v>
      </c>
      <c r="AQ506" s="133">
        <v>1</v>
      </c>
      <c r="AR506" s="153">
        <v>0.05</v>
      </c>
      <c r="AS506" s="137">
        <v>0.125</v>
      </c>
      <c r="AT506" s="137">
        <v>0</v>
      </c>
      <c r="AU506" s="137">
        <v>0</v>
      </c>
      <c r="AV506" s="137">
        <v>0.0686274509803922</v>
      </c>
      <c r="AW506" s="93"/>
      <c r="AX506" s="91"/>
    </row>
    <row r="507" ht="14.5" spans="1:50">
      <c r="A507" s="89"/>
      <c r="B507" s="93"/>
      <c r="C507" s="148" t="s">
        <v>371</v>
      </c>
      <c r="D507" s="126" t="s">
        <v>372</v>
      </c>
      <c r="E507" s="149" t="s">
        <v>529</v>
      </c>
      <c r="F507" s="149" t="s">
        <v>529</v>
      </c>
      <c r="G507" s="149" t="s">
        <v>529</v>
      </c>
      <c r="H507" s="149" t="s">
        <v>529</v>
      </c>
      <c r="I507" s="128">
        <v>0.9</v>
      </c>
      <c r="J507" s="129">
        <v>0.984615384615385</v>
      </c>
      <c r="K507" s="129">
        <v>0.981132075471698</v>
      </c>
      <c r="L507" s="130">
        <v>0.964285714285714</v>
      </c>
      <c r="M507" s="129">
        <v>0.981186685962373</v>
      </c>
      <c r="N507" s="131">
        <v>0.9</v>
      </c>
      <c r="O507" s="129">
        <v>0.983718658417454</v>
      </c>
      <c r="P507" s="129">
        <v>0.984217595701813</v>
      </c>
      <c r="Q507" s="129">
        <v>0.984349919743178</v>
      </c>
      <c r="R507" s="129">
        <v>0.985100571144773</v>
      </c>
      <c r="S507" s="131">
        <v>0.9</v>
      </c>
      <c r="T507" s="129">
        <v>0.923477694562032</v>
      </c>
      <c r="U507" s="129">
        <v>0.920416386836803</v>
      </c>
      <c r="V507" s="129">
        <v>0.946629213483146</v>
      </c>
      <c r="W507" s="129">
        <v>0.941377842420802</v>
      </c>
      <c r="X507" s="131">
        <v>0.92</v>
      </c>
      <c r="Y507" s="131" t="s">
        <v>33</v>
      </c>
      <c r="Z507" s="131" t="s">
        <v>33</v>
      </c>
      <c r="AA507" s="131">
        <v>0</v>
      </c>
      <c r="AB507" s="131">
        <v>0</v>
      </c>
      <c r="AC507" s="131">
        <v>0.92</v>
      </c>
      <c r="AD507" s="129">
        <v>0.988505747126437</v>
      </c>
      <c r="AE507" s="129">
        <v>0.971428571428571</v>
      </c>
      <c r="AF507" s="129">
        <v>0.96078431372549</v>
      </c>
      <c r="AG507" s="129">
        <v>0.938110749185668</v>
      </c>
      <c r="AH507" s="131">
        <v>0.92</v>
      </c>
      <c r="AI507" s="129">
        <v>0.980142072973846</v>
      </c>
      <c r="AJ507" s="129">
        <v>0.985570469798658</v>
      </c>
      <c r="AK507" s="129">
        <v>0.989971921379864</v>
      </c>
      <c r="AL507" s="129">
        <v>0.989406179138322</v>
      </c>
      <c r="AM507" s="128">
        <v>0.99</v>
      </c>
      <c r="AN507" s="133">
        <v>1</v>
      </c>
      <c r="AO507" s="133">
        <v>1</v>
      </c>
      <c r="AP507" s="133">
        <v>1</v>
      </c>
      <c r="AQ507" s="133">
        <v>1</v>
      </c>
      <c r="AR507" s="153">
        <v>0.05</v>
      </c>
      <c r="AS507" s="137">
        <v>0</v>
      </c>
      <c r="AT507" s="137">
        <v>0.2</v>
      </c>
      <c r="AU507" s="137">
        <v>0</v>
      </c>
      <c r="AV507" s="137">
        <v>0.032</v>
      </c>
      <c r="AW507" s="93"/>
      <c r="AX507" s="91"/>
    </row>
    <row r="508" ht="14.5" spans="1:50">
      <c r="A508" s="89"/>
      <c r="B508" s="93"/>
      <c r="C508" s="148" t="s">
        <v>371</v>
      </c>
      <c r="D508" s="126" t="s">
        <v>372</v>
      </c>
      <c r="E508" s="149" t="s">
        <v>530</v>
      </c>
      <c r="F508" s="149" t="s">
        <v>530</v>
      </c>
      <c r="G508" s="149" t="s">
        <v>530</v>
      </c>
      <c r="H508" s="149" t="s">
        <v>530</v>
      </c>
      <c r="I508" s="128">
        <v>0.9</v>
      </c>
      <c r="J508" s="129">
        <v>0.88</v>
      </c>
      <c r="K508" s="129">
        <v>0.888888888888889</v>
      </c>
      <c r="L508" s="130">
        <v>0.954545454545455</v>
      </c>
      <c r="M508" s="129">
        <v>0.910112359550562</v>
      </c>
      <c r="N508" s="131">
        <v>0.9</v>
      </c>
      <c r="O508" s="129">
        <v>0.987147595356551</v>
      </c>
      <c r="P508" s="129">
        <v>0.962962962962963</v>
      </c>
      <c r="Q508" s="129">
        <v>0.990014265335235</v>
      </c>
      <c r="R508" s="129">
        <v>0.975813875638129</v>
      </c>
      <c r="S508" s="131">
        <v>0.9</v>
      </c>
      <c r="T508" s="129">
        <v>0.941542288557214</v>
      </c>
      <c r="U508" s="129">
        <v>0.921985815602837</v>
      </c>
      <c r="V508" s="129">
        <v>0.951973371374227</v>
      </c>
      <c r="W508" s="129">
        <v>0.938572265461545</v>
      </c>
      <c r="X508" s="131">
        <v>0.92</v>
      </c>
      <c r="Y508" s="131">
        <v>0</v>
      </c>
      <c r="Z508" s="131" t="s">
        <v>33</v>
      </c>
      <c r="AA508" s="131" t="s">
        <v>33</v>
      </c>
      <c r="AB508" s="131">
        <v>0.5</v>
      </c>
      <c r="AC508" s="131">
        <v>0.92</v>
      </c>
      <c r="AD508" s="129">
        <v>1</v>
      </c>
      <c r="AE508" s="129">
        <v>0.958333333333333</v>
      </c>
      <c r="AF508" s="129">
        <v>0.975</v>
      </c>
      <c r="AG508" s="129">
        <v>0.982708933717579</v>
      </c>
      <c r="AH508" s="131">
        <v>0.92</v>
      </c>
      <c r="AI508" s="129">
        <v>0.976849937990905</v>
      </c>
      <c r="AJ508" s="129">
        <v>0.970125786163522</v>
      </c>
      <c r="AK508" s="129">
        <v>0.990014265335235</v>
      </c>
      <c r="AL508" s="129">
        <v>0.983773837403814</v>
      </c>
      <c r="AM508" s="128">
        <v>0.99</v>
      </c>
      <c r="AN508" s="133">
        <v>1</v>
      </c>
      <c r="AO508" s="133">
        <v>1</v>
      </c>
      <c r="AP508" s="133">
        <v>1</v>
      </c>
      <c r="AQ508" s="133">
        <v>1</v>
      </c>
      <c r="AR508" s="153">
        <v>0.05</v>
      </c>
      <c r="AS508" s="137">
        <v>0</v>
      </c>
      <c r="AT508" s="137">
        <v>0.333333333333333</v>
      </c>
      <c r="AU508" s="137">
        <v>0</v>
      </c>
      <c r="AV508" s="137">
        <v>0.05</v>
      </c>
      <c r="AW508" s="93"/>
      <c r="AX508" s="91"/>
    </row>
    <row r="509" ht="14.5" spans="1:50">
      <c r="A509" s="89"/>
      <c r="B509" s="93"/>
      <c r="C509" s="148" t="s">
        <v>371</v>
      </c>
      <c r="D509" s="126" t="s">
        <v>372</v>
      </c>
      <c r="E509" s="149" t="s">
        <v>531</v>
      </c>
      <c r="F509" s="149" t="s">
        <v>531</v>
      </c>
      <c r="G509" s="149" t="s">
        <v>531</v>
      </c>
      <c r="H509" s="149" t="s">
        <v>531</v>
      </c>
      <c r="I509" s="128">
        <v>0.9</v>
      </c>
      <c r="J509" s="129">
        <v>0.946666666666667</v>
      </c>
      <c r="K509" s="129">
        <v>0.907407407407407</v>
      </c>
      <c r="L509" s="130">
        <v>0.882352941176471</v>
      </c>
      <c r="M509" s="129">
        <v>0.907035175879397</v>
      </c>
      <c r="N509" s="131">
        <v>0.9</v>
      </c>
      <c r="O509" s="129">
        <v>0.272727272727273</v>
      </c>
      <c r="P509" s="129">
        <v>1</v>
      </c>
      <c r="Q509" s="129" t="s">
        <v>33</v>
      </c>
      <c r="R509" s="129">
        <v>0.285714285714286</v>
      </c>
      <c r="S509" s="131">
        <v>0.9</v>
      </c>
      <c r="T509" s="129">
        <v>0.0909090909090909</v>
      </c>
      <c r="U509" s="129">
        <v>0</v>
      </c>
      <c r="V509" s="129" t="s">
        <v>33</v>
      </c>
      <c r="W509" s="129">
        <v>0.142857142857143</v>
      </c>
      <c r="X509" s="131">
        <v>0.92</v>
      </c>
      <c r="Y509" s="131">
        <v>0</v>
      </c>
      <c r="Z509" s="131" t="s">
        <v>33</v>
      </c>
      <c r="AA509" s="131">
        <v>1</v>
      </c>
      <c r="AB509" s="131">
        <v>0.25</v>
      </c>
      <c r="AC509" s="131">
        <v>0.92</v>
      </c>
      <c r="AD509" s="129">
        <v>0.990445859872611</v>
      </c>
      <c r="AE509" s="129">
        <v>1</v>
      </c>
      <c r="AF509" s="129">
        <v>0.990215264187867</v>
      </c>
      <c r="AG509" s="129">
        <v>0.99072708113804</v>
      </c>
      <c r="AH509" s="131">
        <v>0.92</v>
      </c>
      <c r="AI509" s="129">
        <v>0.958227203260316</v>
      </c>
      <c r="AJ509" s="129">
        <v>0.939822082679226</v>
      </c>
      <c r="AK509" s="129">
        <v>0.969907757447452</v>
      </c>
      <c r="AL509" s="129">
        <v>0.965182186234818</v>
      </c>
      <c r="AM509" s="128">
        <v>0.99</v>
      </c>
      <c r="AN509" s="133">
        <v>1</v>
      </c>
      <c r="AO509" s="133">
        <v>1</v>
      </c>
      <c r="AP509" s="133">
        <v>1</v>
      </c>
      <c r="AQ509" s="133">
        <v>1</v>
      </c>
      <c r="AR509" s="153">
        <v>0.05</v>
      </c>
      <c r="AS509" s="137">
        <v>0.0909090909090909</v>
      </c>
      <c r="AT509" s="137">
        <v>0.0833333333333333</v>
      </c>
      <c r="AU509" s="137">
        <v>0.0555555555555556</v>
      </c>
      <c r="AV509" s="137">
        <v>0.0578034682080925</v>
      </c>
      <c r="AW509" s="93"/>
      <c r="AX509" s="91"/>
    </row>
    <row r="510" ht="14.5" spans="1:50">
      <c r="A510" s="89"/>
      <c r="B510" s="93"/>
      <c r="C510" s="148" t="s">
        <v>371</v>
      </c>
      <c r="D510" s="126" t="s">
        <v>372</v>
      </c>
      <c r="E510" s="149" t="s">
        <v>532</v>
      </c>
      <c r="F510" s="149" t="s">
        <v>532</v>
      </c>
      <c r="G510" s="149" t="s">
        <v>532</v>
      </c>
      <c r="H510" s="149" t="s">
        <v>532</v>
      </c>
      <c r="I510" s="128">
        <v>0.9</v>
      </c>
      <c r="J510" s="129">
        <v>0.956043956043956</v>
      </c>
      <c r="K510" s="129">
        <v>0.936708860759494</v>
      </c>
      <c r="L510" s="130">
        <v>0.949367088607595</v>
      </c>
      <c r="M510" s="129">
        <v>0.940584088620342</v>
      </c>
      <c r="N510" s="131">
        <v>0.9</v>
      </c>
      <c r="O510" s="129" t="s">
        <v>33</v>
      </c>
      <c r="P510" s="129" t="s">
        <v>33</v>
      </c>
      <c r="Q510" s="129">
        <v>1</v>
      </c>
      <c r="R510" s="129">
        <v>0.5</v>
      </c>
      <c r="S510" s="131">
        <v>0.9</v>
      </c>
      <c r="T510" s="129" t="s">
        <v>33</v>
      </c>
      <c r="U510" s="129" t="s">
        <v>33</v>
      </c>
      <c r="V510" s="129">
        <v>0</v>
      </c>
      <c r="W510" s="129">
        <v>0</v>
      </c>
      <c r="X510" s="131">
        <v>0.92</v>
      </c>
      <c r="Y510" s="131" t="s">
        <v>33</v>
      </c>
      <c r="Z510" s="131" t="s">
        <v>33</v>
      </c>
      <c r="AA510" s="131" t="s">
        <v>33</v>
      </c>
      <c r="AB510" s="131" t="s">
        <v>33</v>
      </c>
      <c r="AC510" s="131">
        <v>0.92</v>
      </c>
      <c r="AD510" s="129">
        <v>0.996894409937888</v>
      </c>
      <c r="AE510" s="129">
        <v>0.991404011461318</v>
      </c>
      <c r="AF510" s="129">
        <v>0.993576017130621</v>
      </c>
      <c r="AG510" s="129">
        <v>0.987436632135772</v>
      </c>
      <c r="AH510" s="131">
        <v>0.92</v>
      </c>
      <c r="AI510" s="129">
        <v>0.953063739218102</v>
      </c>
      <c r="AJ510" s="129">
        <v>0.965954449401268</v>
      </c>
      <c r="AK510" s="129">
        <v>0.919053549190536</v>
      </c>
      <c r="AL510" s="129">
        <v>0.947162514111979</v>
      </c>
      <c r="AM510" s="128">
        <v>0.99</v>
      </c>
      <c r="AN510" s="133">
        <v>1</v>
      </c>
      <c r="AO510" s="133">
        <v>1</v>
      </c>
      <c r="AP510" s="133">
        <v>1</v>
      </c>
      <c r="AQ510" s="133">
        <v>1</v>
      </c>
      <c r="AR510" s="153">
        <v>0.05</v>
      </c>
      <c r="AS510" s="137">
        <v>0</v>
      </c>
      <c r="AT510" s="137">
        <v>0.111111111111111</v>
      </c>
      <c r="AU510" s="137">
        <v>0</v>
      </c>
      <c r="AV510" s="137">
        <v>0.0867768595041322</v>
      </c>
      <c r="AW510" s="93"/>
      <c r="AX510" s="91"/>
    </row>
    <row r="511" ht="14.5" spans="1:50">
      <c r="A511" s="89"/>
      <c r="B511" s="93"/>
      <c r="C511" s="148" t="s">
        <v>371</v>
      </c>
      <c r="D511" s="126" t="s">
        <v>372</v>
      </c>
      <c r="E511" s="149" t="s">
        <v>533</v>
      </c>
      <c r="F511" s="149" t="s">
        <v>533</v>
      </c>
      <c r="G511" s="149" t="s">
        <v>533</v>
      </c>
      <c r="H511" s="149" t="s">
        <v>533</v>
      </c>
      <c r="I511" s="128">
        <v>0.9</v>
      </c>
      <c r="J511" s="129">
        <v>0.96969696969697</v>
      </c>
      <c r="K511" s="129">
        <v>0.967213114754098</v>
      </c>
      <c r="L511" s="130">
        <v>0.90625</v>
      </c>
      <c r="M511" s="129">
        <v>0.938255033557047</v>
      </c>
      <c r="N511" s="131">
        <v>0.9</v>
      </c>
      <c r="O511" s="129">
        <v>0</v>
      </c>
      <c r="P511" s="129">
        <v>0</v>
      </c>
      <c r="Q511" s="129">
        <v>0</v>
      </c>
      <c r="R511" s="129">
        <v>0</v>
      </c>
      <c r="S511" s="131">
        <v>0.9</v>
      </c>
      <c r="T511" s="129">
        <v>0</v>
      </c>
      <c r="U511" s="129">
        <v>0</v>
      </c>
      <c r="V511" s="129">
        <v>0</v>
      </c>
      <c r="W511" s="129">
        <v>0.3125</v>
      </c>
      <c r="X511" s="131">
        <v>0.92</v>
      </c>
      <c r="Y511" s="131">
        <v>0</v>
      </c>
      <c r="Z511" s="131">
        <v>0</v>
      </c>
      <c r="AA511" s="131" t="s">
        <v>33</v>
      </c>
      <c r="AB511" s="131">
        <v>0</v>
      </c>
      <c r="AC511" s="131">
        <v>0.92</v>
      </c>
      <c r="AD511" s="129">
        <v>0.950413223140496</v>
      </c>
      <c r="AE511" s="129">
        <v>0.93048128342246</v>
      </c>
      <c r="AF511" s="129">
        <v>0.919753086419753</v>
      </c>
      <c r="AG511" s="129">
        <v>0.915532879818594</v>
      </c>
      <c r="AH511" s="131">
        <v>0.92</v>
      </c>
      <c r="AI511" s="129">
        <v>0.970451667370198</v>
      </c>
      <c r="AJ511" s="129">
        <v>0.973995271867612</v>
      </c>
      <c r="AK511" s="129">
        <v>0.981971153846154</v>
      </c>
      <c r="AL511" s="129">
        <v>0.981697018088014</v>
      </c>
      <c r="AM511" s="128">
        <v>0.99</v>
      </c>
      <c r="AN511" s="133">
        <v>1</v>
      </c>
      <c r="AO511" s="133">
        <v>1</v>
      </c>
      <c r="AP511" s="133">
        <v>1</v>
      </c>
      <c r="AQ511" s="133">
        <v>1</v>
      </c>
      <c r="AR511" s="153">
        <v>0.05</v>
      </c>
      <c r="AS511" s="137">
        <v>0.181818181818182</v>
      </c>
      <c r="AT511" s="137">
        <v>0.166666666666667</v>
      </c>
      <c r="AU511" s="137">
        <v>0.125</v>
      </c>
      <c r="AV511" s="137">
        <v>0.1</v>
      </c>
      <c r="AW511" s="93"/>
      <c r="AX511" s="91"/>
    </row>
    <row r="512" ht="14.5" spans="1:50">
      <c r="A512" s="89"/>
      <c r="B512" s="93"/>
      <c r="C512" s="148" t="s">
        <v>371</v>
      </c>
      <c r="D512" s="126" t="s">
        <v>372</v>
      </c>
      <c r="E512" s="149" t="s">
        <v>534</v>
      </c>
      <c r="F512" s="149" t="s">
        <v>534</v>
      </c>
      <c r="G512" s="149" t="s">
        <v>534</v>
      </c>
      <c r="H512" s="149" t="s">
        <v>534</v>
      </c>
      <c r="I512" s="128">
        <v>0.9</v>
      </c>
      <c r="J512" s="129">
        <v>0.971428571428571</v>
      </c>
      <c r="K512" s="129">
        <v>1</v>
      </c>
      <c r="L512" s="130">
        <v>1</v>
      </c>
      <c r="M512" s="129">
        <v>0.997252747252747</v>
      </c>
      <c r="N512" s="131">
        <v>0.9</v>
      </c>
      <c r="O512" s="129">
        <v>0.992224880382775</v>
      </c>
      <c r="P512" s="129">
        <v>0.990072799470549</v>
      </c>
      <c r="Q512" s="129">
        <v>0.985749910936943</v>
      </c>
      <c r="R512" s="129">
        <v>0.988673289388172</v>
      </c>
      <c r="S512" s="131">
        <v>0.9</v>
      </c>
      <c r="T512" s="129">
        <v>0.972488038277512</v>
      </c>
      <c r="U512" s="129">
        <v>0.951687624090007</v>
      </c>
      <c r="V512" s="129">
        <v>0.971856074100463</v>
      </c>
      <c r="W512" s="129">
        <v>0.971930801844459</v>
      </c>
      <c r="X512" s="131">
        <v>0.92</v>
      </c>
      <c r="Y512" s="131">
        <v>0</v>
      </c>
      <c r="Z512" s="131" t="s">
        <v>33</v>
      </c>
      <c r="AA512" s="131" t="s">
        <v>33</v>
      </c>
      <c r="AB512" s="131">
        <v>0</v>
      </c>
      <c r="AC512" s="131">
        <v>0.92</v>
      </c>
      <c r="AD512" s="129">
        <v>0.97</v>
      </c>
      <c r="AE512" s="129">
        <v>0.9625</v>
      </c>
      <c r="AF512" s="129">
        <v>0.984375</v>
      </c>
      <c r="AG512" s="129">
        <v>0.976793248945148</v>
      </c>
      <c r="AH512" s="131">
        <v>0.92</v>
      </c>
      <c r="AI512" s="129">
        <v>0.985663082437276</v>
      </c>
      <c r="AJ512" s="129">
        <v>0.974189278623428</v>
      </c>
      <c r="AK512" s="129">
        <v>0.987174919843249</v>
      </c>
      <c r="AL512" s="129">
        <v>0.98991305424054</v>
      </c>
      <c r="AM512" s="128">
        <v>0.99</v>
      </c>
      <c r="AN512" s="133">
        <v>1</v>
      </c>
      <c r="AO512" s="133">
        <v>1</v>
      </c>
      <c r="AP512" s="133">
        <v>1</v>
      </c>
      <c r="AQ512" s="133">
        <v>1</v>
      </c>
      <c r="AR512" s="153">
        <v>0.05</v>
      </c>
      <c r="AS512" s="137">
        <v>0</v>
      </c>
      <c r="AT512" s="137">
        <v>0</v>
      </c>
      <c r="AU512" s="137">
        <v>0</v>
      </c>
      <c r="AV512" s="137">
        <v>0.0476190476190476</v>
      </c>
      <c r="AW512" s="93"/>
      <c r="AX512" s="91"/>
    </row>
    <row r="513" ht="14.5" spans="1:50">
      <c r="A513" s="89"/>
      <c r="B513" s="93"/>
      <c r="C513" s="148" t="s">
        <v>371</v>
      </c>
      <c r="D513" s="126" t="s">
        <v>372</v>
      </c>
      <c r="E513" s="149" t="s">
        <v>535</v>
      </c>
      <c r="F513" s="149" t="s">
        <v>535</v>
      </c>
      <c r="G513" s="149" t="s">
        <v>535</v>
      </c>
      <c r="H513" s="149" t="s">
        <v>535</v>
      </c>
      <c r="I513" s="128">
        <v>0.9</v>
      </c>
      <c r="J513" s="129">
        <v>1</v>
      </c>
      <c r="K513" s="129">
        <v>1</v>
      </c>
      <c r="L513" s="130">
        <v>0.958333333333333</v>
      </c>
      <c r="M513" s="129">
        <v>0.996742671009772</v>
      </c>
      <c r="N513" s="131">
        <v>0.9</v>
      </c>
      <c r="O513" s="129">
        <v>0.987630459992269</v>
      </c>
      <c r="P513" s="129">
        <v>0.973154362416107</v>
      </c>
      <c r="Q513" s="129">
        <v>0.971947194719472</v>
      </c>
      <c r="R513" s="129">
        <v>0.978460611537882</v>
      </c>
      <c r="S513" s="131">
        <v>0.9</v>
      </c>
      <c r="T513" s="129">
        <v>0.955160417471975</v>
      </c>
      <c r="U513" s="129">
        <v>0.929530201342282</v>
      </c>
      <c r="V513" s="129">
        <v>0.913366336633663</v>
      </c>
      <c r="W513" s="129">
        <v>0.935532459707787</v>
      </c>
      <c r="X513" s="131">
        <v>0.92</v>
      </c>
      <c r="Y513" s="131">
        <v>0.958236658932715</v>
      </c>
      <c r="Z513" s="131">
        <v>0.972</v>
      </c>
      <c r="AA513" s="131">
        <v>0.966549295774648</v>
      </c>
      <c r="AB513" s="131">
        <v>0.964579901153213</v>
      </c>
      <c r="AC513" s="131">
        <v>0.92</v>
      </c>
      <c r="AD513" s="129">
        <v>0.99748427672956</v>
      </c>
      <c r="AE513" s="129">
        <v>1</v>
      </c>
      <c r="AF513" s="129">
        <v>0.998407643312102</v>
      </c>
      <c r="AG513" s="129">
        <v>0.998585822874315</v>
      </c>
      <c r="AH513" s="131">
        <v>0.92</v>
      </c>
      <c r="AI513" s="129">
        <v>0.982438701126574</v>
      </c>
      <c r="AJ513" s="129">
        <v>0.981977342945417</v>
      </c>
      <c r="AK513" s="129">
        <v>0.983957219251337</v>
      </c>
      <c r="AL513" s="129">
        <v>0.982319426575997</v>
      </c>
      <c r="AM513" s="128">
        <v>0.99</v>
      </c>
      <c r="AN513" s="133">
        <v>1</v>
      </c>
      <c r="AO513" s="133">
        <v>1</v>
      </c>
      <c r="AP513" s="133">
        <v>1</v>
      </c>
      <c r="AQ513" s="133">
        <v>1</v>
      </c>
      <c r="AR513" s="153">
        <v>0.05</v>
      </c>
      <c r="AS513" s="137">
        <v>0.333333333333333</v>
      </c>
      <c r="AT513" s="137">
        <v>0</v>
      </c>
      <c r="AU513" s="137">
        <v>0</v>
      </c>
      <c r="AV513" s="137">
        <v>0.0277777777777778</v>
      </c>
      <c r="AW513" s="93"/>
      <c r="AX513" s="91"/>
    </row>
    <row r="514" ht="14.5" spans="1:50">
      <c r="A514" s="89"/>
      <c r="B514" s="93"/>
      <c r="C514" s="148" t="s">
        <v>371</v>
      </c>
      <c r="D514" s="126" t="s">
        <v>372</v>
      </c>
      <c r="E514" s="149" t="s">
        <v>536</v>
      </c>
      <c r="F514" s="149" t="s">
        <v>536</v>
      </c>
      <c r="G514" s="149" t="s">
        <v>536</v>
      </c>
      <c r="H514" s="149" t="s">
        <v>536</v>
      </c>
      <c r="I514" s="128">
        <v>0.9</v>
      </c>
      <c r="J514" s="129">
        <v>0.982456140350877</v>
      </c>
      <c r="K514" s="129">
        <v>0.954545454545455</v>
      </c>
      <c r="L514" s="130">
        <v>0.961538461538462</v>
      </c>
      <c r="M514" s="129">
        <v>0.967585089141005</v>
      </c>
      <c r="N514" s="131">
        <v>0.9</v>
      </c>
      <c r="O514" s="129">
        <v>0.25</v>
      </c>
      <c r="P514" s="129">
        <v>0</v>
      </c>
      <c r="Q514" s="129" t="s">
        <v>33</v>
      </c>
      <c r="R514" s="129">
        <v>0.333333333333333</v>
      </c>
      <c r="S514" s="131">
        <v>0.9</v>
      </c>
      <c r="T514" s="129">
        <v>0</v>
      </c>
      <c r="U514" s="129">
        <v>0</v>
      </c>
      <c r="V514" s="129" t="s">
        <v>33</v>
      </c>
      <c r="W514" s="129">
        <v>0</v>
      </c>
      <c r="X514" s="131">
        <v>0.92</v>
      </c>
      <c r="Y514" s="131" t="s">
        <v>33</v>
      </c>
      <c r="Z514" s="131" t="s">
        <v>33</v>
      </c>
      <c r="AA514" s="131" t="s">
        <v>33</v>
      </c>
      <c r="AB514" s="131">
        <v>1</v>
      </c>
      <c r="AC514" s="131">
        <v>0.92</v>
      </c>
      <c r="AD514" s="129">
        <v>0.989431968295905</v>
      </c>
      <c r="AE514" s="129">
        <v>0.990929705215419</v>
      </c>
      <c r="AF514" s="129">
        <v>0.988341968911917</v>
      </c>
      <c r="AG514" s="129">
        <v>0.983584362836351</v>
      </c>
      <c r="AH514" s="131">
        <v>0.92</v>
      </c>
      <c r="AI514" s="129">
        <v>0.975687855787476</v>
      </c>
      <c r="AJ514" s="129">
        <v>0.942167462911742</v>
      </c>
      <c r="AK514" s="129">
        <v>0.968341260404281</v>
      </c>
      <c r="AL514" s="129">
        <v>0.977356543382253</v>
      </c>
      <c r="AM514" s="128">
        <v>0.99</v>
      </c>
      <c r="AN514" s="133">
        <v>1</v>
      </c>
      <c r="AO514" s="133">
        <v>1</v>
      </c>
      <c r="AP514" s="133">
        <v>1</v>
      </c>
      <c r="AQ514" s="133">
        <v>1</v>
      </c>
      <c r="AR514" s="153">
        <v>0.05</v>
      </c>
      <c r="AS514" s="137">
        <v>0</v>
      </c>
      <c r="AT514" s="137">
        <v>0.2</v>
      </c>
      <c r="AU514" s="137">
        <v>0</v>
      </c>
      <c r="AV514" s="137">
        <v>0.0552763819095477</v>
      </c>
      <c r="AW514" s="93"/>
      <c r="AX514" s="91"/>
    </row>
    <row r="515" ht="14.5" spans="1:50">
      <c r="A515" s="89"/>
      <c r="B515" s="93"/>
      <c r="C515" s="148" t="s">
        <v>371</v>
      </c>
      <c r="D515" s="126" t="s">
        <v>372</v>
      </c>
      <c r="E515" s="149" t="s">
        <v>537</v>
      </c>
      <c r="F515" s="149" t="s">
        <v>537</v>
      </c>
      <c r="G515" s="149" t="s">
        <v>537</v>
      </c>
      <c r="H515" s="149" t="s">
        <v>537</v>
      </c>
      <c r="I515" s="128">
        <v>0.9</v>
      </c>
      <c r="J515" s="129">
        <v>0.919354838709677</v>
      </c>
      <c r="K515" s="129">
        <v>0.934426229508197</v>
      </c>
      <c r="L515" s="130">
        <v>0.924242424242424</v>
      </c>
      <c r="M515" s="129">
        <v>0.921750663129973</v>
      </c>
      <c r="N515" s="131">
        <v>0.9</v>
      </c>
      <c r="O515" s="129">
        <v>0.863710732984293</v>
      </c>
      <c r="P515" s="129">
        <v>0.917138237671787</v>
      </c>
      <c r="Q515" s="129">
        <v>0.889674378748929</v>
      </c>
      <c r="R515" s="129">
        <v>0.912565818124233</v>
      </c>
      <c r="S515" s="131">
        <v>0.9</v>
      </c>
      <c r="T515" s="129">
        <v>0.830988219895288</v>
      </c>
      <c r="U515" s="129">
        <v>0.907437348423605</v>
      </c>
      <c r="V515" s="129">
        <v>0.838474721508141</v>
      </c>
      <c r="W515" s="129">
        <v>0.840987370838117</v>
      </c>
      <c r="X515" s="131">
        <v>0.92</v>
      </c>
      <c r="Y515" s="131">
        <v>0.744186046511628</v>
      </c>
      <c r="Z515" s="131">
        <v>0.774528914879792</v>
      </c>
      <c r="AA515" s="131">
        <v>0.801822323462415</v>
      </c>
      <c r="AB515" s="131">
        <v>0.800722456351595</v>
      </c>
      <c r="AC515" s="131">
        <v>0.92</v>
      </c>
      <c r="AD515" s="129">
        <v>0.997530864197531</v>
      </c>
      <c r="AE515" s="129">
        <v>0.998875140607424</v>
      </c>
      <c r="AF515" s="129">
        <v>0.999143468950749</v>
      </c>
      <c r="AG515" s="129">
        <v>0.998003897153177</v>
      </c>
      <c r="AH515" s="131">
        <v>0.92</v>
      </c>
      <c r="AI515" s="129">
        <v>0.889296386851399</v>
      </c>
      <c r="AJ515" s="129">
        <v>0.889110391228507</v>
      </c>
      <c r="AK515" s="129">
        <v>0.927163381222853</v>
      </c>
      <c r="AL515" s="129">
        <v>0.91183391415721</v>
      </c>
      <c r="AM515" s="128">
        <v>0.99</v>
      </c>
      <c r="AN515" s="133">
        <v>1</v>
      </c>
      <c r="AO515" s="133">
        <v>1</v>
      </c>
      <c r="AP515" s="133">
        <v>1</v>
      </c>
      <c r="AQ515" s="133">
        <v>1</v>
      </c>
      <c r="AR515" s="153">
        <v>0.05</v>
      </c>
      <c r="AS515" s="137">
        <v>0.0526315789473684</v>
      </c>
      <c r="AT515" s="137">
        <v>0.0769230769230769</v>
      </c>
      <c r="AU515" s="137">
        <v>0</v>
      </c>
      <c r="AV515" s="137">
        <v>0.0229007633587786</v>
      </c>
      <c r="AW515" s="93"/>
      <c r="AX515" s="91"/>
    </row>
    <row r="516" ht="14.5" spans="1:50">
      <c r="A516" s="89"/>
      <c r="B516" s="93"/>
      <c r="C516" s="148" t="s">
        <v>371</v>
      </c>
      <c r="D516" s="126" t="s">
        <v>372</v>
      </c>
      <c r="E516" s="149" t="s">
        <v>538</v>
      </c>
      <c r="F516" s="149" t="s">
        <v>538</v>
      </c>
      <c r="G516" s="149" t="s">
        <v>538</v>
      </c>
      <c r="H516" s="149" t="s">
        <v>538</v>
      </c>
      <c r="I516" s="128">
        <v>0.9</v>
      </c>
      <c r="J516" s="129">
        <v>0.88</v>
      </c>
      <c r="K516" s="129">
        <v>0.909090909090909</v>
      </c>
      <c r="L516" s="130">
        <v>1</v>
      </c>
      <c r="M516" s="129">
        <v>0.949275362318841</v>
      </c>
      <c r="N516" s="131">
        <v>0.9</v>
      </c>
      <c r="O516" s="129">
        <v>0.970251007127363</v>
      </c>
      <c r="P516" s="129">
        <v>0.976744186046512</v>
      </c>
      <c r="Q516" s="129">
        <v>0.979992589848092</v>
      </c>
      <c r="R516" s="129">
        <v>0.97733616166127</v>
      </c>
      <c r="S516" s="131">
        <v>0.9</v>
      </c>
      <c r="T516" s="129">
        <v>0.930895568639603</v>
      </c>
      <c r="U516" s="129">
        <v>0.918604651162791</v>
      </c>
      <c r="V516" s="129">
        <v>0.948499444238607</v>
      </c>
      <c r="W516" s="129">
        <v>0.957426221577165</v>
      </c>
      <c r="X516" s="131">
        <v>0.92</v>
      </c>
      <c r="Y516" s="131">
        <v>0</v>
      </c>
      <c r="Z516" s="131" t="s">
        <v>33</v>
      </c>
      <c r="AA516" s="131" t="s">
        <v>33</v>
      </c>
      <c r="AB516" s="131">
        <v>0</v>
      </c>
      <c r="AC516" s="131">
        <v>0.92</v>
      </c>
      <c r="AD516" s="129">
        <v>0.993243243243243</v>
      </c>
      <c r="AE516" s="129">
        <v>1</v>
      </c>
      <c r="AF516" s="129">
        <v>0.958333333333333</v>
      </c>
      <c r="AG516" s="129">
        <v>0.981971830985915</v>
      </c>
      <c r="AH516" s="131">
        <v>0.92</v>
      </c>
      <c r="AI516" s="129">
        <v>0.978368355995056</v>
      </c>
      <c r="AJ516" s="129">
        <v>0.958304853041695</v>
      </c>
      <c r="AK516" s="129">
        <v>0.993330863282697</v>
      </c>
      <c r="AL516" s="129">
        <v>0.98742653076408</v>
      </c>
      <c r="AM516" s="128">
        <v>0.99</v>
      </c>
      <c r="AN516" s="133">
        <v>1</v>
      </c>
      <c r="AO516" s="133">
        <v>1</v>
      </c>
      <c r="AP516" s="133">
        <v>1</v>
      </c>
      <c r="AQ516" s="133">
        <v>1</v>
      </c>
      <c r="AR516" s="153">
        <v>0.05</v>
      </c>
      <c r="AS516" s="137">
        <v>0</v>
      </c>
      <c r="AT516" s="137">
        <v>0.125</v>
      </c>
      <c r="AU516" s="137">
        <v>0.111111111111111</v>
      </c>
      <c r="AV516" s="137">
        <v>0.0512820512820513</v>
      </c>
      <c r="AW516" s="93"/>
      <c r="AX516" s="91"/>
    </row>
    <row r="517" ht="14.5" spans="1:50">
      <c r="A517" s="89"/>
      <c r="B517" s="93"/>
      <c r="C517" s="148" t="s">
        <v>371</v>
      </c>
      <c r="D517" s="126" t="s">
        <v>372</v>
      </c>
      <c r="E517" s="149" t="s">
        <v>539</v>
      </c>
      <c r="F517" s="149" t="s">
        <v>539</v>
      </c>
      <c r="G517" s="149" t="s">
        <v>539</v>
      </c>
      <c r="H517" s="149" t="s">
        <v>539</v>
      </c>
      <c r="I517" s="128">
        <v>0.9</v>
      </c>
      <c r="J517" s="129">
        <v>0.975609756097561</v>
      </c>
      <c r="K517" s="129">
        <v>0.9375</v>
      </c>
      <c r="L517" s="130">
        <v>0.941176470588235</v>
      </c>
      <c r="M517" s="129">
        <v>0.972027972027972</v>
      </c>
      <c r="N517" s="131">
        <v>0.9</v>
      </c>
      <c r="O517" s="129">
        <v>1</v>
      </c>
      <c r="P517" s="129">
        <v>0.666666666666667</v>
      </c>
      <c r="Q517" s="129">
        <v>1</v>
      </c>
      <c r="R517" s="129">
        <v>0.9375</v>
      </c>
      <c r="S517" s="131">
        <v>0.9</v>
      </c>
      <c r="T517" s="129">
        <v>0.111111111111111</v>
      </c>
      <c r="U517" s="129">
        <v>0.333333333333333</v>
      </c>
      <c r="V517" s="129">
        <v>1</v>
      </c>
      <c r="W517" s="129">
        <v>0.375</v>
      </c>
      <c r="X517" s="131">
        <v>0.92</v>
      </c>
      <c r="Y517" s="131" t="s">
        <v>33</v>
      </c>
      <c r="Z517" s="131" t="s">
        <v>33</v>
      </c>
      <c r="AA517" s="131" t="s">
        <v>33</v>
      </c>
      <c r="AB517" s="131" t="s">
        <v>33</v>
      </c>
      <c r="AC517" s="131">
        <v>0.92</v>
      </c>
      <c r="AD517" s="129">
        <v>0.99496644295302</v>
      </c>
      <c r="AE517" s="129">
        <v>1</v>
      </c>
      <c r="AF517" s="129">
        <v>1</v>
      </c>
      <c r="AG517" s="129">
        <v>0.996356314124077</v>
      </c>
      <c r="AH517" s="131">
        <v>0.92</v>
      </c>
      <c r="AI517" s="129">
        <v>0.992823418319169</v>
      </c>
      <c r="AJ517" s="129">
        <v>0.991599707815924</v>
      </c>
      <c r="AK517" s="129">
        <v>0.994486104984561</v>
      </c>
      <c r="AL517" s="129">
        <v>0.991145641601922</v>
      </c>
      <c r="AM517" s="128">
        <v>0.99</v>
      </c>
      <c r="AN517" s="133">
        <v>1</v>
      </c>
      <c r="AO517" s="133">
        <v>1</v>
      </c>
      <c r="AP517" s="133">
        <v>1</v>
      </c>
      <c r="AQ517" s="133">
        <v>1</v>
      </c>
      <c r="AR517" s="153">
        <v>0.05</v>
      </c>
      <c r="AS517" s="137">
        <v>0</v>
      </c>
      <c r="AT517" s="137">
        <v>0</v>
      </c>
      <c r="AU517" s="137">
        <v>0</v>
      </c>
      <c r="AV517" s="137">
        <v>0.038961038961039</v>
      </c>
      <c r="AW517" s="93"/>
      <c r="AX517" s="91"/>
    </row>
    <row r="518" ht="14.5" spans="1:50">
      <c r="A518" s="89"/>
      <c r="B518" s="93"/>
      <c r="C518" s="148" t="s">
        <v>371</v>
      </c>
      <c r="D518" s="126" t="s">
        <v>372</v>
      </c>
      <c r="E518" s="149" t="s">
        <v>540</v>
      </c>
      <c r="F518" s="149" t="s">
        <v>540</v>
      </c>
      <c r="G518" s="149" t="s">
        <v>540</v>
      </c>
      <c r="H518" s="149" t="s">
        <v>540</v>
      </c>
      <c r="I518" s="128">
        <v>0.9</v>
      </c>
      <c r="J518" s="129">
        <v>1</v>
      </c>
      <c r="K518" s="129">
        <v>1</v>
      </c>
      <c r="L518" s="130">
        <v>1</v>
      </c>
      <c r="M518" s="129">
        <v>0.953545232273839</v>
      </c>
      <c r="N518" s="131">
        <v>0.9</v>
      </c>
      <c r="O518" s="129">
        <v>0.909440064685668</v>
      </c>
      <c r="P518" s="129">
        <v>0.962763351298383</v>
      </c>
      <c r="Q518" s="129">
        <v>0.969525350593312</v>
      </c>
      <c r="R518" s="129">
        <v>0.946450746344307</v>
      </c>
      <c r="S518" s="131">
        <v>0.9</v>
      </c>
      <c r="T518" s="129">
        <v>0.874065089953507</v>
      </c>
      <c r="U518" s="129">
        <v>0.916217540421362</v>
      </c>
      <c r="V518" s="129">
        <v>0.894012944983819</v>
      </c>
      <c r="W518" s="129">
        <v>0.90929825895233</v>
      </c>
      <c r="X518" s="131">
        <v>0.92</v>
      </c>
      <c r="Y518" s="131" t="s">
        <v>33</v>
      </c>
      <c r="Z518" s="131">
        <v>1</v>
      </c>
      <c r="AA518" s="131" t="s">
        <v>33</v>
      </c>
      <c r="AB518" s="131">
        <v>1</v>
      </c>
      <c r="AC518" s="131">
        <v>0.92</v>
      </c>
      <c r="AD518" s="129">
        <v>0.944444444444444</v>
      </c>
      <c r="AE518" s="129">
        <v>0.94047619047619</v>
      </c>
      <c r="AF518" s="129">
        <v>1</v>
      </c>
      <c r="AG518" s="129">
        <v>0.9795605518651</v>
      </c>
      <c r="AH518" s="131">
        <v>0.92</v>
      </c>
      <c r="AI518" s="129">
        <v>0.967859308671922</v>
      </c>
      <c r="AJ518" s="129">
        <v>0.965719882468168</v>
      </c>
      <c r="AK518" s="129">
        <v>0.972491909385113</v>
      </c>
      <c r="AL518" s="129">
        <v>0.975874303091739</v>
      </c>
      <c r="AM518" s="128">
        <v>0.99</v>
      </c>
      <c r="AN518" s="133">
        <v>1</v>
      </c>
      <c r="AO518" s="133">
        <v>1</v>
      </c>
      <c r="AP518" s="133">
        <v>1</v>
      </c>
      <c r="AQ518" s="133">
        <v>1</v>
      </c>
      <c r="AR518" s="153">
        <v>0.05</v>
      </c>
      <c r="AS518" s="137">
        <v>0.0909090909090909</v>
      </c>
      <c r="AT518" s="137">
        <v>0.0588235294117647</v>
      </c>
      <c r="AU518" s="137">
        <v>0.142857142857143</v>
      </c>
      <c r="AV518" s="137">
        <v>0.0443037974683544</v>
      </c>
      <c r="AW518" s="93"/>
      <c r="AX518" s="91"/>
    </row>
    <row r="519" ht="14.5" spans="1:50">
      <c r="A519" s="89"/>
      <c r="B519" s="93"/>
      <c r="C519" s="148" t="s">
        <v>371</v>
      </c>
      <c r="D519" s="126" t="s">
        <v>372</v>
      </c>
      <c r="E519" s="149" t="s">
        <v>541</v>
      </c>
      <c r="F519" s="149" t="s">
        <v>541</v>
      </c>
      <c r="G519" s="149" t="s">
        <v>541</v>
      </c>
      <c r="H519" s="149" t="s">
        <v>541</v>
      </c>
      <c r="I519" s="128">
        <v>0.9</v>
      </c>
      <c r="J519" s="129">
        <v>1</v>
      </c>
      <c r="K519" s="129">
        <v>0.952380952380952</v>
      </c>
      <c r="L519" s="130">
        <v>1</v>
      </c>
      <c r="M519" s="129">
        <v>0.983471074380165</v>
      </c>
      <c r="N519" s="131">
        <v>0.9</v>
      </c>
      <c r="O519" s="129">
        <v>0.965130759651308</v>
      </c>
      <c r="P519" s="129">
        <v>0.981024667931689</v>
      </c>
      <c r="Q519" s="129">
        <v>0.971206225680934</v>
      </c>
      <c r="R519" s="129">
        <v>0.964583688064022</v>
      </c>
      <c r="S519" s="131">
        <v>0.9</v>
      </c>
      <c r="T519" s="129">
        <v>0.962017434620174</v>
      </c>
      <c r="U519" s="129">
        <v>0.954459203036053</v>
      </c>
      <c r="V519" s="129">
        <v>0.919844357976654</v>
      </c>
      <c r="W519" s="129">
        <v>0.949174186957262</v>
      </c>
      <c r="X519" s="131">
        <v>0.92</v>
      </c>
      <c r="Y519" s="131">
        <v>0.967927631578947</v>
      </c>
      <c r="Z519" s="131">
        <v>0.971896955503513</v>
      </c>
      <c r="AA519" s="131">
        <v>0.958630527817404</v>
      </c>
      <c r="AB519" s="131">
        <v>0.963195222097798</v>
      </c>
      <c r="AC519" s="131">
        <v>0.92</v>
      </c>
      <c r="AD519" s="129">
        <v>1</v>
      </c>
      <c r="AE519" s="129">
        <v>1</v>
      </c>
      <c r="AF519" s="129">
        <v>0.98</v>
      </c>
      <c r="AG519" s="129">
        <v>0.975124378109453</v>
      </c>
      <c r="AH519" s="131">
        <v>0.92</v>
      </c>
      <c r="AI519" s="129">
        <v>0.980524079320113</v>
      </c>
      <c r="AJ519" s="129">
        <v>0.976808393152954</v>
      </c>
      <c r="AK519" s="129">
        <v>0.960241570206341</v>
      </c>
      <c r="AL519" s="129">
        <v>0.973385238738381</v>
      </c>
      <c r="AM519" s="128">
        <v>0.99</v>
      </c>
      <c r="AN519" s="133">
        <v>1</v>
      </c>
      <c r="AO519" s="133">
        <v>1</v>
      </c>
      <c r="AP519" s="133">
        <v>1</v>
      </c>
      <c r="AQ519" s="133">
        <v>1</v>
      </c>
      <c r="AR519" s="153">
        <v>0.05</v>
      </c>
      <c r="AS519" s="137">
        <v>0</v>
      </c>
      <c r="AT519" s="137">
        <v>0</v>
      </c>
      <c r="AU519" s="137">
        <v>0</v>
      </c>
      <c r="AV519" s="137">
        <v>0.0434782608695652</v>
      </c>
      <c r="AW519" s="93"/>
      <c r="AX519" s="91"/>
    </row>
    <row r="520" ht="14.5" spans="1:50">
      <c r="A520" s="89"/>
      <c r="B520" s="93"/>
      <c r="C520" s="148" t="s">
        <v>371</v>
      </c>
      <c r="D520" s="126" t="s">
        <v>372</v>
      </c>
      <c r="E520" s="149" t="s">
        <v>542</v>
      </c>
      <c r="F520" s="149" t="s">
        <v>542</v>
      </c>
      <c r="G520" s="149" t="s">
        <v>542</v>
      </c>
      <c r="H520" s="149" t="s">
        <v>542</v>
      </c>
      <c r="I520" s="128">
        <v>0.9</v>
      </c>
      <c r="J520" s="129">
        <v>0.972972972972973</v>
      </c>
      <c r="K520" s="129">
        <v>0.953846153846154</v>
      </c>
      <c r="L520" s="130">
        <v>0.882352941176471</v>
      </c>
      <c r="M520" s="129">
        <v>0.914948453608247</v>
      </c>
      <c r="N520" s="131">
        <v>0.9</v>
      </c>
      <c r="O520" s="129">
        <v>0.82055842077183</v>
      </c>
      <c r="P520" s="129">
        <v>0.784192825112108</v>
      </c>
      <c r="Q520" s="129">
        <v>0.819280140951422</v>
      </c>
      <c r="R520" s="129">
        <v>0.829201545396008</v>
      </c>
      <c r="S520" s="131">
        <v>0.9</v>
      </c>
      <c r="T520" s="129">
        <v>0.787124310866086</v>
      </c>
      <c r="U520" s="129">
        <v>0.783071748878924</v>
      </c>
      <c r="V520" s="129">
        <v>0.737981374276365</v>
      </c>
      <c r="W520" s="129">
        <v>0.79113007083065</v>
      </c>
      <c r="X520" s="131">
        <v>0.92</v>
      </c>
      <c r="Y520" s="131">
        <v>0.893278837420527</v>
      </c>
      <c r="Z520" s="131">
        <v>0.878748370273794</v>
      </c>
      <c r="AA520" s="131">
        <v>0.767313019390582</v>
      </c>
      <c r="AB520" s="131">
        <v>0.854059803805697</v>
      </c>
      <c r="AC520" s="131">
        <v>0.92</v>
      </c>
      <c r="AD520" s="129">
        <v>0.997293640054127</v>
      </c>
      <c r="AE520" s="129">
        <v>0.994495412844037</v>
      </c>
      <c r="AF520" s="129">
        <v>0.993127147766323</v>
      </c>
      <c r="AG520" s="129">
        <v>0.994705048847789</v>
      </c>
      <c r="AH520" s="131">
        <v>0.92</v>
      </c>
      <c r="AI520" s="129">
        <v>0.930378486055777</v>
      </c>
      <c r="AJ520" s="129">
        <v>0.900093955527717</v>
      </c>
      <c r="AK520" s="129">
        <v>0.880266796811453</v>
      </c>
      <c r="AL520" s="129">
        <v>0.897542115437724</v>
      </c>
      <c r="AM520" s="128">
        <v>0.99</v>
      </c>
      <c r="AN520" s="133">
        <v>1</v>
      </c>
      <c r="AO520" s="133">
        <v>1</v>
      </c>
      <c r="AP520" s="133">
        <v>1</v>
      </c>
      <c r="AQ520" s="133">
        <v>1</v>
      </c>
      <c r="AR520" s="153">
        <v>0.05</v>
      </c>
      <c r="AS520" s="137">
        <v>0.173913043478261</v>
      </c>
      <c r="AT520" s="137">
        <v>0.3125</v>
      </c>
      <c r="AU520" s="137">
        <v>0.0952380952380952</v>
      </c>
      <c r="AV520" s="137">
        <v>0.112068965517241</v>
      </c>
      <c r="AW520" s="93"/>
      <c r="AX520" s="91"/>
    </row>
    <row r="521" ht="14.5" spans="1:50">
      <c r="A521" s="89"/>
      <c r="B521" s="93"/>
      <c r="C521" s="148" t="s">
        <v>371</v>
      </c>
      <c r="D521" s="126" t="s">
        <v>372</v>
      </c>
      <c r="E521" s="149" t="s">
        <v>543</v>
      </c>
      <c r="F521" s="149" t="s">
        <v>543</v>
      </c>
      <c r="G521" s="149" t="s">
        <v>543</v>
      </c>
      <c r="H521" s="149" t="s">
        <v>543</v>
      </c>
      <c r="I521" s="128">
        <v>0.9</v>
      </c>
      <c r="J521" s="129">
        <v>1</v>
      </c>
      <c r="K521" s="129">
        <v>0.985714285714286</v>
      </c>
      <c r="L521" s="130">
        <v>0.987341772151899</v>
      </c>
      <c r="M521" s="129">
        <v>0.986651835372636</v>
      </c>
      <c r="N521" s="131">
        <v>0.9</v>
      </c>
      <c r="O521" s="129">
        <v>0.958895949166005</v>
      </c>
      <c r="P521" s="129">
        <v>0.960429897410845</v>
      </c>
      <c r="Q521" s="129">
        <v>0.973198482932996</v>
      </c>
      <c r="R521" s="129">
        <v>0.965589852846455</v>
      </c>
      <c r="S521" s="131">
        <v>0.9</v>
      </c>
      <c r="T521" s="129">
        <v>0.877879269261319</v>
      </c>
      <c r="U521" s="129">
        <v>0.879824132877381</v>
      </c>
      <c r="V521" s="129">
        <v>0.895069532237674</v>
      </c>
      <c r="W521" s="129">
        <v>0.904523608977853</v>
      </c>
      <c r="X521" s="131">
        <v>0.92</v>
      </c>
      <c r="Y521" s="131">
        <v>0.915294821909608</v>
      </c>
      <c r="Z521" s="131">
        <v>0.901008492569002</v>
      </c>
      <c r="AA521" s="131">
        <v>0.93108504398827</v>
      </c>
      <c r="AB521" s="131">
        <v>0.916695001700102</v>
      </c>
      <c r="AC521" s="131">
        <v>0.92</v>
      </c>
      <c r="AD521" s="129">
        <v>0.994252873563218</v>
      </c>
      <c r="AE521" s="129">
        <v>0.996031746031746</v>
      </c>
      <c r="AF521" s="129">
        <v>0.997455470737914</v>
      </c>
      <c r="AG521" s="129">
        <v>0.996776320609568</v>
      </c>
      <c r="AH521" s="131">
        <v>0.92</v>
      </c>
      <c r="AI521" s="129">
        <v>0.946251936598737</v>
      </c>
      <c r="AJ521" s="129">
        <v>0.927357032457496</v>
      </c>
      <c r="AK521" s="129">
        <v>0.959886817576565</v>
      </c>
      <c r="AL521" s="129">
        <v>0.950985373892742</v>
      </c>
      <c r="AM521" s="128">
        <v>0.99</v>
      </c>
      <c r="AN521" s="133">
        <v>1</v>
      </c>
      <c r="AO521" s="133">
        <v>1</v>
      </c>
      <c r="AP521" s="133">
        <v>1</v>
      </c>
      <c r="AQ521" s="133">
        <v>1</v>
      </c>
      <c r="AR521" s="153">
        <v>0.05</v>
      </c>
      <c r="AS521" s="137">
        <v>0.133333333333333</v>
      </c>
      <c r="AT521" s="137">
        <v>0</v>
      </c>
      <c r="AU521" s="137">
        <v>0.0588235294117647</v>
      </c>
      <c r="AV521" s="137">
        <v>0.0403225806451613</v>
      </c>
      <c r="AW521" s="93"/>
      <c r="AX521" s="91"/>
    </row>
    <row r="522" ht="14.5" spans="1:50">
      <c r="A522" s="89"/>
      <c r="B522" s="93"/>
      <c r="C522" s="148" t="s">
        <v>371</v>
      </c>
      <c r="D522" s="126" t="s">
        <v>372</v>
      </c>
      <c r="E522" s="149" t="s">
        <v>544</v>
      </c>
      <c r="F522" s="149" t="s">
        <v>544</v>
      </c>
      <c r="G522" s="149" t="s">
        <v>544</v>
      </c>
      <c r="H522" s="149" t="s">
        <v>544</v>
      </c>
      <c r="I522" s="128">
        <v>0.9</v>
      </c>
      <c r="J522" s="129">
        <v>1</v>
      </c>
      <c r="K522" s="129">
        <v>0.982456140350877</v>
      </c>
      <c r="L522" s="130">
        <v>1</v>
      </c>
      <c r="M522" s="129">
        <v>0.992657856093979</v>
      </c>
      <c r="N522" s="131">
        <v>0.9</v>
      </c>
      <c r="O522" s="129">
        <v>0.953694850430269</v>
      </c>
      <c r="P522" s="129">
        <v>0.954998392799743</v>
      </c>
      <c r="Q522" s="129">
        <v>0.91589090315205</v>
      </c>
      <c r="R522" s="129">
        <v>0.954935589131342</v>
      </c>
      <c r="S522" s="131">
        <v>0.9</v>
      </c>
      <c r="T522" s="129">
        <v>0.889222783772709</v>
      </c>
      <c r="U522" s="129">
        <v>0.915461266473803</v>
      </c>
      <c r="V522" s="129">
        <v>0.826228972725788</v>
      </c>
      <c r="W522" s="129">
        <v>0.904164669130724</v>
      </c>
      <c r="X522" s="131">
        <v>0.92</v>
      </c>
      <c r="Y522" s="131" t="s">
        <v>33</v>
      </c>
      <c r="Z522" s="131">
        <v>0.5</v>
      </c>
      <c r="AA522" s="131">
        <v>0</v>
      </c>
      <c r="AB522" s="131">
        <v>0.333333333333333</v>
      </c>
      <c r="AC522" s="131">
        <v>0.92</v>
      </c>
      <c r="AD522" s="129">
        <v>0.986078886310905</v>
      </c>
      <c r="AE522" s="129">
        <v>0.997647058823529</v>
      </c>
      <c r="AF522" s="129">
        <v>0.992295839753467</v>
      </c>
      <c r="AG522" s="129">
        <v>0.989175977653631</v>
      </c>
      <c r="AH522" s="131">
        <v>0.92</v>
      </c>
      <c r="AI522" s="129">
        <v>0.960387925146838</v>
      </c>
      <c r="AJ522" s="129">
        <v>0.978156119498876</v>
      </c>
      <c r="AK522" s="129">
        <v>0.959666884389288</v>
      </c>
      <c r="AL522" s="129">
        <v>0.973401787647295</v>
      </c>
      <c r="AM522" s="128">
        <v>0.99</v>
      </c>
      <c r="AN522" s="133">
        <v>1</v>
      </c>
      <c r="AO522" s="133">
        <v>1</v>
      </c>
      <c r="AP522" s="133">
        <v>1</v>
      </c>
      <c r="AQ522" s="133">
        <v>1</v>
      </c>
      <c r="AR522" s="153">
        <v>0.05</v>
      </c>
      <c r="AS522" s="137">
        <v>0</v>
      </c>
      <c r="AT522" s="137">
        <v>0.181818181818182</v>
      </c>
      <c r="AU522" s="137">
        <v>0</v>
      </c>
      <c r="AV522" s="137">
        <v>0.0579150579150579</v>
      </c>
      <c r="AW522" s="93"/>
      <c r="AX522" s="91"/>
    </row>
    <row r="523" ht="14.5" spans="1:50">
      <c r="A523" s="89"/>
      <c r="B523" s="93"/>
      <c r="C523" s="148" t="s">
        <v>371</v>
      </c>
      <c r="D523" s="126" t="s">
        <v>372</v>
      </c>
      <c r="E523" s="149" t="s">
        <v>545</v>
      </c>
      <c r="F523" s="149" t="s">
        <v>545</v>
      </c>
      <c r="G523" s="149" t="s">
        <v>545</v>
      </c>
      <c r="H523" s="149" t="s">
        <v>545</v>
      </c>
      <c r="I523" s="128">
        <v>0.9</v>
      </c>
      <c r="J523" s="129">
        <v>0.972222222222222</v>
      </c>
      <c r="K523" s="129">
        <v>0.950819672131147</v>
      </c>
      <c r="L523" s="130">
        <v>0.983333333333333</v>
      </c>
      <c r="M523" s="129">
        <v>0.963350785340314</v>
      </c>
      <c r="N523" s="131">
        <v>0.9</v>
      </c>
      <c r="O523" s="129">
        <v>0.827093455272935</v>
      </c>
      <c r="P523" s="129">
        <v>0.936515186115552</v>
      </c>
      <c r="Q523" s="129">
        <v>0.871215596330275</v>
      </c>
      <c r="R523" s="129">
        <v>0.914606122986332</v>
      </c>
      <c r="S523" s="131">
        <v>0.9</v>
      </c>
      <c r="T523" s="129">
        <v>0.893588644374583</v>
      </c>
      <c r="U523" s="129">
        <v>0.919616350765015</v>
      </c>
      <c r="V523" s="129">
        <v>0.896215596330275</v>
      </c>
      <c r="W523" s="129">
        <v>0.924982645953515</v>
      </c>
      <c r="X523" s="131">
        <v>0.92</v>
      </c>
      <c r="Y523" s="131">
        <v>0</v>
      </c>
      <c r="Z523" s="131" t="s">
        <v>33</v>
      </c>
      <c r="AA523" s="131" t="s">
        <v>33</v>
      </c>
      <c r="AB523" s="131">
        <v>0</v>
      </c>
      <c r="AC523" s="131">
        <v>0.92</v>
      </c>
      <c r="AD523" s="129">
        <v>0.995430312261995</v>
      </c>
      <c r="AE523" s="129">
        <v>0.997578692493947</v>
      </c>
      <c r="AF523" s="129">
        <v>0.996469549867608</v>
      </c>
      <c r="AG523" s="129">
        <v>0.995236376759293</v>
      </c>
      <c r="AH523" s="131">
        <v>0.92</v>
      </c>
      <c r="AI523" s="129">
        <v>0.975140489570435</v>
      </c>
      <c r="AJ523" s="129">
        <v>0.9762502854533</v>
      </c>
      <c r="AK523" s="129">
        <v>0.981077981651376</v>
      </c>
      <c r="AL523" s="129">
        <v>0.981724831250898</v>
      </c>
      <c r="AM523" s="128">
        <v>0.99</v>
      </c>
      <c r="AN523" s="133">
        <v>1</v>
      </c>
      <c r="AO523" s="133">
        <v>1</v>
      </c>
      <c r="AP523" s="133">
        <v>1</v>
      </c>
      <c r="AQ523" s="133">
        <v>1</v>
      </c>
      <c r="AR523" s="153">
        <v>0.05</v>
      </c>
      <c r="AS523" s="137">
        <v>0</v>
      </c>
      <c r="AT523" s="137">
        <v>0</v>
      </c>
      <c r="AU523" s="137">
        <v>0</v>
      </c>
      <c r="AV523" s="137">
        <v>0.0659340659340659</v>
      </c>
      <c r="AW523" s="93"/>
      <c r="AX523" s="91"/>
    </row>
    <row r="524" ht="14.5" spans="1:50">
      <c r="A524" s="89"/>
      <c r="B524" s="93"/>
      <c r="C524" s="148" t="s">
        <v>371</v>
      </c>
      <c r="D524" s="126" t="s">
        <v>372</v>
      </c>
      <c r="E524" s="149" t="s">
        <v>546</v>
      </c>
      <c r="F524" s="149" t="s">
        <v>546</v>
      </c>
      <c r="G524" s="149" t="s">
        <v>546</v>
      </c>
      <c r="H524" s="149" t="s">
        <v>546</v>
      </c>
      <c r="I524" s="128">
        <v>0.9</v>
      </c>
      <c r="J524" s="129">
        <v>1</v>
      </c>
      <c r="K524" s="129">
        <v>1</v>
      </c>
      <c r="L524" s="130">
        <v>1</v>
      </c>
      <c r="M524" s="129">
        <v>0.990049751243781</v>
      </c>
      <c r="N524" s="131">
        <v>0.9</v>
      </c>
      <c r="O524" s="129">
        <v>0.988897700237906</v>
      </c>
      <c r="P524" s="129">
        <v>0.909691629955947</v>
      </c>
      <c r="Q524" s="129">
        <v>0.966480446927374</v>
      </c>
      <c r="R524" s="129">
        <v>0.971697138725338</v>
      </c>
      <c r="S524" s="131">
        <v>0.9</v>
      </c>
      <c r="T524" s="129">
        <v>0.931800158604282</v>
      </c>
      <c r="U524" s="129">
        <v>0.850220264317181</v>
      </c>
      <c r="V524" s="129">
        <v>0.803538175046555</v>
      </c>
      <c r="W524" s="129">
        <v>0.894329098233654</v>
      </c>
      <c r="X524" s="131">
        <v>0.92</v>
      </c>
      <c r="Y524" s="131">
        <v>0.967065868263473</v>
      </c>
      <c r="Z524" s="131">
        <v>0.955280685061846</v>
      </c>
      <c r="AA524" s="131">
        <v>0.963265306122449</v>
      </c>
      <c r="AB524" s="131">
        <v>0.954615941279851</v>
      </c>
      <c r="AC524" s="131">
        <v>0.92</v>
      </c>
      <c r="AD524" s="129">
        <v>0.971698113207547</v>
      </c>
      <c r="AE524" s="129">
        <v>0.991379310344828</v>
      </c>
      <c r="AF524" s="129">
        <v>1</v>
      </c>
      <c r="AG524" s="129">
        <v>0.985148514851485</v>
      </c>
      <c r="AH524" s="131">
        <v>0.92</v>
      </c>
      <c r="AI524" s="129">
        <v>0.97924944812362</v>
      </c>
      <c r="AJ524" s="129">
        <v>0.960212201591512</v>
      </c>
      <c r="AK524" s="129">
        <v>0.980204342273308</v>
      </c>
      <c r="AL524" s="129">
        <v>0.970014450867052</v>
      </c>
      <c r="AM524" s="128">
        <v>0.99</v>
      </c>
      <c r="AN524" s="133">
        <v>1</v>
      </c>
      <c r="AO524" s="133">
        <v>1</v>
      </c>
      <c r="AP524" s="133">
        <v>1</v>
      </c>
      <c r="AQ524" s="133">
        <v>1</v>
      </c>
      <c r="AR524" s="153">
        <v>0.05</v>
      </c>
      <c r="AS524" s="137">
        <v>0.125</v>
      </c>
      <c r="AT524" s="137">
        <v>0</v>
      </c>
      <c r="AU524" s="137">
        <v>0</v>
      </c>
      <c r="AV524" s="137">
        <v>0.0659340659340659</v>
      </c>
      <c r="AW524" s="93"/>
      <c r="AX524" s="91"/>
    </row>
    <row r="525" ht="14.5" spans="1:50">
      <c r="A525" s="89"/>
      <c r="B525" s="93"/>
      <c r="C525" s="148" t="s">
        <v>371</v>
      </c>
      <c r="D525" s="126" t="s">
        <v>372</v>
      </c>
      <c r="E525" s="149" t="s">
        <v>547</v>
      </c>
      <c r="F525" s="149" t="s">
        <v>547</v>
      </c>
      <c r="G525" s="149" t="s">
        <v>547</v>
      </c>
      <c r="H525" s="149" t="s">
        <v>547</v>
      </c>
      <c r="I525" s="128">
        <v>0.9</v>
      </c>
      <c r="J525" s="129">
        <v>1</v>
      </c>
      <c r="K525" s="129">
        <v>0.985294117647059</v>
      </c>
      <c r="L525" s="130">
        <v>1</v>
      </c>
      <c r="M525" s="129">
        <v>0.987593052109181</v>
      </c>
      <c r="N525" s="131">
        <v>0.9</v>
      </c>
      <c r="O525" s="129">
        <v>0.983230134158927</v>
      </c>
      <c r="P525" s="129">
        <v>0.964227642276423</v>
      </c>
      <c r="Q525" s="129">
        <v>0.980043654505769</v>
      </c>
      <c r="R525" s="129">
        <v>0.977187198188297</v>
      </c>
      <c r="S525" s="131">
        <v>0.9</v>
      </c>
      <c r="T525" s="129">
        <v>0.903250773993808</v>
      </c>
      <c r="U525" s="129">
        <v>0.934146341463415</v>
      </c>
      <c r="V525" s="129">
        <v>0.917056439039601</v>
      </c>
      <c r="W525" s="129">
        <v>0.916441868984581</v>
      </c>
      <c r="X525" s="131">
        <v>0.92</v>
      </c>
      <c r="Y525" s="131">
        <v>0.926287744227353</v>
      </c>
      <c r="Z525" s="131">
        <v>0.957018498367791</v>
      </c>
      <c r="AA525" s="131">
        <v>0.93921139101862</v>
      </c>
      <c r="AB525" s="131">
        <v>0.935700021021652</v>
      </c>
      <c r="AC525" s="131">
        <v>0.92</v>
      </c>
      <c r="AD525" s="129">
        <v>0.993638676844784</v>
      </c>
      <c r="AE525" s="129">
        <v>0.977815699658703</v>
      </c>
      <c r="AF525" s="129">
        <v>0.961481481481481</v>
      </c>
      <c r="AG525" s="129">
        <v>0.977817440081591</v>
      </c>
      <c r="AH525" s="131">
        <v>0.92</v>
      </c>
      <c r="AI525" s="129">
        <v>0.948891031822565</v>
      </c>
      <c r="AJ525" s="129">
        <v>0.964634146341463</v>
      </c>
      <c r="AK525" s="129">
        <v>0.970039682539683</v>
      </c>
      <c r="AL525" s="129">
        <v>0.954112020655459</v>
      </c>
      <c r="AM525" s="128">
        <v>0.99</v>
      </c>
      <c r="AN525" s="133">
        <v>1</v>
      </c>
      <c r="AO525" s="133">
        <v>1</v>
      </c>
      <c r="AP525" s="133">
        <v>1</v>
      </c>
      <c r="AQ525" s="133">
        <v>1</v>
      </c>
      <c r="AR525" s="153">
        <v>0.05</v>
      </c>
      <c r="AS525" s="137">
        <v>0.1</v>
      </c>
      <c r="AT525" s="137">
        <v>0</v>
      </c>
      <c r="AU525" s="137">
        <v>0.125</v>
      </c>
      <c r="AV525" s="137">
        <v>0.0846560846560847</v>
      </c>
      <c r="AW525" s="93"/>
      <c r="AX525" s="91"/>
    </row>
    <row r="526" ht="14.5" spans="1:50">
      <c r="A526" s="89"/>
      <c r="B526" s="93"/>
      <c r="C526" s="148" t="s">
        <v>371</v>
      </c>
      <c r="D526" s="126" t="s">
        <v>372</v>
      </c>
      <c r="E526" s="149" t="s">
        <v>548</v>
      </c>
      <c r="F526" s="149" t="s">
        <v>548</v>
      </c>
      <c r="G526" s="149" t="s">
        <v>548</v>
      </c>
      <c r="H526" s="149" t="s">
        <v>548</v>
      </c>
      <c r="I526" s="128">
        <v>0.9</v>
      </c>
      <c r="J526" s="129">
        <v>1</v>
      </c>
      <c r="K526" s="129">
        <v>1</v>
      </c>
      <c r="L526" s="130">
        <v>1</v>
      </c>
      <c r="M526" s="129">
        <v>0.995412844036697</v>
      </c>
      <c r="N526" s="131">
        <v>0.9</v>
      </c>
      <c r="O526" s="129">
        <v>0.95601552393273</v>
      </c>
      <c r="P526" s="129">
        <v>0.976498237367803</v>
      </c>
      <c r="Q526" s="129">
        <v>0.991847826086957</v>
      </c>
      <c r="R526" s="129">
        <v>0.986245784148398</v>
      </c>
      <c r="S526" s="131">
        <v>0.9</v>
      </c>
      <c r="T526" s="129">
        <v>0.924105217766279</v>
      </c>
      <c r="U526" s="129">
        <v>0.981198589894242</v>
      </c>
      <c r="V526" s="129">
        <v>0.942391304347826</v>
      </c>
      <c r="W526" s="129">
        <v>0.961424957841484</v>
      </c>
      <c r="X526" s="131">
        <v>0.92</v>
      </c>
      <c r="Y526" s="131">
        <v>0</v>
      </c>
      <c r="Z526" s="131" t="s">
        <v>33</v>
      </c>
      <c r="AA526" s="131" t="s">
        <v>33</v>
      </c>
      <c r="AB526" s="131">
        <v>0</v>
      </c>
      <c r="AC526" s="131">
        <v>0.92</v>
      </c>
      <c r="AD526" s="129">
        <v>1</v>
      </c>
      <c r="AE526" s="129">
        <v>0.992537313432836</v>
      </c>
      <c r="AF526" s="129">
        <v>1</v>
      </c>
      <c r="AG526" s="129">
        <v>0.990210474791973</v>
      </c>
      <c r="AH526" s="131">
        <v>0.92</v>
      </c>
      <c r="AI526" s="129">
        <v>0.949699054170249</v>
      </c>
      <c r="AJ526" s="129">
        <v>0.994124559341951</v>
      </c>
      <c r="AK526" s="129">
        <v>0.995652173913044</v>
      </c>
      <c r="AL526" s="129">
        <v>0.990728546594321</v>
      </c>
      <c r="AM526" s="128">
        <v>0.99</v>
      </c>
      <c r="AN526" s="133">
        <v>1</v>
      </c>
      <c r="AO526" s="133">
        <v>1</v>
      </c>
      <c r="AP526" s="133">
        <v>1</v>
      </c>
      <c r="AQ526" s="133">
        <v>1</v>
      </c>
      <c r="AR526" s="153">
        <v>0.05</v>
      </c>
      <c r="AS526" s="137">
        <v>0.333333333333333</v>
      </c>
      <c r="AT526" s="137">
        <v>0</v>
      </c>
      <c r="AU526" s="137">
        <v>0.2</v>
      </c>
      <c r="AV526" s="137">
        <v>0.147540983606557</v>
      </c>
      <c r="AW526" s="93"/>
      <c r="AX526" s="91"/>
    </row>
    <row r="527" ht="14.5" spans="1:50">
      <c r="A527" s="89"/>
      <c r="B527" s="93"/>
      <c r="C527" s="148" t="s">
        <v>371</v>
      </c>
      <c r="D527" s="126" t="s">
        <v>372</v>
      </c>
      <c r="E527" s="149" t="s">
        <v>549</v>
      </c>
      <c r="F527" s="149" t="s">
        <v>549</v>
      </c>
      <c r="G527" s="149" t="s">
        <v>549</v>
      </c>
      <c r="H527" s="149" t="s">
        <v>549</v>
      </c>
      <c r="I527" s="128">
        <v>0.9</v>
      </c>
      <c r="J527" s="129">
        <v>0.981481481481482</v>
      </c>
      <c r="K527" s="129">
        <v>0.976190476190476</v>
      </c>
      <c r="L527" s="130">
        <v>0.977777777777778</v>
      </c>
      <c r="M527" s="129">
        <v>0.983812949640288</v>
      </c>
      <c r="N527" s="131">
        <v>0.9</v>
      </c>
      <c r="O527" s="129">
        <v>0.955972696245734</v>
      </c>
      <c r="P527" s="129">
        <v>0.925</v>
      </c>
      <c r="Q527" s="129">
        <v>0.949554896142433</v>
      </c>
      <c r="R527" s="129">
        <v>0.951707588807473</v>
      </c>
      <c r="S527" s="131">
        <v>0.9</v>
      </c>
      <c r="T527" s="129">
        <v>0.917064846416382</v>
      </c>
      <c r="U527" s="129">
        <v>0.887121212121212</v>
      </c>
      <c r="V527" s="129">
        <v>0.922424756252649</v>
      </c>
      <c r="W527" s="129">
        <v>0.917598663067232</v>
      </c>
      <c r="X527" s="131">
        <v>0.92</v>
      </c>
      <c r="Y527" s="131">
        <v>0.956711849584609</v>
      </c>
      <c r="Z527" s="131">
        <v>0.962365591397849</v>
      </c>
      <c r="AA527" s="131">
        <v>0.955074875207987</v>
      </c>
      <c r="AB527" s="131">
        <v>0.955486542443064</v>
      </c>
      <c r="AC527" s="131">
        <v>0.92</v>
      </c>
      <c r="AD527" s="129">
        <v>0.990625</v>
      </c>
      <c r="AE527" s="129">
        <v>0.991869918699187</v>
      </c>
      <c r="AF527" s="129">
        <v>0.99672131147541</v>
      </c>
      <c r="AG527" s="129">
        <v>0.989664082687339</v>
      </c>
      <c r="AH527" s="131">
        <v>0.92</v>
      </c>
      <c r="AI527" s="129">
        <v>0.971291866028708</v>
      </c>
      <c r="AJ527" s="129">
        <v>0.969982192826253</v>
      </c>
      <c r="AK527" s="129">
        <v>0.976143699129947</v>
      </c>
      <c r="AL527" s="129">
        <v>0.9711336382742</v>
      </c>
      <c r="AM527" s="128">
        <v>0.99</v>
      </c>
      <c r="AN527" s="133">
        <v>1</v>
      </c>
      <c r="AO527" s="133">
        <v>1</v>
      </c>
      <c r="AP527" s="133">
        <v>1</v>
      </c>
      <c r="AQ527" s="133">
        <v>1</v>
      </c>
      <c r="AR527" s="153">
        <v>0.05</v>
      </c>
      <c r="AS527" s="137">
        <v>0</v>
      </c>
      <c r="AT527" s="137">
        <v>0</v>
      </c>
      <c r="AU527" s="137">
        <v>0</v>
      </c>
      <c r="AV527" s="137">
        <v>0</v>
      </c>
      <c r="AW527" s="93"/>
      <c r="AX527" s="91"/>
    </row>
    <row r="528" ht="14.5" spans="1:50">
      <c r="A528" s="89"/>
      <c r="B528" s="93"/>
      <c r="C528" s="148" t="s">
        <v>371</v>
      </c>
      <c r="D528" s="126" t="s">
        <v>372</v>
      </c>
      <c r="E528" s="149" t="s">
        <v>550</v>
      </c>
      <c r="F528" s="149" t="s">
        <v>550</v>
      </c>
      <c r="G528" s="149" t="s">
        <v>550</v>
      </c>
      <c r="H528" s="149" t="s">
        <v>550</v>
      </c>
      <c r="I528" s="128">
        <v>0.9</v>
      </c>
      <c r="J528" s="129">
        <v>0.962962962962963</v>
      </c>
      <c r="K528" s="129">
        <v>0.958333333333333</v>
      </c>
      <c r="L528" s="130">
        <v>0.961538461538462</v>
      </c>
      <c r="M528" s="129">
        <v>0.923076923076923</v>
      </c>
      <c r="N528" s="131">
        <v>0.9</v>
      </c>
      <c r="O528" s="129">
        <v>0.918497802636836</v>
      </c>
      <c r="P528" s="129">
        <v>0.901220865704772</v>
      </c>
      <c r="Q528" s="129">
        <v>0.922794117647059</v>
      </c>
      <c r="R528" s="129">
        <v>0.905804694048617</v>
      </c>
      <c r="S528" s="131">
        <v>0.9</v>
      </c>
      <c r="T528" s="129">
        <v>0.808629644426688</v>
      </c>
      <c r="U528" s="129">
        <v>0.881243063263041</v>
      </c>
      <c r="V528" s="129">
        <v>0.8399064171123</v>
      </c>
      <c r="W528" s="129">
        <v>0.814019279128248</v>
      </c>
      <c r="X528" s="131">
        <v>0.92</v>
      </c>
      <c r="Y528" s="131">
        <v>0.934892541087231</v>
      </c>
      <c r="Z528" s="131">
        <v>0.95813679245283</v>
      </c>
      <c r="AA528" s="131">
        <v>0.938347718865598</v>
      </c>
      <c r="AB528" s="131">
        <v>0.928861219921656</v>
      </c>
      <c r="AC528" s="131">
        <v>0.92</v>
      </c>
      <c r="AD528" s="129">
        <v>0.954545454545455</v>
      </c>
      <c r="AE528" s="129">
        <v>0.871428571428571</v>
      </c>
      <c r="AF528" s="129">
        <v>0.989247311827957</v>
      </c>
      <c r="AG528" s="129">
        <v>0.936114732724902</v>
      </c>
      <c r="AH528" s="131">
        <v>0.92</v>
      </c>
      <c r="AI528" s="129">
        <v>0.95257883158152</v>
      </c>
      <c r="AJ528" s="129">
        <v>0.968905950095969</v>
      </c>
      <c r="AK528" s="129">
        <v>0.964023109243697</v>
      </c>
      <c r="AL528" s="129">
        <v>0.944981012468977</v>
      </c>
      <c r="AM528" s="128">
        <v>0.99</v>
      </c>
      <c r="AN528" s="133">
        <v>1</v>
      </c>
      <c r="AO528" s="133">
        <v>1</v>
      </c>
      <c r="AP528" s="133">
        <v>1</v>
      </c>
      <c r="AQ528" s="133">
        <v>1</v>
      </c>
      <c r="AR528" s="153">
        <v>0.05</v>
      </c>
      <c r="AS528" s="137">
        <v>0.166666666666667</v>
      </c>
      <c r="AT528" s="137">
        <v>0</v>
      </c>
      <c r="AU528" s="137">
        <v>0.5</v>
      </c>
      <c r="AV528" s="137">
        <v>0.0879120879120879</v>
      </c>
      <c r="AW528" s="93"/>
      <c r="AX528" s="91"/>
    </row>
    <row r="529" ht="14.5" spans="1:50">
      <c r="A529" s="89"/>
      <c r="B529" s="93"/>
      <c r="C529" s="148" t="s">
        <v>371</v>
      </c>
      <c r="D529" s="126" t="s">
        <v>372</v>
      </c>
      <c r="E529" s="149" t="s">
        <v>551</v>
      </c>
      <c r="F529" s="149" t="s">
        <v>551</v>
      </c>
      <c r="G529" s="149" t="s">
        <v>551</v>
      </c>
      <c r="H529" s="149" t="s">
        <v>551</v>
      </c>
      <c r="I529" s="128">
        <v>0.9</v>
      </c>
      <c r="J529" s="129">
        <v>0.98</v>
      </c>
      <c r="K529" s="129">
        <v>0.979166666666667</v>
      </c>
      <c r="L529" s="130">
        <v>0.979166666666667</v>
      </c>
      <c r="M529" s="129">
        <v>0.951175406871609</v>
      </c>
      <c r="N529" s="131">
        <v>0.9</v>
      </c>
      <c r="O529" s="129">
        <v>0.960065199674002</v>
      </c>
      <c r="P529" s="129">
        <v>0.954430379746835</v>
      </c>
      <c r="Q529" s="129">
        <v>0.976715176715177</v>
      </c>
      <c r="R529" s="129">
        <v>0.965818895621746</v>
      </c>
      <c r="S529" s="131">
        <v>0.9</v>
      </c>
      <c r="T529" s="129">
        <v>0.836729149687585</v>
      </c>
      <c r="U529" s="129">
        <v>0.877637130801688</v>
      </c>
      <c r="V529" s="129">
        <v>0.859459459459459</v>
      </c>
      <c r="W529" s="129">
        <v>0.868993769736281</v>
      </c>
      <c r="X529" s="131">
        <v>0.92</v>
      </c>
      <c r="Y529" s="131">
        <v>0.968200836820084</v>
      </c>
      <c r="Z529" s="131">
        <v>0.91018444266239</v>
      </c>
      <c r="AA529" s="131">
        <v>0.968877968877969</v>
      </c>
      <c r="AB529" s="131">
        <v>0.948152100106703</v>
      </c>
      <c r="AC529" s="131">
        <v>0.92</v>
      </c>
      <c r="AD529" s="129">
        <v>0.997439180537772</v>
      </c>
      <c r="AE529" s="129">
        <v>0.984615384615385</v>
      </c>
      <c r="AF529" s="129">
        <v>0.974734042553192</v>
      </c>
      <c r="AG529" s="129">
        <v>0.977377461248429</v>
      </c>
      <c r="AH529" s="131">
        <v>0.92</v>
      </c>
      <c r="AI529" s="129">
        <v>0.976797762053645</v>
      </c>
      <c r="AJ529" s="129">
        <v>0.93485342019544</v>
      </c>
      <c r="AK529" s="129">
        <v>0.980429988974642</v>
      </c>
      <c r="AL529" s="129">
        <v>0.965712730736088</v>
      </c>
      <c r="AM529" s="128">
        <v>0.99</v>
      </c>
      <c r="AN529" s="133">
        <v>1</v>
      </c>
      <c r="AO529" s="133">
        <v>1</v>
      </c>
      <c r="AP529" s="133">
        <v>1</v>
      </c>
      <c r="AQ529" s="133">
        <v>1</v>
      </c>
      <c r="AR529" s="153">
        <v>0.05</v>
      </c>
      <c r="AS529" s="137">
        <v>0.0833333333333333</v>
      </c>
      <c r="AT529" s="137">
        <v>0</v>
      </c>
      <c r="AU529" s="137">
        <v>0.2</v>
      </c>
      <c r="AV529" s="137">
        <v>0.0390625</v>
      </c>
      <c r="AW529" s="93"/>
      <c r="AX529" s="91"/>
    </row>
    <row r="530" ht="14.5" spans="1:50">
      <c r="A530" s="89"/>
      <c r="B530" s="93"/>
      <c r="C530" s="148" t="s">
        <v>371</v>
      </c>
      <c r="D530" s="126" t="s">
        <v>372</v>
      </c>
      <c r="E530" s="149" t="s">
        <v>552</v>
      </c>
      <c r="F530" s="149" t="s">
        <v>552</v>
      </c>
      <c r="G530" s="149" t="s">
        <v>552</v>
      </c>
      <c r="H530" s="149" t="s">
        <v>552</v>
      </c>
      <c r="I530" s="128">
        <v>0.9</v>
      </c>
      <c r="J530" s="129">
        <v>0.970588235294118</v>
      </c>
      <c r="K530" s="129">
        <v>0.964285714285714</v>
      </c>
      <c r="L530" s="130">
        <v>0.983606557377049</v>
      </c>
      <c r="M530" s="129">
        <v>0.975409836065574</v>
      </c>
      <c r="N530" s="131">
        <v>0.9</v>
      </c>
      <c r="O530" s="129">
        <v>0.94713567839196</v>
      </c>
      <c r="P530" s="129">
        <v>0.916879795396419</v>
      </c>
      <c r="Q530" s="129">
        <v>0.93350311262026</v>
      </c>
      <c r="R530" s="129">
        <v>0.940310869385163</v>
      </c>
      <c r="S530" s="131">
        <v>0.9</v>
      </c>
      <c r="T530" s="129">
        <v>0.860904522613065</v>
      </c>
      <c r="U530" s="129">
        <v>0.867647058823529</v>
      </c>
      <c r="V530" s="129">
        <v>0.879173740803622</v>
      </c>
      <c r="W530" s="129">
        <v>0.88490102426769</v>
      </c>
      <c r="X530" s="131">
        <v>0.92</v>
      </c>
      <c r="Y530" s="131">
        <v>0.921502748930971</v>
      </c>
      <c r="Z530" s="131">
        <v>0.942833004787384</v>
      </c>
      <c r="AA530" s="131">
        <v>0.921348314606742</v>
      </c>
      <c r="AB530" s="131">
        <v>0.937224702603901</v>
      </c>
      <c r="AC530" s="131">
        <v>0.92</v>
      </c>
      <c r="AD530" s="129">
        <v>0.987878787878788</v>
      </c>
      <c r="AE530" s="129">
        <v>0.977363515312916</v>
      </c>
      <c r="AF530" s="129">
        <v>0.992401215805471</v>
      </c>
      <c r="AG530" s="129">
        <v>0.988011988011988</v>
      </c>
      <c r="AH530" s="131">
        <v>0.92</v>
      </c>
      <c r="AI530" s="129">
        <v>0.950623260317076</v>
      </c>
      <c r="AJ530" s="129">
        <v>0.952195121951219</v>
      </c>
      <c r="AK530" s="129">
        <v>0.958991723100075</v>
      </c>
      <c r="AL530" s="129">
        <v>0.957385425786913</v>
      </c>
      <c r="AM530" s="128">
        <v>0.99</v>
      </c>
      <c r="AN530" s="133">
        <v>1</v>
      </c>
      <c r="AO530" s="133">
        <v>1</v>
      </c>
      <c r="AP530" s="133">
        <v>1</v>
      </c>
      <c r="AQ530" s="133">
        <v>1</v>
      </c>
      <c r="AR530" s="153">
        <v>0.05</v>
      </c>
      <c r="AS530" s="137">
        <v>0.272727272727273</v>
      </c>
      <c r="AT530" s="137">
        <v>0</v>
      </c>
      <c r="AU530" s="137">
        <v>0</v>
      </c>
      <c r="AV530" s="137">
        <v>0.0557491289198606</v>
      </c>
      <c r="AW530" s="93"/>
      <c r="AX530" s="91"/>
    </row>
    <row r="531" ht="14.5" spans="1:50">
      <c r="A531" s="89"/>
      <c r="B531" s="93"/>
      <c r="C531" s="148" t="s">
        <v>371</v>
      </c>
      <c r="D531" s="126" t="s">
        <v>372</v>
      </c>
      <c r="E531" s="149" t="s">
        <v>553</v>
      </c>
      <c r="F531" s="149" t="s">
        <v>553</v>
      </c>
      <c r="G531" s="149" t="s">
        <v>553</v>
      </c>
      <c r="H531" s="149" t="s">
        <v>553</v>
      </c>
      <c r="I531" s="128">
        <v>0.9</v>
      </c>
      <c r="J531" s="129">
        <v>0.936170212765957</v>
      </c>
      <c r="K531" s="129">
        <v>0.911764705882353</v>
      </c>
      <c r="L531" s="130">
        <v>1</v>
      </c>
      <c r="M531" s="129">
        <v>0.964583333333333</v>
      </c>
      <c r="N531" s="131">
        <v>0.9</v>
      </c>
      <c r="O531" s="129">
        <v>0.914409896355734</v>
      </c>
      <c r="P531" s="129">
        <v>0.872398190045249</v>
      </c>
      <c r="Q531" s="129">
        <v>0.955603102433806</v>
      </c>
      <c r="R531" s="129">
        <v>0.926554398594507</v>
      </c>
      <c r="S531" s="131">
        <v>0.9</v>
      </c>
      <c r="T531" s="129">
        <v>0.822133065864259</v>
      </c>
      <c r="U531" s="129">
        <v>0.792760180995475</v>
      </c>
      <c r="V531" s="129">
        <v>0.904787376303825</v>
      </c>
      <c r="W531" s="129">
        <v>0.87187727642799</v>
      </c>
      <c r="X531" s="131">
        <v>0.92</v>
      </c>
      <c r="Y531" s="131">
        <v>0.941727367325702</v>
      </c>
      <c r="Z531" s="131">
        <v>0.929125138427464</v>
      </c>
      <c r="AA531" s="131">
        <v>0.933712121212121</v>
      </c>
      <c r="AB531" s="131">
        <v>0.941977469102045</v>
      </c>
      <c r="AC531" s="131">
        <v>0.92</v>
      </c>
      <c r="AD531" s="129">
        <v>0.991452991452991</v>
      </c>
      <c r="AE531" s="129">
        <v>0.938271604938272</v>
      </c>
      <c r="AF531" s="129">
        <v>0.985815602836879</v>
      </c>
      <c r="AG531" s="129">
        <v>0.976271186440678</v>
      </c>
      <c r="AH531" s="131">
        <v>0.92</v>
      </c>
      <c r="AI531" s="129">
        <v>0.95646867371847</v>
      </c>
      <c r="AJ531" s="129">
        <v>0.947151681537406</v>
      </c>
      <c r="AK531" s="129">
        <v>0.974588627369298</v>
      </c>
      <c r="AL531" s="129">
        <v>0.964467370441459</v>
      </c>
      <c r="AM531" s="128">
        <v>0.99</v>
      </c>
      <c r="AN531" s="133">
        <v>1</v>
      </c>
      <c r="AO531" s="133">
        <v>1</v>
      </c>
      <c r="AP531" s="133">
        <v>1</v>
      </c>
      <c r="AQ531" s="133">
        <v>1</v>
      </c>
      <c r="AR531" s="153">
        <v>0.05</v>
      </c>
      <c r="AS531" s="137">
        <v>0.166666666666667</v>
      </c>
      <c r="AT531" s="137">
        <v>0.25</v>
      </c>
      <c r="AU531" s="137">
        <v>0</v>
      </c>
      <c r="AV531" s="137">
        <v>0.040650406504065</v>
      </c>
      <c r="AW531" s="93"/>
      <c r="AX531" s="91"/>
    </row>
    <row r="532" ht="14.5" spans="1:50">
      <c r="A532" s="89"/>
      <c r="B532" s="93"/>
      <c r="C532" s="148" t="s">
        <v>371</v>
      </c>
      <c r="D532" s="126" t="s">
        <v>372</v>
      </c>
      <c r="E532" s="149" t="s">
        <v>554</v>
      </c>
      <c r="F532" s="149" t="s">
        <v>554</v>
      </c>
      <c r="G532" s="149" t="s">
        <v>554</v>
      </c>
      <c r="H532" s="149" t="s">
        <v>554</v>
      </c>
      <c r="I532" s="128">
        <v>0.9</v>
      </c>
      <c r="J532" s="129">
        <v>1</v>
      </c>
      <c r="K532" s="129">
        <v>0.964912280701754</v>
      </c>
      <c r="L532" s="130">
        <v>0.964912280701754</v>
      </c>
      <c r="M532" s="129">
        <v>0.953890489913545</v>
      </c>
      <c r="N532" s="131">
        <v>0.9</v>
      </c>
      <c r="O532" s="129">
        <v>0.983161598391556</v>
      </c>
      <c r="P532" s="129">
        <v>0.979107312440646</v>
      </c>
      <c r="Q532" s="129">
        <v>0.969152854511971</v>
      </c>
      <c r="R532" s="129">
        <v>0.982775945766166</v>
      </c>
      <c r="S532" s="131">
        <v>0.9</v>
      </c>
      <c r="T532" s="129">
        <v>0.930761497863785</v>
      </c>
      <c r="U532" s="129">
        <v>0.928774928774929</v>
      </c>
      <c r="V532" s="129">
        <v>0.888735420503376</v>
      </c>
      <c r="W532" s="129">
        <v>0.932533223884399</v>
      </c>
      <c r="X532" s="131">
        <v>0.92</v>
      </c>
      <c r="Y532" s="131" t="s">
        <v>33</v>
      </c>
      <c r="Z532" s="131">
        <v>0.333333333333333</v>
      </c>
      <c r="AA532" s="131" t="s">
        <v>33</v>
      </c>
      <c r="AB532" s="131">
        <v>0.333333333333333</v>
      </c>
      <c r="AC532" s="131">
        <v>0.92</v>
      </c>
      <c r="AD532" s="129">
        <v>0.988304093567251</v>
      </c>
      <c r="AE532" s="129">
        <v>0.986376021798365</v>
      </c>
      <c r="AF532" s="129">
        <v>0.992141453831041</v>
      </c>
      <c r="AG532" s="129">
        <v>0.979571399959944</v>
      </c>
      <c r="AH532" s="131">
        <v>0.92</v>
      </c>
      <c r="AI532" s="129">
        <v>0.985800452374969</v>
      </c>
      <c r="AJ532" s="129">
        <v>0.980708412397217</v>
      </c>
      <c r="AK532" s="129">
        <v>0.94967009360135</v>
      </c>
      <c r="AL532" s="129">
        <v>0.982494622438583</v>
      </c>
      <c r="AM532" s="128">
        <v>0.99</v>
      </c>
      <c r="AN532" s="133">
        <v>1</v>
      </c>
      <c r="AO532" s="133">
        <v>1</v>
      </c>
      <c r="AP532" s="133">
        <v>1</v>
      </c>
      <c r="AQ532" s="133">
        <v>1</v>
      </c>
      <c r="AR532" s="153">
        <v>0.05</v>
      </c>
      <c r="AS532" s="137">
        <v>0</v>
      </c>
      <c r="AT532" s="137">
        <v>0</v>
      </c>
      <c r="AU532" s="137">
        <v>0.0526315789473684</v>
      </c>
      <c r="AV532" s="137">
        <v>0.0144927536231884</v>
      </c>
      <c r="AW532" s="93"/>
      <c r="AX532" s="91"/>
    </row>
    <row r="533" ht="14.5" spans="1:50">
      <c r="A533" s="89"/>
      <c r="B533" s="93"/>
      <c r="C533" s="148" t="s">
        <v>371</v>
      </c>
      <c r="D533" s="126" t="s">
        <v>372</v>
      </c>
      <c r="E533" s="149" t="s">
        <v>555</v>
      </c>
      <c r="F533" s="149" t="s">
        <v>555</v>
      </c>
      <c r="G533" s="149" t="s">
        <v>555</v>
      </c>
      <c r="H533" s="149" t="s">
        <v>555</v>
      </c>
      <c r="I533" s="128">
        <v>0.9</v>
      </c>
      <c r="J533" s="129">
        <v>0.9625</v>
      </c>
      <c r="K533" s="129">
        <v>0.956521739130435</v>
      </c>
      <c r="L533" s="130">
        <v>0.939393939393939</v>
      </c>
      <c r="M533" s="129">
        <v>0.968494749124854</v>
      </c>
      <c r="N533" s="131">
        <v>0.9</v>
      </c>
      <c r="O533" s="129">
        <v>0.973383194016718</v>
      </c>
      <c r="P533" s="129">
        <v>0.971359743040685</v>
      </c>
      <c r="Q533" s="129">
        <v>0.884894991922456</v>
      </c>
      <c r="R533" s="129">
        <v>0.966950827773659</v>
      </c>
      <c r="S533" s="131">
        <v>0.9</v>
      </c>
      <c r="T533" s="129">
        <v>0.90992080950286</v>
      </c>
      <c r="U533" s="129">
        <v>0.927194860813705</v>
      </c>
      <c r="V533" s="129">
        <v>0.84248788368336</v>
      </c>
      <c r="W533" s="129">
        <v>0.910761057573511</v>
      </c>
      <c r="X533" s="131">
        <v>0.92</v>
      </c>
      <c r="Y533" s="131">
        <v>0</v>
      </c>
      <c r="Z533" s="131" t="s">
        <v>33</v>
      </c>
      <c r="AA533" s="131" t="s">
        <v>33</v>
      </c>
      <c r="AB533" s="131">
        <v>0.2</v>
      </c>
      <c r="AC533" s="131">
        <v>0.92</v>
      </c>
      <c r="AD533" s="129">
        <v>0.98961038961039</v>
      </c>
      <c r="AE533" s="129">
        <v>0.984168865435356</v>
      </c>
      <c r="AF533" s="129">
        <v>0.989154013015184</v>
      </c>
      <c r="AG533" s="129">
        <v>0.99041394335512</v>
      </c>
      <c r="AH533" s="131">
        <v>0.92</v>
      </c>
      <c r="AI533" s="129">
        <v>0.981090589270009</v>
      </c>
      <c r="AJ533" s="129">
        <v>0.979122055674518</v>
      </c>
      <c r="AK533" s="129">
        <v>0.967016693591815</v>
      </c>
      <c r="AL533" s="129">
        <v>0.978220586055245</v>
      </c>
      <c r="AM533" s="128">
        <v>0.99</v>
      </c>
      <c r="AN533" s="133">
        <v>1</v>
      </c>
      <c r="AO533" s="133">
        <v>1</v>
      </c>
      <c r="AP533" s="133">
        <v>1</v>
      </c>
      <c r="AQ533" s="133">
        <v>1</v>
      </c>
      <c r="AR533" s="153">
        <v>0.05</v>
      </c>
      <c r="AS533" s="137">
        <v>0.0588235294117647</v>
      </c>
      <c r="AT533" s="137">
        <v>0.1</v>
      </c>
      <c r="AU533" s="137">
        <v>0</v>
      </c>
      <c r="AV533" s="137">
        <v>0.0381679389312977</v>
      </c>
      <c r="AW533" s="93"/>
      <c r="AX533" s="91"/>
    </row>
    <row r="534" ht="14.5" spans="1:50">
      <c r="A534" s="89"/>
      <c r="B534" s="93"/>
      <c r="C534" s="148" t="s">
        <v>371</v>
      </c>
      <c r="D534" s="126" t="s">
        <v>372</v>
      </c>
      <c r="E534" s="149" t="s">
        <v>556</v>
      </c>
      <c r="F534" s="149" t="s">
        <v>556</v>
      </c>
      <c r="G534" s="149" t="s">
        <v>556</v>
      </c>
      <c r="H534" s="149" t="s">
        <v>556</v>
      </c>
      <c r="I534" s="128">
        <v>0.9</v>
      </c>
      <c r="J534" s="129">
        <v>1</v>
      </c>
      <c r="K534" s="129">
        <v>0.952380952380952</v>
      </c>
      <c r="L534" s="130">
        <v>0.972972972972973</v>
      </c>
      <c r="M534" s="129">
        <v>0.977459016393443</v>
      </c>
      <c r="N534" s="131">
        <v>0.9</v>
      </c>
      <c r="O534" s="129">
        <v>0.957933461292386</v>
      </c>
      <c r="P534" s="129">
        <v>0.926746166950596</v>
      </c>
      <c r="Q534" s="129">
        <v>0.901809310835536</v>
      </c>
      <c r="R534" s="129">
        <v>0.948920327624721</v>
      </c>
      <c r="S534" s="131">
        <v>0.9</v>
      </c>
      <c r="T534" s="129">
        <v>0.92274472168906</v>
      </c>
      <c r="U534" s="129">
        <v>0.903321976149915</v>
      </c>
      <c r="V534" s="129">
        <v>0.876194348444806</v>
      </c>
      <c r="W534" s="129">
        <v>0.925986597170514</v>
      </c>
      <c r="X534" s="131">
        <v>0.92</v>
      </c>
      <c r="Y534" s="131">
        <v>0</v>
      </c>
      <c r="Z534" s="131" t="s">
        <v>33</v>
      </c>
      <c r="AA534" s="131" t="s">
        <v>33</v>
      </c>
      <c r="AB534" s="131">
        <v>0</v>
      </c>
      <c r="AC534" s="131">
        <v>0.92</v>
      </c>
      <c r="AD534" s="129">
        <v>0.992063492063492</v>
      </c>
      <c r="AE534" s="129">
        <v>0.981963927855711</v>
      </c>
      <c r="AF534" s="129">
        <v>0.984615384615385</v>
      </c>
      <c r="AG534" s="129">
        <v>0.967094255437814</v>
      </c>
      <c r="AH534" s="131">
        <v>0.92</v>
      </c>
      <c r="AI534" s="129">
        <v>0.983687829841676</v>
      </c>
      <c r="AJ534" s="129">
        <v>0.987654320987654</v>
      </c>
      <c r="AK534" s="129">
        <v>0.964634146341463</v>
      </c>
      <c r="AL534" s="129">
        <v>0.983266012694749</v>
      </c>
      <c r="AM534" s="128">
        <v>0.99</v>
      </c>
      <c r="AN534" s="133">
        <v>1</v>
      </c>
      <c r="AO534" s="133">
        <v>1</v>
      </c>
      <c r="AP534" s="133">
        <v>1</v>
      </c>
      <c r="AQ534" s="133">
        <v>1</v>
      </c>
      <c r="AR534" s="153">
        <v>0.05</v>
      </c>
      <c r="AS534" s="137">
        <v>0</v>
      </c>
      <c r="AT534" s="137">
        <v>0</v>
      </c>
      <c r="AU534" s="137">
        <v>0.2</v>
      </c>
      <c r="AV534" s="137">
        <v>0.0476190476190476</v>
      </c>
      <c r="AW534" s="93"/>
      <c r="AX534" s="91"/>
    </row>
    <row r="535" ht="14.5" spans="1:50">
      <c r="A535" s="89"/>
      <c r="B535" s="93"/>
      <c r="C535" s="148" t="s">
        <v>371</v>
      </c>
      <c r="D535" s="126" t="s">
        <v>372</v>
      </c>
      <c r="E535" s="149" t="s">
        <v>557</v>
      </c>
      <c r="F535" s="149" t="s">
        <v>557</v>
      </c>
      <c r="G535" s="149" t="s">
        <v>557</v>
      </c>
      <c r="H535" s="149" t="s">
        <v>557</v>
      </c>
      <c r="I535" s="128">
        <v>0.9</v>
      </c>
      <c r="J535" s="129">
        <v>0.959459459459459</v>
      </c>
      <c r="K535" s="129">
        <v>0.958333333333333</v>
      </c>
      <c r="L535" s="130">
        <v>0.942028985507246</v>
      </c>
      <c r="M535" s="129">
        <v>0.939729397293973</v>
      </c>
      <c r="N535" s="131">
        <v>0.9</v>
      </c>
      <c r="O535" s="129">
        <v>0</v>
      </c>
      <c r="P535" s="129">
        <v>0</v>
      </c>
      <c r="Q535" s="129" t="s">
        <v>33</v>
      </c>
      <c r="R535" s="129">
        <v>0.2</v>
      </c>
      <c r="S535" s="131">
        <v>0.9</v>
      </c>
      <c r="T535" s="129">
        <v>0</v>
      </c>
      <c r="U535" s="129">
        <v>0</v>
      </c>
      <c r="V535" s="129" t="s">
        <v>33</v>
      </c>
      <c r="W535" s="129">
        <v>0.2</v>
      </c>
      <c r="X535" s="131">
        <v>0.92</v>
      </c>
      <c r="Y535" s="131">
        <v>0</v>
      </c>
      <c r="Z535" s="131">
        <v>0</v>
      </c>
      <c r="AA535" s="131" t="s">
        <v>33</v>
      </c>
      <c r="AB535" s="131">
        <v>0.285714285714286</v>
      </c>
      <c r="AC535" s="131">
        <v>0.92</v>
      </c>
      <c r="AD535" s="129">
        <v>0.990545454545455</v>
      </c>
      <c r="AE535" s="129">
        <v>0.997852541159628</v>
      </c>
      <c r="AF535" s="129">
        <v>0.997564935064935</v>
      </c>
      <c r="AG535" s="129">
        <v>0.932316324741364</v>
      </c>
      <c r="AH535" s="131">
        <v>0.92</v>
      </c>
      <c r="AI535" s="129">
        <v>0.979876841873763</v>
      </c>
      <c r="AJ535" s="129">
        <v>0.979951690821256</v>
      </c>
      <c r="AK535" s="129">
        <v>0.978208812260536</v>
      </c>
      <c r="AL535" s="129">
        <v>0.977506676692509</v>
      </c>
      <c r="AM535" s="128">
        <v>0.99</v>
      </c>
      <c r="AN535" s="133">
        <v>1</v>
      </c>
      <c r="AO535" s="133">
        <v>1</v>
      </c>
      <c r="AP535" s="133">
        <v>1</v>
      </c>
      <c r="AQ535" s="133">
        <v>1</v>
      </c>
      <c r="AR535" s="153">
        <v>0.05</v>
      </c>
      <c r="AS535" s="137">
        <v>0</v>
      </c>
      <c r="AT535" s="137">
        <v>0.111111111111111</v>
      </c>
      <c r="AU535" s="137">
        <v>0.0666666666666667</v>
      </c>
      <c r="AV535" s="137">
        <v>0.0766283524904214</v>
      </c>
      <c r="AW535" s="93"/>
      <c r="AX535" s="91"/>
    </row>
    <row r="536" ht="14.5" spans="1:50">
      <c r="A536" s="89"/>
      <c r="B536" s="93"/>
      <c r="C536" s="148" t="s">
        <v>371</v>
      </c>
      <c r="D536" s="126" t="s">
        <v>372</v>
      </c>
      <c r="E536" s="149" t="s">
        <v>558</v>
      </c>
      <c r="F536" s="149" t="s">
        <v>558</v>
      </c>
      <c r="G536" s="149" t="s">
        <v>558</v>
      </c>
      <c r="H536" s="149" t="s">
        <v>558</v>
      </c>
      <c r="I536" s="128">
        <v>0.9</v>
      </c>
      <c r="J536" s="129">
        <v>0.911764705882353</v>
      </c>
      <c r="K536" s="129">
        <v>1</v>
      </c>
      <c r="L536" s="130">
        <v>1</v>
      </c>
      <c r="M536" s="129">
        <v>0.92972972972973</v>
      </c>
      <c r="N536" s="131">
        <v>0.9</v>
      </c>
      <c r="O536" s="129">
        <v>0.986636337787887</v>
      </c>
      <c r="P536" s="129">
        <v>0.988896599583623</v>
      </c>
      <c r="Q536" s="129">
        <v>0.969066032123736</v>
      </c>
      <c r="R536" s="129">
        <v>0.948853561601957</v>
      </c>
      <c r="S536" s="131">
        <v>0.9</v>
      </c>
      <c r="T536" s="129">
        <v>0.922377025874325</v>
      </c>
      <c r="U536" s="129">
        <v>0.948646773074254</v>
      </c>
      <c r="V536" s="129">
        <v>0.930696014277216</v>
      </c>
      <c r="W536" s="129">
        <v>0.931947416692143</v>
      </c>
      <c r="X536" s="131">
        <v>0.92</v>
      </c>
      <c r="Y536" s="131" t="s">
        <v>33</v>
      </c>
      <c r="Z536" s="131" t="s">
        <v>33</v>
      </c>
      <c r="AA536" s="131" t="s">
        <v>33</v>
      </c>
      <c r="AB536" s="131">
        <v>0</v>
      </c>
      <c r="AC536" s="131">
        <v>0.92</v>
      </c>
      <c r="AD536" s="129">
        <v>1</v>
      </c>
      <c r="AE536" s="129">
        <v>0.897435897435897</v>
      </c>
      <c r="AF536" s="129">
        <v>0.882352941176471</v>
      </c>
      <c r="AG536" s="129">
        <v>0.933660933660934</v>
      </c>
      <c r="AH536" s="131">
        <v>0.92</v>
      </c>
      <c r="AI536" s="129">
        <v>0.962542565266742</v>
      </c>
      <c r="AJ536" s="129">
        <v>0.977225672877847</v>
      </c>
      <c r="AK536" s="129">
        <v>0.982185273159145</v>
      </c>
      <c r="AL536" s="129">
        <v>0.979186347706841</v>
      </c>
      <c r="AM536" s="128">
        <v>0.99</v>
      </c>
      <c r="AN536" s="133">
        <v>1</v>
      </c>
      <c r="AO536" s="133">
        <v>1</v>
      </c>
      <c r="AP536" s="133">
        <v>1</v>
      </c>
      <c r="AQ536" s="133">
        <v>1</v>
      </c>
      <c r="AR536" s="153">
        <v>0.05</v>
      </c>
      <c r="AS536" s="137">
        <v>0</v>
      </c>
      <c r="AT536" s="137" t="s">
        <v>33</v>
      </c>
      <c r="AU536" s="137">
        <v>0.666666666666667</v>
      </c>
      <c r="AV536" s="137">
        <v>0.111111111111111</v>
      </c>
      <c r="AW536" s="93"/>
      <c r="AX536" s="91"/>
    </row>
    <row r="537" ht="14.5" spans="1:50">
      <c r="A537" s="89"/>
      <c r="B537" s="93"/>
      <c r="C537" s="148" t="s">
        <v>371</v>
      </c>
      <c r="D537" s="126" t="s">
        <v>372</v>
      </c>
      <c r="E537" s="149" t="s">
        <v>559</v>
      </c>
      <c r="F537" s="149" t="s">
        <v>559</v>
      </c>
      <c r="G537" s="149" t="s">
        <v>559</v>
      </c>
      <c r="H537" s="149" t="s">
        <v>559</v>
      </c>
      <c r="I537" s="128">
        <v>0.9</v>
      </c>
      <c r="J537" s="129">
        <v>0.864864864864865</v>
      </c>
      <c r="K537" s="129">
        <v>0.92</v>
      </c>
      <c r="L537" s="130">
        <v>0.941176470588235</v>
      </c>
      <c r="M537" s="129">
        <v>0.931989924433249</v>
      </c>
      <c r="N537" s="131">
        <v>0.9</v>
      </c>
      <c r="O537" s="129">
        <v>0.958950969213227</v>
      </c>
      <c r="P537" s="129">
        <v>0.889471176750834</v>
      </c>
      <c r="Q537" s="129">
        <v>0.447508896797153</v>
      </c>
      <c r="R537" s="129">
        <v>0.835463344206192</v>
      </c>
      <c r="S537" s="131">
        <v>0.9</v>
      </c>
      <c r="T537" s="129">
        <v>0.910490307867731</v>
      </c>
      <c r="U537" s="129">
        <v>0.896617436874702</v>
      </c>
      <c r="V537" s="129">
        <v>0.902728351126928</v>
      </c>
      <c r="W537" s="129">
        <v>0.922464039356184</v>
      </c>
      <c r="X537" s="131">
        <v>0.92</v>
      </c>
      <c r="Y537" s="131" t="s">
        <v>33</v>
      </c>
      <c r="Z537" s="131" t="s">
        <v>33</v>
      </c>
      <c r="AA537" s="131" t="s">
        <v>33</v>
      </c>
      <c r="AB537" s="131" t="s">
        <v>33</v>
      </c>
      <c r="AC537" s="131">
        <v>0.92</v>
      </c>
      <c r="AD537" s="129">
        <v>0.98015873015873</v>
      </c>
      <c r="AE537" s="129">
        <v>0.979452054794521</v>
      </c>
      <c r="AF537" s="129">
        <v>0.979591836734694</v>
      </c>
      <c r="AG537" s="129">
        <v>0.871394230769231</v>
      </c>
      <c r="AH537" s="131">
        <v>0.92</v>
      </c>
      <c r="AI537" s="129">
        <v>0.955321570859419</v>
      </c>
      <c r="AJ537" s="129">
        <v>0.954890788224122</v>
      </c>
      <c r="AK537" s="129">
        <v>0.94824016563147</v>
      </c>
      <c r="AL537" s="129">
        <v>0.967855711422846</v>
      </c>
      <c r="AM537" s="128">
        <v>0.99</v>
      </c>
      <c r="AN537" s="133">
        <v>1</v>
      </c>
      <c r="AO537" s="133">
        <v>1</v>
      </c>
      <c r="AP537" s="133">
        <v>1</v>
      </c>
      <c r="AQ537" s="133">
        <v>1</v>
      </c>
      <c r="AR537" s="153">
        <v>0.05</v>
      </c>
      <c r="AS537" s="137">
        <v>0</v>
      </c>
      <c r="AT537" s="137">
        <v>0</v>
      </c>
      <c r="AU537" s="137">
        <v>0.166666666666667</v>
      </c>
      <c r="AV537" s="137">
        <v>0.075</v>
      </c>
      <c r="AW537" s="93"/>
      <c r="AX537" s="91"/>
    </row>
    <row r="538" ht="14.5" spans="1:50">
      <c r="A538" s="89"/>
      <c r="B538" s="93"/>
      <c r="C538" s="148" t="s">
        <v>371</v>
      </c>
      <c r="D538" s="126" t="s">
        <v>372</v>
      </c>
      <c r="E538" s="149" t="s">
        <v>560</v>
      </c>
      <c r="F538" s="149" t="s">
        <v>560</v>
      </c>
      <c r="G538" s="149" t="s">
        <v>560</v>
      </c>
      <c r="H538" s="149" t="s">
        <v>560</v>
      </c>
      <c r="I538" s="128">
        <v>0.9</v>
      </c>
      <c r="J538" s="129">
        <v>0.957142857142857</v>
      </c>
      <c r="K538" s="129">
        <v>0.953125</v>
      </c>
      <c r="L538" s="130">
        <v>0.967741935483871</v>
      </c>
      <c r="M538" s="129">
        <v>0.964751958224543</v>
      </c>
      <c r="N538" s="131">
        <v>0.9</v>
      </c>
      <c r="O538" s="129">
        <v>0.5</v>
      </c>
      <c r="P538" s="129">
        <v>1</v>
      </c>
      <c r="Q538" s="129">
        <v>0</v>
      </c>
      <c r="R538" s="129">
        <v>0.533333333333333</v>
      </c>
      <c r="S538" s="131">
        <v>0.9</v>
      </c>
      <c r="T538" s="129">
        <v>0</v>
      </c>
      <c r="U538" s="129">
        <v>0</v>
      </c>
      <c r="V538" s="129">
        <v>1</v>
      </c>
      <c r="W538" s="129">
        <v>0.4</v>
      </c>
      <c r="X538" s="131">
        <v>0.92</v>
      </c>
      <c r="Y538" s="131" t="s">
        <v>33</v>
      </c>
      <c r="Z538" s="131">
        <v>0</v>
      </c>
      <c r="AA538" s="131" t="s">
        <v>33</v>
      </c>
      <c r="AB538" s="131">
        <v>0.25</v>
      </c>
      <c r="AC538" s="131">
        <v>0.92</v>
      </c>
      <c r="AD538" s="129">
        <v>0.974040632054176</v>
      </c>
      <c r="AE538" s="129">
        <v>0.993140243902439</v>
      </c>
      <c r="AF538" s="129">
        <v>0.979135618479881</v>
      </c>
      <c r="AG538" s="129">
        <v>0.985959438377535</v>
      </c>
      <c r="AH538" s="131">
        <v>0.92</v>
      </c>
      <c r="AI538" s="129">
        <v>0.976036342986939</v>
      </c>
      <c r="AJ538" s="129">
        <v>0.937750530535251</v>
      </c>
      <c r="AK538" s="129">
        <v>0.923307291666667</v>
      </c>
      <c r="AL538" s="129">
        <v>0.958647072293538</v>
      </c>
      <c r="AM538" s="128">
        <v>0.99</v>
      </c>
      <c r="AN538" s="133">
        <v>1</v>
      </c>
      <c r="AO538" s="133">
        <v>1</v>
      </c>
      <c r="AP538" s="133">
        <v>1</v>
      </c>
      <c r="AQ538" s="133">
        <v>1</v>
      </c>
      <c r="AR538" s="153">
        <v>0.05</v>
      </c>
      <c r="AS538" s="137">
        <v>0.166666666666667</v>
      </c>
      <c r="AT538" s="137">
        <v>0</v>
      </c>
      <c r="AU538" s="137">
        <v>0</v>
      </c>
      <c r="AV538" s="137">
        <v>0.0538116591928251</v>
      </c>
      <c r="AW538" s="93"/>
      <c r="AX538" s="91"/>
    </row>
    <row r="539" ht="14.5" spans="1:50">
      <c r="A539" s="89"/>
      <c r="B539" s="93"/>
      <c r="C539" s="148" t="s">
        <v>371</v>
      </c>
      <c r="D539" s="126" t="s">
        <v>372</v>
      </c>
      <c r="E539" s="149" t="s">
        <v>561</v>
      </c>
      <c r="F539" s="149" t="s">
        <v>561</v>
      </c>
      <c r="G539" s="149" t="s">
        <v>561</v>
      </c>
      <c r="H539" s="149" t="s">
        <v>561</v>
      </c>
      <c r="I539" s="128">
        <v>0.9</v>
      </c>
      <c r="J539" s="129">
        <v>0.971428571428571</v>
      </c>
      <c r="K539" s="129">
        <v>0.896551724137931</v>
      </c>
      <c r="L539" s="130">
        <v>0.96875</v>
      </c>
      <c r="M539" s="129">
        <v>0.951742627345844</v>
      </c>
      <c r="N539" s="131">
        <v>0.9</v>
      </c>
      <c r="O539" s="129" t="s">
        <v>33</v>
      </c>
      <c r="P539" s="129">
        <v>1</v>
      </c>
      <c r="Q539" s="129">
        <v>1</v>
      </c>
      <c r="R539" s="129">
        <v>0.5</v>
      </c>
      <c r="S539" s="131">
        <v>0.9</v>
      </c>
      <c r="T539" s="129" t="s">
        <v>33</v>
      </c>
      <c r="U539" s="129">
        <v>1</v>
      </c>
      <c r="V539" s="129">
        <v>1</v>
      </c>
      <c r="W539" s="129">
        <v>1</v>
      </c>
      <c r="X539" s="131">
        <v>0.92</v>
      </c>
      <c r="Y539" s="131">
        <v>0</v>
      </c>
      <c r="Z539" s="131" t="s">
        <v>33</v>
      </c>
      <c r="AA539" s="131" t="s">
        <v>33</v>
      </c>
      <c r="AB539" s="131">
        <v>0</v>
      </c>
      <c r="AC539" s="131">
        <v>0.92</v>
      </c>
      <c r="AD539" s="129">
        <v>0.995872033023736</v>
      </c>
      <c r="AE539" s="129">
        <v>0.996005326231691</v>
      </c>
      <c r="AF539" s="129">
        <v>0.996563573883162</v>
      </c>
      <c r="AG539" s="129">
        <v>0.993797808559024</v>
      </c>
      <c r="AH539" s="131">
        <v>0.92</v>
      </c>
      <c r="AI539" s="129">
        <v>0.973684210526316</v>
      </c>
      <c r="AJ539" s="129">
        <v>0.970228601807549</v>
      </c>
      <c r="AK539" s="129">
        <v>0.978003849326368</v>
      </c>
      <c r="AL539" s="129">
        <v>0.981187224318435</v>
      </c>
      <c r="AM539" s="128">
        <v>0.99</v>
      </c>
      <c r="AN539" s="133">
        <v>1</v>
      </c>
      <c r="AO539" s="133">
        <v>1</v>
      </c>
      <c r="AP539" s="133">
        <v>1</v>
      </c>
      <c r="AQ539" s="133">
        <v>1</v>
      </c>
      <c r="AR539" s="153">
        <v>0.05</v>
      </c>
      <c r="AS539" s="137">
        <v>0</v>
      </c>
      <c r="AT539" s="137">
        <v>0.0769230769230769</v>
      </c>
      <c r="AU539" s="137">
        <v>0</v>
      </c>
      <c r="AV539" s="137">
        <v>0.0280373831775701</v>
      </c>
      <c r="AW539" s="93"/>
      <c r="AX539" s="91"/>
    </row>
    <row r="540" ht="14.5" spans="1:50">
      <c r="A540" s="89"/>
      <c r="B540" s="93"/>
      <c r="C540" s="148" t="s">
        <v>371</v>
      </c>
      <c r="D540" s="126" t="s">
        <v>372</v>
      </c>
      <c r="E540" s="149" t="s">
        <v>562</v>
      </c>
      <c r="F540" s="149" t="s">
        <v>562</v>
      </c>
      <c r="G540" s="149" t="s">
        <v>562</v>
      </c>
      <c r="H540" s="149" t="s">
        <v>562</v>
      </c>
      <c r="I540" s="128">
        <v>0.9</v>
      </c>
      <c r="J540" s="129">
        <v>1</v>
      </c>
      <c r="K540" s="129">
        <v>0.866666666666667</v>
      </c>
      <c r="L540" s="130">
        <v>0.897058823529412</v>
      </c>
      <c r="M540" s="129">
        <v>0.906553398058252</v>
      </c>
      <c r="N540" s="131">
        <v>0.9</v>
      </c>
      <c r="O540" s="129">
        <v>0</v>
      </c>
      <c r="P540" s="129" t="s">
        <v>33</v>
      </c>
      <c r="Q540" s="129" t="s">
        <v>33</v>
      </c>
      <c r="R540" s="129">
        <v>0.428571428571429</v>
      </c>
      <c r="S540" s="131">
        <v>0.9</v>
      </c>
      <c r="T540" s="129">
        <v>0</v>
      </c>
      <c r="U540" s="129" t="s">
        <v>33</v>
      </c>
      <c r="V540" s="129" t="s">
        <v>33</v>
      </c>
      <c r="W540" s="129">
        <v>0.285714285714286</v>
      </c>
      <c r="X540" s="131">
        <v>0.92</v>
      </c>
      <c r="Y540" s="131" t="s">
        <v>33</v>
      </c>
      <c r="Z540" s="131" t="s">
        <v>33</v>
      </c>
      <c r="AA540" s="131" t="s">
        <v>33</v>
      </c>
      <c r="AB540" s="131">
        <v>0.5</v>
      </c>
      <c r="AC540" s="131">
        <v>0.92</v>
      </c>
      <c r="AD540" s="129">
        <v>0.920353982300885</v>
      </c>
      <c r="AE540" s="129">
        <v>0.952662721893491</v>
      </c>
      <c r="AF540" s="129">
        <v>0.973333333333333</v>
      </c>
      <c r="AG540" s="129">
        <v>0.961826857532379</v>
      </c>
      <c r="AH540" s="131">
        <v>0.92</v>
      </c>
      <c r="AI540" s="129">
        <v>0.970640254686947</v>
      </c>
      <c r="AJ540" s="129">
        <v>0.956879361914257</v>
      </c>
      <c r="AK540" s="129">
        <v>0.975930590540162</v>
      </c>
      <c r="AL540" s="129">
        <v>0.978409236690186</v>
      </c>
      <c r="AM540" s="128">
        <v>0.99</v>
      </c>
      <c r="AN540" s="133">
        <v>1</v>
      </c>
      <c r="AO540" s="133">
        <v>1</v>
      </c>
      <c r="AP540" s="133">
        <v>1</v>
      </c>
      <c r="AQ540" s="133">
        <v>1</v>
      </c>
      <c r="AR540" s="153">
        <v>0.05</v>
      </c>
      <c r="AS540" s="137">
        <v>0.0666666666666667</v>
      </c>
      <c r="AT540" s="137">
        <v>0</v>
      </c>
      <c r="AU540" s="137">
        <v>0</v>
      </c>
      <c r="AV540" s="137">
        <v>0.0260416666666667</v>
      </c>
      <c r="AW540" s="93"/>
      <c r="AX540" s="91"/>
    </row>
    <row r="541" ht="14.5" spans="1:50">
      <c r="A541" s="89"/>
      <c r="B541" s="93"/>
      <c r="C541" s="148" t="s">
        <v>371</v>
      </c>
      <c r="D541" s="126" t="s">
        <v>372</v>
      </c>
      <c r="E541" s="149" t="s">
        <v>563</v>
      </c>
      <c r="F541" s="149" t="s">
        <v>563</v>
      </c>
      <c r="G541" s="149" t="s">
        <v>563</v>
      </c>
      <c r="H541" s="149" t="s">
        <v>563</v>
      </c>
      <c r="I541" s="128">
        <v>0.9</v>
      </c>
      <c r="J541" s="129">
        <v>1</v>
      </c>
      <c r="K541" s="129">
        <v>0.967741935483871</v>
      </c>
      <c r="L541" s="130">
        <v>0.972222222222222</v>
      </c>
      <c r="M541" s="129">
        <v>0.97737556561086</v>
      </c>
      <c r="N541" s="131">
        <v>0.9</v>
      </c>
      <c r="O541" s="129" t="s">
        <v>33</v>
      </c>
      <c r="P541" s="129" t="s">
        <v>33</v>
      </c>
      <c r="Q541" s="129">
        <v>0</v>
      </c>
      <c r="R541" s="129">
        <v>0.111111111111111</v>
      </c>
      <c r="S541" s="131">
        <v>0.9</v>
      </c>
      <c r="T541" s="129" t="s">
        <v>33</v>
      </c>
      <c r="U541" s="129" t="s">
        <v>33</v>
      </c>
      <c r="V541" s="129">
        <v>1</v>
      </c>
      <c r="W541" s="129">
        <v>0.666666666666667</v>
      </c>
      <c r="X541" s="131">
        <v>0.92</v>
      </c>
      <c r="Y541" s="131">
        <v>1</v>
      </c>
      <c r="Z541" s="131" t="s">
        <v>33</v>
      </c>
      <c r="AA541" s="131">
        <v>1</v>
      </c>
      <c r="AB541" s="131">
        <v>1</v>
      </c>
      <c r="AC541" s="131">
        <v>0.92</v>
      </c>
      <c r="AD541" s="129">
        <v>0.994440031771247</v>
      </c>
      <c r="AE541" s="129">
        <v>0.994404476418865</v>
      </c>
      <c r="AF541" s="129">
        <v>0.998610467809171</v>
      </c>
      <c r="AG541" s="129">
        <v>0.90655415448051</v>
      </c>
      <c r="AH541" s="131">
        <v>0.92</v>
      </c>
      <c r="AI541" s="129">
        <v>0.987951807228916</v>
      </c>
      <c r="AJ541" s="129">
        <v>0.971579961464355</v>
      </c>
      <c r="AK541" s="129">
        <v>0.977049180327869</v>
      </c>
      <c r="AL541" s="129">
        <v>0.984710752853044</v>
      </c>
      <c r="AM541" s="128">
        <v>0.99</v>
      </c>
      <c r="AN541" s="133">
        <v>1</v>
      </c>
      <c r="AO541" s="133">
        <v>1</v>
      </c>
      <c r="AP541" s="133">
        <v>1</v>
      </c>
      <c r="AQ541" s="133">
        <v>1</v>
      </c>
      <c r="AR541" s="153">
        <v>0.05</v>
      </c>
      <c r="AS541" s="137">
        <v>0</v>
      </c>
      <c r="AT541" s="137">
        <v>0</v>
      </c>
      <c r="AU541" s="137">
        <v>0</v>
      </c>
      <c r="AV541" s="137">
        <v>0.0416666666666667</v>
      </c>
      <c r="AW541" s="93"/>
      <c r="AX541" s="91"/>
    </row>
    <row r="542" ht="14.5" spans="1:50">
      <c r="A542" s="89"/>
      <c r="B542" s="93"/>
      <c r="C542" s="148" t="s">
        <v>371</v>
      </c>
      <c r="D542" s="126" t="s">
        <v>372</v>
      </c>
      <c r="E542" s="149" t="s">
        <v>564</v>
      </c>
      <c r="F542" s="149" t="s">
        <v>564</v>
      </c>
      <c r="G542" s="149" t="s">
        <v>564</v>
      </c>
      <c r="H542" s="149" t="s">
        <v>564</v>
      </c>
      <c r="I542" s="128">
        <v>0.9</v>
      </c>
      <c r="J542" s="129">
        <v>0.944444444444444</v>
      </c>
      <c r="K542" s="129">
        <v>0.911764705882353</v>
      </c>
      <c r="L542" s="130">
        <v>1</v>
      </c>
      <c r="M542" s="129">
        <v>0.948905109489051</v>
      </c>
      <c r="N542" s="131">
        <v>0.9</v>
      </c>
      <c r="O542" s="129">
        <v>0</v>
      </c>
      <c r="P542" s="129" t="s">
        <v>33</v>
      </c>
      <c r="Q542" s="129">
        <v>1</v>
      </c>
      <c r="R542" s="129">
        <v>0.5</v>
      </c>
      <c r="S542" s="131">
        <v>0.9</v>
      </c>
      <c r="T542" s="129">
        <v>0</v>
      </c>
      <c r="U542" s="129" t="s">
        <v>33</v>
      </c>
      <c r="V542" s="129">
        <v>0</v>
      </c>
      <c r="W542" s="129">
        <v>0.25</v>
      </c>
      <c r="X542" s="131">
        <v>0.92</v>
      </c>
      <c r="Y542" s="131" t="s">
        <v>33</v>
      </c>
      <c r="Z542" s="131" t="s">
        <v>33</v>
      </c>
      <c r="AA542" s="131" t="s">
        <v>33</v>
      </c>
      <c r="AB542" s="131" t="s">
        <v>33</v>
      </c>
      <c r="AC542" s="131">
        <v>0.92</v>
      </c>
      <c r="AD542" s="129">
        <v>0.993843447669305</v>
      </c>
      <c r="AE542" s="129">
        <v>0.986498649864986</v>
      </c>
      <c r="AF542" s="129">
        <v>0.992840095465394</v>
      </c>
      <c r="AG542" s="129">
        <v>0.982302771855011</v>
      </c>
      <c r="AH542" s="131">
        <v>0.92</v>
      </c>
      <c r="AI542" s="129">
        <v>0.964593936711662</v>
      </c>
      <c r="AJ542" s="129">
        <v>0.96551724137931</v>
      </c>
      <c r="AK542" s="129">
        <v>0.967526690391459</v>
      </c>
      <c r="AL542" s="129">
        <v>0.969439852183215</v>
      </c>
      <c r="AM542" s="128">
        <v>0.99</v>
      </c>
      <c r="AN542" s="133">
        <v>1</v>
      </c>
      <c r="AO542" s="133">
        <v>1</v>
      </c>
      <c r="AP542" s="133">
        <v>1</v>
      </c>
      <c r="AQ542" s="133">
        <v>1</v>
      </c>
      <c r="AR542" s="153">
        <v>0.05</v>
      </c>
      <c r="AS542" s="137">
        <v>0</v>
      </c>
      <c r="AT542" s="137">
        <v>0</v>
      </c>
      <c r="AU542" s="137">
        <v>0</v>
      </c>
      <c r="AV542" s="137">
        <v>0.0289855072463768</v>
      </c>
      <c r="AW542" s="93"/>
      <c r="AX542" s="91"/>
    </row>
    <row r="543" ht="14.5" spans="1:50">
      <c r="A543" s="89"/>
      <c r="B543" s="93"/>
      <c r="C543" s="148" t="s">
        <v>371</v>
      </c>
      <c r="D543" s="126" t="s">
        <v>372</v>
      </c>
      <c r="E543" s="149" t="s">
        <v>565</v>
      </c>
      <c r="F543" s="149" t="s">
        <v>565</v>
      </c>
      <c r="G543" s="149" t="s">
        <v>565</v>
      </c>
      <c r="H543" s="149" t="s">
        <v>565</v>
      </c>
      <c r="I543" s="128">
        <v>0.9</v>
      </c>
      <c r="J543" s="129">
        <v>0.941176470588235</v>
      </c>
      <c r="K543" s="129">
        <v>0.977777777777778</v>
      </c>
      <c r="L543" s="130">
        <v>0.865384615384615</v>
      </c>
      <c r="M543" s="129">
        <v>0.91846921797005</v>
      </c>
      <c r="N543" s="131">
        <v>0.9</v>
      </c>
      <c r="O543" s="129" t="s">
        <v>33</v>
      </c>
      <c r="P543" s="129" t="s">
        <v>33</v>
      </c>
      <c r="Q543" s="129" t="s">
        <v>33</v>
      </c>
      <c r="R543" s="129">
        <v>0.25</v>
      </c>
      <c r="S543" s="131">
        <v>0.9</v>
      </c>
      <c r="T543" s="129" t="s">
        <v>33</v>
      </c>
      <c r="U543" s="129" t="s">
        <v>33</v>
      </c>
      <c r="V543" s="129" t="s">
        <v>33</v>
      </c>
      <c r="W543" s="129">
        <v>0.5</v>
      </c>
      <c r="X543" s="131">
        <v>0.92</v>
      </c>
      <c r="Y543" s="131" t="s">
        <v>33</v>
      </c>
      <c r="Z543" s="131" t="s">
        <v>33</v>
      </c>
      <c r="AA543" s="131" t="s">
        <v>33</v>
      </c>
      <c r="AB543" s="131" t="s">
        <v>33</v>
      </c>
      <c r="AC543" s="131">
        <v>0.92</v>
      </c>
      <c r="AD543" s="129">
        <v>0.977011494252874</v>
      </c>
      <c r="AE543" s="129">
        <v>0.988826815642458</v>
      </c>
      <c r="AF543" s="129">
        <v>0.970802919708029</v>
      </c>
      <c r="AG543" s="129">
        <v>0.974604966139955</v>
      </c>
      <c r="AH543" s="131">
        <v>0.92</v>
      </c>
      <c r="AI543" s="129">
        <v>0.962748344370861</v>
      </c>
      <c r="AJ543" s="129">
        <v>0.929003021148036</v>
      </c>
      <c r="AK543" s="129">
        <v>0.966257668711656</v>
      </c>
      <c r="AL543" s="129">
        <v>0.961624919717405</v>
      </c>
      <c r="AM543" s="128">
        <v>0.99</v>
      </c>
      <c r="AN543" s="133">
        <v>1</v>
      </c>
      <c r="AO543" s="133">
        <v>1</v>
      </c>
      <c r="AP543" s="133">
        <v>1</v>
      </c>
      <c r="AQ543" s="133">
        <v>1</v>
      </c>
      <c r="AR543" s="153">
        <v>0.05</v>
      </c>
      <c r="AS543" s="137">
        <v>0.0714285714285714</v>
      </c>
      <c r="AT543" s="137">
        <v>0</v>
      </c>
      <c r="AU543" s="137">
        <v>0</v>
      </c>
      <c r="AV543" s="137">
        <v>0.0341880341880342</v>
      </c>
      <c r="AW543" s="93"/>
      <c r="AX543" s="91"/>
    </row>
    <row r="544" ht="14.5" spans="1:50">
      <c r="A544" s="89"/>
      <c r="B544" s="93"/>
      <c r="C544" s="148" t="s">
        <v>371</v>
      </c>
      <c r="D544" s="126" t="s">
        <v>372</v>
      </c>
      <c r="E544" s="149" t="s">
        <v>566</v>
      </c>
      <c r="F544" s="149" t="s">
        <v>566</v>
      </c>
      <c r="G544" s="149" t="s">
        <v>566</v>
      </c>
      <c r="H544" s="149" t="s">
        <v>566</v>
      </c>
      <c r="I544" s="128">
        <v>0.9</v>
      </c>
      <c r="J544" s="129">
        <v>0.966666666666667</v>
      </c>
      <c r="K544" s="129">
        <v>0.931034482758621</v>
      </c>
      <c r="L544" s="130">
        <v>0.931034482758621</v>
      </c>
      <c r="M544" s="129">
        <v>0.936416184971098</v>
      </c>
      <c r="N544" s="131">
        <v>0.9</v>
      </c>
      <c r="O544" s="129">
        <v>0.5</v>
      </c>
      <c r="P544" s="129">
        <v>0</v>
      </c>
      <c r="Q544" s="129" t="s">
        <v>33</v>
      </c>
      <c r="R544" s="129">
        <v>0.142857142857143</v>
      </c>
      <c r="S544" s="131">
        <v>0.9</v>
      </c>
      <c r="T544" s="129">
        <v>0</v>
      </c>
      <c r="U544" s="129">
        <v>1</v>
      </c>
      <c r="V544" s="129" t="s">
        <v>33</v>
      </c>
      <c r="W544" s="129">
        <v>0.142857142857143</v>
      </c>
      <c r="X544" s="131">
        <v>0.92</v>
      </c>
      <c r="Y544" s="131" t="s">
        <v>33</v>
      </c>
      <c r="Z544" s="131" t="s">
        <v>33</v>
      </c>
      <c r="AA544" s="131" t="s">
        <v>33</v>
      </c>
      <c r="AB544" s="131" t="s">
        <v>33</v>
      </c>
      <c r="AC544" s="131">
        <v>0.92</v>
      </c>
      <c r="AD544" s="129">
        <v>0.982954545454545</v>
      </c>
      <c r="AE544" s="129">
        <v>0.961538461538462</v>
      </c>
      <c r="AF544" s="129">
        <v>0.992753623188406</v>
      </c>
      <c r="AG544" s="129">
        <v>0.990291262135922</v>
      </c>
      <c r="AH544" s="131">
        <v>0.92</v>
      </c>
      <c r="AI544" s="129">
        <v>0.982461024498886</v>
      </c>
      <c r="AJ544" s="129">
        <v>0.976567447751742</v>
      </c>
      <c r="AK544" s="129">
        <v>0.973401245048104</v>
      </c>
      <c r="AL544" s="129">
        <v>0.982956979377027</v>
      </c>
      <c r="AM544" s="128">
        <v>0.99</v>
      </c>
      <c r="AN544" s="133">
        <v>1</v>
      </c>
      <c r="AO544" s="133">
        <v>1</v>
      </c>
      <c r="AP544" s="133">
        <v>1</v>
      </c>
      <c r="AQ544" s="133">
        <v>1</v>
      </c>
      <c r="AR544" s="153">
        <v>0.05</v>
      </c>
      <c r="AS544" s="137">
        <v>0</v>
      </c>
      <c r="AT544" s="137">
        <v>0</v>
      </c>
      <c r="AU544" s="137">
        <v>0.1</v>
      </c>
      <c r="AV544" s="137">
        <v>0.0126582278481013</v>
      </c>
      <c r="AW544" s="93"/>
      <c r="AX544" s="91"/>
    </row>
    <row r="545" ht="14.5" spans="1:50">
      <c r="A545" s="89"/>
      <c r="B545" s="93"/>
      <c r="C545" s="148" t="s">
        <v>371</v>
      </c>
      <c r="D545" s="126" t="s">
        <v>372</v>
      </c>
      <c r="E545" s="149" t="s">
        <v>567</v>
      </c>
      <c r="F545" s="149" t="s">
        <v>567</v>
      </c>
      <c r="G545" s="149" t="s">
        <v>567</v>
      </c>
      <c r="H545" s="149" t="s">
        <v>567</v>
      </c>
      <c r="I545" s="128">
        <v>0.9</v>
      </c>
      <c r="J545" s="129">
        <v>0.923076923076923</v>
      </c>
      <c r="K545" s="129">
        <v>0.924242424242424</v>
      </c>
      <c r="L545" s="130">
        <v>0.896551724137931</v>
      </c>
      <c r="M545" s="129">
        <v>0.892285298398836</v>
      </c>
      <c r="N545" s="131">
        <v>0.9</v>
      </c>
      <c r="O545" s="129">
        <v>0</v>
      </c>
      <c r="P545" s="129">
        <v>0.5</v>
      </c>
      <c r="Q545" s="129">
        <v>1</v>
      </c>
      <c r="R545" s="129">
        <v>0.529411764705882</v>
      </c>
      <c r="S545" s="131">
        <v>0.9</v>
      </c>
      <c r="T545" s="129">
        <v>0</v>
      </c>
      <c r="U545" s="129">
        <v>0.5</v>
      </c>
      <c r="V545" s="129">
        <v>0</v>
      </c>
      <c r="W545" s="129">
        <v>0.529411764705882</v>
      </c>
      <c r="X545" s="131">
        <v>0.92</v>
      </c>
      <c r="Y545" s="131">
        <v>0</v>
      </c>
      <c r="Z545" s="131" t="s">
        <v>33</v>
      </c>
      <c r="AA545" s="131">
        <v>1</v>
      </c>
      <c r="AB545" s="131">
        <v>0.25</v>
      </c>
      <c r="AC545" s="131">
        <v>0.92</v>
      </c>
      <c r="AD545" s="129">
        <v>0.976237623762376</v>
      </c>
      <c r="AE545" s="129">
        <v>0.982926829268293</v>
      </c>
      <c r="AF545" s="129">
        <v>0.987616099071207</v>
      </c>
      <c r="AG545" s="129">
        <v>0.973232812283857</v>
      </c>
      <c r="AH545" s="131">
        <v>0.92</v>
      </c>
      <c r="AI545" s="129">
        <v>0.920711266579216</v>
      </c>
      <c r="AJ545" s="129">
        <v>0.92276247848537</v>
      </c>
      <c r="AK545" s="129">
        <v>0.879382055852644</v>
      </c>
      <c r="AL545" s="129">
        <v>0.920345270366671</v>
      </c>
      <c r="AM545" s="128">
        <v>0.99</v>
      </c>
      <c r="AN545" s="133">
        <v>1</v>
      </c>
      <c r="AO545" s="133">
        <v>1</v>
      </c>
      <c r="AP545" s="133">
        <v>1</v>
      </c>
      <c r="AQ545" s="133">
        <v>1</v>
      </c>
      <c r="AR545" s="153">
        <v>0.05</v>
      </c>
      <c r="AS545" s="137">
        <v>0.1</v>
      </c>
      <c r="AT545" s="137">
        <v>0.133333333333333</v>
      </c>
      <c r="AU545" s="137">
        <v>0</v>
      </c>
      <c r="AV545" s="137">
        <v>0.0626959247648903</v>
      </c>
      <c r="AW545" s="93"/>
      <c r="AX545" s="91"/>
    </row>
    <row r="546" ht="14.5" spans="1:50">
      <c r="A546" s="89"/>
      <c r="B546" s="93"/>
      <c r="C546" s="148" t="s">
        <v>371</v>
      </c>
      <c r="D546" s="126" t="s">
        <v>372</v>
      </c>
      <c r="E546" s="149" t="s">
        <v>568</v>
      </c>
      <c r="F546" s="149" t="s">
        <v>568</v>
      </c>
      <c r="G546" s="149" t="s">
        <v>568</v>
      </c>
      <c r="H546" s="149" t="s">
        <v>568</v>
      </c>
      <c r="I546" s="128">
        <v>0.9</v>
      </c>
      <c r="J546" s="129">
        <v>1</v>
      </c>
      <c r="K546" s="129">
        <v>0.869565217391304</v>
      </c>
      <c r="L546" s="130">
        <v>1</v>
      </c>
      <c r="M546" s="129">
        <v>0.940140845070423</v>
      </c>
      <c r="N546" s="131">
        <v>0.9</v>
      </c>
      <c r="O546" s="129" t="s">
        <v>33</v>
      </c>
      <c r="P546" s="129" t="s">
        <v>33</v>
      </c>
      <c r="Q546" s="129" t="s">
        <v>33</v>
      </c>
      <c r="R546" s="129">
        <v>0</v>
      </c>
      <c r="S546" s="131">
        <v>0.9</v>
      </c>
      <c r="T546" s="129" t="s">
        <v>33</v>
      </c>
      <c r="U546" s="129" t="s">
        <v>33</v>
      </c>
      <c r="V546" s="129" t="s">
        <v>33</v>
      </c>
      <c r="W546" s="129">
        <v>0</v>
      </c>
      <c r="X546" s="131">
        <v>0.92</v>
      </c>
      <c r="Y546" s="131" t="s">
        <v>33</v>
      </c>
      <c r="Z546" s="131" t="s">
        <v>33</v>
      </c>
      <c r="AA546" s="131" t="s">
        <v>33</v>
      </c>
      <c r="AB546" s="131">
        <v>1</v>
      </c>
      <c r="AC546" s="131">
        <v>0.92</v>
      </c>
      <c r="AD546" s="129">
        <v>0.993150684931507</v>
      </c>
      <c r="AE546" s="129">
        <v>0.98695652173913</v>
      </c>
      <c r="AF546" s="129">
        <v>0.994871794871795</v>
      </c>
      <c r="AG546" s="129">
        <v>0.858773181169758</v>
      </c>
      <c r="AH546" s="131">
        <v>0.92</v>
      </c>
      <c r="AI546" s="129">
        <v>0.920644216691069</v>
      </c>
      <c r="AJ546" s="129">
        <v>0.974175035868006</v>
      </c>
      <c r="AK546" s="129">
        <v>0.971535072856659</v>
      </c>
      <c r="AL546" s="129">
        <v>0.965732281500421</v>
      </c>
      <c r="AM546" s="128">
        <v>0.99</v>
      </c>
      <c r="AN546" s="133">
        <v>1</v>
      </c>
      <c r="AO546" s="133">
        <v>1</v>
      </c>
      <c r="AP546" s="133">
        <v>1</v>
      </c>
      <c r="AQ546" s="133">
        <v>1</v>
      </c>
      <c r="AR546" s="153">
        <v>0.05</v>
      </c>
      <c r="AS546" s="137">
        <v>0</v>
      </c>
      <c r="AT546" s="137">
        <v>0</v>
      </c>
      <c r="AU546" s="137">
        <v>0.0909090909090909</v>
      </c>
      <c r="AV546" s="137">
        <v>0.0368663594470046</v>
      </c>
      <c r="AW546" s="93"/>
      <c r="AX546" s="91"/>
    </row>
    <row r="547" ht="14.5" spans="1:50">
      <c r="A547" s="89"/>
      <c r="B547" s="93"/>
      <c r="C547" s="148" t="s">
        <v>371</v>
      </c>
      <c r="D547" s="126" t="s">
        <v>372</v>
      </c>
      <c r="E547" s="149" t="s">
        <v>569</v>
      </c>
      <c r="F547" s="149" t="s">
        <v>569</v>
      </c>
      <c r="G547" s="149" t="s">
        <v>569</v>
      </c>
      <c r="H547" s="149" t="s">
        <v>569</v>
      </c>
      <c r="I547" s="128">
        <v>0.9</v>
      </c>
      <c r="J547" s="129">
        <v>0.895833333333333</v>
      </c>
      <c r="K547" s="129">
        <v>0.864864864864865</v>
      </c>
      <c r="L547" s="130">
        <v>0.934782608695652</v>
      </c>
      <c r="M547" s="129">
        <v>0.89738430583501</v>
      </c>
      <c r="N547" s="131">
        <v>0.9</v>
      </c>
      <c r="O547" s="129">
        <v>0</v>
      </c>
      <c r="P547" s="129">
        <v>1</v>
      </c>
      <c r="Q547" s="129" t="s">
        <v>33</v>
      </c>
      <c r="R547" s="129">
        <v>0.285714285714286</v>
      </c>
      <c r="S547" s="131">
        <v>0.9</v>
      </c>
      <c r="T547" s="129">
        <v>0</v>
      </c>
      <c r="U547" s="129">
        <v>0</v>
      </c>
      <c r="V547" s="129" t="s">
        <v>33</v>
      </c>
      <c r="W547" s="129">
        <v>0.428571428571429</v>
      </c>
      <c r="X547" s="131">
        <v>0.92</v>
      </c>
      <c r="Y547" s="131" t="s">
        <v>33</v>
      </c>
      <c r="Z547" s="131" t="s">
        <v>33</v>
      </c>
      <c r="AA547" s="131" t="s">
        <v>33</v>
      </c>
      <c r="AB547" s="131" t="s">
        <v>33</v>
      </c>
      <c r="AC547" s="131">
        <v>0.92</v>
      </c>
      <c r="AD547" s="129">
        <v>0.989041095890411</v>
      </c>
      <c r="AE547" s="129">
        <v>0.991341991341991</v>
      </c>
      <c r="AF547" s="129">
        <v>1</v>
      </c>
      <c r="AG547" s="129">
        <v>0.957599712540424</v>
      </c>
      <c r="AH547" s="131">
        <v>0.92</v>
      </c>
      <c r="AI547" s="129">
        <v>0.952959623676989</v>
      </c>
      <c r="AJ547" s="129">
        <v>0.965501588742624</v>
      </c>
      <c r="AK547" s="129">
        <v>0.973077800593201</v>
      </c>
      <c r="AL547" s="129">
        <v>0.966044964634557</v>
      </c>
      <c r="AM547" s="128">
        <v>0.99</v>
      </c>
      <c r="AN547" s="133">
        <v>1</v>
      </c>
      <c r="AO547" s="133">
        <v>1</v>
      </c>
      <c r="AP547" s="133">
        <v>1</v>
      </c>
      <c r="AQ547" s="133">
        <v>1</v>
      </c>
      <c r="AR547" s="153">
        <v>0.05</v>
      </c>
      <c r="AS547" s="137">
        <v>0</v>
      </c>
      <c r="AT547" s="137">
        <v>0.4</v>
      </c>
      <c r="AU547" s="137">
        <v>0</v>
      </c>
      <c r="AV547" s="137">
        <v>0.0551181102362205</v>
      </c>
      <c r="AW547" s="93"/>
      <c r="AX547" s="91"/>
    </row>
    <row r="548" ht="14.5" spans="1:50">
      <c r="A548" s="89"/>
      <c r="B548" s="93"/>
      <c r="C548" s="148" t="s">
        <v>371</v>
      </c>
      <c r="D548" s="126" t="s">
        <v>372</v>
      </c>
      <c r="E548" s="149" t="s">
        <v>570</v>
      </c>
      <c r="F548" s="149" t="s">
        <v>570</v>
      </c>
      <c r="G548" s="149" t="s">
        <v>570</v>
      </c>
      <c r="H548" s="149" t="s">
        <v>570</v>
      </c>
      <c r="I548" s="128">
        <v>0.9</v>
      </c>
      <c r="J548" s="129">
        <v>0.944444444444444</v>
      </c>
      <c r="K548" s="129">
        <v>0.982142857142857</v>
      </c>
      <c r="L548" s="130">
        <v>0.944444444444444</v>
      </c>
      <c r="M548" s="129">
        <v>0.910060975609756</v>
      </c>
      <c r="N548" s="131">
        <v>0.9</v>
      </c>
      <c r="O548" s="129" t="s">
        <v>33</v>
      </c>
      <c r="P548" s="129" t="s">
        <v>33</v>
      </c>
      <c r="Q548" s="129">
        <v>0</v>
      </c>
      <c r="R548" s="129">
        <v>0.166666666666667</v>
      </c>
      <c r="S548" s="131">
        <v>0.9</v>
      </c>
      <c r="T548" s="129" t="s">
        <v>33</v>
      </c>
      <c r="U548" s="129" t="s">
        <v>33</v>
      </c>
      <c r="V548" s="129">
        <v>1</v>
      </c>
      <c r="W548" s="129">
        <v>0.333333333333333</v>
      </c>
      <c r="X548" s="131">
        <v>0.92</v>
      </c>
      <c r="Y548" s="131" t="s">
        <v>33</v>
      </c>
      <c r="Z548" s="131" t="s">
        <v>33</v>
      </c>
      <c r="AA548" s="131" t="s">
        <v>33</v>
      </c>
      <c r="AB548" s="131">
        <v>0.25</v>
      </c>
      <c r="AC548" s="131">
        <v>0.92</v>
      </c>
      <c r="AD548" s="129">
        <v>0.997311827956989</v>
      </c>
      <c r="AE548" s="129">
        <v>0.957264957264957</v>
      </c>
      <c r="AF548" s="129">
        <v>1</v>
      </c>
      <c r="AG548" s="129">
        <v>0.989277204130262</v>
      </c>
      <c r="AH548" s="131">
        <v>0.92</v>
      </c>
      <c r="AI548" s="129">
        <v>0.953297480894424</v>
      </c>
      <c r="AJ548" s="129">
        <v>0.981206726013848</v>
      </c>
      <c r="AK548" s="129">
        <v>0.97313980647314</v>
      </c>
      <c r="AL548" s="129">
        <v>0.969543778873524</v>
      </c>
      <c r="AM548" s="128">
        <v>0.99</v>
      </c>
      <c r="AN548" s="133">
        <v>1</v>
      </c>
      <c r="AO548" s="133">
        <v>1</v>
      </c>
      <c r="AP548" s="133">
        <v>1</v>
      </c>
      <c r="AQ548" s="133">
        <v>1</v>
      </c>
      <c r="AR548" s="153">
        <v>0.05</v>
      </c>
      <c r="AS548" s="137">
        <v>0</v>
      </c>
      <c r="AT548" s="137">
        <v>0</v>
      </c>
      <c r="AU548" s="137">
        <v>0.181818181818182</v>
      </c>
      <c r="AV548" s="137">
        <v>0.0333333333333333</v>
      </c>
      <c r="AW548" s="93"/>
      <c r="AX548" s="91"/>
    </row>
    <row r="549" ht="14.5" spans="1:50">
      <c r="A549" s="89"/>
      <c r="B549" s="93"/>
      <c r="C549" s="148" t="s">
        <v>371</v>
      </c>
      <c r="D549" s="126" t="s">
        <v>372</v>
      </c>
      <c r="E549" s="149" t="s">
        <v>571</v>
      </c>
      <c r="F549" s="149" t="s">
        <v>571</v>
      </c>
      <c r="G549" s="149" t="s">
        <v>571</v>
      </c>
      <c r="H549" s="149" t="s">
        <v>571</v>
      </c>
      <c r="I549" s="128">
        <v>0.9</v>
      </c>
      <c r="J549" s="129">
        <v>0.967741935483871</v>
      </c>
      <c r="K549" s="129">
        <v>0.964285714285714</v>
      </c>
      <c r="L549" s="130">
        <v>0.982758620689655</v>
      </c>
      <c r="M549" s="129">
        <v>0.963343108504399</v>
      </c>
      <c r="N549" s="131">
        <v>0.9</v>
      </c>
      <c r="O549" s="129">
        <v>0.982297551789077</v>
      </c>
      <c r="P549" s="129">
        <v>0.991785559878945</v>
      </c>
      <c r="Q549" s="129">
        <v>0.984240687679083</v>
      </c>
      <c r="R549" s="129">
        <v>0.979605350284731</v>
      </c>
      <c r="S549" s="131">
        <v>0.9</v>
      </c>
      <c r="T549" s="129">
        <v>0.915254237288136</v>
      </c>
      <c r="U549" s="129">
        <v>0.960008646779075</v>
      </c>
      <c r="V549" s="129">
        <v>0.943214378744465</v>
      </c>
      <c r="W549" s="129">
        <v>0.932366573963713</v>
      </c>
      <c r="X549" s="131">
        <v>0.92</v>
      </c>
      <c r="Y549" s="131" t="s">
        <v>33</v>
      </c>
      <c r="Z549" s="131">
        <v>1</v>
      </c>
      <c r="AA549" s="131" t="s">
        <v>33</v>
      </c>
      <c r="AB549" s="131">
        <v>0.5</v>
      </c>
      <c r="AC549" s="131">
        <v>0.92</v>
      </c>
      <c r="AD549" s="129">
        <v>0.998204857444562</v>
      </c>
      <c r="AE549" s="129">
        <v>0.994954214165577</v>
      </c>
      <c r="AF549" s="129">
        <v>0.998626163944436</v>
      </c>
      <c r="AG549" s="129">
        <v>0.972442952185538</v>
      </c>
      <c r="AH549" s="131">
        <v>0.92</v>
      </c>
      <c r="AI549" s="129">
        <v>0.978061928043124</v>
      </c>
      <c r="AJ549" s="129">
        <v>0.98252427184466</v>
      </c>
      <c r="AK549" s="129">
        <v>0.984645413142485</v>
      </c>
      <c r="AL549" s="129">
        <v>0.976918088330664</v>
      </c>
      <c r="AM549" s="128">
        <v>0.99</v>
      </c>
      <c r="AN549" s="133">
        <v>1</v>
      </c>
      <c r="AO549" s="133">
        <v>1</v>
      </c>
      <c r="AP549" s="133">
        <v>1</v>
      </c>
      <c r="AQ549" s="133">
        <v>1</v>
      </c>
      <c r="AR549" s="153">
        <v>0.05</v>
      </c>
      <c r="AS549" s="137">
        <v>0.08</v>
      </c>
      <c r="AT549" s="137">
        <v>0.032258064516129</v>
      </c>
      <c r="AU549" s="137">
        <v>0.111111111111111</v>
      </c>
      <c r="AV549" s="137">
        <v>0.0602409638554217</v>
      </c>
      <c r="AW549" s="93"/>
      <c r="AX549" s="91"/>
    </row>
    <row r="550" ht="14.5" spans="1:50">
      <c r="A550" s="89"/>
      <c r="B550" s="93"/>
      <c r="C550" s="148" t="s">
        <v>371</v>
      </c>
      <c r="D550" s="126" t="s">
        <v>372</v>
      </c>
      <c r="E550" s="149" t="s">
        <v>572</v>
      </c>
      <c r="F550" s="149" t="s">
        <v>572</v>
      </c>
      <c r="G550" s="149" t="s">
        <v>572</v>
      </c>
      <c r="H550" s="149" t="s">
        <v>572</v>
      </c>
      <c r="I550" s="128">
        <v>0.9</v>
      </c>
      <c r="J550" s="129">
        <v>0.958333333333333</v>
      </c>
      <c r="K550" s="129">
        <v>0.931034482758621</v>
      </c>
      <c r="L550" s="130">
        <v>0.956521739130435</v>
      </c>
      <c r="M550" s="129">
        <v>0.969348659003831</v>
      </c>
      <c r="N550" s="131">
        <v>0.9</v>
      </c>
      <c r="O550" s="129">
        <v>0.944444444444444</v>
      </c>
      <c r="P550" s="129">
        <v>1</v>
      </c>
      <c r="Q550" s="129">
        <v>1</v>
      </c>
      <c r="R550" s="129">
        <v>0.980582524271845</v>
      </c>
      <c r="S550" s="131">
        <v>0.9</v>
      </c>
      <c r="T550" s="129">
        <v>0.944444444444444</v>
      </c>
      <c r="U550" s="129">
        <v>1</v>
      </c>
      <c r="V550" s="129">
        <v>1</v>
      </c>
      <c r="W550" s="129">
        <v>0.980582524271845</v>
      </c>
      <c r="X550" s="131">
        <v>0.92</v>
      </c>
      <c r="Y550" s="131">
        <v>1</v>
      </c>
      <c r="Z550" s="131">
        <v>0</v>
      </c>
      <c r="AA550" s="131">
        <v>1</v>
      </c>
      <c r="AB550" s="131">
        <v>0.846153846153846</v>
      </c>
      <c r="AC550" s="131">
        <v>0.92</v>
      </c>
      <c r="AD550" s="129">
        <v>0.997363796133568</v>
      </c>
      <c r="AE550" s="129">
        <v>0.815465729349736</v>
      </c>
      <c r="AF550" s="129">
        <v>0.995626822157434</v>
      </c>
      <c r="AG550" s="129">
        <v>0.974778508145184</v>
      </c>
      <c r="AH550" s="131">
        <v>0.92</v>
      </c>
      <c r="AI550" s="129">
        <v>0.971541950113379</v>
      </c>
      <c r="AJ550" s="129">
        <v>0.9473033151905</v>
      </c>
      <c r="AK550" s="129">
        <v>0.964628142005701</v>
      </c>
      <c r="AL550" s="129">
        <v>0.966803682603784</v>
      </c>
      <c r="AM550" s="128">
        <v>0.99</v>
      </c>
      <c r="AN550" s="133">
        <v>1</v>
      </c>
      <c r="AO550" s="133">
        <v>1</v>
      </c>
      <c r="AP550" s="133">
        <v>1</v>
      </c>
      <c r="AQ550" s="133">
        <v>1</v>
      </c>
      <c r="AR550" s="153">
        <v>0.05</v>
      </c>
      <c r="AS550" s="137">
        <v>0.0101522842639594</v>
      </c>
      <c r="AT550" s="137">
        <v>0.144578313253012</v>
      </c>
      <c r="AU550" s="137">
        <v>1.01204819277108</v>
      </c>
      <c r="AV550" s="137">
        <v>0.144165863066538</v>
      </c>
      <c r="AW550" s="93"/>
      <c r="AX550" s="91"/>
    </row>
    <row r="551" ht="14.5" spans="1:50">
      <c r="A551" s="89"/>
      <c r="B551" s="93"/>
      <c r="C551" s="148" t="s">
        <v>371</v>
      </c>
      <c r="D551" s="126" t="s">
        <v>372</v>
      </c>
      <c r="E551" s="149" t="s">
        <v>573</v>
      </c>
      <c r="F551" s="149" t="s">
        <v>573</v>
      </c>
      <c r="G551" s="149" t="s">
        <v>573</v>
      </c>
      <c r="H551" s="149" t="s">
        <v>573</v>
      </c>
      <c r="I551" s="128">
        <v>0.9</v>
      </c>
      <c r="J551" s="129">
        <v>0.953488372093023</v>
      </c>
      <c r="K551" s="129">
        <v>0.947368421052632</v>
      </c>
      <c r="L551" s="130">
        <v>0.973684210526316</v>
      </c>
      <c r="M551" s="129">
        <v>0.955602536997886</v>
      </c>
      <c r="N551" s="131">
        <v>0.9</v>
      </c>
      <c r="O551" s="129">
        <v>0</v>
      </c>
      <c r="P551" s="129" t="s">
        <v>33</v>
      </c>
      <c r="Q551" s="129">
        <v>1</v>
      </c>
      <c r="R551" s="129">
        <v>0.666666666666667</v>
      </c>
      <c r="S551" s="131">
        <v>0.9</v>
      </c>
      <c r="T551" s="129">
        <v>0</v>
      </c>
      <c r="U551" s="129" t="s">
        <v>33</v>
      </c>
      <c r="V551" s="129">
        <v>1</v>
      </c>
      <c r="W551" s="129">
        <v>0.708333333333333</v>
      </c>
      <c r="X551" s="131">
        <v>0.92</v>
      </c>
      <c r="Y551" s="131" t="s">
        <v>33</v>
      </c>
      <c r="Z551" s="131" t="s">
        <v>33</v>
      </c>
      <c r="AA551" s="131" t="s">
        <v>33</v>
      </c>
      <c r="AB551" s="131" t="s">
        <v>33</v>
      </c>
      <c r="AC551" s="131">
        <v>0.92</v>
      </c>
      <c r="AD551" s="129">
        <v>0.997967479674797</v>
      </c>
      <c r="AE551" s="129">
        <v>1</v>
      </c>
      <c r="AF551" s="129">
        <v>0.998027613412229</v>
      </c>
      <c r="AG551" s="129">
        <v>0.993357388879777</v>
      </c>
      <c r="AH551" s="131">
        <v>0.92</v>
      </c>
      <c r="AI551" s="129">
        <v>0.974739970282318</v>
      </c>
      <c r="AJ551" s="129">
        <v>0.978362573099415</v>
      </c>
      <c r="AK551" s="129">
        <v>0.978097982708934</v>
      </c>
      <c r="AL551" s="129">
        <v>0.975390336605507</v>
      </c>
      <c r="AM551" s="128">
        <v>0.99</v>
      </c>
      <c r="AN551" s="133">
        <v>1</v>
      </c>
      <c r="AO551" s="133">
        <v>1</v>
      </c>
      <c r="AP551" s="133">
        <v>1</v>
      </c>
      <c r="AQ551" s="133">
        <v>1</v>
      </c>
      <c r="AR551" s="153">
        <v>0.05</v>
      </c>
      <c r="AS551" s="137">
        <v>0</v>
      </c>
      <c r="AT551" s="137">
        <v>0.214285714285714</v>
      </c>
      <c r="AU551" s="137">
        <v>0</v>
      </c>
      <c r="AV551" s="137">
        <v>0.0625</v>
      </c>
      <c r="AW551" s="93"/>
      <c r="AX551" s="91"/>
    </row>
    <row r="552" ht="14.5" spans="1:50">
      <c r="A552" s="89"/>
      <c r="B552" s="93"/>
      <c r="C552" s="148" t="s">
        <v>371</v>
      </c>
      <c r="D552" s="126" t="s">
        <v>372</v>
      </c>
      <c r="E552" s="149" t="s">
        <v>574</v>
      </c>
      <c r="F552" s="149" t="s">
        <v>574</v>
      </c>
      <c r="G552" s="149" t="s">
        <v>574</v>
      </c>
      <c r="H552" s="149" t="s">
        <v>574</v>
      </c>
      <c r="I552" s="128">
        <v>0.9</v>
      </c>
      <c r="J552" s="129">
        <v>0.962264150943396</v>
      </c>
      <c r="K552" s="129">
        <v>0.928571428571429</v>
      </c>
      <c r="L552" s="130">
        <v>0.979591836734694</v>
      </c>
      <c r="M552" s="129">
        <v>0.928571428571429</v>
      </c>
      <c r="N552" s="131">
        <v>0.9</v>
      </c>
      <c r="O552" s="129" t="s">
        <v>33</v>
      </c>
      <c r="P552" s="129" t="s">
        <v>33</v>
      </c>
      <c r="Q552" s="129" t="s">
        <v>33</v>
      </c>
      <c r="R552" s="129" t="s">
        <v>33</v>
      </c>
      <c r="S552" s="131">
        <v>0.9</v>
      </c>
      <c r="T552" s="129" t="s">
        <v>33</v>
      </c>
      <c r="U552" s="129" t="s">
        <v>33</v>
      </c>
      <c r="V552" s="129" t="s">
        <v>33</v>
      </c>
      <c r="W552" s="129" t="s">
        <v>33</v>
      </c>
      <c r="X552" s="131">
        <v>0.92</v>
      </c>
      <c r="Y552" s="131" t="s">
        <v>33</v>
      </c>
      <c r="Z552" s="131" t="s">
        <v>33</v>
      </c>
      <c r="AA552" s="131" t="s">
        <v>33</v>
      </c>
      <c r="AB552" s="131" t="s">
        <v>33</v>
      </c>
      <c r="AC552" s="131">
        <v>0.92</v>
      </c>
      <c r="AD552" s="129">
        <v>0.996579247434436</v>
      </c>
      <c r="AE552" s="129">
        <v>0.990990990990991</v>
      </c>
      <c r="AF552" s="129">
        <v>0.994805194805195</v>
      </c>
      <c r="AG552" s="129">
        <v>0.928110819202293</v>
      </c>
      <c r="AH552" s="131">
        <v>0.92</v>
      </c>
      <c r="AI552" s="129">
        <v>0.952260030472321</v>
      </c>
      <c r="AJ552" s="129">
        <v>0.9417004048583</v>
      </c>
      <c r="AK552" s="129">
        <v>0.968737060041408</v>
      </c>
      <c r="AL552" s="129">
        <v>0.967105013832569</v>
      </c>
      <c r="AM552" s="128">
        <v>0.99</v>
      </c>
      <c r="AN552" s="133">
        <v>1</v>
      </c>
      <c r="AO552" s="133">
        <v>1</v>
      </c>
      <c r="AP552" s="133">
        <v>1</v>
      </c>
      <c r="AQ552" s="133">
        <v>1</v>
      </c>
      <c r="AR552" s="153">
        <v>0.05</v>
      </c>
      <c r="AS552" s="137">
        <v>0.133333333333333</v>
      </c>
      <c r="AT552" s="137">
        <v>0</v>
      </c>
      <c r="AU552" s="137">
        <v>0.0909090909090909</v>
      </c>
      <c r="AV552" s="137">
        <v>0.054421768707483</v>
      </c>
      <c r="AW552" s="93"/>
      <c r="AX552" s="91"/>
    </row>
    <row r="553" ht="14.5" spans="1:50">
      <c r="A553" s="89"/>
      <c r="B553" s="93"/>
      <c r="C553" s="148" t="s">
        <v>371</v>
      </c>
      <c r="D553" s="126" t="s">
        <v>372</v>
      </c>
      <c r="E553" s="149" t="s">
        <v>575</v>
      </c>
      <c r="F553" s="149" t="s">
        <v>575</v>
      </c>
      <c r="G553" s="149" t="s">
        <v>575</v>
      </c>
      <c r="H553" s="149" t="s">
        <v>575</v>
      </c>
      <c r="I553" s="128">
        <v>0.9</v>
      </c>
      <c r="J553" s="129">
        <v>0.884057971014493</v>
      </c>
      <c r="K553" s="129">
        <v>0.91044776119403</v>
      </c>
      <c r="L553" s="130">
        <v>0.898550724637681</v>
      </c>
      <c r="M553" s="129">
        <v>0.902374670184697</v>
      </c>
      <c r="N553" s="131">
        <v>0.9</v>
      </c>
      <c r="O553" s="129">
        <v>0</v>
      </c>
      <c r="P553" s="129">
        <v>0</v>
      </c>
      <c r="Q553" s="129" t="s">
        <v>33</v>
      </c>
      <c r="R553" s="129">
        <v>0.111111111111111</v>
      </c>
      <c r="S553" s="131">
        <v>0.9</v>
      </c>
      <c r="T553" s="129">
        <v>0.333333333333333</v>
      </c>
      <c r="U553" s="129">
        <v>0</v>
      </c>
      <c r="V553" s="129" t="s">
        <v>33</v>
      </c>
      <c r="W553" s="129">
        <v>0.444444444444444</v>
      </c>
      <c r="X553" s="131">
        <v>0.92</v>
      </c>
      <c r="Y553" s="131" t="s">
        <v>33</v>
      </c>
      <c r="Z553" s="131" t="s">
        <v>33</v>
      </c>
      <c r="AA553" s="131" t="s">
        <v>33</v>
      </c>
      <c r="AB553" s="131">
        <v>0</v>
      </c>
      <c r="AC553" s="131">
        <v>0.92</v>
      </c>
      <c r="AD553" s="129">
        <v>0.975708502024291</v>
      </c>
      <c r="AE553" s="129">
        <v>0.996996996996997</v>
      </c>
      <c r="AF553" s="129">
        <v>0.962962962962963</v>
      </c>
      <c r="AG553" s="129">
        <v>0.98066424021838</v>
      </c>
      <c r="AH553" s="131">
        <v>0.92</v>
      </c>
      <c r="AI553" s="129">
        <v>0.977753727753728</v>
      </c>
      <c r="AJ553" s="129">
        <v>0.980922551252847</v>
      </c>
      <c r="AK553" s="129">
        <v>0.978947368421053</v>
      </c>
      <c r="AL553" s="129">
        <v>0.973610696753546</v>
      </c>
      <c r="AM553" s="128">
        <v>0.99</v>
      </c>
      <c r="AN553" s="133">
        <v>1</v>
      </c>
      <c r="AO553" s="133">
        <v>1</v>
      </c>
      <c r="AP553" s="133">
        <v>1</v>
      </c>
      <c r="AQ553" s="133">
        <v>1</v>
      </c>
      <c r="AR553" s="153">
        <v>0.05</v>
      </c>
      <c r="AS553" s="137">
        <v>0.0909090909090909</v>
      </c>
      <c r="AT553" s="137">
        <v>0</v>
      </c>
      <c r="AU553" s="137">
        <v>0</v>
      </c>
      <c r="AV553" s="137">
        <v>0.0414746543778802</v>
      </c>
      <c r="AW553" s="93"/>
      <c r="AX553" s="91"/>
    </row>
    <row r="554" ht="14.5" spans="1:50">
      <c r="A554" s="89"/>
      <c r="B554" s="93"/>
      <c r="C554" s="148" t="s">
        <v>371</v>
      </c>
      <c r="D554" s="126" t="s">
        <v>372</v>
      </c>
      <c r="E554" s="149" t="s">
        <v>576</v>
      </c>
      <c r="F554" s="149" t="s">
        <v>576</v>
      </c>
      <c r="G554" s="149" t="s">
        <v>576</v>
      </c>
      <c r="H554" s="149" t="s">
        <v>576</v>
      </c>
      <c r="I554" s="128">
        <v>0.9</v>
      </c>
      <c r="J554" s="129">
        <v>0.980769230769231</v>
      </c>
      <c r="K554" s="129">
        <v>0.979166666666667</v>
      </c>
      <c r="L554" s="130">
        <v>1</v>
      </c>
      <c r="M554" s="129">
        <v>0.97887323943662</v>
      </c>
      <c r="N554" s="131">
        <v>0.9</v>
      </c>
      <c r="O554" s="129">
        <v>0.977197719771977</v>
      </c>
      <c r="P554" s="129">
        <v>0.950035688793719</v>
      </c>
      <c r="Q554" s="129">
        <v>0.936812211572595</v>
      </c>
      <c r="R554" s="129">
        <v>0.964384337605325</v>
      </c>
      <c r="S554" s="131">
        <v>0.9</v>
      </c>
      <c r="T554" s="129">
        <v>0.93999399939994</v>
      </c>
      <c r="U554" s="129">
        <v>0.92005710206995</v>
      </c>
      <c r="V554" s="129">
        <v>0.876109336173234</v>
      </c>
      <c r="W554" s="129">
        <v>0.935813920555123</v>
      </c>
      <c r="X554" s="131">
        <v>0.92</v>
      </c>
      <c r="Y554" s="131">
        <v>0.95723813260102</v>
      </c>
      <c r="Z554" s="131">
        <v>0.950634213232773</v>
      </c>
      <c r="AA554" s="131">
        <v>0.911153119092628</v>
      </c>
      <c r="AB554" s="131">
        <v>0.937512035432313</v>
      </c>
      <c r="AC554" s="131">
        <v>0.92</v>
      </c>
      <c r="AD554" s="129">
        <v>0.971563981042654</v>
      </c>
      <c r="AE554" s="129">
        <v>0.961538461538462</v>
      </c>
      <c r="AF554" s="129">
        <v>0.758893280632411</v>
      </c>
      <c r="AG554" s="129">
        <v>0.950580146110872</v>
      </c>
      <c r="AH554" s="131">
        <v>0.92</v>
      </c>
      <c r="AI554" s="129">
        <v>0.973867300186662</v>
      </c>
      <c r="AJ554" s="129">
        <v>0.961200923787529</v>
      </c>
      <c r="AK554" s="129">
        <v>0.943725890628546</v>
      </c>
      <c r="AL554" s="129">
        <v>0.95903679289702</v>
      </c>
      <c r="AM554" s="128">
        <v>0.99</v>
      </c>
      <c r="AN554" s="133">
        <v>1</v>
      </c>
      <c r="AO554" s="133">
        <v>1</v>
      </c>
      <c r="AP554" s="133">
        <v>1</v>
      </c>
      <c r="AQ554" s="133">
        <v>1</v>
      </c>
      <c r="AR554" s="153">
        <v>0.05</v>
      </c>
      <c r="AS554" s="137">
        <v>0</v>
      </c>
      <c r="AT554" s="137">
        <v>0</v>
      </c>
      <c r="AU554" s="137">
        <v>0.125</v>
      </c>
      <c r="AV554" s="137">
        <v>0.0359712230215827</v>
      </c>
      <c r="AW554" s="93"/>
      <c r="AX554" s="91"/>
    </row>
    <row r="555" ht="14.5" spans="1:50">
      <c r="A555" s="89"/>
      <c r="B555" s="93"/>
      <c r="C555" s="148" t="s">
        <v>371</v>
      </c>
      <c r="D555" s="126" t="s">
        <v>372</v>
      </c>
      <c r="E555" s="149" t="s">
        <v>577</v>
      </c>
      <c r="F555" s="149" t="s">
        <v>577</v>
      </c>
      <c r="G555" s="149" t="s">
        <v>577</v>
      </c>
      <c r="H555" s="149" t="s">
        <v>577</v>
      </c>
      <c r="I555" s="128">
        <v>0.9</v>
      </c>
      <c r="J555" s="129">
        <v>1</v>
      </c>
      <c r="K555" s="129">
        <v>0.985074626865672</v>
      </c>
      <c r="L555" s="130">
        <v>0.983333333333333</v>
      </c>
      <c r="M555" s="129">
        <v>0.98343949044586</v>
      </c>
      <c r="N555" s="131">
        <v>0.9</v>
      </c>
      <c r="O555" s="129">
        <v>0.983549351944167</v>
      </c>
      <c r="P555" s="129">
        <v>0.980657640232108</v>
      </c>
      <c r="Q555" s="129">
        <v>0.983157894736842</v>
      </c>
      <c r="R555" s="129">
        <v>0.981187241582989</v>
      </c>
      <c r="S555" s="131">
        <v>0.9</v>
      </c>
      <c r="T555" s="129">
        <v>0.933449651046859</v>
      </c>
      <c r="U555" s="129">
        <v>0.938104448742747</v>
      </c>
      <c r="V555" s="129">
        <v>0.928070175438596</v>
      </c>
      <c r="W555" s="129">
        <v>0.94010632014176</v>
      </c>
      <c r="X555" s="131">
        <v>0.92</v>
      </c>
      <c r="Y555" s="131">
        <v>0.961892247043364</v>
      </c>
      <c r="Z555" s="131">
        <v>0.964196821749952</v>
      </c>
      <c r="AA555" s="131">
        <v>0.957894736842105</v>
      </c>
      <c r="AB555" s="131">
        <v>0.964962986443902</v>
      </c>
      <c r="AC555" s="131">
        <v>0.92</v>
      </c>
      <c r="AD555" s="129">
        <v>1</v>
      </c>
      <c r="AE555" s="129">
        <v>1</v>
      </c>
      <c r="AF555" s="129">
        <v>1</v>
      </c>
      <c r="AG555" s="129">
        <v>0.99979257415474</v>
      </c>
      <c r="AH555" s="131">
        <v>0.92</v>
      </c>
      <c r="AI555" s="129">
        <v>0.97124228664571</v>
      </c>
      <c r="AJ555" s="129">
        <v>0.970688946719627</v>
      </c>
      <c r="AK555" s="129">
        <v>0.971643192488263</v>
      </c>
      <c r="AL555" s="129">
        <v>0.973781531788609</v>
      </c>
      <c r="AM555" s="128">
        <v>0.99</v>
      </c>
      <c r="AN555" s="133">
        <v>1</v>
      </c>
      <c r="AO555" s="133">
        <v>1</v>
      </c>
      <c r="AP555" s="133">
        <v>1</v>
      </c>
      <c r="AQ555" s="133">
        <v>1</v>
      </c>
      <c r="AR555" s="153">
        <v>0.05</v>
      </c>
      <c r="AS555" s="137">
        <v>0.0588235294117647</v>
      </c>
      <c r="AT555" s="137">
        <v>0.0666666666666667</v>
      </c>
      <c r="AU555" s="137">
        <v>0.230769230769231</v>
      </c>
      <c r="AV555" s="137">
        <v>0.0534351145038168</v>
      </c>
      <c r="AW555" s="93"/>
      <c r="AX555" s="91"/>
    </row>
    <row r="556" ht="14.5" spans="1:50">
      <c r="A556" s="89"/>
      <c r="B556" s="93"/>
      <c r="C556" s="148" t="s">
        <v>371</v>
      </c>
      <c r="D556" s="126" t="s">
        <v>372</v>
      </c>
      <c r="E556" s="149" t="s">
        <v>578</v>
      </c>
      <c r="F556" s="149" t="s">
        <v>578</v>
      </c>
      <c r="G556" s="149" t="s">
        <v>578</v>
      </c>
      <c r="H556" s="149" t="s">
        <v>578</v>
      </c>
      <c r="I556" s="128">
        <v>0.9</v>
      </c>
      <c r="J556" s="129">
        <v>0.890909090909091</v>
      </c>
      <c r="K556" s="129">
        <v>0.851063829787234</v>
      </c>
      <c r="L556" s="130">
        <v>0.840909090909091</v>
      </c>
      <c r="M556" s="129">
        <v>0.8719723183391</v>
      </c>
      <c r="N556" s="131">
        <v>0.9</v>
      </c>
      <c r="O556" s="129">
        <v>0.959276018099548</v>
      </c>
      <c r="P556" s="129">
        <v>0.892814371257485</v>
      </c>
      <c r="Q556" s="129">
        <v>0.90745672436751</v>
      </c>
      <c r="R556" s="129">
        <v>0.940177512896921</v>
      </c>
      <c r="S556" s="131">
        <v>0.9</v>
      </c>
      <c r="T556" s="129">
        <v>0.843137254901961</v>
      </c>
      <c r="U556" s="129">
        <v>0.82874251497006</v>
      </c>
      <c r="V556" s="129">
        <v>0.789946737683089</v>
      </c>
      <c r="W556" s="129">
        <v>0.873465987375437</v>
      </c>
      <c r="X556" s="131">
        <v>0.92</v>
      </c>
      <c r="Y556" s="131">
        <v>0.905138339920949</v>
      </c>
      <c r="Z556" s="131">
        <v>0.877797943133696</v>
      </c>
      <c r="AA556" s="131">
        <v>0.794504181600956</v>
      </c>
      <c r="AB556" s="131">
        <v>0.895462280204197</v>
      </c>
      <c r="AC556" s="131">
        <v>0.92</v>
      </c>
      <c r="AD556" s="129">
        <v>0.971590909090909</v>
      </c>
      <c r="AE556" s="129">
        <v>0.957264957264957</v>
      </c>
      <c r="AF556" s="129">
        <v>0.969072164948454</v>
      </c>
      <c r="AG556" s="129">
        <v>0.947610294117647</v>
      </c>
      <c r="AH556" s="131">
        <v>0.92</v>
      </c>
      <c r="AI556" s="129">
        <v>0.946326879271071</v>
      </c>
      <c r="AJ556" s="129">
        <v>0.900541407659916</v>
      </c>
      <c r="AK556" s="129">
        <v>0.886397608370703</v>
      </c>
      <c r="AL556" s="129">
        <v>0.931377409226794</v>
      </c>
      <c r="AM556" s="128">
        <v>0.99</v>
      </c>
      <c r="AN556" s="133">
        <v>1</v>
      </c>
      <c r="AO556" s="133">
        <v>1</v>
      </c>
      <c r="AP556" s="133">
        <v>1</v>
      </c>
      <c r="AQ556" s="133">
        <v>1</v>
      </c>
      <c r="AR556" s="153">
        <v>0.05</v>
      </c>
      <c r="AS556" s="137">
        <v>0.210526315789474</v>
      </c>
      <c r="AT556" s="137">
        <v>0.111111111111111</v>
      </c>
      <c r="AU556" s="137">
        <v>0.214285714285714</v>
      </c>
      <c r="AV556" s="137">
        <v>0.100502512562814</v>
      </c>
      <c r="AW556" s="93"/>
      <c r="AX556" s="91"/>
    </row>
    <row r="557" ht="14.5" spans="1:50">
      <c r="A557" s="89"/>
      <c r="B557" s="93"/>
      <c r="C557" s="148" t="s">
        <v>371</v>
      </c>
      <c r="D557" s="126" t="s">
        <v>372</v>
      </c>
      <c r="E557" s="149" t="s">
        <v>579</v>
      </c>
      <c r="F557" s="149" t="s">
        <v>579</v>
      </c>
      <c r="G557" s="149" t="s">
        <v>579</v>
      </c>
      <c r="H557" s="149" t="s">
        <v>579</v>
      </c>
      <c r="I557" s="128">
        <v>0.9</v>
      </c>
      <c r="J557" s="129">
        <v>0.9375</v>
      </c>
      <c r="K557" s="129">
        <v>0.971830985915493</v>
      </c>
      <c r="L557" s="130">
        <v>0.873015873015873</v>
      </c>
      <c r="M557" s="129">
        <v>0.929161747343565</v>
      </c>
      <c r="N557" s="131">
        <v>0.9</v>
      </c>
      <c r="O557" s="129">
        <v>0.960750485227518</v>
      </c>
      <c r="P557" s="129">
        <v>0.968342644320298</v>
      </c>
      <c r="Q557" s="129">
        <v>0.971843509187908</v>
      </c>
      <c r="R557" s="129">
        <v>0.976197567634649</v>
      </c>
      <c r="S557" s="131">
        <v>0.9</v>
      </c>
      <c r="T557" s="129">
        <v>0.930342894112573</v>
      </c>
      <c r="U557" s="129">
        <v>0.940875232774674</v>
      </c>
      <c r="V557" s="129">
        <v>0.927089508002371</v>
      </c>
      <c r="W557" s="129">
        <v>0.942913874410524</v>
      </c>
      <c r="X557" s="131">
        <v>0.92</v>
      </c>
      <c r="Y557" s="131">
        <v>0.941430545957153</v>
      </c>
      <c r="Z557" s="131">
        <v>0.95676429567643</v>
      </c>
      <c r="AA557" s="131">
        <v>0.959016393442623</v>
      </c>
      <c r="AB557" s="131">
        <v>0.953514807966292</v>
      </c>
      <c r="AC557" s="131">
        <v>0.92</v>
      </c>
      <c r="AD557" s="129">
        <v>0.995207667731629</v>
      </c>
      <c r="AE557" s="129">
        <v>0.981684981684982</v>
      </c>
      <c r="AF557" s="129">
        <v>0.991568296795953</v>
      </c>
      <c r="AG557" s="129">
        <v>0.988545886296969</v>
      </c>
      <c r="AH557" s="131">
        <v>0.92</v>
      </c>
      <c r="AI557" s="129">
        <v>0.956326022411646</v>
      </c>
      <c r="AJ557" s="129">
        <v>0.962941449814126</v>
      </c>
      <c r="AK557" s="129">
        <v>0.975590042030391</v>
      </c>
      <c r="AL557" s="129">
        <v>0.965338020094174</v>
      </c>
      <c r="AM557" s="128">
        <v>0.99</v>
      </c>
      <c r="AN557" s="133">
        <v>1</v>
      </c>
      <c r="AO557" s="133">
        <v>1</v>
      </c>
      <c r="AP557" s="133">
        <v>1</v>
      </c>
      <c r="AQ557" s="133">
        <v>1</v>
      </c>
      <c r="AR557" s="153">
        <v>0.05</v>
      </c>
      <c r="AS557" s="137">
        <v>0</v>
      </c>
      <c r="AT557" s="137">
        <v>0.05</v>
      </c>
      <c r="AU557" s="137">
        <v>0.0625</v>
      </c>
      <c r="AV557" s="137">
        <v>0.0306603773584906</v>
      </c>
      <c r="AW557" s="93"/>
      <c r="AX557" s="91"/>
    </row>
    <row r="558" ht="14.5" spans="1:50">
      <c r="A558" s="89"/>
      <c r="B558" s="93"/>
      <c r="C558" s="148" t="s">
        <v>371</v>
      </c>
      <c r="D558" s="126" t="s">
        <v>372</v>
      </c>
      <c r="E558" s="149" t="s">
        <v>580</v>
      </c>
      <c r="F558" s="149" t="s">
        <v>580</v>
      </c>
      <c r="G558" s="149" t="s">
        <v>580</v>
      </c>
      <c r="H558" s="149" t="s">
        <v>580</v>
      </c>
      <c r="I558" s="128">
        <v>0.9</v>
      </c>
      <c r="J558" s="129">
        <v>0.892307692307692</v>
      </c>
      <c r="K558" s="129">
        <v>0.857142857142857</v>
      </c>
      <c r="L558" s="130">
        <v>0.839285714285714</v>
      </c>
      <c r="M558" s="129">
        <v>0.862857142857143</v>
      </c>
      <c r="N558" s="131">
        <v>0.9</v>
      </c>
      <c r="O558" s="129">
        <v>0.941780821917808</v>
      </c>
      <c r="P558" s="129">
        <v>0.925669436749769</v>
      </c>
      <c r="Q558" s="129">
        <v>0.924685638649901</v>
      </c>
      <c r="R558" s="129">
        <v>0.948071605644546</v>
      </c>
      <c r="S558" s="131">
        <v>0.9</v>
      </c>
      <c r="T558" s="129">
        <v>0.856937693327441</v>
      </c>
      <c r="U558" s="129">
        <v>0.867036011080332</v>
      </c>
      <c r="V558" s="129">
        <v>0.844076770350761</v>
      </c>
      <c r="W558" s="129">
        <v>0.881412090007628</v>
      </c>
      <c r="X558" s="131">
        <v>0.92</v>
      </c>
      <c r="Y558" s="131">
        <v>0.166666666666667</v>
      </c>
      <c r="Z558" s="131">
        <v>1</v>
      </c>
      <c r="AA558" s="131" t="s">
        <v>33</v>
      </c>
      <c r="AB558" s="131">
        <v>0.461538461538462</v>
      </c>
      <c r="AC558" s="131">
        <v>0.92</v>
      </c>
      <c r="AD558" s="129">
        <v>0.998320738874895</v>
      </c>
      <c r="AE558" s="129">
        <v>0.996539792387543</v>
      </c>
      <c r="AF558" s="129">
        <v>0.999068901303538</v>
      </c>
      <c r="AG558" s="129">
        <v>0.990282619983681</v>
      </c>
      <c r="AH558" s="131">
        <v>0.92</v>
      </c>
      <c r="AI558" s="129">
        <v>0.967211304923824</v>
      </c>
      <c r="AJ558" s="129">
        <v>0.97761366258943</v>
      </c>
      <c r="AK558" s="129">
        <v>0.973395102581072</v>
      </c>
      <c r="AL558" s="129">
        <v>0.97405769987011</v>
      </c>
      <c r="AM558" s="128">
        <v>0.99</v>
      </c>
      <c r="AN558" s="133">
        <v>1</v>
      </c>
      <c r="AO558" s="133">
        <v>1</v>
      </c>
      <c r="AP558" s="133">
        <v>1</v>
      </c>
      <c r="AQ558" s="133">
        <v>1</v>
      </c>
      <c r="AR558" s="153">
        <v>0.05</v>
      </c>
      <c r="AS558" s="137">
        <v>0.0869565217391304</v>
      </c>
      <c r="AT558" s="137">
        <v>0.1</v>
      </c>
      <c r="AU558" s="137">
        <v>0.111111111111111</v>
      </c>
      <c r="AV558" s="137">
        <v>0.05</v>
      </c>
      <c r="AW558" s="93"/>
      <c r="AX558" s="91"/>
    </row>
    <row r="559" ht="14.5" spans="1:50">
      <c r="A559" s="89"/>
      <c r="B559" s="93"/>
      <c r="C559" s="148" t="s">
        <v>371</v>
      </c>
      <c r="D559" s="126" t="s">
        <v>372</v>
      </c>
      <c r="E559" s="149" t="s">
        <v>581</v>
      </c>
      <c r="F559" s="149" t="s">
        <v>581</v>
      </c>
      <c r="G559" s="149" t="s">
        <v>581</v>
      </c>
      <c r="H559" s="149" t="s">
        <v>581</v>
      </c>
      <c r="I559" s="128">
        <v>0.9</v>
      </c>
      <c r="J559" s="129">
        <v>1</v>
      </c>
      <c r="K559" s="129">
        <v>1</v>
      </c>
      <c r="L559" s="130">
        <v>0.933333333333333</v>
      </c>
      <c r="M559" s="129">
        <v>0.978021978021978</v>
      </c>
      <c r="N559" s="131">
        <v>0.9</v>
      </c>
      <c r="O559" s="129">
        <v>0.949829668628058</v>
      </c>
      <c r="P559" s="129">
        <v>0.939418416801292</v>
      </c>
      <c r="Q559" s="129">
        <v>0.892817268328991</v>
      </c>
      <c r="R559" s="129">
        <v>0.93695318495779</v>
      </c>
      <c r="S559" s="131">
        <v>0.9</v>
      </c>
      <c r="T559" s="129">
        <v>0.93279653143388</v>
      </c>
      <c r="U559" s="129">
        <v>0.920032310177706</v>
      </c>
      <c r="V559" s="129">
        <v>0.861183475995534</v>
      </c>
      <c r="W559" s="129">
        <v>0.916653875671527</v>
      </c>
      <c r="X559" s="131">
        <v>0.92</v>
      </c>
      <c r="Y559" s="131">
        <v>0.950806451612903</v>
      </c>
      <c r="Z559" s="131">
        <v>0.948507462686567</v>
      </c>
      <c r="AA559" s="131">
        <v>0.918340026773762</v>
      </c>
      <c r="AB559" s="131">
        <v>0.934471776106255</v>
      </c>
      <c r="AC559" s="131">
        <v>0.92</v>
      </c>
      <c r="AD559" s="129">
        <v>0.99929178470255</v>
      </c>
      <c r="AE559" s="129">
        <v>0.990909090909091</v>
      </c>
      <c r="AF559" s="129">
        <v>0.995776135163675</v>
      </c>
      <c r="AG559" s="129">
        <v>0.996334626994394</v>
      </c>
      <c r="AH559" s="131">
        <v>0.92</v>
      </c>
      <c r="AI559" s="129">
        <v>0.966048302415121</v>
      </c>
      <c r="AJ559" s="129">
        <v>0.958481915435558</v>
      </c>
      <c r="AK559" s="129">
        <v>0.94910394265233</v>
      </c>
      <c r="AL559" s="129">
        <v>0.953487536169372</v>
      </c>
      <c r="AM559" s="128">
        <v>0.99</v>
      </c>
      <c r="AN559" s="133">
        <v>1</v>
      </c>
      <c r="AO559" s="133">
        <v>1</v>
      </c>
      <c r="AP559" s="133">
        <v>1</v>
      </c>
      <c r="AQ559" s="133">
        <v>1</v>
      </c>
      <c r="AR559" s="153">
        <v>0.05</v>
      </c>
      <c r="AS559" s="137">
        <v>0</v>
      </c>
      <c r="AT559" s="137">
        <v>0</v>
      </c>
      <c r="AU559" s="137">
        <v>0</v>
      </c>
      <c r="AV559" s="137">
        <v>0.0672268907563025</v>
      </c>
      <c r="AW559" s="93"/>
      <c r="AX559" s="91"/>
    </row>
    <row r="560" ht="14.5" spans="1:50">
      <c r="A560" s="89"/>
      <c r="B560" s="93"/>
      <c r="C560" s="148" t="s">
        <v>371</v>
      </c>
      <c r="D560" s="126" t="s">
        <v>372</v>
      </c>
      <c r="E560" s="149" t="s">
        <v>582</v>
      </c>
      <c r="F560" s="149" t="s">
        <v>582</v>
      </c>
      <c r="G560" s="149" t="s">
        <v>582</v>
      </c>
      <c r="H560" s="149" t="s">
        <v>582</v>
      </c>
      <c r="I560" s="128">
        <v>0.9</v>
      </c>
      <c r="J560" s="129">
        <v>0.976744186046512</v>
      </c>
      <c r="K560" s="129">
        <v>0.947368421052632</v>
      </c>
      <c r="L560" s="130">
        <v>0.888888888888889</v>
      </c>
      <c r="M560" s="129">
        <v>0.956043956043956</v>
      </c>
      <c r="N560" s="131">
        <v>0.9</v>
      </c>
      <c r="O560" s="129">
        <v>0.961160904822877</v>
      </c>
      <c r="P560" s="129">
        <v>0.942990654205607</v>
      </c>
      <c r="Q560" s="129">
        <v>0.896279594137542</v>
      </c>
      <c r="R560" s="129">
        <v>0.929155174175095</v>
      </c>
      <c r="S560" s="131">
        <v>0.9</v>
      </c>
      <c r="T560" s="129">
        <v>0.917626973965002</v>
      </c>
      <c r="U560" s="129">
        <v>0.874766355140187</v>
      </c>
      <c r="V560" s="129">
        <v>0.841037204058625</v>
      </c>
      <c r="W560" s="129">
        <v>0.89958116252937</v>
      </c>
      <c r="X560" s="131">
        <v>0.92</v>
      </c>
      <c r="Y560" s="131">
        <v>0.942901838091514</v>
      </c>
      <c r="Z560" s="131">
        <v>0.930359435173299</v>
      </c>
      <c r="AA560" s="131">
        <v>0.897658862876254</v>
      </c>
      <c r="AB560" s="131">
        <v>0.915081369696582</v>
      </c>
      <c r="AC560" s="131">
        <v>0.92</v>
      </c>
      <c r="AD560" s="129">
        <v>0.990353697749196</v>
      </c>
      <c r="AE560" s="129">
        <v>0.98705035971223</v>
      </c>
      <c r="AF560" s="129">
        <v>0.987903225806452</v>
      </c>
      <c r="AG560" s="129">
        <v>0.990059401139532</v>
      </c>
      <c r="AH560" s="131">
        <v>0.92</v>
      </c>
      <c r="AI560" s="129">
        <v>0.96265306122449</v>
      </c>
      <c r="AJ560" s="129">
        <v>0.944126074498567</v>
      </c>
      <c r="AK560" s="129">
        <v>0.931783420006118</v>
      </c>
      <c r="AL560" s="129">
        <v>0.937421358917899</v>
      </c>
      <c r="AM560" s="128">
        <v>0.99</v>
      </c>
      <c r="AN560" s="133">
        <v>1</v>
      </c>
      <c r="AO560" s="133">
        <v>1</v>
      </c>
      <c r="AP560" s="133">
        <v>1</v>
      </c>
      <c r="AQ560" s="133">
        <v>1</v>
      </c>
      <c r="AR560" s="153">
        <v>0.05</v>
      </c>
      <c r="AS560" s="137">
        <v>0</v>
      </c>
      <c r="AT560" s="137">
        <v>0.0833333333333333</v>
      </c>
      <c r="AU560" s="137">
        <v>0</v>
      </c>
      <c r="AV560" s="137">
        <v>0.012987012987013</v>
      </c>
      <c r="AW560" s="93"/>
      <c r="AX560" s="91"/>
    </row>
    <row r="561" ht="14.5" spans="1:50">
      <c r="A561" s="89"/>
      <c r="B561" s="93"/>
      <c r="C561" s="148" t="s">
        <v>371</v>
      </c>
      <c r="D561" s="126" t="s">
        <v>372</v>
      </c>
      <c r="E561" s="149" t="s">
        <v>583</v>
      </c>
      <c r="F561" s="149" t="s">
        <v>583</v>
      </c>
      <c r="G561" s="149" t="s">
        <v>583</v>
      </c>
      <c r="H561" s="149" t="s">
        <v>583</v>
      </c>
      <c r="I561" s="128">
        <v>0.9</v>
      </c>
      <c r="J561" s="129">
        <v>0.951219512195122</v>
      </c>
      <c r="K561" s="129">
        <v>0.921052631578947</v>
      </c>
      <c r="L561" s="130">
        <v>0.896551724137931</v>
      </c>
      <c r="M561" s="129">
        <v>0.931764705882353</v>
      </c>
      <c r="N561" s="131">
        <v>0.9</v>
      </c>
      <c r="O561" s="129">
        <v>0.947054140127389</v>
      </c>
      <c r="P561" s="129">
        <v>0.96</v>
      </c>
      <c r="Q561" s="129">
        <v>0.926144756277696</v>
      </c>
      <c r="R561" s="129">
        <v>0.936662917902055</v>
      </c>
      <c r="S561" s="131">
        <v>0.9</v>
      </c>
      <c r="T561" s="129">
        <v>0.951433121019108</v>
      </c>
      <c r="U561" s="129">
        <v>0.954444444444444</v>
      </c>
      <c r="V561" s="129">
        <v>0.896110290497292</v>
      </c>
      <c r="W561" s="129">
        <v>0.932368878437788</v>
      </c>
      <c r="X561" s="131">
        <v>0.92</v>
      </c>
      <c r="Y561" s="131">
        <v>0.942042755344418</v>
      </c>
      <c r="Z561" s="131">
        <v>0.931181775035596</v>
      </c>
      <c r="AA561" s="131">
        <v>0.885067873303167</v>
      </c>
      <c r="AB561" s="131">
        <v>0.919630367513035</v>
      </c>
      <c r="AC561" s="131">
        <v>0.92</v>
      </c>
      <c r="AD561" s="129">
        <v>0.990740740740741</v>
      </c>
      <c r="AE561" s="129">
        <v>0.974468085106383</v>
      </c>
      <c r="AF561" s="129">
        <v>0.996336996336996</v>
      </c>
      <c r="AG561" s="129">
        <v>0.989948119325551</v>
      </c>
      <c r="AH561" s="131">
        <v>0.92</v>
      </c>
      <c r="AI561" s="129">
        <v>0.965143970556397</v>
      </c>
      <c r="AJ561" s="129">
        <v>0.945793149318257</v>
      </c>
      <c r="AK561" s="129">
        <v>0.9270003187759</v>
      </c>
      <c r="AL561" s="129">
        <v>0.942119281991893</v>
      </c>
      <c r="AM561" s="128">
        <v>0.99</v>
      </c>
      <c r="AN561" s="133">
        <v>1</v>
      </c>
      <c r="AO561" s="133">
        <v>1</v>
      </c>
      <c r="AP561" s="133">
        <v>1</v>
      </c>
      <c r="AQ561" s="133">
        <v>1</v>
      </c>
      <c r="AR561" s="153">
        <v>0.05</v>
      </c>
      <c r="AS561" s="137">
        <v>0</v>
      </c>
      <c r="AT561" s="137">
        <v>0</v>
      </c>
      <c r="AU561" s="137">
        <v>0</v>
      </c>
      <c r="AV561" s="137">
        <v>0.0119047619047619</v>
      </c>
      <c r="AW561" s="93"/>
      <c r="AX561" s="91"/>
    </row>
    <row r="562" ht="14.5" spans="1:50">
      <c r="A562" s="89"/>
      <c r="B562" s="93"/>
      <c r="C562" s="148" t="s">
        <v>371</v>
      </c>
      <c r="D562" s="126" t="s">
        <v>372</v>
      </c>
      <c r="E562" s="149" t="s">
        <v>584</v>
      </c>
      <c r="F562" s="149" t="s">
        <v>584</v>
      </c>
      <c r="G562" s="149" t="s">
        <v>584</v>
      </c>
      <c r="H562" s="149" t="s">
        <v>584</v>
      </c>
      <c r="I562" s="128">
        <v>0.9</v>
      </c>
      <c r="J562" s="129">
        <v>1</v>
      </c>
      <c r="K562" s="129">
        <v>0.95</v>
      </c>
      <c r="L562" s="130">
        <v>1</v>
      </c>
      <c r="M562" s="129">
        <v>0.987654320987654</v>
      </c>
      <c r="N562" s="131">
        <v>0.9</v>
      </c>
      <c r="O562" s="129">
        <v>0.925874125874126</v>
      </c>
      <c r="P562" s="129">
        <v>0.956318252730109</v>
      </c>
      <c r="Q562" s="129">
        <v>0.928892889288929</v>
      </c>
      <c r="R562" s="129">
        <v>0.93346963114405</v>
      </c>
      <c r="S562" s="131">
        <v>0.9</v>
      </c>
      <c r="T562" s="129">
        <v>0.918881118881119</v>
      </c>
      <c r="U562" s="129">
        <v>0.946957878315133</v>
      </c>
      <c r="V562" s="129">
        <v>0.920792079207921</v>
      </c>
      <c r="W562" s="129">
        <v>0.924525087315785</v>
      </c>
      <c r="X562" s="131">
        <v>0.92</v>
      </c>
      <c r="Y562" s="131">
        <v>0.95244474212994</v>
      </c>
      <c r="Z562" s="131">
        <v>0.948341489940185</v>
      </c>
      <c r="AA562" s="131">
        <v>0.948296122209166</v>
      </c>
      <c r="AB562" s="131">
        <v>0.950625558534406</v>
      </c>
      <c r="AC562" s="131">
        <v>0.92</v>
      </c>
      <c r="AD562" s="129">
        <v>0.973568281938326</v>
      </c>
      <c r="AE562" s="129">
        <v>0.917857142857143</v>
      </c>
      <c r="AF562" s="129">
        <v>0.997584541062802</v>
      </c>
      <c r="AG562" s="129">
        <v>0.977619532044761</v>
      </c>
      <c r="AH562" s="131">
        <v>0.92</v>
      </c>
      <c r="AI562" s="129">
        <v>0.964102564102564</v>
      </c>
      <c r="AJ562" s="129">
        <v>0.956469165659008</v>
      </c>
      <c r="AK562" s="129">
        <v>0.967396841569027</v>
      </c>
      <c r="AL562" s="129">
        <v>0.962343660452415</v>
      </c>
      <c r="AM562" s="128">
        <v>0.99</v>
      </c>
      <c r="AN562" s="133">
        <v>1</v>
      </c>
      <c r="AO562" s="133">
        <v>1</v>
      </c>
      <c r="AP562" s="133">
        <v>1</v>
      </c>
      <c r="AQ562" s="133">
        <v>1</v>
      </c>
      <c r="AR562" s="153">
        <v>0.05</v>
      </c>
      <c r="AS562" s="137">
        <v>0</v>
      </c>
      <c r="AT562" s="137">
        <v>0</v>
      </c>
      <c r="AU562" s="137">
        <v>0</v>
      </c>
      <c r="AV562" s="137">
        <v>0.046875</v>
      </c>
      <c r="AW562" s="93"/>
      <c r="AX562" s="91"/>
    </row>
    <row r="563" ht="14.5" spans="1:50">
      <c r="A563" s="89"/>
      <c r="B563" s="93"/>
      <c r="C563" s="148" t="s">
        <v>371</v>
      </c>
      <c r="D563" s="126" t="s">
        <v>372</v>
      </c>
      <c r="E563" s="149" t="s">
        <v>585</v>
      </c>
      <c r="F563" s="149" t="s">
        <v>585</v>
      </c>
      <c r="G563" s="149" t="s">
        <v>585</v>
      </c>
      <c r="H563" s="149" t="s">
        <v>585</v>
      </c>
      <c r="I563" s="128">
        <v>0.9</v>
      </c>
      <c r="J563" s="129">
        <v>0.967741935483871</v>
      </c>
      <c r="K563" s="129">
        <v>0.934210526315789</v>
      </c>
      <c r="L563" s="130">
        <v>0.972602739726027</v>
      </c>
      <c r="M563" s="129">
        <v>0.946083418107833</v>
      </c>
      <c r="N563" s="131">
        <v>0.9</v>
      </c>
      <c r="O563" s="129">
        <v>0.978914677999346</v>
      </c>
      <c r="P563" s="129">
        <v>0.975619047619048</v>
      </c>
      <c r="Q563" s="129">
        <v>0.971228615863142</v>
      </c>
      <c r="R563" s="129">
        <v>0.975731005597526</v>
      </c>
      <c r="S563" s="131">
        <v>0.9</v>
      </c>
      <c r="T563" s="129">
        <v>0.933965348152991</v>
      </c>
      <c r="U563" s="129">
        <v>0.931047619047619</v>
      </c>
      <c r="V563" s="129">
        <v>0.91601866251944</v>
      </c>
      <c r="W563" s="129">
        <v>0.934082279719732</v>
      </c>
      <c r="X563" s="131">
        <v>0.92</v>
      </c>
      <c r="Y563" s="131">
        <v>0.976651366992616</v>
      </c>
      <c r="Z563" s="131">
        <v>0.981155121270284</v>
      </c>
      <c r="AA563" s="131">
        <v>0.966135458167331</v>
      </c>
      <c r="AB563" s="131">
        <v>0.969861124790702</v>
      </c>
      <c r="AC563" s="131">
        <v>0.92</v>
      </c>
      <c r="AD563" s="129">
        <v>1</v>
      </c>
      <c r="AE563" s="129">
        <v>0.994397759103641</v>
      </c>
      <c r="AF563" s="129">
        <v>0.996400287976962</v>
      </c>
      <c r="AG563" s="129">
        <v>0.998595194085028</v>
      </c>
      <c r="AH563" s="131">
        <v>0.92</v>
      </c>
      <c r="AI563" s="129">
        <v>0.984202495287676</v>
      </c>
      <c r="AJ563" s="129">
        <v>0.985547061634018</v>
      </c>
      <c r="AK563" s="129">
        <v>0.976957960534379</v>
      </c>
      <c r="AL563" s="129">
        <v>0.979986265083881</v>
      </c>
      <c r="AM563" s="128">
        <v>0.99</v>
      </c>
      <c r="AN563" s="133">
        <v>1</v>
      </c>
      <c r="AO563" s="133">
        <v>1</v>
      </c>
      <c r="AP563" s="133">
        <v>1</v>
      </c>
      <c r="AQ563" s="133">
        <v>1</v>
      </c>
      <c r="AR563" s="153">
        <v>0.05</v>
      </c>
      <c r="AS563" s="137">
        <v>0.103448275862069</v>
      </c>
      <c r="AT563" s="137">
        <v>0.125</v>
      </c>
      <c r="AU563" s="137">
        <v>0</v>
      </c>
      <c r="AV563" s="137">
        <v>0.0493421052631579</v>
      </c>
      <c r="AW563" s="93"/>
      <c r="AX563" s="91"/>
    </row>
    <row r="564" ht="14.5" spans="1:50">
      <c r="A564" s="89"/>
      <c r="B564" s="93"/>
      <c r="C564" s="148" t="s">
        <v>371</v>
      </c>
      <c r="D564" s="126" t="s">
        <v>372</v>
      </c>
      <c r="E564" s="149" t="s">
        <v>586</v>
      </c>
      <c r="F564" s="149" t="s">
        <v>586</v>
      </c>
      <c r="G564" s="149" t="s">
        <v>586</v>
      </c>
      <c r="H564" s="149" t="s">
        <v>586</v>
      </c>
      <c r="I564" s="128">
        <v>0.9</v>
      </c>
      <c r="J564" s="129">
        <v>0.986486486486487</v>
      </c>
      <c r="K564" s="129">
        <v>0.938461538461538</v>
      </c>
      <c r="L564" s="130">
        <v>0.951612903225806</v>
      </c>
      <c r="M564" s="129">
        <v>0.95601552393273</v>
      </c>
      <c r="N564" s="131">
        <v>0.9</v>
      </c>
      <c r="O564" s="129">
        <v>0.972229364875289</v>
      </c>
      <c r="P564" s="129">
        <v>0.945216049382716</v>
      </c>
      <c r="Q564" s="129">
        <v>0.948702101359703</v>
      </c>
      <c r="R564" s="129">
        <v>0.960874275154528</v>
      </c>
      <c r="S564" s="131">
        <v>0.9</v>
      </c>
      <c r="T564" s="129">
        <v>0.96065826690666</v>
      </c>
      <c r="U564" s="129">
        <v>0.923611111111111</v>
      </c>
      <c r="V564" s="129">
        <v>0.938813349814586</v>
      </c>
      <c r="W564" s="129">
        <v>0.950168865099089</v>
      </c>
      <c r="X564" s="131">
        <v>0.92</v>
      </c>
      <c r="Y564" s="131">
        <v>0.960189309576837</v>
      </c>
      <c r="Z564" s="131">
        <v>0.96218487394958</v>
      </c>
      <c r="AA564" s="131">
        <v>0.938461538461538</v>
      </c>
      <c r="AB564" s="131">
        <v>0.961832242148211</v>
      </c>
      <c r="AC564" s="131">
        <v>0.92</v>
      </c>
      <c r="AD564" s="129">
        <v>0.992610837438424</v>
      </c>
      <c r="AE564" s="129">
        <v>0.986193293885602</v>
      </c>
      <c r="AF564" s="129">
        <v>0.878103837471783</v>
      </c>
      <c r="AG564" s="129">
        <v>0.963213939980639</v>
      </c>
      <c r="AH564" s="131">
        <v>0.92</v>
      </c>
      <c r="AI564" s="129">
        <v>0.975560897435897</v>
      </c>
      <c r="AJ564" s="129">
        <v>0.96919770773639</v>
      </c>
      <c r="AK564" s="129">
        <v>0.964788732394366</v>
      </c>
      <c r="AL564" s="129">
        <v>0.972599760791563</v>
      </c>
      <c r="AM564" s="128">
        <v>0.99</v>
      </c>
      <c r="AN564" s="133">
        <v>1</v>
      </c>
      <c r="AO564" s="133">
        <v>1</v>
      </c>
      <c r="AP564" s="133">
        <v>1</v>
      </c>
      <c r="AQ564" s="133">
        <v>1</v>
      </c>
      <c r="AR564" s="153">
        <v>0.05</v>
      </c>
      <c r="AS564" s="137">
        <v>0</v>
      </c>
      <c r="AT564" s="137">
        <v>0.142857142857143</v>
      </c>
      <c r="AU564" s="137">
        <v>0</v>
      </c>
      <c r="AV564" s="137">
        <v>0.0469798657718121</v>
      </c>
      <c r="AW564" s="93"/>
      <c r="AX564" s="91"/>
    </row>
    <row r="565" ht="14.5" spans="1:50">
      <c r="A565" s="89"/>
      <c r="B565" s="93"/>
      <c r="C565" s="148" t="s">
        <v>371</v>
      </c>
      <c r="D565" s="126" t="s">
        <v>372</v>
      </c>
      <c r="E565" s="149" t="s">
        <v>587</v>
      </c>
      <c r="F565" s="149" t="s">
        <v>587</v>
      </c>
      <c r="G565" s="149" t="s">
        <v>587</v>
      </c>
      <c r="H565" s="149" t="s">
        <v>587</v>
      </c>
      <c r="I565" s="128">
        <v>0.9</v>
      </c>
      <c r="J565" s="129">
        <v>0.931034482758621</v>
      </c>
      <c r="K565" s="129">
        <v>0.777777777777778</v>
      </c>
      <c r="L565" s="130">
        <v>0.956521739130435</v>
      </c>
      <c r="M565" s="129">
        <v>0.947204968944099</v>
      </c>
      <c r="N565" s="131">
        <v>0.9</v>
      </c>
      <c r="O565" s="129">
        <v>0.961269248716752</v>
      </c>
      <c r="P565" s="129">
        <v>0.939393939393939</v>
      </c>
      <c r="Q565" s="129">
        <v>0.941640378548896</v>
      </c>
      <c r="R565" s="129">
        <v>0.956919127086008</v>
      </c>
      <c r="S565" s="131">
        <v>0.9</v>
      </c>
      <c r="T565" s="129">
        <v>0.937004199720019</v>
      </c>
      <c r="U565" s="129">
        <v>0.940606060606061</v>
      </c>
      <c r="V565" s="129">
        <v>0.892429022082019</v>
      </c>
      <c r="W565" s="129">
        <v>0.932991014120668</v>
      </c>
      <c r="X565" s="131">
        <v>0.92</v>
      </c>
      <c r="Y565" s="131">
        <v>0.92364990689013</v>
      </c>
      <c r="Z565" s="131">
        <v>0.904109589041096</v>
      </c>
      <c r="AA565" s="131">
        <v>0.740442655935614</v>
      </c>
      <c r="AB565" s="131">
        <v>0.88133845184209</v>
      </c>
      <c r="AC565" s="131">
        <v>0.92</v>
      </c>
      <c r="AD565" s="129">
        <v>0.99406528189911</v>
      </c>
      <c r="AE565" s="129">
        <v>0.988700564971751</v>
      </c>
      <c r="AF565" s="129">
        <v>0.997474747474748</v>
      </c>
      <c r="AG565" s="129">
        <v>0.99025630163101</v>
      </c>
      <c r="AH565" s="131">
        <v>0.92</v>
      </c>
      <c r="AI565" s="129">
        <v>0.953203935123637</v>
      </c>
      <c r="AJ565" s="129">
        <v>0.928598271326569</v>
      </c>
      <c r="AK565" s="129">
        <v>0.904030710172745</v>
      </c>
      <c r="AL565" s="129">
        <v>0.932873749662071</v>
      </c>
      <c r="AM565" s="128">
        <v>0.99</v>
      </c>
      <c r="AN565" s="133">
        <v>1</v>
      </c>
      <c r="AO565" s="133">
        <v>1</v>
      </c>
      <c r="AP565" s="133">
        <v>1</v>
      </c>
      <c r="AQ565" s="133">
        <v>1</v>
      </c>
      <c r="AR565" s="153">
        <v>0.05</v>
      </c>
      <c r="AS565" s="137">
        <v>0</v>
      </c>
      <c r="AT565" s="137">
        <v>0.333333333333333</v>
      </c>
      <c r="AU565" s="137">
        <v>0</v>
      </c>
      <c r="AV565" s="137">
        <v>0.0923076923076923</v>
      </c>
      <c r="AW565" s="93"/>
      <c r="AX565" s="91"/>
    </row>
    <row r="566" ht="14.5" spans="1:50">
      <c r="A566" s="89"/>
      <c r="B566" s="93"/>
      <c r="C566" s="148" t="s">
        <v>371</v>
      </c>
      <c r="D566" s="126" t="s">
        <v>372</v>
      </c>
      <c r="E566" s="149" t="s">
        <v>588</v>
      </c>
      <c r="F566" s="149" t="s">
        <v>588</v>
      </c>
      <c r="G566" s="149" t="s">
        <v>588</v>
      </c>
      <c r="H566" s="149" t="s">
        <v>588</v>
      </c>
      <c r="I566" s="128">
        <v>0.9</v>
      </c>
      <c r="J566" s="129">
        <v>0.958333333333333</v>
      </c>
      <c r="K566" s="129">
        <v>0.951219512195122</v>
      </c>
      <c r="L566" s="130">
        <v>0.945945945945946</v>
      </c>
      <c r="M566" s="129">
        <v>0.961224489795918</v>
      </c>
      <c r="N566" s="131">
        <v>0.9</v>
      </c>
      <c r="O566" s="129">
        <v>0.958480325644505</v>
      </c>
      <c r="P566" s="129">
        <v>0.937160120845921</v>
      </c>
      <c r="Q566" s="129">
        <v>0.633031674208145</v>
      </c>
      <c r="R566" s="129">
        <v>0.909912260673864</v>
      </c>
      <c r="S566" s="131">
        <v>0.9</v>
      </c>
      <c r="T566" s="129">
        <v>0.954138398914518</v>
      </c>
      <c r="U566" s="129">
        <v>0.941389728096677</v>
      </c>
      <c r="V566" s="129">
        <v>0.963122171945701</v>
      </c>
      <c r="W566" s="129">
        <v>0.956130336932059</v>
      </c>
      <c r="X566" s="131">
        <v>0.92</v>
      </c>
      <c r="Y566" s="131">
        <v>0.96553924696873</v>
      </c>
      <c r="Z566" s="131">
        <v>0.955141275852024</v>
      </c>
      <c r="AA566" s="131">
        <v>0.962769051774287</v>
      </c>
      <c r="AB566" s="131">
        <v>0.961602671118531</v>
      </c>
      <c r="AC566" s="131">
        <v>0.92</v>
      </c>
      <c r="AD566" s="129">
        <v>0.998660415271266</v>
      </c>
      <c r="AE566" s="129">
        <v>0.996614759647935</v>
      </c>
      <c r="AF566" s="129">
        <v>0.998273381294964</v>
      </c>
      <c r="AG566" s="129">
        <v>0.996412610585839</v>
      </c>
      <c r="AH566" s="131">
        <v>0.92</v>
      </c>
      <c r="AI566" s="129">
        <v>0.97596012899443</v>
      </c>
      <c r="AJ566" s="129">
        <v>0.964629593240322</v>
      </c>
      <c r="AK566" s="129">
        <v>0.983067404754152</v>
      </c>
      <c r="AL566" s="129">
        <v>0.973854848304581</v>
      </c>
      <c r="AM566" s="128">
        <v>0.99</v>
      </c>
      <c r="AN566" s="133">
        <v>1</v>
      </c>
      <c r="AO566" s="133">
        <v>1</v>
      </c>
      <c r="AP566" s="133">
        <v>1</v>
      </c>
      <c r="AQ566" s="133">
        <v>1</v>
      </c>
      <c r="AR566" s="153">
        <v>0.05</v>
      </c>
      <c r="AS566" s="137">
        <v>0.0434782608695652</v>
      </c>
      <c r="AT566" s="137">
        <v>0.157894736842105</v>
      </c>
      <c r="AU566" s="137">
        <v>0</v>
      </c>
      <c r="AV566" s="137">
        <v>0.0386266094420601</v>
      </c>
      <c r="AW566" s="93"/>
      <c r="AX566" s="91"/>
    </row>
    <row r="567" ht="14.5" spans="1:50">
      <c r="A567" s="89"/>
      <c r="B567" s="93"/>
      <c r="C567" s="148" t="s">
        <v>371</v>
      </c>
      <c r="D567" s="126" t="s">
        <v>372</v>
      </c>
      <c r="E567" s="149" t="s">
        <v>589</v>
      </c>
      <c r="F567" s="149" t="s">
        <v>589</v>
      </c>
      <c r="G567" s="149" t="s">
        <v>589</v>
      </c>
      <c r="H567" s="149" t="s">
        <v>589</v>
      </c>
      <c r="I567" s="128">
        <v>0.9</v>
      </c>
      <c r="J567" s="129">
        <v>0.96078431372549</v>
      </c>
      <c r="K567" s="129">
        <v>0.9375</v>
      </c>
      <c r="L567" s="130">
        <v>0.904761904761905</v>
      </c>
      <c r="M567" s="129">
        <v>0.93418647166362</v>
      </c>
      <c r="N567" s="131">
        <v>0.9</v>
      </c>
      <c r="O567" s="129">
        <v>0.883044554455445</v>
      </c>
      <c r="P567" s="129">
        <v>0.866943866943867</v>
      </c>
      <c r="Q567" s="129">
        <v>0.624888093106535</v>
      </c>
      <c r="R567" s="129">
        <v>0.853620955315871</v>
      </c>
      <c r="S567" s="131">
        <v>0.9</v>
      </c>
      <c r="T567" s="129">
        <v>0.853032178217822</v>
      </c>
      <c r="U567" s="129">
        <v>0.871101871101871</v>
      </c>
      <c r="V567" s="129">
        <v>0.909877648463145</v>
      </c>
      <c r="W567" s="129">
        <v>0.87139689578714</v>
      </c>
      <c r="X567" s="131">
        <v>0.92</v>
      </c>
      <c r="Y567" s="131">
        <v>0.900444938820912</v>
      </c>
      <c r="Z567" s="131">
        <v>0.92590027700831</v>
      </c>
      <c r="AA567" s="131">
        <v>0.944471744471744</v>
      </c>
      <c r="AB567" s="131">
        <v>0.905169867060561</v>
      </c>
      <c r="AC567" s="131">
        <v>0.92</v>
      </c>
      <c r="AD567" s="129">
        <v>0.995333333333333</v>
      </c>
      <c r="AE567" s="129">
        <v>1</v>
      </c>
      <c r="AF567" s="129">
        <v>0.99713672154617</v>
      </c>
      <c r="AG567" s="129">
        <v>0.997669317247052</v>
      </c>
      <c r="AH567" s="131">
        <v>0.92</v>
      </c>
      <c r="AI567" s="129">
        <v>0.934318314803979</v>
      </c>
      <c r="AJ567" s="129">
        <v>0.939955009517218</v>
      </c>
      <c r="AK567" s="129">
        <v>0.970309890517721</v>
      </c>
      <c r="AL567" s="129">
        <v>0.932148466795908</v>
      </c>
      <c r="AM567" s="128">
        <v>0.99</v>
      </c>
      <c r="AN567" s="133">
        <v>1</v>
      </c>
      <c r="AO567" s="133">
        <v>1</v>
      </c>
      <c r="AP567" s="133">
        <v>1</v>
      </c>
      <c r="AQ567" s="133">
        <v>1</v>
      </c>
      <c r="AR567" s="153">
        <v>0.05</v>
      </c>
      <c r="AS567" s="137">
        <v>0</v>
      </c>
      <c r="AT567" s="137">
        <v>0.0588235294117647</v>
      </c>
      <c r="AU567" s="137">
        <v>0.0714285714285714</v>
      </c>
      <c r="AV567" s="137">
        <v>0.0152091254752852</v>
      </c>
      <c r="AW567" s="93"/>
      <c r="AX567" s="91"/>
    </row>
    <row r="568" ht="14.5" spans="1:50">
      <c r="A568" s="89"/>
      <c r="B568" s="93"/>
      <c r="C568" s="148" t="s">
        <v>371</v>
      </c>
      <c r="D568" s="126" t="s">
        <v>372</v>
      </c>
      <c r="E568" s="149" t="s">
        <v>590</v>
      </c>
      <c r="F568" s="149" t="s">
        <v>590</v>
      </c>
      <c r="G568" s="149" t="s">
        <v>590</v>
      </c>
      <c r="H568" s="149" t="s">
        <v>590</v>
      </c>
      <c r="I568" s="128">
        <v>0.9</v>
      </c>
      <c r="J568" s="129">
        <v>0.9375</v>
      </c>
      <c r="K568" s="129">
        <v>0.932432432432432</v>
      </c>
      <c r="L568" s="130">
        <v>0.957746478873239</v>
      </c>
      <c r="M568" s="129">
        <v>0.910935738444194</v>
      </c>
      <c r="N568" s="131">
        <v>0.9</v>
      </c>
      <c r="O568" s="129">
        <v>0.918233678428058</v>
      </c>
      <c r="P568" s="129">
        <v>0.887510692899914</v>
      </c>
      <c r="Q568" s="129">
        <v>0.907834101382488</v>
      </c>
      <c r="R568" s="129">
        <v>0.911990906452549</v>
      </c>
      <c r="S568" s="131">
        <v>0.9</v>
      </c>
      <c r="T568" s="129">
        <v>0.879568983731249</v>
      </c>
      <c r="U568" s="129">
        <v>0.886655260906758</v>
      </c>
      <c r="V568" s="129">
        <v>0.894873271889401</v>
      </c>
      <c r="W568" s="129">
        <v>0.89472284028248</v>
      </c>
      <c r="X568" s="131">
        <v>0.92</v>
      </c>
      <c r="Y568" s="131">
        <v>0.928353931578005</v>
      </c>
      <c r="Z568" s="131">
        <v>0.93307655272027</v>
      </c>
      <c r="AA568" s="131">
        <v>0.949019607843137</v>
      </c>
      <c r="AB568" s="131">
        <v>0.951634396801756</v>
      </c>
      <c r="AC568" s="131">
        <v>0.92</v>
      </c>
      <c r="AD568" s="129">
        <v>0.996060254924681</v>
      </c>
      <c r="AE568" s="129">
        <v>0.985209325645525</v>
      </c>
      <c r="AF568" s="129">
        <v>0.996214788732394</v>
      </c>
      <c r="AG568" s="129">
        <v>0.962506395108047</v>
      </c>
      <c r="AH568" s="131">
        <v>0.92</v>
      </c>
      <c r="AI568" s="129">
        <v>0.9449115685706</v>
      </c>
      <c r="AJ568" s="129">
        <v>0.945227828924368</v>
      </c>
      <c r="AK568" s="129">
        <v>0.964660936007641</v>
      </c>
      <c r="AL568" s="129">
        <v>0.96238923344319</v>
      </c>
      <c r="AM568" s="128">
        <v>0.99</v>
      </c>
      <c r="AN568" s="133">
        <v>1</v>
      </c>
      <c r="AO568" s="133">
        <v>1</v>
      </c>
      <c r="AP568" s="133">
        <v>1</v>
      </c>
      <c r="AQ568" s="133">
        <v>1</v>
      </c>
      <c r="AR568" s="153">
        <v>0.05</v>
      </c>
      <c r="AS568" s="137">
        <v>0.0869565217391304</v>
      </c>
      <c r="AT568" s="137">
        <v>0.0714285714285714</v>
      </c>
      <c r="AU568" s="137">
        <v>0.0384615384615385</v>
      </c>
      <c r="AV568" s="137">
        <v>0.0523690773067332</v>
      </c>
      <c r="AW568" s="93"/>
      <c r="AX568" s="91"/>
    </row>
    <row r="569" ht="14.5" spans="1:50">
      <c r="A569" s="89"/>
      <c r="B569" s="93"/>
      <c r="C569" s="148" t="s">
        <v>371</v>
      </c>
      <c r="D569" s="126" t="s">
        <v>372</v>
      </c>
      <c r="E569" s="149" t="s">
        <v>591</v>
      </c>
      <c r="F569" s="149" t="s">
        <v>591</v>
      </c>
      <c r="G569" s="149" t="s">
        <v>591</v>
      </c>
      <c r="H569" s="149" t="s">
        <v>591</v>
      </c>
      <c r="I569" s="128">
        <v>0.9</v>
      </c>
      <c r="J569" s="129">
        <v>1</v>
      </c>
      <c r="K569" s="129">
        <v>0.933333333333333</v>
      </c>
      <c r="L569" s="130">
        <v>0.973684210526316</v>
      </c>
      <c r="M569" s="129">
        <v>0.957934990439771</v>
      </c>
      <c r="N569" s="131">
        <v>0.9</v>
      </c>
      <c r="O569" s="129">
        <v>0.950033990482665</v>
      </c>
      <c r="P569" s="129">
        <v>0.93984962406015</v>
      </c>
      <c r="Q569" s="129">
        <v>0.949908925318761</v>
      </c>
      <c r="R569" s="129">
        <v>0.955437067019538</v>
      </c>
      <c r="S569" s="131">
        <v>0.9</v>
      </c>
      <c r="T569" s="129">
        <v>0.899048266485384</v>
      </c>
      <c r="U569" s="129">
        <v>0.911141490088858</v>
      </c>
      <c r="V569" s="129">
        <v>0.921220400728597</v>
      </c>
      <c r="W569" s="129">
        <v>0.915427726317428</v>
      </c>
      <c r="X569" s="131">
        <v>0.92</v>
      </c>
      <c r="Y569" s="131">
        <v>0.938909506137596</v>
      </c>
      <c r="Z569" s="131">
        <v>0.949848024316109</v>
      </c>
      <c r="AA569" s="131">
        <v>0.946162657502864</v>
      </c>
      <c r="AB569" s="131">
        <v>0.95291734598093</v>
      </c>
      <c r="AC569" s="131">
        <v>0.92</v>
      </c>
      <c r="AD569" s="129">
        <v>0.989734299516908</v>
      </c>
      <c r="AE569" s="129">
        <v>0.988183807439825</v>
      </c>
      <c r="AF569" s="129">
        <v>0.976588628762542</v>
      </c>
      <c r="AG569" s="129">
        <v>0.985387898568918</v>
      </c>
      <c r="AH569" s="131">
        <v>0.92</v>
      </c>
      <c r="AI569" s="129">
        <v>0.955235439900867</v>
      </c>
      <c r="AJ569" s="129">
        <v>0.957541074395422</v>
      </c>
      <c r="AK569" s="129">
        <v>0.964747654070505</v>
      </c>
      <c r="AL569" s="129">
        <v>0.964868331698483</v>
      </c>
      <c r="AM569" s="128">
        <v>0.99</v>
      </c>
      <c r="AN569" s="133">
        <v>1</v>
      </c>
      <c r="AO569" s="133">
        <v>1</v>
      </c>
      <c r="AP569" s="133">
        <v>1</v>
      </c>
      <c r="AQ569" s="133">
        <v>1</v>
      </c>
      <c r="AR569" s="153">
        <v>0.05</v>
      </c>
      <c r="AS569" s="137">
        <v>0</v>
      </c>
      <c r="AT569" s="137">
        <v>0.35</v>
      </c>
      <c r="AU569" s="137">
        <v>0</v>
      </c>
      <c r="AV569" s="137">
        <v>0.0756302521008403</v>
      </c>
      <c r="AW569" s="93"/>
      <c r="AX569" s="91"/>
    </row>
    <row r="570" ht="14.5" spans="1:50">
      <c r="A570" s="89"/>
      <c r="B570" s="93"/>
      <c r="C570" s="148" t="s">
        <v>371</v>
      </c>
      <c r="D570" s="126" t="s">
        <v>372</v>
      </c>
      <c r="E570" s="149" t="s">
        <v>592</v>
      </c>
      <c r="F570" s="149" t="s">
        <v>592</v>
      </c>
      <c r="G570" s="149" t="s">
        <v>592</v>
      </c>
      <c r="H570" s="149" t="s">
        <v>592</v>
      </c>
      <c r="I570" s="128">
        <v>0.9</v>
      </c>
      <c r="J570" s="129">
        <v>1</v>
      </c>
      <c r="K570" s="129">
        <v>1</v>
      </c>
      <c r="L570" s="130">
        <v>0.95</v>
      </c>
      <c r="M570" s="129">
        <v>0.938864628820961</v>
      </c>
      <c r="N570" s="131">
        <v>0.9</v>
      </c>
      <c r="O570" s="129">
        <v>0.960934507851398</v>
      </c>
      <c r="P570" s="129">
        <v>0.962316176470588</v>
      </c>
      <c r="Q570" s="129">
        <v>0.955641688199828</v>
      </c>
      <c r="R570" s="129">
        <v>0.960251644266514</v>
      </c>
      <c r="S570" s="131">
        <v>0.9</v>
      </c>
      <c r="T570" s="129">
        <v>0.926081960934508</v>
      </c>
      <c r="U570" s="129">
        <v>0.931985294117647</v>
      </c>
      <c r="V570" s="129">
        <v>0.925495262704565</v>
      </c>
      <c r="W570" s="129">
        <v>0.927570570693247</v>
      </c>
      <c r="X570" s="131">
        <v>0.92</v>
      </c>
      <c r="Y570" s="131">
        <v>0</v>
      </c>
      <c r="Z570" s="131">
        <v>0</v>
      </c>
      <c r="AA570" s="131">
        <v>0</v>
      </c>
      <c r="AB570" s="131">
        <v>0.0833333333333333</v>
      </c>
      <c r="AC570" s="131">
        <v>0.92</v>
      </c>
      <c r="AD570" s="129">
        <v>1</v>
      </c>
      <c r="AE570" s="129">
        <v>0.980769230769231</v>
      </c>
      <c r="AF570" s="129">
        <v>0.846153846153846</v>
      </c>
      <c r="AG570" s="129">
        <v>0.915690866510539</v>
      </c>
      <c r="AH570" s="131">
        <v>0.92</v>
      </c>
      <c r="AI570" s="129">
        <v>0.97824427480916</v>
      </c>
      <c r="AJ570" s="129">
        <v>0.977961432506887</v>
      </c>
      <c r="AK570" s="129">
        <v>0.972018941024537</v>
      </c>
      <c r="AL570" s="129">
        <v>0.977176220806794</v>
      </c>
      <c r="AM570" s="128">
        <v>0.99</v>
      </c>
      <c r="AN570" s="133">
        <v>1</v>
      </c>
      <c r="AO570" s="133">
        <v>1</v>
      </c>
      <c r="AP570" s="133">
        <v>1</v>
      </c>
      <c r="AQ570" s="133">
        <v>1</v>
      </c>
      <c r="AR570" s="153">
        <v>0.05</v>
      </c>
      <c r="AS570" s="137">
        <v>0</v>
      </c>
      <c r="AT570" s="137">
        <v>0</v>
      </c>
      <c r="AU570" s="137">
        <v>0</v>
      </c>
      <c r="AV570" s="137">
        <v>0.0588235294117647</v>
      </c>
      <c r="AW570" s="93"/>
      <c r="AX570" s="91"/>
    </row>
    <row r="571" ht="14.5" spans="1:50">
      <c r="A571" s="89"/>
      <c r="B571" s="93"/>
      <c r="C571" s="148" t="s">
        <v>371</v>
      </c>
      <c r="D571" s="126" t="s">
        <v>372</v>
      </c>
      <c r="E571" s="149" t="s">
        <v>593</v>
      </c>
      <c r="F571" s="149" t="s">
        <v>593</v>
      </c>
      <c r="G571" s="149" t="s">
        <v>593</v>
      </c>
      <c r="H571" s="149" t="s">
        <v>593</v>
      </c>
      <c r="I571" s="128">
        <v>0.9</v>
      </c>
      <c r="J571" s="129">
        <v>0.836363636363636</v>
      </c>
      <c r="K571" s="129">
        <v>0.86</v>
      </c>
      <c r="L571" s="130">
        <v>0.697674418604651</v>
      </c>
      <c r="M571" s="129">
        <v>0.811188811188811</v>
      </c>
      <c r="N571" s="131">
        <v>0.9</v>
      </c>
      <c r="O571" s="129">
        <v>0.831216931216931</v>
      </c>
      <c r="P571" s="129">
        <v>0.922811059907834</v>
      </c>
      <c r="Q571" s="129">
        <v>0.775830258302583</v>
      </c>
      <c r="R571" s="129">
        <v>0.830957040350387</v>
      </c>
      <c r="S571" s="131">
        <v>0.9</v>
      </c>
      <c r="T571" s="129">
        <v>0.930952380952381</v>
      </c>
      <c r="U571" s="129">
        <v>0.917626728110599</v>
      </c>
      <c r="V571" s="129">
        <v>0.883763837638376</v>
      </c>
      <c r="W571" s="129">
        <v>0.9107259342093</v>
      </c>
      <c r="X571" s="131">
        <v>0.92</v>
      </c>
      <c r="Y571" s="131">
        <v>0.961452691940108</v>
      </c>
      <c r="Z571" s="131">
        <v>0.963231036479444</v>
      </c>
      <c r="AA571" s="131">
        <v>0.926111111111111</v>
      </c>
      <c r="AB571" s="131">
        <v>0.944699579027937</v>
      </c>
      <c r="AC571" s="131">
        <v>0.92</v>
      </c>
      <c r="AD571" s="129">
        <v>0.989690721649485</v>
      </c>
      <c r="AE571" s="129">
        <v>0.986206896551724</v>
      </c>
      <c r="AF571" s="129">
        <v>0.996539792387543</v>
      </c>
      <c r="AG571" s="129">
        <v>0.943830034924331</v>
      </c>
      <c r="AH571" s="131">
        <v>0.92</v>
      </c>
      <c r="AI571" s="129">
        <v>0.970125559243758</v>
      </c>
      <c r="AJ571" s="129">
        <v>0.967102731819931</v>
      </c>
      <c r="AK571" s="129">
        <v>0.957871835443038</v>
      </c>
      <c r="AL571" s="129">
        <v>0.960424079587539</v>
      </c>
      <c r="AM571" s="128">
        <v>0.99</v>
      </c>
      <c r="AN571" s="133">
        <v>1</v>
      </c>
      <c r="AO571" s="133">
        <v>1</v>
      </c>
      <c r="AP571" s="133">
        <v>1</v>
      </c>
      <c r="AQ571" s="133">
        <v>1</v>
      </c>
      <c r="AR571" s="153">
        <v>0.05</v>
      </c>
      <c r="AS571" s="137">
        <v>0</v>
      </c>
      <c r="AT571" s="137">
        <v>0.272727272727273</v>
      </c>
      <c r="AU571" s="137">
        <v>0.181818181818182</v>
      </c>
      <c r="AV571" s="137">
        <v>0.0954545454545455</v>
      </c>
      <c r="AW571" s="93"/>
      <c r="AX571" s="91"/>
    </row>
    <row r="572" ht="14.5" spans="1:50">
      <c r="A572" s="89"/>
      <c r="B572" s="93"/>
      <c r="C572" s="148" t="s">
        <v>371</v>
      </c>
      <c r="D572" s="126" t="s">
        <v>372</v>
      </c>
      <c r="E572" s="149" t="s">
        <v>594</v>
      </c>
      <c r="F572" s="149" t="s">
        <v>594</v>
      </c>
      <c r="G572" s="149" t="s">
        <v>594</v>
      </c>
      <c r="H572" s="149" t="s">
        <v>594</v>
      </c>
      <c r="I572" s="128">
        <v>0.9</v>
      </c>
      <c r="J572" s="129">
        <v>0.961538461538462</v>
      </c>
      <c r="K572" s="129">
        <v>0.977272727272727</v>
      </c>
      <c r="L572" s="130">
        <v>0.979591836734694</v>
      </c>
      <c r="M572" s="129">
        <v>0.981636060100167</v>
      </c>
      <c r="N572" s="131">
        <v>0.9</v>
      </c>
      <c r="O572" s="129">
        <v>0.957818081890629</v>
      </c>
      <c r="P572" s="129">
        <v>0.99072966507177</v>
      </c>
      <c r="Q572" s="129">
        <v>0.986949152542373</v>
      </c>
      <c r="R572" s="129">
        <v>0.980510080735424</v>
      </c>
      <c r="S572" s="131">
        <v>0.9</v>
      </c>
      <c r="T572" s="129">
        <v>0.900109920307777</v>
      </c>
      <c r="U572" s="129">
        <v>0.869617224880383</v>
      </c>
      <c r="V572" s="129">
        <v>0.906779661016949</v>
      </c>
      <c r="W572" s="129">
        <v>0.878568550493217</v>
      </c>
      <c r="X572" s="131">
        <v>0.92</v>
      </c>
      <c r="Y572" s="131" t="s">
        <v>33</v>
      </c>
      <c r="Z572" s="131">
        <v>0</v>
      </c>
      <c r="AA572" s="131" t="s">
        <v>33</v>
      </c>
      <c r="AB572" s="131">
        <v>0.868421052631579</v>
      </c>
      <c r="AC572" s="131">
        <v>0.92</v>
      </c>
      <c r="AD572" s="129">
        <v>0.99299280840863</v>
      </c>
      <c r="AE572" s="129">
        <v>0.980678089682829</v>
      </c>
      <c r="AF572" s="129">
        <v>0.992293272234951</v>
      </c>
      <c r="AG572" s="129">
        <v>0.989606737882192</v>
      </c>
      <c r="AH572" s="131">
        <v>0.92</v>
      </c>
      <c r="AI572" s="129">
        <v>0.976098901098901</v>
      </c>
      <c r="AJ572" s="129">
        <v>0.953092321481924</v>
      </c>
      <c r="AK572" s="129">
        <v>0.97728813559322</v>
      </c>
      <c r="AL572" s="129">
        <v>0.972841973393784</v>
      </c>
      <c r="AM572" s="128">
        <v>0.99</v>
      </c>
      <c r="AN572" s="133">
        <v>1</v>
      </c>
      <c r="AO572" s="133">
        <v>1</v>
      </c>
      <c r="AP572" s="133">
        <v>1</v>
      </c>
      <c r="AQ572" s="133">
        <v>1</v>
      </c>
      <c r="AR572" s="153">
        <v>0.05</v>
      </c>
      <c r="AS572" s="137">
        <v>0</v>
      </c>
      <c r="AT572" s="137">
        <v>0.0588235294117647</v>
      </c>
      <c r="AU572" s="137">
        <v>0</v>
      </c>
      <c r="AV572" s="137">
        <v>0.025</v>
      </c>
      <c r="AW572" s="93"/>
      <c r="AX572" s="91"/>
    </row>
    <row r="573" ht="14.5" spans="1:50">
      <c r="A573" s="89"/>
      <c r="B573" s="93"/>
      <c r="C573" s="148" t="s">
        <v>371</v>
      </c>
      <c r="D573" s="126" t="s">
        <v>372</v>
      </c>
      <c r="E573" s="149" t="s">
        <v>595</v>
      </c>
      <c r="F573" s="149" t="s">
        <v>595</v>
      </c>
      <c r="G573" s="149" t="s">
        <v>595</v>
      </c>
      <c r="H573" s="149" t="s">
        <v>595</v>
      </c>
      <c r="I573" s="128">
        <v>0.9</v>
      </c>
      <c r="J573" s="129">
        <v>1</v>
      </c>
      <c r="K573" s="129">
        <v>1</v>
      </c>
      <c r="L573" s="130">
        <v>1</v>
      </c>
      <c r="M573" s="129">
        <v>0.996894409937888</v>
      </c>
      <c r="N573" s="131">
        <v>0.9</v>
      </c>
      <c r="O573" s="129">
        <v>0.989160839160839</v>
      </c>
      <c r="P573" s="129">
        <v>0.994200497100249</v>
      </c>
      <c r="Q573" s="129">
        <v>0.988904299583911</v>
      </c>
      <c r="R573" s="129">
        <v>0.989763222504265</v>
      </c>
      <c r="S573" s="131">
        <v>0.9</v>
      </c>
      <c r="T573" s="129">
        <v>0.831118881118881</v>
      </c>
      <c r="U573" s="129">
        <v>0.946147473073737</v>
      </c>
      <c r="V573" s="129">
        <v>0.918631530282016</v>
      </c>
      <c r="W573" s="129">
        <v>0.89043319046232</v>
      </c>
      <c r="X573" s="131">
        <v>0.92</v>
      </c>
      <c r="Y573" s="131">
        <v>0.903945111492281</v>
      </c>
      <c r="Z573" s="131">
        <v>0.922758620689655</v>
      </c>
      <c r="AA573" s="131">
        <v>0.821510297482838</v>
      </c>
      <c r="AB573" s="131">
        <v>0.875423045930701</v>
      </c>
      <c r="AC573" s="131">
        <v>0.92</v>
      </c>
      <c r="AD573" s="129">
        <v>0.997846374730797</v>
      </c>
      <c r="AE573" s="129">
        <v>0.998712998712999</v>
      </c>
      <c r="AF573" s="129">
        <v>0.991291727140784</v>
      </c>
      <c r="AG573" s="129">
        <v>0.993395453614581</v>
      </c>
      <c r="AH573" s="131">
        <v>0.92</v>
      </c>
      <c r="AI573" s="129">
        <v>0.968940493468795</v>
      </c>
      <c r="AJ573" s="129">
        <v>0.962732919254658</v>
      </c>
      <c r="AK573" s="129">
        <v>0.956170703575548</v>
      </c>
      <c r="AL573" s="129">
        <v>0.963259367042561</v>
      </c>
      <c r="AM573" s="128">
        <v>0.99</v>
      </c>
      <c r="AN573" s="133">
        <v>1</v>
      </c>
      <c r="AO573" s="133">
        <v>1</v>
      </c>
      <c r="AP573" s="133">
        <v>1</v>
      </c>
      <c r="AQ573" s="133">
        <v>1</v>
      </c>
      <c r="AR573" s="153">
        <v>0.05</v>
      </c>
      <c r="AS573" s="137">
        <v>0</v>
      </c>
      <c r="AT573" s="137">
        <v>0.166666666666667</v>
      </c>
      <c r="AU573" s="137">
        <v>0</v>
      </c>
      <c r="AV573" s="137">
        <v>0.0654205607476635</v>
      </c>
      <c r="AW573" s="93"/>
      <c r="AX573" s="91"/>
    </row>
    <row r="574" ht="14.5" spans="1:50">
      <c r="A574" s="89"/>
      <c r="B574" s="93"/>
      <c r="C574" s="148" t="s">
        <v>371</v>
      </c>
      <c r="D574" s="126" t="s">
        <v>372</v>
      </c>
      <c r="E574" s="149" t="s">
        <v>596</v>
      </c>
      <c r="F574" s="149" t="s">
        <v>596</v>
      </c>
      <c r="G574" s="149" t="s">
        <v>596</v>
      </c>
      <c r="H574" s="149" t="s">
        <v>596</v>
      </c>
      <c r="I574" s="128">
        <v>0.9</v>
      </c>
      <c r="J574" s="129">
        <v>1</v>
      </c>
      <c r="K574" s="129">
        <v>1</v>
      </c>
      <c r="L574" s="130">
        <v>1</v>
      </c>
      <c r="M574" s="129">
        <v>0.984894259818731</v>
      </c>
      <c r="N574" s="131">
        <v>0.9</v>
      </c>
      <c r="O574" s="129">
        <v>0.986462415390096</v>
      </c>
      <c r="P574" s="129">
        <v>0.99180938198064</v>
      </c>
      <c r="Q574" s="129">
        <v>0.984991423670669</v>
      </c>
      <c r="R574" s="129">
        <v>0.988763605042675</v>
      </c>
      <c r="S574" s="131">
        <v>0.9</v>
      </c>
      <c r="T574" s="129">
        <v>0.893836836480228</v>
      </c>
      <c r="U574" s="129">
        <v>0.951600893521966</v>
      </c>
      <c r="V574" s="129">
        <v>0.902658662092624</v>
      </c>
      <c r="W574" s="129">
        <v>0.911479132409365</v>
      </c>
      <c r="X574" s="131">
        <v>0.92</v>
      </c>
      <c r="Y574" s="131">
        <v>0.923518164435946</v>
      </c>
      <c r="Z574" s="131">
        <v>0.939265536723164</v>
      </c>
      <c r="AA574" s="131">
        <v>0.920595533498759</v>
      </c>
      <c r="AB574" s="131">
        <v>0.903268845897265</v>
      </c>
      <c r="AC574" s="131">
        <v>0.92</v>
      </c>
      <c r="AD574" s="129">
        <v>0.997827773467804</v>
      </c>
      <c r="AE574" s="129">
        <v>0.995500409053722</v>
      </c>
      <c r="AF574" s="129">
        <v>0.998237885462555</v>
      </c>
      <c r="AG574" s="129">
        <v>0.997806528366421</v>
      </c>
      <c r="AH574" s="131">
        <v>0.92</v>
      </c>
      <c r="AI574" s="129">
        <v>0.972072072072072</v>
      </c>
      <c r="AJ574" s="129">
        <v>0.970745977571916</v>
      </c>
      <c r="AK574" s="129">
        <v>0.978793418647166</v>
      </c>
      <c r="AL574" s="129">
        <v>0.967663189931205</v>
      </c>
      <c r="AM574" s="128">
        <v>0.99</v>
      </c>
      <c r="AN574" s="133">
        <v>1</v>
      </c>
      <c r="AO574" s="133">
        <v>1</v>
      </c>
      <c r="AP574" s="133">
        <v>1</v>
      </c>
      <c r="AQ574" s="133">
        <v>1</v>
      </c>
      <c r="AR574" s="153">
        <v>0.05</v>
      </c>
      <c r="AS574" s="137">
        <v>0</v>
      </c>
      <c r="AT574" s="137">
        <v>0</v>
      </c>
      <c r="AU574" s="137">
        <v>0</v>
      </c>
      <c r="AV574" s="137">
        <v>0.0470588235294118</v>
      </c>
      <c r="AW574" s="93"/>
      <c r="AX574" s="91"/>
    </row>
    <row r="575" ht="14.5" spans="1:50">
      <c r="A575" s="89"/>
      <c r="B575" s="93"/>
      <c r="C575" s="148" t="s">
        <v>371</v>
      </c>
      <c r="D575" s="126" t="s">
        <v>372</v>
      </c>
      <c r="E575" s="149" t="s">
        <v>597</v>
      </c>
      <c r="F575" s="149" t="s">
        <v>597</v>
      </c>
      <c r="G575" s="149" t="s">
        <v>597</v>
      </c>
      <c r="H575" s="149" t="s">
        <v>597</v>
      </c>
      <c r="I575" s="128">
        <v>0.9</v>
      </c>
      <c r="J575" s="129">
        <v>1</v>
      </c>
      <c r="K575" s="129">
        <v>1</v>
      </c>
      <c r="L575" s="130">
        <v>0.978723404255319</v>
      </c>
      <c r="M575" s="129">
        <v>0.991304347826087</v>
      </c>
      <c r="N575" s="131">
        <v>0.9</v>
      </c>
      <c r="O575" s="129">
        <v>0</v>
      </c>
      <c r="P575" s="129" t="s">
        <v>33</v>
      </c>
      <c r="Q575" s="129">
        <v>0</v>
      </c>
      <c r="R575" s="129">
        <v>0</v>
      </c>
      <c r="S575" s="131">
        <v>0.9</v>
      </c>
      <c r="T575" s="129">
        <v>0</v>
      </c>
      <c r="U575" s="129" t="s">
        <v>33</v>
      </c>
      <c r="V575" s="129">
        <v>0</v>
      </c>
      <c r="W575" s="129">
        <v>0</v>
      </c>
      <c r="X575" s="131">
        <v>0.92</v>
      </c>
      <c r="Y575" s="131">
        <v>0</v>
      </c>
      <c r="Z575" s="131" t="s">
        <v>33</v>
      </c>
      <c r="AA575" s="131" t="s">
        <v>33</v>
      </c>
      <c r="AB575" s="131">
        <v>0</v>
      </c>
      <c r="AC575" s="131">
        <v>0.92</v>
      </c>
      <c r="AD575" s="129">
        <v>0.994029850746269</v>
      </c>
      <c r="AE575" s="129">
        <v>0.992957746478873</v>
      </c>
      <c r="AF575" s="129">
        <v>0.991087344028521</v>
      </c>
      <c r="AG575" s="129">
        <v>0.991296121097446</v>
      </c>
      <c r="AH575" s="131">
        <v>0.92</v>
      </c>
      <c r="AI575" s="129">
        <v>0.974633685205609</v>
      </c>
      <c r="AJ575" s="129">
        <v>0.956973293768546</v>
      </c>
      <c r="AK575" s="129">
        <v>0.979179550608122</v>
      </c>
      <c r="AL575" s="129">
        <v>0.969787318624528</v>
      </c>
      <c r="AM575" s="128">
        <v>0.99</v>
      </c>
      <c r="AN575" s="133">
        <v>1</v>
      </c>
      <c r="AO575" s="133">
        <v>1</v>
      </c>
      <c r="AP575" s="133">
        <v>1</v>
      </c>
      <c r="AQ575" s="133">
        <v>1</v>
      </c>
      <c r="AR575" s="153">
        <v>0.05</v>
      </c>
      <c r="AS575" s="137">
        <v>0.0769230769230769</v>
      </c>
      <c r="AT575" s="137">
        <v>0</v>
      </c>
      <c r="AU575" s="137">
        <v>0.0625</v>
      </c>
      <c r="AV575" s="137">
        <v>0.0496894409937888</v>
      </c>
      <c r="AW575" s="93"/>
      <c r="AX575" s="91"/>
    </row>
    <row r="576" ht="14.5" spans="1:50">
      <c r="A576" s="89"/>
      <c r="B576" s="93"/>
      <c r="C576" s="148" t="s">
        <v>371</v>
      </c>
      <c r="D576" s="126" t="s">
        <v>372</v>
      </c>
      <c r="E576" s="149" t="s">
        <v>598</v>
      </c>
      <c r="F576" s="149" t="s">
        <v>598</v>
      </c>
      <c r="G576" s="149" t="s">
        <v>598</v>
      </c>
      <c r="H576" s="149" t="s">
        <v>598</v>
      </c>
      <c r="I576" s="128">
        <v>0.9</v>
      </c>
      <c r="J576" s="129">
        <v>0.941176470588235</v>
      </c>
      <c r="K576" s="129">
        <v>1</v>
      </c>
      <c r="L576" s="130">
        <v>1</v>
      </c>
      <c r="M576" s="129">
        <v>0.984375</v>
      </c>
      <c r="N576" s="131">
        <v>0.9</v>
      </c>
      <c r="O576" s="129">
        <v>0.985117344018317</v>
      </c>
      <c r="P576" s="129">
        <v>0.988805970149254</v>
      </c>
      <c r="Q576" s="129">
        <v>0.988095238095238</v>
      </c>
      <c r="R576" s="129">
        <v>0.986834849738076</v>
      </c>
      <c r="S576" s="131">
        <v>0.9</v>
      </c>
      <c r="T576" s="129">
        <v>0.941041785918718</v>
      </c>
      <c r="U576" s="129">
        <v>0.925373134328358</v>
      </c>
      <c r="V576" s="129">
        <v>0.93968253968254</v>
      </c>
      <c r="W576" s="129">
        <v>0.943686242073339</v>
      </c>
      <c r="X576" s="131">
        <v>0.92</v>
      </c>
      <c r="Y576" s="131">
        <v>0.953757225433526</v>
      </c>
      <c r="Z576" s="131">
        <v>0.865740740740741</v>
      </c>
      <c r="AA576" s="131">
        <v>0.94578313253012</v>
      </c>
      <c r="AB576" s="131">
        <v>0.944716585024493</v>
      </c>
      <c r="AC576" s="131">
        <v>0.92</v>
      </c>
      <c r="AD576" s="129">
        <v>0.99228643794612</v>
      </c>
      <c r="AE576" s="129">
        <v>0.99811257910514</v>
      </c>
      <c r="AF576" s="129">
        <v>0.996899594562366</v>
      </c>
      <c r="AG576" s="129">
        <v>0.933003772603096</v>
      </c>
      <c r="AH576" s="131">
        <v>0.92</v>
      </c>
      <c r="AI576" s="129">
        <v>0.974248927038627</v>
      </c>
      <c r="AJ576" s="129">
        <v>0.927993527508091</v>
      </c>
      <c r="AK576" s="129">
        <v>0.973006905210295</v>
      </c>
      <c r="AL576" s="129">
        <v>0.974207615400979</v>
      </c>
      <c r="AM576" s="128">
        <v>0.99</v>
      </c>
      <c r="AN576" s="133">
        <v>1</v>
      </c>
      <c r="AO576" s="133">
        <v>1</v>
      </c>
      <c r="AP576" s="133">
        <v>1</v>
      </c>
      <c r="AQ576" s="133">
        <v>1</v>
      </c>
      <c r="AR576" s="153">
        <v>0.05</v>
      </c>
      <c r="AS576" s="137">
        <v>0</v>
      </c>
      <c r="AT576" s="137">
        <v>0</v>
      </c>
      <c r="AU576" s="137">
        <v>0.5</v>
      </c>
      <c r="AV576" s="137">
        <v>0.0317460317460317</v>
      </c>
      <c r="AW576" s="93"/>
      <c r="AX576" s="91"/>
    </row>
    <row r="577" ht="14.5" spans="1:50">
      <c r="A577" s="89"/>
      <c r="B577" s="93"/>
      <c r="C577" s="148" t="s">
        <v>371</v>
      </c>
      <c r="D577" s="126" t="s">
        <v>372</v>
      </c>
      <c r="E577" s="149" t="s">
        <v>599</v>
      </c>
      <c r="F577" s="149" t="s">
        <v>599</v>
      </c>
      <c r="G577" s="149" t="s">
        <v>599</v>
      </c>
      <c r="H577" s="149" t="s">
        <v>599</v>
      </c>
      <c r="I577" s="128">
        <v>0.9</v>
      </c>
      <c r="J577" s="129">
        <v>1</v>
      </c>
      <c r="K577" s="129">
        <v>1</v>
      </c>
      <c r="L577" s="130">
        <v>1</v>
      </c>
      <c r="M577" s="129">
        <v>0.986348122866894</v>
      </c>
      <c r="N577" s="131">
        <v>0.9</v>
      </c>
      <c r="O577" s="129">
        <v>0.98766328011611</v>
      </c>
      <c r="P577" s="129">
        <v>0.980938416422287</v>
      </c>
      <c r="Q577" s="129">
        <v>0.993285371702638</v>
      </c>
      <c r="R577" s="129">
        <v>0.988030139935414</v>
      </c>
      <c r="S577" s="131">
        <v>0.9</v>
      </c>
      <c r="T577" s="129">
        <v>0.944484760522496</v>
      </c>
      <c r="U577" s="129">
        <v>0.956011730205279</v>
      </c>
      <c r="V577" s="129">
        <v>0.952997601918465</v>
      </c>
      <c r="W577" s="129">
        <v>0.949580193756728</v>
      </c>
      <c r="X577" s="131">
        <v>0.92</v>
      </c>
      <c r="Y577" s="131">
        <v>0.975395430579965</v>
      </c>
      <c r="Z577" s="131">
        <v>0.911609498680739</v>
      </c>
      <c r="AA577" s="131">
        <v>0.96875</v>
      </c>
      <c r="AB577" s="131">
        <v>0.966193107077085</v>
      </c>
      <c r="AC577" s="131">
        <v>0.92</v>
      </c>
      <c r="AD577" s="129">
        <v>0.996679164434922</v>
      </c>
      <c r="AE577" s="129">
        <v>0.980963661745421</v>
      </c>
      <c r="AF577" s="129">
        <v>0.964094460539022</v>
      </c>
      <c r="AG577" s="129">
        <v>0.930551220826083</v>
      </c>
      <c r="AH577" s="131">
        <v>0.92</v>
      </c>
      <c r="AI577" s="129">
        <v>0.981398139813981</v>
      </c>
      <c r="AJ577" s="129">
        <v>0.960414703110273</v>
      </c>
      <c r="AK577" s="129">
        <v>0.98737467508355</v>
      </c>
      <c r="AL577" s="129">
        <v>0.98239185420585</v>
      </c>
      <c r="AM577" s="128">
        <v>0.99</v>
      </c>
      <c r="AN577" s="133">
        <v>1</v>
      </c>
      <c r="AO577" s="133">
        <v>1</v>
      </c>
      <c r="AP577" s="133">
        <v>1</v>
      </c>
      <c r="AQ577" s="133">
        <v>1</v>
      </c>
      <c r="AR577" s="153">
        <v>0.05</v>
      </c>
      <c r="AS577" s="137">
        <v>0.272727272727273</v>
      </c>
      <c r="AT577" s="137">
        <v>0.0909090909090909</v>
      </c>
      <c r="AU577" s="137">
        <v>0</v>
      </c>
      <c r="AV577" s="137">
        <v>0.0756302521008403</v>
      </c>
      <c r="AW577" s="93"/>
      <c r="AX577" s="91"/>
    </row>
    <row r="578" ht="14.5" spans="1:50">
      <c r="A578" s="89"/>
      <c r="B578" s="93"/>
      <c r="C578" s="148" t="s">
        <v>371</v>
      </c>
      <c r="D578" s="126" t="s">
        <v>372</v>
      </c>
      <c r="E578" s="149" t="s">
        <v>600</v>
      </c>
      <c r="F578" s="149" t="s">
        <v>600</v>
      </c>
      <c r="G578" s="149" t="s">
        <v>600</v>
      </c>
      <c r="H578" s="149" t="s">
        <v>600</v>
      </c>
      <c r="I578" s="128">
        <v>0.9</v>
      </c>
      <c r="J578" s="129">
        <v>1</v>
      </c>
      <c r="K578" s="129">
        <v>1</v>
      </c>
      <c r="L578" s="130">
        <v>0.981818181818182</v>
      </c>
      <c r="M578" s="129">
        <v>0.987421383647799</v>
      </c>
      <c r="N578" s="131">
        <v>0.9</v>
      </c>
      <c r="O578" s="129">
        <v>0.975523827183386</v>
      </c>
      <c r="P578" s="129">
        <v>0.982448809026327</v>
      </c>
      <c r="Q578" s="129">
        <v>0.965344168260038</v>
      </c>
      <c r="R578" s="129">
        <v>0.971527320605662</v>
      </c>
      <c r="S578" s="131">
        <v>0.9</v>
      </c>
      <c r="T578" s="129">
        <v>0.90320786204339</v>
      </c>
      <c r="U578" s="129">
        <v>0.949853740075219</v>
      </c>
      <c r="V578" s="129">
        <v>0.881692160611855</v>
      </c>
      <c r="W578" s="129">
        <v>0.902732060566162</v>
      </c>
      <c r="X578" s="131">
        <v>0.92</v>
      </c>
      <c r="Y578" s="131">
        <v>0.883230904302019</v>
      </c>
      <c r="Z578" s="131">
        <v>0.8328173374613</v>
      </c>
      <c r="AA578" s="131">
        <v>0.892371995820272</v>
      </c>
      <c r="AB578" s="131">
        <v>0.823945359582162</v>
      </c>
      <c r="AC578" s="131">
        <v>0.92</v>
      </c>
      <c r="AD578" s="129">
        <v>0.994005226213045</v>
      </c>
      <c r="AE578" s="129">
        <v>0.994733624864814</v>
      </c>
      <c r="AF578" s="129">
        <v>0.950230199895099</v>
      </c>
      <c r="AG578" s="129">
        <v>0.981198834159653</v>
      </c>
      <c r="AH578" s="131">
        <v>0.92</v>
      </c>
      <c r="AI578" s="129">
        <v>0.964039785768936</v>
      </c>
      <c r="AJ578" s="129">
        <v>0.922693266832918</v>
      </c>
      <c r="AK578" s="129">
        <v>0.965202177293935</v>
      </c>
      <c r="AL578" s="129">
        <v>0.949647120470288</v>
      </c>
      <c r="AM578" s="128">
        <v>0.99</v>
      </c>
      <c r="AN578" s="133">
        <v>1</v>
      </c>
      <c r="AO578" s="133">
        <v>1</v>
      </c>
      <c r="AP578" s="133">
        <v>1</v>
      </c>
      <c r="AQ578" s="133">
        <v>1</v>
      </c>
      <c r="AR578" s="153">
        <v>0.05</v>
      </c>
      <c r="AS578" s="137">
        <v>0</v>
      </c>
      <c r="AT578" s="137">
        <v>0.0909090909090909</v>
      </c>
      <c r="AU578" s="137">
        <v>0</v>
      </c>
      <c r="AV578" s="137">
        <v>0.02</v>
      </c>
      <c r="AW578" s="93"/>
      <c r="AX578" s="91"/>
    </row>
    <row r="579" ht="14.5" spans="1:50">
      <c r="A579" s="89"/>
      <c r="B579" s="93"/>
      <c r="C579" s="148" t="s">
        <v>371</v>
      </c>
      <c r="D579" s="126" t="s">
        <v>372</v>
      </c>
      <c r="E579" s="149" t="s">
        <v>601</v>
      </c>
      <c r="F579" s="149" t="s">
        <v>601</v>
      </c>
      <c r="G579" s="149" t="s">
        <v>601</v>
      </c>
      <c r="H579" s="149" t="s">
        <v>601</v>
      </c>
      <c r="I579" s="128">
        <v>0.9</v>
      </c>
      <c r="J579" s="129">
        <v>1</v>
      </c>
      <c r="K579" s="129">
        <v>0.958333333333333</v>
      </c>
      <c r="L579" s="130">
        <v>0.966666666666667</v>
      </c>
      <c r="M579" s="129">
        <v>0.907185628742515</v>
      </c>
      <c r="N579" s="131">
        <v>0.9</v>
      </c>
      <c r="O579" s="129">
        <v>0.982432880344713</v>
      </c>
      <c r="P579" s="129">
        <v>0.986311787072243</v>
      </c>
      <c r="Q579" s="129">
        <v>0.98399288572699</v>
      </c>
      <c r="R579" s="129">
        <v>0.978863370961464</v>
      </c>
      <c r="S579" s="131">
        <v>0.9</v>
      </c>
      <c r="T579" s="129">
        <v>0.896586012595293</v>
      </c>
      <c r="U579" s="129">
        <v>0.954372623574145</v>
      </c>
      <c r="V579" s="129">
        <v>0.905735882614495</v>
      </c>
      <c r="W579" s="129">
        <v>0.88633709614636</v>
      </c>
      <c r="X579" s="131">
        <v>0.92</v>
      </c>
      <c r="Y579" s="131">
        <v>0.934782608695652</v>
      </c>
      <c r="Z579" s="131">
        <v>0.900653594771242</v>
      </c>
      <c r="AA579" s="131">
        <v>0.894211576846307</v>
      </c>
      <c r="AB579" s="131">
        <v>0.917177455523995</v>
      </c>
      <c r="AC579" s="131">
        <v>0.92</v>
      </c>
      <c r="AD579" s="129">
        <v>0.997352342158859</v>
      </c>
      <c r="AE579" s="129">
        <v>0.97141167192429</v>
      </c>
      <c r="AF579" s="129">
        <v>0.99643130257456</v>
      </c>
      <c r="AG579" s="129">
        <v>0.984636046199302</v>
      </c>
      <c r="AH579" s="131">
        <v>0.92</v>
      </c>
      <c r="AI579" s="129">
        <v>0.969187675070028</v>
      </c>
      <c r="AJ579" s="129">
        <v>0.950504565112926</v>
      </c>
      <c r="AK579" s="129">
        <v>0.966545454545455</v>
      </c>
      <c r="AL579" s="129">
        <v>0.964735671936759</v>
      </c>
      <c r="AM579" s="128">
        <v>0.99</v>
      </c>
      <c r="AN579" s="133">
        <v>1</v>
      </c>
      <c r="AO579" s="133">
        <v>1</v>
      </c>
      <c r="AP579" s="133">
        <v>1</v>
      </c>
      <c r="AQ579" s="133">
        <v>1</v>
      </c>
      <c r="AR579" s="153">
        <v>0.05</v>
      </c>
      <c r="AS579" s="137">
        <v>0.111111111111111</v>
      </c>
      <c r="AT579" s="137">
        <v>0</v>
      </c>
      <c r="AU579" s="137">
        <v>0.181818181818182</v>
      </c>
      <c r="AV579" s="137">
        <v>0.0851063829787234</v>
      </c>
      <c r="AW579" s="93"/>
      <c r="AX579" s="91"/>
    </row>
    <row r="580" ht="14.5" spans="1:50">
      <c r="A580" s="89"/>
      <c r="B580" s="93"/>
      <c r="C580" s="148" t="s">
        <v>371</v>
      </c>
      <c r="D580" s="126" t="s">
        <v>372</v>
      </c>
      <c r="E580" s="149" t="s">
        <v>602</v>
      </c>
      <c r="F580" s="149" t="s">
        <v>602</v>
      </c>
      <c r="G580" s="149" t="s">
        <v>602</v>
      </c>
      <c r="H580" s="149" t="s">
        <v>602</v>
      </c>
      <c r="I580" s="128">
        <v>0.9</v>
      </c>
      <c r="J580" s="129">
        <v>0.978260869565217</v>
      </c>
      <c r="K580" s="129">
        <v>0.977777777777778</v>
      </c>
      <c r="L580" s="130">
        <v>0.978260869565217</v>
      </c>
      <c r="M580" s="129">
        <v>0.986512524084778</v>
      </c>
      <c r="N580" s="131">
        <v>0.9</v>
      </c>
      <c r="O580" s="129">
        <v>0</v>
      </c>
      <c r="P580" s="129" t="s">
        <v>33</v>
      </c>
      <c r="Q580" s="129" t="s">
        <v>33</v>
      </c>
      <c r="R580" s="129">
        <v>0</v>
      </c>
      <c r="S580" s="131">
        <v>0.9</v>
      </c>
      <c r="T580" s="129">
        <v>0</v>
      </c>
      <c r="U580" s="129" t="s">
        <v>33</v>
      </c>
      <c r="V580" s="129" t="s">
        <v>33</v>
      </c>
      <c r="W580" s="129">
        <v>0.25</v>
      </c>
      <c r="X580" s="131">
        <v>0.92</v>
      </c>
      <c r="Y580" s="131" t="s">
        <v>33</v>
      </c>
      <c r="Z580" s="131">
        <v>0.5</v>
      </c>
      <c r="AA580" s="131" t="s">
        <v>33</v>
      </c>
      <c r="AB580" s="131">
        <v>0.5</v>
      </c>
      <c r="AC580" s="131">
        <v>0.92</v>
      </c>
      <c r="AD580" s="129">
        <v>0.994341147938561</v>
      </c>
      <c r="AE580" s="129">
        <v>0.979865771812081</v>
      </c>
      <c r="AF580" s="129">
        <v>0.992700729927007</v>
      </c>
      <c r="AG580" s="129">
        <v>0.98680194671286</v>
      </c>
      <c r="AH580" s="131">
        <v>0.92</v>
      </c>
      <c r="AI580" s="129">
        <v>0.937543053960964</v>
      </c>
      <c r="AJ580" s="129">
        <v>0.945731303772336</v>
      </c>
      <c r="AK580" s="129">
        <v>0.95754606951248</v>
      </c>
      <c r="AL580" s="129">
        <v>0.941555433913007</v>
      </c>
      <c r="AM580" s="128">
        <v>0.99</v>
      </c>
      <c r="AN580" s="133">
        <v>1</v>
      </c>
      <c r="AO580" s="133">
        <v>1</v>
      </c>
      <c r="AP580" s="133">
        <v>1</v>
      </c>
      <c r="AQ580" s="133">
        <v>1</v>
      </c>
      <c r="AR580" s="153">
        <v>0.05</v>
      </c>
      <c r="AS580" s="137">
        <v>0</v>
      </c>
      <c r="AT580" s="137">
        <v>0</v>
      </c>
      <c r="AU580" s="137">
        <v>0.0909090909090909</v>
      </c>
      <c r="AV580" s="137">
        <v>0.0601503759398496</v>
      </c>
      <c r="AW580" s="93"/>
      <c r="AX580" s="91"/>
    </row>
    <row r="581" ht="14.5" spans="1:50">
      <c r="A581" s="89"/>
      <c r="B581" s="93"/>
      <c r="C581" s="148" t="s">
        <v>371</v>
      </c>
      <c r="D581" s="126" t="s">
        <v>372</v>
      </c>
      <c r="E581" s="149" t="s">
        <v>603</v>
      </c>
      <c r="F581" s="149" t="s">
        <v>603</v>
      </c>
      <c r="G581" s="149" t="s">
        <v>603</v>
      </c>
      <c r="H581" s="149" t="s">
        <v>603</v>
      </c>
      <c r="I581" s="128">
        <v>0.9</v>
      </c>
      <c r="J581" s="129">
        <v>0.958904109589041</v>
      </c>
      <c r="K581" s="129">
        <v>0.970588235294118</v>
      </c>
      <c r="L581" s="130">
        <v>0.954545454545455</v>
      </c>
      <c r="M581" s="129">
        <v>0.975979772439949</v>
      </c>
      <c r="N581" s="131">
        <v>0.9</v>
      </c>
      <c r="O581" s="129">
        <v>0.995689092096669</v>
      </c>
      <c r="P581" s="129">
        <v>0.99477886977887</v>
      </c>
      <c r="Q581" s="129">
        <v>0.982830471745291</v>
      </c>
      <c r="R581" s="129">
        <v>0.990229377702632</v>
      </c>
      <c r="S581" s="131">
        <v>0.9</v>
      </c>
      <c r="T581" s="129">
        <v>0.87250163291966</v>
      </c>
      <c r="U581" s="129">
        <v>0.942567567567568</v>
      </c>
      <c r="V581" s="129">
        <v>0.888314719119853</v>
      </c>
      <c r="W581" s="129">
        <v>0.886313647449613</v>
      </c>
      <c r="X581" s="131">
        <v>0.92</v>
      </c>
      <c r="Y581" s="131">
        <v>0.928370786516854</v>
      </c>
      <c r="Z581" s="131">
        <v>0.921159945627549</v>
      </c>
      <c r="AA581" s="131">
        <v>0.938645418326693</v>
      </c>
      <c r="AB581" s="131">
        <v>0.894529439035698</v>
      </c>
      <c r="AC581" s="131">
        <v>0.92</v>
      </c>
      <c r="AD581" s="129">
        <v>0.985764877439067</v>
      </c>
      <c r="AE581" s="129">
        <v>0.98932697137117</v>
      </c>
      <c r="AF581" s="129">
        <v>0.992780748663102</v>
      </c>
      <c r="AG581" s="129">
        <v>0.985966741612087</v>
      </c>
      <c r="AH581" s="131">
        <v>0.92</v>
      </c>
      <c r="AI581" s="129">
        <v>0.975338544533744</v>
      </c>
      <c r="AJ581" s="129">
        <v>0.959217264081931</v>
      </c>
      <c r="AK581" s="129">
        <v>0.970640937284631</v>
      </c>
      <c r="AL581" s="129">
        <v>0.963009203110509</v>
      </c>
      <c r="AM581" s="128">
        <v>0.99</v>
      </c>
      <c r="AN581" s="133">
        <v>1</v>
      </c>
      <c r="AO581" s="133">
        <v>1</v>
      </c>
      <c r="AP581" s="133">
        <v>1</v>
      </c>
      <c r="AQ581" s="133">
        <v>1</v>
      </c>
      <c r="AR581" s="153">
        <v>0.05</v>
      </c>
      <c r="AS581" s="137">
        <v>0.0434782608695652</v>
      </c>
      <c r="AT581" s="137">
        <v>0.0434782608695652</v>
      </c>
      <c r="AU581" s="137">
        <v>0</v>
      </c>
      <c r="AV581" s="137">
        <v>0.04</v>
      </c>
      <c r="AW581" s="93"/>
      <c r="AX581" s="91"/>
    </row>
    <row r="582" ht="14.5" spans="1:50">
      <c r="A582" s="89"/>
      <c r="B582" s="93"/>
      <c r="C582" s="148" t="s">
        <v>371</v>
      </c>
      <c r="D582" s="126" t="s">
        <v>372</v>
      </c>
      <c r="E582" s="149" t="s">
        <v>604</v>
      </c>
      <c r="F582" s="149" t="s">
        <v>604</v>
      </c>
      <c r="G582" s="149" t="s">
        <v>604</v>
      </c>
      <c r="H582" s="149" t="s">
        <v>604</v>
      </c>
      <c r="I582" s="128">
        <v>0.9</v>
      </c>
      <c r="J582" s="129">
        <v>1</v>
      </c>
      <c r="K582" s="129">
        <v>1</v>
      </c>
      <c r="L582" s="130">
        <v>1</v>
      </c>
      <c r="M582" s="129">
        <v>0.994318181818182</v>
      </c>
      <c r="N582" s="131">
        <v>0.9</v>
      </c>
      <c r="O582" s="129">
        <v>0</v>
      </c>
      <c r="P582" s="129">
        <v>0</v>
      </c>
      <c r="Q582" s="129" t="s">
        <v>33</v>
      </c>
      <c r="R582" s="129">
        <v>0.25</v>
      </c>
      <c r="S582" s="131">
        <v>0.9</v>
      </c>
      <c r="T582" s="129">
        <v>0</v>
      </c>
      <c r="U582" s="129">
        <v>0</v>
      </c>
      <c r="V582" s="129" t="s">
        <v>33</v>
      </c>
      <c r="W582" s="129">
        <v>0.25</v>
      </c>
      <c r="X582" s="131">
        <v>0.92</v>
      </c>
      <c r="Y582" s="131">
        <v>0</v>
      </c>
      <c r="Z582" s="131" t="s">
        <v>33</v>
      </c>
      <c r="AA582" s="131" t="s">
        <v>33</v>
      </c>
      <c r="AB582" s="131">
        <v>0</v>
      </c>
      <c r="AC582" s="131">
        <v>0.92</v>
      </c>
      <c r="AD582" s="129">
        <v>0.998263888888889</v>
      </c>
      <c r="AE582" s="129">
        <v>0.993453355155483</v>
      </c>
      <c r="AF582" s="129">
        <v>0.998753117206983</v>
      </c>
      <c r="AG582" s="129">
        <v>0.996259994841372</v>
      </c>
      <c r="AH582" s="131">
        <v>0.92</v>
      </c>
      <c r="AI582" s="129">
        <v>0.97267336942511</v>
      </c>
      <c r="AJ582" s="129">
        <v>0.953474320241692</v>
      </c>
      <c r="AK582" s="129">
        <v>0.95855472901169</v>
      </c>
      <c r="AL582" s="129">
        <v>0.969935598083204</v>
      </c>
      <c r="AM582" s="128">
        <v>0.99</v>
      </c>
      <c r="AN582" s="133">
        <v>1</v>
      </c>
      <c r="AO582" s="133">
        <v>1</v>
      </c>
      <c r="AP582" s="133">
        <v>1</v>
      </c>
      <c r="AQ582" s="133">
        <v>1</v>
      </c>
      <c r="AR582" s="153">
        <v>0.05</v>
      </c>
      <c r="AS582" s="137">
        <v>0</v>
      </c>
      <c r="AT582" s="137">
        <v>0</v>
      </c>
      <c r="AU582" s="137">
        <v>0</v>
      </c>
      <c r="AV582" s="137">
        <v>0.0588235294117647</v>
      </c>
      <c r="AW582" s="93"/>
      <c r="AX582" s="91"/>
    </row>
    <row r="583" ht="14.5" spans="1:50">
      <c r="A583" s="89"/>
      <c r="B583" s="93"/>
      <c r="C583" s="148" t="s">
        <v>371</v>
      </c>
      <c r="D583" s="126" t="s">
        <v>372</v>
      </c>
      <c r="E583" s="149" t="s">
        <v>605</v>
      </c>
      <c r="F583" s="149" t="s">
        <v>605</v>
      </c>
      <c r="G583" s="149" t="s">
        <v>605</v>
      </c>
      <c r="H583" s="149" t="s">
        <v>605</v>
      </c>
      <c r="I583" s="128">
        <v>0.9</v>
      </c>
      <c r="J583" s="129">
        <v>0.978260869565217</v>
      </c>
      <c r="K583" s="129">
        <v>1</v>
      </c>
      <c r="L583" s="130">
        <v>0.976190476190476</v>
      </c>
      <c r="M583" s="129">
        <v>0.967741935483871</v>
      </c>
      <c r="N583" s="131">
        <v>0.9</v>
      </c>
      <c r="O583" s="129">
        <v>0.976691883050501</v>
      </c>
      <c r="P583" s="129">
        <v>0.98159509202454</v>
      </c>
      <c r="Q583" s="129">
        <v>0.981431646932185</v>
      </c>
      <c r="R583" s="129">
        <v>0.971509357103491</v>
      </c>
      <c r="S583" s="131">
        <v>0.9</v>
      </c>
      <c r="T583" s="129">
        <v>0.953179308934778</v>
      </c>
      <c r="U583" s="129">
        <v>0.954864154250657</v>
      </c>
      <c r="V583" s="129">
        <v>0.958288482238967</v>
      </c>
      <c r="W583" s="129">
        <v>0.935374883185968</v>
      </c>
      <c r="X583" s="131">
        <v>0.92</v>
      </c>
      <c r="Y583" s="131">
        <v>0.958288770053476</v>
      </c>
      <c r="Z583" s="131">
        <v>0.961067051189618</v>
      </c>
      <c r="AA583" s="131">
        <v>0.95042194092827</v>
      </c>
      <c r="AB583" s="131">
        <v>0.946696696696697</v>
      </c>
      <c r="AC583" s="131">
        <v>0.92</v>
      </c>
      <c r="AD583" s="129">
        <v>0.997830933301199</v>
      </c>
      <c r="AE583" s="129">
        <v>0.993722285885108</v>
      </c>
      <c r="AF583" s="129">
        <v>0.958941338796672</v>
      </c>
      <c r="AG583" s="129">
        <v>0.989265074166827</v>
      </c>
      <c r="AH583" s="131">
        <v>0.92</v>
      </c>
      <c r="AI583" s="129">
        <v>0.981811942347289</v>
      </c>
      <c r="AJ583" s="129">
        <v>0.977929155313351</v>
      </c>
      <c r="AK583" s="129">
        <v>0.982219365895458</v>
      </c>
      <c r="AL583" s="129">
        <v>0.971543958907169</v>
      </c>
      <c r="AM583" s="128">
        <v>0.99</v>
      </c>
      <c r="AN583" s="133">
        <v>1</v>
      </c>
      <c r="AO583" s="133">
        <v>1</v>
      </c>
      <c r="AP583" s="133">
        <v>1</v>
      </c>
      <c r="AQ583" s="133">
        <v>1</v>
      </c>
      <c r="AR583" s="153">
        <v>0.05</v>
      </c>
      <c r="AS583" s="137">
        <v>0.0555555555555556</v>
      </c>
      <c r="AT583" s="137">
        <v>0.0666666666666667</v>
      </c>
      <c r="AU583" s="137">
        <v>0.157894736842105</v>
      </c>
      <c r="AV583" s="137">
        <v>0.0507246376811594</v>
      </c>
      <c r="AW583" s="93"/>
      <c r="AX583" s="91"/>
    </row>
    <row r="584" ht="14.5" spans="1:50">
      <c r="A584" s="89"/>
      <c r="B584" s="93"/>
      <c r="C584" s="148" t="s">
        <v>371</v>
      </c>
      <c r="D584" s="126" t="s">
        <v>372</v>
      </c>
      <c r="E584" s="149" t="s">
        <v>606</v>
      </c>
      <c r="F584" s="149" t="s">
        <v>606</v>
      </c>
      <c r="G584" s="149" t="s">
        <v>606</v>
      </c>
      <c r="H584" s="149" t="s">
        <v>606</v>
      </c>
      <c r="I584" s="128">
        <v>0.9</v>
      </c>
      <c r="J584" s="129">
        <v>1</v>
      </c>
      <c r="K584" s="129">
        <v>0.98</v>
      </c>
      <c r="L584" s="130">
        <v>1</v>
      </c>
      <c r="M584" s="129">
        <v>0.992351816443595</v>
      </c>
      <c r="N584" s="131">
        <v>0.9</v>
      </c>
      <c r="O584" s="129">
        <v>0.989319620253165</v>
      </c>
      <c r="P584" s="129">
        <v>0.995058400718778</v>
      </c>
      <c r="Q584" s="129">
        <v>0.996930161166539</v>
      </c>
      <c r="R584" s="129">
        <v>0.991769547325103</v>
      </c>
      <c r="S584" s="131">
        <v>0.9</v>
      </c>
      <c r="T584" s="129">
        <v>0.927215189873418</v>
      </c>
      <c r="U584" s="129">
        <v>0.970350404312669</v>
      </c>
      <c r="V584" s="129">
        <v>0.962138654387311</v>
      </c>
      <c r="W584" s="129">
        <v>0.956172839506173</v>
      </c>
      <c r="X584" s="131">
        <v>0.92</v>
      </c>
      <c r="Y584" s="131">
        <v>0.972340425531915</v>
      </c>
      <c r="Z584" s="131">
        <v>0.978325859491779</v>
      </c>
      <c r="AA584" s="131">
        <v>0.989449003516999</v>
      </c>
      <c r="AB584" s="131">
        <v>0.979928440527097</v>
      </c>
      <c r="AC584" s="131">
        <v>0.92</v>
      </c>
      <c r="AD584" s="129">
        <v>0.999673842139596</v>
      </c>
      <c r="AE584" s="129">
        <v>0.999156355455568</v>
      </c>
      <c r="AF584" s="129">
        <v>0.999728972806938</v>
      </c>
      <c r="AG584" s="129">
        <v>0.99011765534113</v>
      </c>
      <c r="AH584" s="131">
        <v>0.92</v>
      </c>
      <c r="AI584" s="129">
        <v>0.984013322231474</v>
      </c>
      <c r="AJ584" s="129">
        <v>0.985133239831697</v>
      </c>
      <c r="AK584" s="129">
        <v>0.990554156171285</v>
      </c>
      <c r="AL584" s="129">
        <v>0.98815775178358</v>
      </c>
      <c r="AM584" s="128">
        <v>0.99</v>
      </c>
      <c r="AN584" s="133">
        <v>1</v>
      </c>
      <c r="AO584" s="133">
        <v>1</v>
      </c>
      <c r="AP584" s="133">
        <v>1</v>
      </c>
      <c r="AQ584" s="133">
        <v>1</v>
      </c>
      <c r="AR584" s="153">
        <v>0.05</v>
      </c>
      <c r="AS584" s="137">
        <v>0.0434782608695652</v>
      </c>
      <c r="AT584" s="137">
        <v>0.157894736842105</v>
      </c>
      <c r="AU584" s="137">
        <v>0.103448275862069</v>
      </c>
      <c r="AV584" s="137">
        <v>0.0415335463258786</v>
      </c>
      <c r="AW584" s="93"/>
      <c r="AX584" s="91"/>
    </row>
    <row r="585" ht="14.5" spans="1:50">
      <c r="A585" s="89"/>
      <c r="B585" s="93"/>
      <c r="C585" s="148" t="s">
        <v>371</v>
      </c>
      <c r="D585" s="126" t="s">
        <v>372</v>
      </c>
      <c r="E585" s="149" t="s">
        <v>607</v>
      </c>
      <c r="F585" s="149" t="s">
        <v>607</v>
      </c>
      <c r="G585" s="149" t="s">
        <v>607</v>
      </c>
      <c r="H585" s="149" t="s">
        <v>607</v>
      </c>
      <c r="I585" s="128">
        <v>0.9</v>
      </c>
      <c r="J585" s="129">
        <v>0.96</v>
      </c>
      <c r="K585" s="129">
        <v>0.91044776119403</v>
      </c>
      <c r="L585" s="130">
        <v>0.932432432432432</v>
      </c>
      <c r="M585" s="129">
        <v>0.956521739130435</v>
      </c>
      <c r="N585" s="131">
        <v>0.9</v>
      </c>
      <c r="O585" s="129">
        <v>0.727272727272727</v>
      </c>
      <c r="P585" s="129">
        <v>0.333333333333333</v>
      </c>
      <c r="Q585" s="129" t="s">
        <v>33</v>
      </c>
      <c r="R585" s="129">
        <v>0.588235294117647</v>
      </c>
      <c r="S585" s="131">
        <v>0.9</v>
      </c>
      <c r="T585" s="129">
        <v>0</v>
      </c>
      <c r="U585" s="129">
        <v>0</v>
      </c>
      <c r="V585" s="129" t="s">
        <v>33</v>
      </c>
      <c r="W585" s="129">
        <v>0.0588235294117647</v>
      </c>
      <c r="X585" s="131">
        <v>0.92</v>
      </c>
      <c r="Y585" s="131">
        <v>0</v>
      </c>
      <c r="Z585" s="131">
        <v>0.5</v>
      </c>
      <c r="AA585" s="131" t="s">
        <v>33</v>
      </c>
      <c r="AB585" s="131">
        <v>0.5</v>
      </c>
      <c r="AC585" s="131">
        <v>0.92</v>
      </c>
      <c r="AD585" s="129">
        <v>0.99265605875153</v>
      </c>
      <c r="AE585" s="129">
        <v>0.99383477188656</v>
      </c>
      <c r="AF585" s="129">
        <v>0.992580379225062</v>
      </c>
      <c r="AG585" s="129">
        <v>0.98584537290121</v>
      </c>
      <c r="AH585" s="131">
        <v>0.92</v>
      </c>
      <c r="AI585" s="129">
        <v>0.939638290519525</v>
      </c>
      <c r="AJ585" s="129">
        <v>0.92</v>
      </c>
      <c r="AK585" s="129">
        <v>0.946909198461994</v>
      </c>
      <c r="AL585" s="129">
        <v>0.936230092452557</v>
      </c>
      <c r="AM585" s="128">
        <v>0.99</v>
      </c>
      <c r="AN585" s="133">
        <v>1</v>
      </c>
      <c r="AO585" s="133">
        <v>1</v>
      </c>
      <c r="AP585" s="133">
        <v>1</v>
      </c>
      <c r="AQ585" s="133">
        <v>1</v>
      </c>
      <c r="AR585" s="153">
        <v>0.05</v>
      </c>
      <c r="AS585" s="137">
        <v>0</v>
      </c>
      <c r="AT585" s="137">
        <v>0</v>
      </c>
      <c r="AU585" s="137">
        <v>0</v>
      </c>
      <c r="AV585" s="137">
        <v>0.0177777777777778</v>
      </c>
      <c r="AW585" s="93"/>
      <c r="AX585" s="91"/>
    </row>
    <row r="586" ht="14.5" spans="1:50">
      <c r="A586" s="89"/>
      <c r="B586" s="93"/>
      <c r="C586" s="148" t="s">
        <v>371</v>
      </c>
      <c r="D586" s="126" t="s">
        <v>372</v>
      </c>
      <c r="E586" s="149" t="s">
        <v>608</v>
      </c>
      <c r="F586" s="149" t="s">
        <v>608</v>
      </c>
      <c r="G586" s="149" t="s">
        <v>608</v>
      </c>
      <c r="H586" s="149" t="s">
        <v>608</v>
      </c>
      <c r="I586" s="128">
        <v>0.9</v>
      </c>
      <c r="J586" s="129">
        <v>0.967741935483871</v>
      </c>
      <c r="K586" s="129">
        <v>1</v>
      </c>
      <c r="L586" s="130">
        <v>1</v>
      </c>
      <c r="M586" s="129">
        <v>0.987381703470032</v>
      </c>
      <c r="N586" s="131">
        <v>0.9</v>
      </c>
      <c r="O586" s="129">
        <v>0.997215346534653</v>
      </c>
      <c r="P586" s="129">
        <v>0.999335548172757</v>
      </c>
      <c r="Q586" s="129">
        <v>0.998329853862213</v>
      </c>
      <c r="R586" s="129">
        <v>0.996043864519711</v>
      </c>
      <c r="S586" s="131">
        <v>0.9</v>
      </c>
      <c r="T586" s="129">
        <v>0.969368811881188</v>
      </c>
      <c r="U586" s="129">
        <v>0.973421926910299</v>
      </c>
      <c r="V586" s="129">
        <v>0.972025052192067</v>
      </c>
      <c r="W586" s="129">
        <v>0.972654081066074</v>
      </c>
      <c r="X586" s="131">
        <v>0.92</v>
      </c>
      <c r="Y586" s="131">
        <v>0.976588628762542</v>
      </c>
      <c r="Z586" s="131">
        <v>0.977483443708609</v>
      </c>
      <c r="AA586" s="131">
        <v>0.981697171381032</v>
      </c>
      <c r="AB586" s="131">
        <v>0.983547925608011</v>
      </c>
      <c r="AC586" s="131">
        <v>0.92</v>
      </c>
      <c r="AD586" s="129">
        <v>0.996844492653584</v>
      </c>
      <c r="AE586" s="129">
        <v>0.993005448387572</v>
      </c>
      <c r="AF586" s="129">
        <v>0.980954238169527</v>
      </c>
      <c r="AG586" s="129">
        <v>0.994319301960498</v>
      </c>
      <c r="AH586" s="131">
        <v>0.92</v>
      </c>
      <c r="AI586" s="129">
        <v>0.984595300261097</v>
      </c>
      <c r="AJ586" s="129">
        <v>0.98716814159292</v>
      </c>
      <c r="AK586" s="129">
        <v>0.988317757009346</v>
      </c>
      <c r="AL586" s="129">
        <v>0.98975060742313</v>
      </c>
      <c r="AM586" s="128">
        <v>0.99</v>
      </c>
      <c r="AN586" s="133">
        <v>1</v>
      </c>
      <c r="AO586" s="133">
        <v>1</v>
      </c>
      <c r="AP586" s="133">
        <v>1</v>
      </c>
      <c r="AQ586" s="133">
        <v>1</v>
      </c>
      <c r="AR586" s="153">
        <v>0.05</v>
      </c>
      <c r="AS586" s="137">
        <v>0</v>
      </c>
      <c r="AT586" s="137">
        <v>0.6</v>
      </c>
      <c r="AU586" s="137">
        <v>0.166666666666667</v>
      </c>
      <c r="AV586" s="137">
        <v>0.103825136612022</v>
      </c>
      <c r="AW586" s="93"/>
      <c r="AX586" s="91"/>
    </row>
    <row r="587" ht="14.5" spans="1:50">
      <c r="A587" s="89"/>
      <c r="B587" s="93"/>
      <c r="C587" s="148" t="s">
        <v>371</v>
      </c>
      <c r="D587" s="126" t="s">
        <v>372</v>
      </c>
      <c r="E587" s="149" t="s">
        <v>609</v>
      </c>
      <c r="F587" s="149" t="s">
        <v>609</v>
      </c>
      <c r="G587" s="149" t="s">
        <v>609</v>
      </c>
      <c r="H587" s="149" t="s">
        <v>609</v>
      </c>
      <c r="I587" s="128">
        <v>0.9</v>
      </c>
      <c r="J587" s="129">
        <v>1</v>
      </c>
      <c r="K587" s="129">
        <v>0.96551724137931</v>
      </c>
      <c r="L587" s="130">
        <v>1</v>
      </c>
      <c r="M587" s="129">
        <v>0.948453608247423</v>
      </c>
      <c r="N587" s="131">
        <v>0.9</v>
      </c>
      <c r="O587" s="129">
        <v>0.125</v>
      </c>
      <c r="P587" s="129" t="s">
        <v>33</v>
      </c>
      <c r="Q587" s="129" t="s">
        <v>33</v>
      </c>
      <c r="R587" s="129">
        <v>0.333333333333333</v>
      </c>
      <c r="S587" s="131">
        <v>0.9</v>
      </c>
      <c r="T587" s="129">
        <v>0</v>
      </c>
      <c r="U587" s="129" t="s">
        <v>33</v>
      </c>
      <c r="V587" s="129" t="s">
        <v>33</v>
      </c>
      <c r="W587" s="129">
        <v>0.166666666666667</v>
      </c>
      <c r="X587" s="131">
        <v>0.92</v>
      </c>
      <c r="Y587" s="131" t="s">
        <v>33</v>
      </c>
      <c r="Z587" s="131">
        <v>1</v>
      </c>
      <c r="AA587" s="131" t="s">
        <v>33</v>
      </c>
      <c r="AB587" s="131">
        <v>0.5</v>
      </c>
      <c r="AC587" s="131">
        <v>0.92</v>
      </c>
      <c r="AD587" s="129">
        <v>0.979166666666667</v>
      </c>
      <c r="AE587" s="129">
        <v>0.777777777777778</v>
      </c>
      <c r="AF587" s="129">
        <v>0.96875</v>
      </c>
      <c r="AG587" s="129">
        <v>0.955777460770328</v>
      </c>
      <c r="AH587" s="131">
        <v>0.92</v>
      </c>
      <c r="AI587" s="129">
        <v>0.916898693510388</v>
      </c>
      <c r="AJ587" s="129">
        <v>0.894685039370079</v>
      </c>
      <c r="AK587" s="129">
        <v>0.922338322507766</v>
      </c>
      <c r="AL587" s="129">
        <v>0.931545824994575</v>
      </c>
      <c r="AM587" s="128">
        <v>0.99</v>
      </c>
      <c r="AN587" s="133">
        <v>1</v>
      </c>
      <c r="AO587" s="133">
        <v>1</v>
      </c>
      <c r="AP587" s="133">
        <v>1</v>
      </c>
      <c r="AQ587" s="133">
        <v>1</v>
      </c>
      <c r="AR587" s="153">
        <v>0.05</v>
      </c>
      <c r="AS587" s="137">
        <v>0.0666666666666667</v>
      </c>
      <c r="AT587" s="137">
        <v>0.666666666666667</v>
      </c>
      <c r="AU587" s="137">
        <v>0.3</v>
      </c>
      <c r="AV587" s="137">
        <v>0.114285714285714</v>
      </c>
      <c r="AW587" s="93"/>
      <c r="AX587" s="91"/>
    </row>
    <row r="588" ht="14.5" spans="1:50">
      <c r="A588" s="89"/>
      <c r="B588" s="93"/>
      <c r="C588" s="148" t="s">
        <v>371</v>
      </c>
      <c r="D588" s="126" t="s">
        <v>372</v>
      </c>
      <c r="E588" s="149" t="s">
        <v>610</v>
      </c>
      <c r="F588" s="149" t="s">
        <v>610</v>
      </c>
      <c r="G588" s="149" t="s">
        <v>610</v>
      </c>
      <c r="H588" s="149" t="s">
        <v>610</v>
      </c>
      <c r="I588" s="128">
        <v>0.9</v>
      </c>
      <c r="J588" s="129">
        <v>0.96</v>
      </c>
      <c r="K588" s="129">
        <v>0.869565217391304</v>
      </c>
      <c r="L588" s="130">
        <v>0.96</v>
      </c>
      <c r="M588" s="129">
        <v>0.961672473867596</v>
      </c>
      <c r="N588" s="131">
        <v>0.9</v>
      </c>
      <c r="O588" s="129">
        <v>0.988911988911989</v>
      </c>
      <c r="P588" s="129">
        <v>0.961832061068702</v>
      </c>
      <c r="Q588" s="129">
        <v>0.993548387096774</v>
      </c>
      <c r="R588" s="129">
        <v>0.981983697722252</v>
      </c>
      <c r="S588" s="131">
        <v>0.9</v>
      </c>
      <c r="T588" s="129">
        <v>0.855855855855856</v>
      </c>
      <c r="U588" s="129">
        <v>0.902290076335878</v>
      </c>
      <c r="V588" s="129">
        <v>0.891612903225806</v>
      </c>
      <c r="W588" s="129">
        <v>0.882265559533785</v>
      </c>
      <c r="X588" s="131">
        <v>0.92</v>
      </c>
      <c r="Y588" s="131">
        <v>0.80561122244489</v>
      </c>
      <c r="Z588" s="131">
        <v>0.747211895910781</v>
      </c>
      <c r="AA588" s="131">
        <v>0.658536585365854</v>
      </c>
      <c r="AB588" s="131">
        <v>0.711901450427181</v>
      </c>
      <c r="AC588" s="131">
        <v>0.92</v>
      </c>
      <c r="AD588" s="129">
        <v>0.999180999180999</v>
      </c>
      <c r="AE588" s="129">
        <v>0.996607869742198</v>
      </c>
      <c r="AF588" s="129">
        <v>0.999515738498789</v>
      </c>
      <c r="AG588" s="129">
        <v>0.998347295834046</v>
      </c>
      <c r="AH588" s="131">
        <v>0.92</v>
      </c>
      <c r="AI588" s="129">
        <v>0.949867295782955</v>
      </c>
      <c r="AJ588" s="129">
        <v>0.902109248242293</v>
      </c>
      <c r="AK588" s="129">
        <v>0.946784073506891</v>
      </c>
      <c r="AL588" s="129">
        <v>0.932065825211695</v>
      </c>
      <c r="AM588" s="128">
        <v>0.99</v>
      </c>
      <c r="AN588" s="133">
        <v>1</v>
      </c>
      <c r="AO588" s="133">
        <v>1</v>
      </c>
      <c r="AP588" s="133">
        <v>1</v>
      </c>
      <c r="AQ588" s="133">
        <v>1</v>
      </c>
      <c r="AR588" s="153">
        <v>0.05</v>
      </c>
      <c r="AS588" s="137">
        <v>0</v>
      </c>
      <c r="AT588" s="137">
        <v>0.153846153846154</v>
      </c>
      <c r="AU588" s="137">
        <v>0</v>
      </c>
      <c r="AV588" s="137">
        <v>0.0547945205479452</v>
      </c>
      <c r="AW588" s="93"/>
      <c r="AX588" s="91"/>
    </row>
    <row r="589" ht="14.5" spans="1:50">
      <c r="A589" s="89"/>
      <c r="B589" s="93"/>
      <c r="C589" s="148" t="s">
        <v>371</v>
      </c>
      <c r="D589" s="126" t="s">
        <v>372</v>
      </c>
      <c r="E589" s="149" t="s">
        <v>611</v>
      </c>
      <c r="F589" s="149" t="s">
        <v>611</v>
      </c>
      <c r="G589" s="149" t="s">
        <v>611</v>
      </c>
      <c r="H589" s="149" t="s">
        <v>611</v>
      </c>
      <c r="I589" s="128">
        <v>0.9</v>
      </c>
      <c r="J589" s="129">
        <v>0.971428571428571</v>
      </c>
      <c r="K589" s="129">
        <v>0.96551724137931</v>
      </c>
      <c r="L589" s="130">
        <v>1</v>
      </c>
      <c r="M589" s="129">
        <v>0.979274611398964</v>
      </c>
      <c r="N589" s="131">
        <v>0.9</v>
      </c>
      <c r="O589" s="129">
        <v>0.2</v>
      </c>
      <c r="P589" s="129">
        <v>0.6</v>
      </c>
      <c r="Q589" s="129">
        <v>0</v>
      </c>
      <c r="R589" s="129">
        <v>0.368421052631579</v>
      </c>
      <c r="S589" s="131">
        <v>0.9</v>
      </c>
      <c r="T589" s="129">
        <v>0</v>
      </c>
      <c r="U589" s="129">
        <v>0.8</v>
      </c>
      <c r="V589" s="129">
        <v>0</v>
      </c>
      <c r="W589" s="129">
        <v>0.526315789473684</v>
      </c>
      <c r="X589" s="131">
        <v>0.92</v>
      </c>
      <c r="Y589" s="131" t="s">
        <v>33</v>
      </c>
      <c r="Z589" s="131">
        <v>0</v>
      </c>
      <c r="AA589" s="131" t="s">
        <v>33</v>
      </c>
      <c r="AB589" s="131">
        <v>0</v>
      </c>
      <c r="AC589" s="131">
        <v>0.92</v>
      </c>
      <c r="AD589" s="129">
        <v>0.973913043478261</v>
      </c>
      <c r="AE589" s="129">
        <v>0.968503937007874</v>
      </c>
      <c r="AF589" s="129">
        <v>0.977653631284916</v>
      </c>
      <c r="AG589" s="129">
        <v>0.975</v>
      </c>
      <c r="AH589" s="131">
        <v>0.92</v>
      </c>
      <c r="AI589" s="129">
        <v>0.963304478735416</v>
      </c>
      <c r="AJ589" s="129">
        <v>0.952972493345164</v>
      </c>
      <c r="AK589" s="129">
        <v>0.926201923076923</v>
      </c>
      <c r="AL589" s="129">
        <v>0.950589459084605</v>
      </c>
      <c r="AM589" s="128">
        <v>0.99</v>
      </c>
      <c r="AN589" s="133">
        <v>1</v>
      </c>
      <c r="AO589" s="133">
        <v>1</v>
      </c>
      <c r="AP589" s="133">
        <v>1</v>
      </c>
      <c r="AQ589" s="133">
        <v>1</v>
      </c>
      <c r="AR589" s="153">
        <v>0.05</v>
      </c>
      <c r="AS589" s="137">
        <v>0</v>
      </c>
      <c r="AT589" s="137">
        <v>0.1</v>
      </c>
      <c r="AU589" s="137">
        <v>0</v>
      </c>
      <c r="AV589" s="137">
        <v>0.0307692307692308</v>
      </c>
      <c r="AW589" s="93"/>
      <c r="AX589" s="91"/>
    </row>
    <row r="590" ht="14.5" spans="1:50">
      <c r="A590" s="89"/>
      <c r="B590" s="93"/>
      <c r="C590" s="148" t="s">
        <v>371</v>
      </c>
      <c r="D590" s="126" t="s">
        <v>372</v>
      </c>
      <c r="E590" s="149" t="s">
        <v>612</v>
      </c>
      <c r="F590" s="149" t="s">
        <v>612</v>
      </c>
      <c r="G590" s="149" t="s">
        <v>612</v>
      </c>
      <c r="H590" s="149" t="s">
        <v>612</v>
      </c>
      <c r="I590" s="128">
        <v>0.9</v>
      </c>
      <c r="J590" s="129">
        <v>0.96969696969697</v>
      </c>
      <c r="K590" s="129">
        <v>0.966666666666667</v>
      </c>
      <c r="L590" s="130">
        <v>0.9375</v>
      </c>
      <c r="M590" s="129">
        <v>0.948087431693989</v>
      </c>
      <c r="N590" s="131">
        <v>0.9</v>
      </c>
      <c r="O590" s="129">
        <v>0.977598008711886</v>
      </c>
      <c r="P590" s="129">
        <v>0.978203434610304</v>
      </c>
      <c r="Q590" s="129">
        <v>0.955353615171869</v>
      </c>
      <c r="R590" s="129">
        <v>0.973855972151715</v>
      </c>
      <c r="S590" s="131">
        <v>0.9</v>
      </c>
      <c r="T590" s="129">
        <v>0.933727442439328</v>
      </c>
      <c r="U590" s="129">
        <v>0.943196829590489</v>
      </c>
      <c r="V590" s="129">
        <v>0.921770051363098</v>
      </c>
      <c r="W590" s="129">
        <v>0.923671042135035</v>
      </c>
      <c r="X590" s="131">
        <v>0.92</v>
      </c>
      <c r="Y590" s="131">
        <v>0.886435331230284</v>
      </c>
      <c r="Z590" s="131">
        <v>0.866962305986696</v>
      </c>
      <c r="AA590" s="131">
        <v>0.94435857805255</v>
      </c>
      <c r="AB590" s="131">
        <v>0.91353520612915</v>
      </c>
      <c r="AC590" s="131">
        <v>0.92</v>
      </c>
      <c r="AD590" s="129">
        <v>0.991978609625668</v>
      </c>
      <c r="AE590" s="129">
        <v>0.985521490946206</v>
      </c>
      <c r="AF590" s="129">
        <v>0.98699226899006</v>
      </c>
      <c r="AG590" s="129">
        <v>0.981626795036511</v>
      </c>
      <c r="AH590" s="131">
        <v>0.92</v>
      </c>
      <c r="AI590" s="129">
        <v>0.960769030917121</v>
      </c>
      <c r="AJ590" s="129">
        <v>0.934215970211005</v>
      </c>
      <c r="AK590" s="129">
        <v>0.962240402769037</v>
      </c>
      <c r="AL590" s="129">
        <v>0.958532294546368</v>
      </c>
      <c r="AM590" s="128">
        <v>0.99</v>
      </c>
      <c r="AN590" s="133">
        <v>1</v>
      </c>
      <c r="AO590" s="133">
        <v>1</v>
      </c>
      <c r="AP590" s="133">
        <v>1</v>
      </c>
      <c r="AQ590" s="133">
        <v>1</v>
      </c>
      <c r="AR590" s="153">
        <v>0.05</v>
      </c>
      <c r="AS590" s="137">
        <v>0</v>
      </c>
      <c r="AT590" s="137">
        <v>0</v>
      </c>
      <c r="AU590" s="137">
        <v>0</v>
      </c>
      <c r="AV590" s="137">
        <v>0.031390134529148</v>
      </c>
      <c r="AW590" s="93"/>
      <c r="AX590" s="91"/>
    </row>
    <row r="591" ht="14.5" spans="1:50">
      <c r="A591" s="89"/>
      <c r="B591" s="93"/>
      <c r="C591" s="148" t="s">
        <v>371</v>
      </c>
      <c r="D591" s="126" t="s">
        <v>372</v>
      </c>
      <c r="E591" s="149" t="s">
        <v>613</v>
      </c>
      <c r="F591" s="149" t="s">
        <v>613</v>
      </c>
      <c r="G591" s="149" t="s">
        <v>613</v>
      </c>
      <c r="H591" s="149" t="s">
        <v>613</v>
      </c>
      <c r="I591" s="128">
        <v>0.9</v>
      </c>
      <c r="J591" s="129">
        <v>1</v>
      </c>
      <c r="K591" s="129">
        <v>1</v>
      </c>
      <c r="L591" s="130">
        <v>1</v>
      </c>
      <c r="M591" s="129">
        <v>0.998366013071895</v>
      </c>
      <c r="N591" s="131">
        <v>0.9</v>
      </c>
      <c r="O591" s="129">
        <v>0.962095476488468</v>
      </c>
      <c r="P591" s="129">
        <v>0.97462136717151</v>
      </c>
      <c r="Q591" s="129">
        <v>0.972648432288192</v>
      </c>
      <c r="R591" s="129">
        <v>0.974277775507702</v>
      </c>
      <c r="S591" s="131">
        <v>0.9</v>
      </c>
      <c r="T591" s="129">
        <v>0.891829072054354</v>
      </c>
      <c r="U591" s="129">
        <v>0.919770773638969</v>
      </c>
      <c r="V591" s="129">
        <v>0.896375361352012</v>
      </c>
      <c r="W591" s="129">
        <v>0.899460630082131</v>
      </c>
      <c r="X591" s="131">
        <v>0.92</v>
      </c>
      <c r="Y591" s="131">
        <v>0.859154929577465</v>
      </c>
      <c r="Z591" s="131">
        <v>0.819047619047619</v>
      </c>
      <c r="AA591" s="131">
        <v>0.834108527131783</v>
      </c>
      <c r="AB591" s="131">
        <v>0.842292274052478</v>
      </c>
      <c r="AC591" s="131">
        <v>0.92</v>
      </c>
      <c r="AD591" s="129">
        <v>0.997333880229696</v>
      </c>
      <c r="AE591" s="129">
        <v>0.994717887154862</v>
      </c>
      <c r="AF591" s="129">
        <v>0.991310015207473</v>
      </c>
      <c r="AG591" s="129">
        <v>0.996470828612293</v>
      </c>
      <c r="AH591" s="131">
        <v>0.92</v>
      </c>
      <c r="AI591" s="129">
        <v>0.954654654654655</v>
      </c>
      <c r="AJ591" s="129">
        <v>0.915230683713174</v>
      </c>
      <c r="AK591" s="129">
        <v>0.963049397121743</v>
      </c>
      <c r="AL591" s="129">
        <v>0.953726262390281</v>
      </c>
      <c r="AM591" s="128">
        <v>0.99</v>
      </c>
      <c r="AN591" s="133">
        <v>1</v>
      </c>
      <c r="AO591" s="133">
        <v>1</v>
      </c>
      <c r="AP591" s="133">
        <v>1</v>
      </c>
      <c r="AQ591" s="133">
        <v>1</v>
      </c>
      <c r="AR591" s="153">
        <v>0.05</v>
      </c>
      <c r="AS591" s="137">
        <v>0.0909090909090909</v>
      </c>
      <c r="AT591" s="137">
        <v>0</v>
      </c>
      <c r="AU591" s="137">
        <v>0</v>
      </c>
      <c r="AV591" s="137">
        <v>0.0397727272727273</v>
      </c>
      <c r="AW591" s="93"/>
      <c r="AX591" s="91"/>
    </row>
    <row r="592" ht="14.5" spans="1:50">
      <c r="A592" s="89"/>
      <c r="B592" s="93"/>
      <c r="C592" s="148" t="s">
        <v>371</v>
      </c>
      <c r="D592" s="126" t="s">
        <v>372</v>
      </c>
      <c r="E592" s="149" t="s">
        <v>614</v>
      </c>
      <c r="F592" s="149" t="s">
        <v>614</v>
      </c>
      <c r="G592" s="149" t="s">
        <v>614</v>
      </c>
      <c r="H592" s="149" t="s">
        <v>614</v>
      </c>
      <c r="I592" s="128">
        <v>0.9</v>
      </c>
      <c r="J592" s="129">
        <v>1</v>
      </c>
      <c r="K592" s="129">
        <v>1</v>
      </c>
      <c r="L592" s="130">
        <v>1</v>
      </c>
      <c r="M592" s="129">
        <v>0.992592592592593</v>
      </c>
      <c r="N592" s="131">
        <v>0.9</v>
      </c>
      <c r="O592" s="129">
        <v>0.988168273444347</v>
      </c>
      <c r="P592" s="129">
        <v>0.980762852404643</v>
      </c>
      <c r="Q592" s="129">
        <v>0.990390050876201</v>
      </c>
      <c r="R592" s="129">
        <v>0.985210616664466</v>
      </c>
      <c r="S592" s="131">
        <v>0.9</v>
      </c>
      <c r="T592" s="129">
        <v>0.945953841659363</v>
      </c>
      <c r="U592" s="129">
        <v>0.937313432835821</v>
      </c>
      <c r="V592" s="129">
        <v>0.932730356133409</v>
      </c>
      <c r="W592" s="129">
        <v>0.940000660240327</v>
      </c>
      <c r="X592" s="131">
        <v>0.92</v>
      </c>
      <c r="Y592" s="131">
        <v>0.94283476898982</v>
      </c>
      <c r="Z592" s="131">
        <v>0.944720840243228</v>
      </c>
      <c r="AA592" s="131">
        <v>0.962997224791859</v>
      </c>
      <c r="AB592" s="131">
        <v>0.945072697899838</v>
      </c>
      <c r="AC592" s="131">
        <v>0.92</v>
      </c>
      <c r="AD592" s="129">
        <v>0.991942036836403</v>
      </c>
      <c r="AE592" s="129">
        <v>0.988242498469075</v>
      </c>
      <c r="AF592" s="129">
        <v>0.984891634889221</v>
      </c>
      <c r="AG592" s="129">
        <v>0.986817562039815</v>
      </c>
      <c r="AH592" s="131">
        <v>0.92</v>
      </c>
      <c r="AI592" s="129">
        <v>0.974276923076923</v>
      </c>
      <c r="AJ592" s="129">
        <v>0.964559585492228</v>
      </c>
      <c r="AK592" s="129">
        <v>0.980591641884489</v>
      </c>
      <c r="AL592" s="129">
        <v>0.973150599188911</v>
      </c>
      <c r="AM592" s="128">
        <v>0.99</v>
      </c>
      <c r="AN592" s="133">
        <v>1</v>
      </c>
      <c r="AO592" s="133">
        <v>1</v>
      </c>
      <c r="AP592" s="133">
        <v>1</v>
      </c>
      <c r="AQ592" s="133">
        <v>1</v>
      </c>
      <c r="AR592" s="153">
        <v>0.05</v>
      </c>
      <c r="AS592" s="137">
        <v>0.0909090909090909</v>
      </c>
      <c r="AT592" s="137">
        <v>0.0454545454545455</v>
      </c>
      <c r="AU592" s="137">
        <v>0.131578947368421</v>
      </c>
      <c r="AV592" s="137">
        <v>0.050761421319797</v>
      </c>
      <c r="AW592" s="93"/>
      <c r="AX592" s="91"/>
    </row>
    <row r="593" ht="14.5" spans="1:50">
      <c r="A593" s="89"/>
      <c r="B593" s="93"/>
      <c r="C593" s="148" t="s">
        <v>371</v>
      </c>
      <c r="D593" s="126" t="s">
        <v>372</v>
      </c>
      <c r="E593" s="149" t="s">
        <v>615</v>
      </c>
      <c r="F593" s="149" t="s">
        <v>615</v>
      </c>
      <c r="G593" s="149" t="s">
        <v>615</v>
      </c>
      <c r="H593" s="149" t="s">
        <v>615</v>
      </c>
      <c r="I593" s="128">
        <v>0.9</v>
      </c>
      <c r="J593" s="129">
        <v>1</v>
      </c>
      <c r="K593" s="129">
        <v>0.971428571428571</v>
      </c>
      <c r="L593" s="130">
        <v>0.975609756097561</v>
      </c>
      <c r="M593" s="129">
        <v>0.976645435244161</v>
      </c>
      <c r="N593" s="131">
        <v>0.9</v>
      </c>
      <c r="O593" s="129">
        <v>0.2</v>
      </c>
      <c r="P593" s="129">
        <v>0</v>
      </c>
      <c r="Q593" s="129" t="s">
        <v>33</v>
      </c>
      <c r="R593" s="129">
        <v>0.166666666666667</v>
      </c>
      <c r="S593" s="131">
        <v>0.9</v>
      </c>
      <c r="T593" s="129">
        <v>0</v>
      </c>
      <c r="U593" s="129">
        <v>0</v>
      </c>
      <c r="V593" s="129" t="s">
        <v>33</v>
      </c>
      <c r="W593" s="129">
        <v>0</v>
      </c>
      <c r="X593" s="131">
        <v>0.92</v>
      </c>
      <c r="Y593" s="131" t="s">
        <v>33</v>
      </c>
      <c r="Z593" s="131">
        <v>0</v>
      </c>
      <c r="AA593" s="131" t="s">
        <v>33</v>
      </c>
      <c r="AB593" s="131">
        <v>0</v>
      </c>
      <c r="AC593" s="131">
        <v>0.92</v>
      </c>
      <c r="AD593" s="129">
        <v>0.998142414860681</v>
      </c>
      <c r="AE593" s="129">
        <v>0.999339933993399</v>
      </c>
      <c r="AF593" s="129">
        <v>0.998914812805209</v>
      </c>
      <c r="AG593" s="129">
        <v>0.996963255390222</v>
      </c>
      <c r="AH593" s="131">
        <v>0.92</v>
      </c>
      <c r="AI593" s="129">
        <v>0.974596774193548</v>
      </c>
      <c r="AJ593" s="129">
        <v>0.878158844765343</v>
      </c>
      <c r="AK593" s="129">
        <v>0.959089746867809</v>
      </c>
      <c r="AL593" s="129">
        <v>0.95561632309634</v>
      </c>
      <c r="AM593" s="128">
        <v>0.99</v>
      </c>
      <c r="AN593" s="133">
        <v>1</v>
      </c>
      <c r="AO593" s="133">
        <v>1</v>
      </c>
      <c r="AP593" s="133">
        <v>1</v>
      </c>
      <c r="AQ593" s="133">
        <v>1</v>
      </c>
      <c r="AR593" s="153">
        <v>0.05</v>
      </c>
      <c r="AS593" s="137">
        <v>0</v>
      </c>
      <c r="AT593" s="137">
        <v>0</v>
      </c>
      <c r="AU593" s="137">
        <v>0</v>
      </c>
      <c r="AV593" s="137">
        <v>0.126436781609195</v>
      </c>
      <c r="AW593" s="93"/>
      <c r="AX593" s="91"/>
    </row>
    <row r="594" ht="14.5" spans="1:50">
      <c r="A594" s="89"/>
      <c r="B594" s="93"/>
      <c r="C594" s="148" t="s">
        <v>371</v>
      </c>
      <c r="D594" s="126" t="s">
        <v>372</v>
      </c>
      <c r="E594" s="149" t="s">
        <v>616</v>
      </c>
      <c r="F594" s="149" t="s">
        <v>616</v>
      </c>
      <c r="G594" s="149" t="s">
        <v>616</v>
      </c>
      <c r="H594" s="149" t="s">
        <v>616</v>
      </c>
      <c r="I594" s="128">
        <v>0.9</v>
      </c>
      <c r="J594" s="129">
        <v>0.829787234042553</v>
      </c>
      <c r="K594" s="129">
        <v>0.770833333333333</v>
      </c>
      <c r="L594" s="130">
        <v>0.780487804878049</v>
      </c>
      <c r="M594" s="129">
        <v>0.805882352941176</v>
      </c>
      <c r="N594" s="131">
        <v>0.9</v>
      </c>
      <c r="O594" s="129">
        <v>0.984445109183368</v>
      </c>
      <c r="P594" s="129">
        <v>0.991404011461318</v>
      </c>
      <c r="Q594" s="129">
        <v>0.988320579943617</v>
      </c>
      <c r="R594" s="129">
        <v>0.988917724626499</v>
      </c>
      <c r="S594" s="131">
        <v>0.9</v>
      </c>
      <c r="T594" s="129">
        <v>0.857912055040383</v>
      </c>
      <c r="U594" s="129">
        <v>0.900668576886342</v>
      </c>
      <c r="V594" s="129">
        <v>0.874748288360854</v>
      </c>
      <c r="W594" s="129">
        <v>0.889948797082135</v>
      </c>
      <c r="X594" s="131">
        <v>0.92</v>
      </c>
      <c r="Y594" s="131">
        <v>0.926470588235294</v>
      </c>
      <c r="Z594" s="131">
        <v>0.923219241443108</v>
      </c>
      <c r="AA594" s="131">
        <v>0.931440443213296</v>
      </c>
      <c r="AB594" s="131">
        <v>0.922018841566071</v>
      </c>
      <c r="AC594" s="131">
        <v>0.92</v>
      </c>
      <c r="AD594" s="129">
        <v>0.989953755381917</v>
      </c>
      <c r="AE594" s="129">
        <v>0.993043973477606</v>
      </c>
      <c r="AF594" s="129">
        <v>0.963749473782684</v>
      </c>
      <c r="AG594" s="129">
        <v>0.978070717356386</v>
      </c>
      <c r="AH594" s="131">
        <v>0.92</v>
      </c>
      <c r="AI594" s="129">
        <v>0.946378174976482</v>
      </c>
      <c r="AJ594" s="129">
        <v>0.941396742183112</v>
      </c>
      <c r="AK594" s="129">
        <v>0.951374745417515</v>
      </c>
      <c r="AL594" s="129">
        <v>0.944352939092857</v>
      </c>
      <c r="AM594" s="128">
        <v>0.99</v>
      </c>
      <c r="AN594" s="133">
        <v>1</v>
      </c>
      <c r="AO594" s="133">
        <v>1</v>
      </c>
      <c r="AP594" s="133">
        <v>1</v>
      </c>
      <c r="AQ594" s="133">
        <v>1</v>
      </c>
      <c r="AR594" s="153">
        <v>0.05</v>
      </c>
      <c r="AS594" s="137">
        <v>0.111111111111111</v>
      </c>
      <c r="AT594" s="137">
        <v>0.0384615384615385</v>
      </c>
      <c r="AU594" s="137">
        <v>0</v>
      </c>
      <c r="AV594" s="137">
        <v>0.0537974683544304</v>
      </c>
      <c r="AW594" s="93"/>
      <c r="AX594" s="91"/>
    </row>
    <row r="595" ht="14.5" spans="1:50">
      <c r="A595" s="89"/>
      <c r="B595" s="93"/>
      <c r="C595" s="148" t="s">
        <v>371</v>
      </c>
      <c r="D595" s="126" t="s">
        <v>372</v>
      </c>
      <c r="E595" s="149" t="s">
        <v>617</v>
      </c>
      <c r="F595" s="149" t="s">
        <v>617</v>
      </c>
      <c r="G595" s="149" t="s">
        <v>617</v>
      </c>
      <c r="H595" s="149" t="s">
        <v>617</v>
      </c>
      <c r="I595" s="128">
        <v>0.9</v>
      </c>
      <c r="J595" s="129">
        <v>0.950819672131147</v>
      </c>
      <c r="K595" s="129">
        <v>0.962962962962963</v>
      </c>
      <c r="L595" s="130">
        <v>0.891304347826087</v>
      </c>
      <c r="M595" s="129">
        <v>0.957928802588997</v>
      </c>
      <c r="N595" s="131">
        <v>0.9</v>
      </c>
      <c r="O595" s="129">
        <v>0.987830913748933</v>
      </c>
      <c r="P595" s="129">
        <v>0.988256880733945</v>
      </c>
      <c r="Q595" s="129">
        <v>0.980433473810957</v>
      </c>
      <c r="R595" s="129">
        <v>0.987384528775045</v>
      </c>
      <c r="S595" s="131">
        <v>0.9</v>
      </c>
      <c r="T595" s="129">
        <v>0.892399658411614</v>
      </c>
      <c r="U595" s="129">
        <v>0.915596330275229</v>
      </c>
      <c r="V595" s="129">
        <v>0.890728476821192</v>
      </c>
      <c r="W595" s="129">
        <v>0.907341538933954</v>
      </c>
      <c r="X595" s="131">
        <v>0.92</v>
      </c>
      <c r="Y595" s="131">
        <v>0.96192804750262</v>
      </c>
      <c r="Z595" s="131">
        <v>0.96745623069001</v>
      </c>
      <c r="AA595" s="131">
        <v>0.973254086181278</v>
      </c>
      <c r="AB595" s="131">
        <v>0.965890404870895</v>
      </c>
      <c r="AC595" s="131">
        <v>0.92</v>
      </c>
      <c r="AD595" s="129">
        <v>0.994563758389262</v>
      </c>
      <c r="AE595" s="129">
        <v>0.919591755053032</v>
      </c>
      <c r="AF595" s="129">
        <v>0.926778242677824</v>
      </c>
      <c r="AG595" s="129">
        <v>0.964082872956729</v>
      </c>
      <c r="AH595" s="131">
        <v>0.92</v>
      </c>
      <c r="AI595" s="129">
        <v>0.975499933783605</v>
      </c>
      <c r="AJ595" s="129">
        <v>0.973496835443038</v>
      </c>
      <c r="AK595" s="129">
        <v>0.982774761280659</v>
      </c>
      <c r="AL595" s="129">
        <v>0.976113191843529</v>
      </c>
      <c r="AM595" s="128">
        <v>0.99</v>
      </c>
      <c r="AN595" s="133">
        <v>1</v>
      </c>
      <c r="AO595" s="133">
        <v>1</v>
      </c>
      <c r="AP595" s="133">
        <v>1</v>
      </c>
      <c r="AQ595" s="133">
        <v>1</v>
      </c>
      <c r="AR595" s="153">
        <v>0.05</v>
      </c>
      <c r="AS595" s="137">
        <v>0.1</v>
      </c>
      <c r="AT595" s="137">
        <v>0.0384615384615385</v>
      </c>
      <c r="AU595" s="137">
        <v>0.1</v>
      </c>
      <c r="AV595" s="137">
        <v>0.055363321799308</v>
      </c>
      <c r="AW595" s="93"/>
      <c r="AX595" s="91"/>
    </row>
    <row r="596" ht="14.5" spans="1:50">
      <c r="A596" s="89"/>
      <c r="B596" s="93"/>
      <c r="C596" s="148" t="s">
        <v>371</v>
      </c>
      <c r="D596" s="126" t="s">
        <v>372</v>
      </c>
      <c r="E596" s="149" t="s">
        <v>618</v>
      </c>
      <c r="F596" s="149" t="s">
        <v>618</v>
      </c>
      <c r="G596" s="149" t="s">
        <v>618</v>
      </c>
      <c r="H596" s="149" t="s">
        <v>618</v>
      </c>
      <c r="I596" s="128">
        <v>0.9</v>
      </c>
      <c r="J596" s="129">
        <v>0.877551020408163</v>
      </c>
      <c r="K596" s="129">
        <v>0.776595744680851</v>
      </c>
      <c r="L596" s="130">
        <v>0.839506172839506</v>
      </c>
      <c r="M596" s="129">
        <v>0.830812854442344</v>
      </c>
      <c r="N596" s="131">
        <v>0.9</v>
      </c>
      <c r="O596" s="129">
        <v>0.902496676023046</v>
      </c>
      <c r="P596" s="129">
        <v>0.910425478974869</v>
      </c>
      <c r="Q596" s="129">
        <v>0.863129644921552</v>
      </c>
      <c r="R596" s="129">
        <v>0.911207980551597</v>
      </c>
      <c r="S596" s="131">
        <v>0.9</v>
      </c>
      <c r="T596" s="129">
        <v>0.860097503323977</v>
      </c>
      <c r="U596" s="129">
        <v>0.878825578502115</v>
      </c>
      <c r="V596" s="129">
        <v>0.817919075144509</v>
      </c>
      <c r="W596" s="129">
        <v>0.856769217872412</v>
      </c>
      <c r="X596" s="131">
        <v>0.92</v>
      </c>
      <c r="Y596" s="131">
        <v>0.857239665687825</v>
      </c>
      <c r="Z596" s="131">
        <v>0.868796736913664</v>
      </c>
      <c r="AA596" s="131">
        <v>0.817767653758542</v>
      </c>
      <c r="AB596" s="131">
        <v>0.847076894999392</v>
      </c>
      <c r="AC596" s="131">
        <v>0.92</v>
      </c>
      <c r="AD596" s="129">
        <v>0.997494539380702</v>
      </c>
      <c r="AE596" s="129">
        <v>0.967472627737226</v>
      </c>
      <c r="AF596" s="129">
        <v>0.342067089755213</v>
      </c>
      <c r="AG596" s="129">
        <v>0.865591056342501</v>
      </c>
      <c r="AH596" s="131">
        <v>0.92</v>
      </c>
      <c r="AI596" s="129">
        <v>0.907337975361543</v>
      </c>
      <c r="AJ596" s="129">
        <v>0.896345748418833</v>
      </c>
      <c r="AK596" s="129">
        <v>0.885941644562334</v>
      </c>
      <c r="AL596" s="129">
        <v>0.895265503304342</v>
      </c>
      <c r="AM596" s="128">
        <v>0.99</v>
      </c>
      <c r="AN596" s="133">
        <v>1</v>
      </c>
      <c r="AO596" s="133">
        <v>1</v>
      </c>
      <c r="AP596" s="133">
        <v>1</v>
      </c>
      <c r="AQ596" s="133">
        <v>1</v>
      </c>
      <c r="AR596" s="153">
        <v>0.05</v>
      </c>
      <c r="AS596" s="137">
        <v>0.0432098765432099</v>
      </c>
      <c r="AT596" s="137">
        <v>0.0339805825242718</v>
      </c>
      <c r="AU596" s="137">
        <v>0.108490566037736</v>
      </c>
      <c r="AV596" s="137">
        <v>0.0231065468549422</v>
      </c>
      <c r="AW596" s="93"/>
      <c r="AX596" s="91"/>
    </row>
    <row r="597" ht="14.5" spans="1:50">
      <c r="A597" s="89"/>
      <c r="B597" s="93"/>
      <c r="C597" s="148" t="s">
        <v>371</v>
      </c>
      <c r="D597" s="126" t="s">
        <v>372</v>
      </c>
      <c r="E597" s="149" t="s">
        <v>619</v>
      </c>
      <c r="F597" s="149" t="s">
        <v>619</v>
      </c>
      <c r="G597" s="149" t="s">
        <v>619</v>
      </c>
      <c r="H597" s="149" t="s">
        <v>619</v>
      </c>
      <c r="I597" s="128">
        <v>0.9</v>
      </c>
      <c r="J597" s="129" t="s">
        <v>33</v>
      </c>
      <c r="K597" s="129" t="s">
        <v>33</v>
      </c>
      <c r="L597" s="130" t="s">
        <v>33</v>
      </c>
      <c r="M597" s="129" t="s">
        <v>33</v>
      </c>
      <c r="N597" s="131">
        <v>0.9</v>
      </c>
      <c r="O597" s="129" t="s">
        <v>33</v>
      </c>
      <c r="P597" s="129" t="s">
        <v>33</v>
      </c>
      <c r="Q597" s="129" t="s">
        <v>33</v>
      </c>
      <c r="R597" s="129" t="s">
        <v>33</v>
      </c>
      <c r="S597" s="131">
        <v>0.9</v>
      </c>
      <c r="T597" s="129" t="s">
        <v>33</v>
      </c>
      <c r="U597" s="129" t="s">
        <v>33</v>
      </c>
      <c r="V597" s="129" t="s">
        <v>33</v>
      </c>
      <c r="W597" s="129" t="s">
        <v>33</v>
      </c>
      <c r="X597" s="131">
        <v>0.92</v>
      </c>
      <c r="Y597" s="131" t="s">
        <v>33</v>
      </c>
      <c r="Z597" s="131" t="s">
        <v>33</v>
      </c>
      <c r="AA597" s="131" t="s">
        <v>33</v>
      </c>
      <c r="AB597" s="131" t="s">
        <v>33</v>
      </c>
      <c r="AC597" s="131">
        <v>0.92</v>
      </c>
      <c r="AD597" s="129">
        <v>0.994208494208494</v>
      </c>
      <c r="AE597" s="129">
        <v>0.87123745819398</v>
      </c>
      <c r="AF597" s="129">
        <v>0.638211382113821</v>
      </c>
      <c r="AG597" s="129">
        <v>0.789828105617579</v>
      </c>
      <c r="AH597" s="131">
        <v>0.92</v>
      </c>
      <c r="AI597" s="129" t="s">
        <v>33</v>
      </c>
      <c r="AJ597" s="129" t="s">
        <v>33</v>
      </c>
      <c r="AK597" s="129" t="s">
        <v>33</v>
      </c>
      <c r="AL597" s="129" t="s">
        <v>33</v>
      </c>
      <c r="AM597" s="128">
        <v>0.99</v>
      </c>
      <c r="AN597" s="133" t="s">
        <v>33</v>
      </c>
      <c r="AO597" s="133" t="s">
        <v>33</v>
      </c>
      <c r="AP597" s="133">
        <v>1</v>
      </c>
      <c r="AQ597" s="133">
        <v>1</v>
      </c>
      <c r="AR597" s="153">
        <v>0.05</v>
      </c>
      <c r="AS597" s="137" t="s">
        <v>33</v>
      </c>
      <c r="AT597" s="137" t="s">
        <v>33</v>
      </c>
      <c r="AU597" s="137" t="s">
        <v>33</v>
      </c>
      <c r="AV597" s="137" t="s">
        <v>33</v>
      </c>
      <c r="AW597" s="93"/>
      <c r="AX597" s="91"/>
    </row>
    <row r="598" ht="14.5" spans="1:50">
      <c r="A598" s="89"/>
      <c r="B598" s="93"/>
      <c r="C598" s="148" t="s">
        <v>371</v>
      </c>
      <c r="D598" s="126" t="s">
        <v>372</v>
      </c>
      <c r="E598" s="149" t="s">
        <v>620</v>
      </c>
      <c r="F598" s="149" t="s">
        <v>620</v>
      </c>
      <c r="G598" s="149" t="s">
        <v>620</v>
      </c>
      <c r="H598" s="149" t="s">
        <v>620</v>
      </c>
      <c r="I598" s="128">
        <v>0.9</v>
      </c>
      <c r="J598" s="129">
        <v>0.684782608695652</v>
      </c>
      <c r="K598" s="129">
        <v>0.685393258426966</v>
      </c>
      <c r="L598" s="130">
        <v>0.653333333333333</v>
      </c>
      <c r="M598" s="129">
        <v>0.685427135678392</v>
      </c>
      <c r="N598" s="131">
        <v>0.9</v>
      </c>
      <c r="O598" s="129">
        <v>0.897029980386663</v>
      </c>
      <c r="P598" s="129">
        <v>0.921434019832189</v>
      </c>
      <c r="Q598" s="129">
        <v>0.89297253634895</v>
      </c>
      <c r="R598" s="129">
        <v>0.907582019060471</v>
      </c>
      <c r="S598" s="131">
        <v>0.9</v>
      </c>
      <c r="T598" s="129">
        <v>0.765060240963855</v>
      </c>
      <c r="U598" s="129">
        <v>0.789727943046021</v>
      </c>
      <c r="V598" s="129">
        <v>0.666599353796446</v>
      </c>
      <c r="W598" s="129">
        <v>0.734435354642827</v>
      </c>
      <c r="X598" s="131">
        <v>0.92</v>
      </c>
      <c r="Y598" s="131">
        <v>0.885095753538718</v>
      </c>
      <c r="Z598" s="131">
        <v>0.860780065005417</v>
      </c>
      <c r="AA598" s="131">
        <v>0.703076391289319</v>
      </c>
      <c r="AB598" s="131">
        <v>0.816543379700462</v>
      </c>
      <c r="AC598" s="131">
        <v>0.92</v>
      </c>
      <c r="AD598" s="129">
        <v>0.999264607567857</v>
      </c>
      <c r="AE598" s="129">
        <v>0.980798192771084</v>
      </c>
      <c r="AF598" s="129">
        <v>0.962259861316358</v>
      </c>
      <c r="AG598" s="129">
        <v>0.983549864473315</v>
      </c>
      <c r="AH598" s="131">
        <v>0.92</v>
      </c>
      <c r="AI598" s="129">
        <v>0.927913596784997</v>
      </c>
      <c r="AJ598" s="129">
        <v>0.895568502824859</v>
      </c>
      <c r="AK598" s="129">
        <v>0.844761661993372</v>
      </c>
      <c r="AL598" s="129">
        <v>0.87744707576361</v>
      </c>
      <c r="AM598" s="128">
        <v>0.99</v>
      </c>
      <c r="AN598" s="133">
        <v>1</v>
      </c>
      <c r="AO598" s="133">
        <v>1</v>
      </c>
      <c r="AP598" s="133">
        <v>1</v>
      </c>
      <c r="AQ598" s="133">
        <v>1</v>
      </c>
      <c r="AR598" s="153">
        <v>0.05</v>
      </c>
      <c r="AS598" s="137">
        <v>0.0769230769230769</v>
      </c>
      <c r="AT598" s="137">
        <v>0.0425531914893617</v>
      </c>
      <c r="AU598" s="137">
        <v>0.05</v>
      </c>
      <c r="AV598" s="137">
        <v>0.0293637846655791</v>
      </c>
      <c r="AW598" s="93"/>
      <c r="AX598" s="91"/>
    </row>
    <row r="599" ht="14.5" spans="1:50">
      <c r="A599" s="89"/>
      <c r="B599" s="93"/>
      <c r="C599" s="148" t="s">
        <v>371</v>
      </c>
      <c r="D599" s="126" t="s">
        <v>372</v>
      </c>
      <c r="E599" s="149" t="s">
        <v>621</v>
      </c>
      <c r="F599" s="149" t="s">
        <v>621</v>
      </c>
      <c r="G599" s="149" t="s">
        <v>621</v>
      </c>
      <c r="H599" s="149" t="s">
        <v>621</v>
      </c>
      <c r="I599" s="128">
        <v>0.9</v>
      </c>
      <c r="J599" s="129">
        <v>0.935779816513762</v>
      </c>
      <c r="K599" s="129">
        <v>0.777777777777778</v>
      </c>
      <c r="L599" s="130">
        <v>0.8</v>
      </c>
      <c r="M599" s="129">
        <v>0.853492333901193</v>
      </c>
      <c r="N599" s="131">
        <v>0.9</v>
      </c>
      <c r="O599" s="129">
        <v>0.953674677812609</v>
      </c>
      <c r="P599" s="129">
        <v>0.972047519217331</v>
      </c>
      <c r="Q599" s="129">
        <v>0.96272630457934</v>
      </c>
      <c r="R599" s="129">
        <v>0.960012946507385</v>
      </c>
      <c r="S599" s="131">
        <v>0.9</v>
      </c>
      <c r="T599" s="129">
        <v>0.895158481365378</v>
      </c>
      <c r="U599" s="129">
        <v>0.923829489867226</v>
      </c>
      <c r="V599" s="129">
        <v>0.858714944976926</v>
      </c>
      <c r="W599" s="129">
        <v>0.886188430530218</v>
      </c>
      <c r="X599" s="131">
        <v>0.92</v>
      </c>
      <c r="Y599" s="131">
        <v>0.949287216639402</v>
      </c>
      <c r="Z599" s="131">
        <v>0.908820467053399</v>
      </c>
      <c r="AA599" s="131">
        <v>0.862745098039216</v>
      </c>
      <c r="AB599" s="131">
        <v>0.887472547041016</v>
      </c>
      <c r="AC599" s="131">
        <v>0.92</v>
      </c>
      <c r="AD599" s="129">
        <v>0.993820653556759</v>
      </c>
      <c r="AE599" s="129">
        <v>0.970839529198276</v>
      </c>
      <c r="AF599" s="129">
        <v>0.991236762246857</v>
      </c>
      <c r="AG599" s="129">
        <v>0.980938002376459</v>
      </c>
      <c r="AH599" s="131">
        <v>0.92</v>
      </c>
      <c r="AI599" s="129">
        <v>0.969837946809336</v>
      </c>
      <c r="AJ599" s="129">
        <v>0.931797569381462</v>
      </c>
      <c r="AK599" s="129">
        <v>0.92465988338859</v>
      </c>
      <c r="AL599" s="129">
        <v>0.931285027579027</v>
      </c>
      <c r="AM599" s="128">
        <v>0.99</v>
      </c>
      <c r="AN599" s="133">
        <v>1</v>
      </c>
      <c r="AO599" s="133">
        <v>1</v>
      </c>
      <c r="AP599" s="133">
        <v>1</v>
      </c>
      <c r="AQ599" s="133">
        <v>1</v>
      </c>
      <c r="AR599" s="153">
        <v>0.05</v>
      </c>
      <c r="AS599" s="137">
        <v>0</v>
      </c>
      <c r="AT599" s="137">
        <v>0.0384615384615385</v>
      </c>
      <c r="AU599" s="137">
        <v>0.176470588235294</v>
      </c>
      <c r="AV599" s="137">
        <v>0.0476190476190476</v>
      </c>
      <c r="AW599" s="93"/>
      <c r="AX599" s="91"/>
    </row>
    <row r="600" ht="14.5" spans="1:50">
      <c r="A600" s="89"/>
      <c r="B600" s="93"/>
      <c r="C600" s="148" t="s">
        <v>371</v>
      </c>
      <c r="D600" s="126" t="s">
        <v>372</v>
      </c>
      <c r="E600" s="149" t="s">
        <v>622</v>
      </c>
      <c r="F600" s="149" t="s">
        <v>622</v>
      </c>
      <c r="G600" s="149" t="s">
        <v>622</v>
      </c>
      <c r="H600" s="149" t="s">
        <v>622</v>
      </c>
      <c r="I600" s="128">
        <v>0.9</v>
      </c>
      <c r="J600" s="129">
        <v>0.941860465116279</v>
      </c>
      <c r="K600" s="129">
        <v>0.872093023255814</v>
      </c>
      <c r="L600" s="130">
        <v>0.926470588235294</v>
      </c>
      <c r="M600" s="129">
        <v>0.90770901194354</v>
      </c>
      <c r="N600" s="131">
        <v>0.9</v>
      </c>
      <c r="O600" s="129">
        <v>0.986881785283474</v>
      </c>
      <c r="P600" s="129">
        <v>0.985983981693364</v>
      </c>
      <c r="Q600" s="129">
        <v>0.984465569209367</v>
      </c>
      <c r="R600" s="129">
        <v>0.983978837161646</v>
      </c>
      <c r="S600" s="131">
        <v>0.9</v>
      </c>
      <c r="T600" s="129">
        <v>0.897165259348613</v>
      </c>
      <c r="U600" s="129">
        <v>0.894450800915332</v>
      </c>
      <c r="V600" s="129">
        <v>0.883375840482263</v>
      </c>
      <c r="W600" s="129">
        <v>0.897576333389221</v>
      </c>
      <c r="X600" s="131">
        <v>0.92</v>
      </c>
      <c r="Y600" s="131">
        <v>0.961764066912883</v>
      </c>
      <c r="Z600" s="131">
        <v>0.970984455958549</v>
      </c>
      <c r="AA600" s="131">
        <v>0.952059659090909</v>
      </c>
      <c r="AB600" s="131">
        <v>0.96618312275776</v>
      </c>
      <c r="AC600" s="131">
        <v>0.92</v>
      </c>
      <c r="AD600" s="129">
        <v>0.996321448783248</v>
      </c>
      <c r="AE600" s="129">
        <v>0.994331742243437</v>
      </c>
      <c r="AF600" s="129">
        <v>0.987649964714185</v>
      </c>
      <c r="AG600" s="129">
        <v>0.99200332256316</v>
      </c>
      <c r="AH600" s="131">
        <v>0.92</v>
      </c>
      <c r="AI600" s="129">
        <v>0.974101103595586</v>
      </c>
      <c r="AJ600" s="129">
        <v>0.975436202358904</v>
      </c>
      <c r="AK600" s="129">
        <v>0.973772791023843</v>
      </c>
      <c r="AL600" s="129">
        <v>0.975807204378633</v>
      </c>
      <c r="AM600" s="128">
        <v>0.99</v>
      </c>
      <c r="AN600" s="133">
        <v>1</v>
      </c>
      <c r="AO600" s="133">
        <v>1</v>
      </c>
      <c r="AP600" s="133">
        <v>1</v>
      </c>
      <c r="AQ600" s="133">
        <v>1</v>
      </c>
      <c r="AR600" s="153">
        <v>0.05</v>
      </c>
      <c r="AS600" s="137">
        <v>0.0384615384615385</v>
      </c>
      <c r="AT600" s="137">
        <v>0.0714285714285714</v>
      </c>
      <c r="AU600" s="137">
        <v>0.0645161290322581</v>
      </c>
      <c r="AV600" s="137">
        <v>0.042713567839196</v>
      </c>
      <c r="AW600" s="93"/>
      <c r="AX600" s="91"/>
    </row>
    <row r="601" ht="14.5" spans="1:50">
      <c r="A601" s="89"/>
      <c r="B601" s="93"/>
      <c r="C601" s="148" t="s">
        <v>371</v>
      </c>
      <c r="D601" s="126" t="s">
        <v>372</v>
      </c>
      <c r="E601" s="149" t="s">
        <v>623</v>
      </c>
      <c r="F601" s="149" t="s">
        <v>623</v>
      </c>
      <c r="G601" s="149" t="s">
        <v>623</v>
      </c>
      <c r="H601" s="149" t="s">
        <v>623</v>
      </c>
      <c r="I601" s="128">
        <v>0.9</v>
      </c>
      <c r="J601" s="129">
        <v>0.918032786885246</v>
      </c>
      <c r="K601" s="129">
        <v>0.848739495798319</v>
      </c>
      <c r="L601" s="130">
        <v>0.865168539325843</v>
      </c>
      <c r="M601" s="129">
        <v>0.8861852433281</v>
      </c>
      <c r="N601" s="131">
        <v>0.9</v>
      </c>
      <c r="O601" s="129">
        <v>0.979187646861363</v>
      </c>
      <c r="P601" s="129">
        <v>0.99096017591009</v>
      </c>
      <c r="Q601" s="129">
        <v>0.962994254815816</v>
      </c>
      <c r="R601" s="129">
        <v>0.980228869249943</v>
      </c>
      <c r="S601" s="131">
        <v>0.9</v>
      </c>
      <c r="T601" s="129">
        <v>0.930961172653016</v>
      </c>
      <c r="U601" s="129">
        <v>0.945761055460542</v>
      </c>
      <c r="V601" s="129">
        <v>0.876140588036499</v>
      </c>
      <c r="W601" s="129">
        <v>0.929583050079311</v>
      </c>
      <c r="X601" s="131">
        <v>0.92</v>
      </c>
      <c r="Y601" s="131">
        <v>0.941704892966361</v>
      </c>
      <c r="Z601" s="131">
        <v>0.938997312142106</v>
      </c>
      <c r="AA601" s="131">
        <v>0.905215779719354</v>
      </c>
      <c r="AB601" s="131">
        <v>0.934785004837544</v>
      </c>
      <c r="AC601" s="131">
        <v>0.92</v>
      </c>
      <c r="AD601" s="129">
        <v>0.999352862504854</v>
      </c>
      <c r="AE601" s="129">
        <v>0.999401412666108</v>
      </c>
      <c r="AF601" s="129">
        <v>0.998385794995964</v>
      </c>
      <c r="AG601" s="129">
        <v>0.999081681017458</v>
      </c>
      <c r="AH601" s="131">
        <v>0.92</v>
      </c>
      <c r="AI601" s="129">
        <v>0.96091435021871</v>
      </c>
      <c r="AJ601" s="129">
        <v>0.952944891836412</v>
      </c>
      <c r="AK601" s="129">
        <v>0.941861663746006</v>
      </c>
      <c r="AL601" s="129">
        <v>0.95582877661006</v>
      </c>
      <c r="AM601" s="128">
        <v>0.99</v>
      </c>
      <c r="AN601" s="133">
        <v>1</v>
      </c>
      <c r="AO601" s="133">
        <v>1</v>
      </c>
      <c r="AP601" s="133">
        <v>1</v>
      </c>
      <c r="AQ601" s="133">
        <v>1</v>
      </c>
      <c r="AR601" s="153">
        <v>0.05</v>
      </c>
      <c r="AS601" s="137">
        <v>0</v>
      </c>
      <c r="AT601" s="137">
        <v>0.0487804878048781</v>
      </c>
      <c r="AU601" s="137">
        <v>0.133333333333333</v>
      </c>
      <c r="AV601" s="137">
        <v>0.0518018018018018</v>
      </c>
      <c r="AW601" s="93"/>
      <c r="AX601" s="91"/>
    </row>
    <row r="602" ht="14.5" spans="1:50">
      <c r="A602" s="89"/>
      <c r="B602" s="93"/>
      <c r="C602" s="148" t="s">
        <v>371</v>
      </c>
      <c r="D602" s="126" t="s">
        <v>372</v>
      </c>
      <c r="E602" s="149" t="s">
        <v>624</v>
      </c>
      <c r="F602" s="149" t="s">
        <v>624</v>
      </c>
      <c r="G602" s="149" t="s">
        <v>624</v>
      </c>
      <c r="H602" s="149" t="s">
        <v>624</v>
      </c>
      <c r="I602" s="128">
        <v>0.9</v>
      </c>
      <c r="J602" s="129">
        <v>0.891891891891892</v>
      </c>
      <c r="K602" s="129">
        <v>0.916666666666667</v>
      </c>
      <c r="L602" s="130">
        <v>1</v>
      </c>
      <c r="M602" s="129">
        <v>0.943298969072165</v>
      </c>
      <c r="N602" s="131">
        <v>0.9</v>
      </c>
      <c r="O602" s="129">
        <v>0.982220086496877</v>
      </c>
      <c r="P602" s="129">
        <v>0.985383678440926</v>
      </c>
      <c r="Q602" s="129">
        <v>0.981969486823856</v>
      </c>
      <c r="R602" s="129">
        <v>0.927234466718352</v>
      </c>
      <c r="S602" s="131">
        <v>0.9</v>
      </c>
      <c r="T602" s="129">
        <v>0.921672272945699</v>
      </c>
      <c r="U602" s="129">
        <v>0.951278928136419</v>
      </c>
      <c r="V602" s="129">
        <v>0.909153952843273</v>
      </c>
      <c r="W602" s="129">
        <v>0.895558755122383</v>
      </c>
      <c r="X602" s="131">
        <v>0.92</v>
      </c>
      <c r="Y602" s="131">
        <v>0.902560455192034</v>
      </c>
      <c r="Z602" s="131">
        <v>0.914654688377316</v>
      </c>
      <c r="AA602" s="131">
        <v>0.853853853853854</v>
      </c>
      <c r="AB602" s="131">
        <v>0.902008686210641</v>
      </c>
      <c r="AC602" s="131">
        <v>0.92</v>
      </c>
      <c r="AD602" s="129">
        <v>0.988095238095238</v>
      </c>
      <c r="AE602" s="129">
        <v>0.979310344827586</v>
      </c>
      <c r="AF602" s="129">
        <v>0.993827160493827</v>
      </c>
      <c r="AG602" s="129">
        <v>0.988741044012282</v>
      </c>
      <c r="AH602" s="131">
        <v>0.92</v>
      </c>
      <c r="AI602" s="129">
        <v>0.943217665615142</v>
      </c>
      <c r="AJ602" s="129">
        <v>0.934715821812596</v>
      </c>
      <c r="AK602" s="129">
        <v>0.925440393281442</v>
      </c>
      <c r="AL602" s="129">
        <v>0.937284140123897</v>
      </c>
      <c r="AM602" s="128">
        <v>0.99</v>
      </c>
      <c r="AN602" s="133">
        <v>1</v>
      </c>
      <c r="AO602" s="133">
        <v>1</v>
      </c>
      <c r="AP602" s="133">
        <v>1</v>
      </c>
      <c r="AQ602" s="133">
        <v>1</v>
      </c>
      <c r="AR602" s="153">
        <v>0.05</v>
      </c>
      <c r="AS602" s="137">
        <v>0</v>
      </c>
      <c r="AT602" s="137">
        <v>0.142857142857143</v>
      </c>
      <c r="AU602" s="137">
        <v>0.1</v>
      </c>
      <c r="AV602" s="137">
        <v>0.0813008130081301</v>
      </c>
      <c r="AW602" s="93"/>
      <c r="AX602" s="91"/>
    </row>
    <row r="603" ht="14.5" spans="1:50">
      <c r="A603" s="89"/>
      <c r="B603" s="93"/>
      <c r="C603" s="148" t="s">
        <v>371</v>
      </c>
      <c r="D603" s="126" t="s">
        <v>372</v>
      </c>
      <c r="E603" s="149" t="s">
        <v>625</v>
      </c>
      <c r="F603" s="149" t="s">
        <v>625</v>
      </c>
      <c r="G603" s="149" t="s">
        <v>625</v>
      </c>
      <c r="H603" s="149" t="s">
        <v>625</v>
      </c>
      <c r="I603" s="128">
        <v>0.9</v>
      </c>
      <c r="J603" s="129">
        <v>0.966666666666667</v>
      </c>
      <c r="K603" s="129">
        <v>0.947368421052632</v>
      </c>
      <c r="L603" s="130">
        <v>0.977777777777778</v>
      </c>
      <c r="M603" s="129">
        <v>0.9375</v>
      </c>
      <c r="N603" s="131">
        <v>0.9</v>
      </c>
      <c r="O603" s="129">
        <v>0.973883996355907</v>
      </c>
      <c r="P603" s="129">
        <v>0.956269757639621</v>
      </c>
      <c r="Q603" s="129">
        <v>0.958570268074736</v>
      </c>
      <c r="R603" s="129">
        <v>0.951367569076193</v>
      </c>
      <c r="S603" s="131">
        <v>0.9</v>
      </c>
      <c r="T603" s="129">
        <v>0.926814454904343</v>
      </c>
      <c r="U603" s="129">
        <v>0.915173867228662</v>
      </c>
      <c r="V603" s="129">
        <v>0.889926888708367</v>
      </c>
      <c r="W603" s="129">
        <v>0.905630756349428</v>
      </c>
      <c r="X603" s="131">
        <v>0.92</v>
      </c>
      <c r="Y603" s="131">
        <v>0.927335640138408</v>
      </c>
      <c r="Z603" s="131">
        <v>0.934743742550656</v>
      </c>
      <c r="AA603" s="131">
        <v>0.903272727272727</v>
      </c>
      <c r="AB603" s="131">
        <v>0.905211601254882</v>
      </c>
      <c r="AC603" s="131">
        <v>0.92</v>
      </c>
      <c r="AD603" s="129">
        <v>0.993238259159085</v>
      </c>
      <c r="AE603" s="129">
        <v>0.990741549480304</v>
      </c>
      <c r="AF603" s="129">
        <v>0.994797919167667</v>
      </c>
      <c r="AG603" s="129">
        <v>0.993915189233651</v>
      </c>
      <c r="AH603" s="131">
        <v>0.92</v>
      </c>
      <c r="AI603" s="129">
        <v>0.959014852415868</v>
      </c>
      <c r="AJ603" s="129">
        <v>0.948878753325732</v>
      </c>
      <c r="AK603" s="129">
        <v>0.946079708257359</v>
      </c>
      <c r="AL603" s="129">
        <v>0.937391565461097</v>
      </c>
      <c r="AM603" s="128">
        <v>0.99</v>
      </c>
      <c r="AN603" s="133">
        <v>1</v>
      </c>
      <c r="AO603" s="133">
        <v>1</v>
      </c>
      <c r="AP603" s="133">
        <v>1</v>
      </c>
      <c r="AQ603" s="133">
        <v>1</v>
      </c>
      <c r="AR603" s="153">
        <v>0.05</v>
      </c>
      <c r="AS603" s="137">
        <v>0.111111111111111</v>
      </c>
      <c r="AT603" s="137">
        <v>0.125</v>
      </c>
      <c r="AU603" s="137">
        <v>0.2</v>
      </c>
      <c r="AV603" s="137">
        <v>0.0662251655629139</v>
      </c>
      <c r="AW603" s="93"/>
      <c r="AX603" s="91"/>
    </row>
    <row r="604" ht="14.5" spans="1:50">
      <c r="A604" s="89"/>
      <c r="B604" s="93"/>
      <c r="C604" s="148" t="s">
        <v>371</v>
      </c>
      <c r="D604" s="126" t="s">
        <v>372</v>
      </c>
      <c r="E604" s="149" t="s">
        <v>626</v>
      </c>
      <c r="F604" s="149" t="s">
        <v>626</v>
      </c>
      <c r="G604" s="149" t="s">
        <v>626</v>
      </c>
      <c r="H604" s="149" t="s">
        <v>626</v>
      </c>
      <c r="I604" s="128">
        <v>0.9</v>
      </c>
      <c r="J604" s="129">
        <v>0.866666666666667</v>
      </c>
      <c r="K604" s="129">
        <v>0.859649122807018</v>
      </c>
      <c r="L604" s="130">
        <v>0.8125</v>
      </c>
      <c r="M604" s="129">
        <v>0.849921011058452</v>
      </c>
      <c r="N604" s="131">
        <v>0.9</v>
      </c>
      <c r="O604" s="129">
        <v>0.966987045549519</v>
      </c>
      <c r="P604" s="129">
        <v>0.957432657133355</v>
      </c>
      <c r="Q604" s="129">
        <v>0.95979287237283</v>
      </c>
      <c r="R604" s="129">
        <v>0.963966813459527</v>
      </c>
      <c r="S604" s="131">
        <v>0.9</v>
      </c>
      <c r="T604" s="129">
        <v>0.890513999164229</v>
      </c>
      <c r="U604" s="129">
        <v>0.910874625872963</v>
      </c>
      <c r="V604" s="129">
        <v>0.889125799573561</v>
      </c>
      <c r="W604" s="129">
        <v>0.888153572905769</v>
      </c>
      <c r="X604" s="131">
        <v>0.92</v>
      </c>
      <c r="Y604" s="131">
        <v>0.92864254895453</v>
      </c>
      <c r="Z604" s="131">
        <v>0.932190025625862</v>
      </c>
      <c r="AA604" s="131">
        <v>0.916974169741697</v>
      </c>
      <c r="AB604" s="131">
        <v>0.915167725398418</v>
      </c>
      <c r="AC604" s="131">
        <v>0.92</v>
      </c>
      <c r="AD604" s="129">
        <v>0.987072537428871</v>
      </c>
      <c r="AE604" s="129">
        <v>0.986360180671705</v>
      </c>
      <c r="AF604" s="129">
        <v>0.920923887477656</v>
      </c>
      <c r="AG604" s="129">
        <v>0.975671462412039</v>
      </c>
      <c r="AH604" s="131">
        <v>0.92</v>
      </c>
      <c r="AI604" s="129">
        <v>0.949647661755285</v>
      </c>
      <c r="AJ604" s="129">
        <v>0.94998147462023</v>
      </c>
      <c r="AK604" s="129">
        <v>0.952145214521452</v>
      </c>
      <c r="AL604" s="129">
        <v>0.941728165494799</v>
      </c>
      <c r="AM604" s="128">
        <v>0.99</v>
      </c>
      <c r="AN604" s="133">
        <v>1</v>
      </c>
      <c r="AO604" s="133">
        <v>1</v>
      </c>
      <c r="AP604" s="133">
        <v>1</v>
      </c>
      <c r="AQ604" s="133">
        <v>1</v>
      </c>
      <c r="AR604" s="153">
        <v>0.05</v>
      </c>
      <c r="AS604" s="137">
        <v>0.0256410256410256</v>
      </c>
      <c r="AT604" s="137">
        <v>0.131578947368421</v>
      </c>
      <c r="AU604" s="137">
        <v>0.204545454545455</v>
      </c>
      <c r="AV604" s="137">
        <v>0.0685714285714286</v>
      </c>
      <c r="AW604" s="93"/>
      <c r="AX604" s="91"/>
    </row>
    <row r="605" ht="14.5" spans="1:50">
      <c r="A605" s="89"/>
      <c r="B605" s="93"/>
      <c r="C605" s="148" t="s">
        <v>371</v>
      </c>
      <c r="D605" s="126" t="s">
        <v>372</v>
      </c>
      <c r="E605" s="149" t="s">
        <v>627</v>
      </c>
      <c r="F605" s="149" t="s">
        <v>627</v>
      </c>
      <c r="G605" s="149" t="s">
        <v>627</v>
      </c>
      <c r="H605" s="149" t="s">
        <v>627</v>
      </c>
      <c r="I605" s="128">
        <v>0.9</v>
      </c>
      <c r="J605" s="129">
        <v>0.901639344262295</v>
      </c>
      <c r="K605" s="129">
        <v>0.839285714285714</v>
      </c>
      <c r="L605" s="130">
        <v>0.891304347826087</v>
      </c>
      <c r="M605" s="129">
        <v>0.839874411302983</v>
      </c>
      <c r="N605" s="131">
        <v>0.9</v>
      </c>
      <c r="O605" s="129">
        <v>0.989058039961941</v>
      </c>
      <c r="P605" s="129">
        <v>0.985849056603774</v>
      </c>
      <c r="Q605" s="129">
        <v>0.976136730087069</v>
      </c>
      <c r="R605" s="129">
        <v>0.982105520406224</v>
      </c>
      <c r="S605" s="131">
        <v>0.9</v>
      </c>
      <c r="T605" s="129">
        <v>0.888439581351094</v>
      </c>
      <c r="U605" s="129">
        <v>0.885220125786163</v>
      </c>
      <c r="V605" s="129">
        <v>0.857142857142857</v>
      </c>
      <c r="W605" s="129">
        <v>0.884486925353681</v>
      </c>
      <c r="X605" s="131">
        <v>0.92</v>
      </c>
      <c r="Y605" s="131">
        <v>0.944837340876945</v>
      </c>
      <c r="Z605" s="131">
        <v>0.936839633716835</v>
      </c>
      <c r="AA605" s="131">
        <v>0.904418828049952</v>
      </c>
      <c r="AB605" s="131">
        <v>0.934162841266006</v>
      </c>
      <c r="AC605" s="131">
        <v>0.92</v>
      </c>
      <c r="AD605" s="129">
        <v>0.989563339731286</v>
      </c>
      <c r="AE605" s="129">
        <v>0.985135441032219</v>
      </c>
      <c r="AF605" s="129">
        <v>0.97755287401064</v>
      </c>
      <c r="AG605" s="129">
        <v>0.982421298408524</v>
      </c>
      <c r="AH605" s="131">
        <v>0.92</v>
      </c>
      <c r="AI605" s="129">
        <v>0.955359681546773</v>
      </c>
      <c r="AJ605" s="129">
        <v>0.951255322272794</v>
      </c>
      <c r="AK605" s="129">
        <v>0.940077071290944</v>
      </c>
      <c r="AL605" s="129">
        <v>0.952362697743362</v>
      </c>
      <c r="AM605" s="128">
        <v>0.99</v>
      </c>
      <c r="AN605" s="133">
        <v>1</v>
      </c>
      <c r="AO605" s="133">
        <v>1</v>
      </c>
      <c r="AP605" s="133">
        <v>1</v>
      </c>
      <c r="AQ605" s="133">
        <v>1</v>
      </c>
      <c r="AR605" s="153">
        <v>0.05</v>
      </c>
      <c r="AS605" s="137">
        <v>0</v>
      </c>
      <c r="AT605" s="137">
        <v>0.0714285714285714</v>
      </c>
      <c r="AU605" s="137">
        <v>0.0384615384615385</v>
      </c>
      <c r="AV605" s="137">
        <v>0.0450236966824645</v>
      </c>
      <c r="AW605" s="93"/>
      <c r="AX605" s="91"/>
    </row>
    <row r="606" ht="14.5" spans="1:50">
      <c r="A606" s="89"/>
      <c r="B606" s="93"/>
      <c r="C606" s="148" t="s">
        <v>371</v>
      </c>
      <c r="D606" s="126" t="s">
        <v>372</v>
      </c>
      <c r="E606" s="149" t="s">
        <v>628</v>
      </c>
      <c r="F606" s="149" t="s">
        <v>628</v>
      </c>
      <c r="G606" s="149" t="s">
        <v>628</v>
      </c>
      <c r="H606" s="149" t="s">
        <v>628</v>
      </c>
      <c r="I606" s="128">
        <v>0.9</v>
      </c>
      <c r="J606" s="129">
        <v>0.861111111111111</v>
      </c>
      <c r="K606" s="129">
        <v>0.72972972972973</v>
      </c>
      <c r="L606" s="130">
        <v>0.621621621621622</v>
      </c>
      <c r="M606" s="129">
        <v>0.723150357995227</v>
      </c>
      <c r="N606" s="131">
        <v>0.9</v>
      </c>
      <c r="O606" s="129">
        <v>0.846771251368114</v>
      </c>
      <c r="P606" s="129">
        <v>0.796743402582819</v>
      </c>
      <c r="Q606" s="129">
        <v>0.950246305418719</v>
      </c>
      <c r="R606" s="129">
        <v>0.816265060240964</v>
      </c>
      <c r="S606" s="131">
        <v>0.9</v>
      </c>
      <c r="T606" s="129">
        <v>0.893834367019336</v>
      </c>
      <c r="U606" s="129">
        <v>0.901740595171252</v>
      </c>
      <c r="V606" s="129">
        <v>0.879802955665025</v>
      </c>
      <c r="W606" s="129">
        <v>0.789940584254827</v>
      </c>
      <c r="X606" s="131">
        <v>0.92</v>
      </c>
      <c r="Y606" s="131">
        <v>0.863365155131265</v>
      </c>
      <c r="Z606" s="131">
        <v>0.884545783568585</v>
      </c>
      <c r="AA606" s="131">
        <v>0.887550200803213</v>
      </c>
      <c r="AB606" s="131">
        <v>0.731057081597152</v>
      </c>
      <c r="AC606" s="131">
        <v>0.92</v>
      </c>
      <c r="AD606" s="129">
        <v>0.998021833101326</v>
      </c>
      <c r="AE606" s="129">
        <v>0.882196433625814</v>
      </c>
      <c r="AF606" s="129">
        <v>0.744876284516907</v>
      </c>
      <c r="AG606" s="129">
        <v>0.777878854418269</v>
      </c>
      <c r="AH606" s="131">
        <v>0.92</v>
      </c>
      <c r="AI606" s="129">
        <v>0.913988229968311</v>
      </c>
      <c r="AJ606" s="129">
        <v>0.911809984605234</v>
      </c>
      <c r="AK606" s="129">
        <v>0.927677754043332</v>
      </c>
      <c r="AL606" s="129">
        <v>0.821845651286239</v>
      </c>
      <c r="AM606" s="128">
        <v>0.99</v>
      </c>
      <c r="AN606" s="133">
        <v>1</v>
      </c>
      <c r="AO606" s="133">
        <v>1</v>
      </c>
      <c r="AP606" s="133">
        <v>1</v>
      </c>
      <c r="AQ606" s="133">
        <v>1</v>
      </c>
      <c r="AR606" s="153">
        <v>0.05</v>
      </c>
      <c r="AS606" s="137">
        <v>0</v>
      </c>
      <c r="AT606" s="137">
        <v>0</v>
      </c>
      <c r="AU606" s="137">
        <v>0</v>
      </c>
      <c r="AV606" s="137">
        <v>0.0167364016736402</v>
      </c>
      <c r="AW606" s="93"/>
      <c r="AX606" s="91"/>
    </row>
    <row r="607" ht="14.5" spans="1:50">
      <c r="A607" s="89"/>
      <c r="B607" s="93"/>
      <c r="C607" s="148" t="s">
        <v>371</v>
      </c>
      <c r="D607" s="126" t="s">
        <v>372</v>
      </c>
      <c r="E607" s="149" t="s">
        <v>629</v>
      </c>
      <c r="F607" s="149" t="s">
        <v>629</v>
      </c>
      <c r="G607" s="149" t="s">
        <v>629</v>
      </c>
      <c r="H607" s="149" t="s">
        <v>629</v>
      </c>
      <c r="I607" s="128">
        <v>0.9</v>
      </c>
      <c r="J607" s="129">
        <v>0.915492957746479</v>
      </c>
      <c r="K607" s="129">
        <v>0.929577464788732</v>
      </c>
      <c r="L607" s="130">
        <v>0.916666666666667</v>
      </c>
      <c r="M607" s="129">
        <v>0.901935483870968</v>
      </c>
      <c r="N607" s="131">
        <v>0.9</v>
      </c>
      <c r="O607" s="129">
        <v>0.978156735006706</v>
      </c>
      <c r="P607" s="129">
        <v>0.989622369558951</v>
      </c>
      <c r="Q607" s="129">
        <v>0.984828668584881</v>
      </c>
      <c r="R607" s="129">
        <v>0.968364016468631</v>
      </c>
      <c r="S607" s="131">
        <v>0.9</v>
      </c>
      <c r="T607" s="129">
        <v>0.894999041962062</v>
      </c>
      <c r="U607" s="129">
        <v>0.93254540213318</v>
      </c>
      <c r="V607" s="129">
        <v>0.935129479466388</v>
      </c>
      <c r="W607" s="129">
        <v>0.900228256927704</v>
      </c>
      <c r="X607" s="131">
        <v>0.92</v>
      </c>
      <c r="Y607" s="131">
        <v>0.889872173058014</v>
      </c>
      <c r="Z607" s="131">
        <v>0.94994499449945</v>
      </c>
      <c r="AA607" s="131">
        <v>0.8920130399348</v>
      </c>
      <c r="AB607" s="131">
        <v>0.899073643246902</v>
      </c>
      <c r="AC607" s="131">
        <v>0.92</v>
      </c>
      <c r="AD607" s="129">
        <v>0.983660774046222</v>
      </c>
      <c r="AE607" s="129">
        <v>0.999097445771533</v>
      </c>
      <c r="AF607" s="129">
        <v>0.992880149177827</v>
      </c>
      <c r="AG607" s="129">
        <v>0.991177593764586</v>
      </c>
      <c r="AH607" s="131">
        <v>0.92</v>
      </c>
      <c r="AI607" s="129">
        <v>0.938708897485493</v>
      </c>
      <c r="AJ607" s="129">
        <v>0.961030235162374</v>
      </c>
      <c r="AK607" s="129">
        <v>0.943303073737856</v>
      </c>
      <c r="AL607" s="129">
        <v>0.934863378696843</v>
      </c>
      <c r="AM607" s="128">
        <v>0.99</v>
      </c>
      <c r="AN607" s="133">
        <v>1</v>
      </c>
      <c r="AO607" s="133">
        <v>1</v>
      </c>
      <c r="AP607" s="133">
        <v>1</v>
      </c>
      <c r="AQ607" s="133">
        <v>1</v>
      </c>
      <c r="AR607" s="153">
        <v>0.05</v>
      </c>
      <c r="AS607" s="137">
        <v>0.0416666666666667</v>
      </c>
      <c r="AT607" s="137">
        <v>0.0816326530612245</v>
      </c>
      <c r="AU607" s="137">
        <v>0.125</v>
      </c>
      <c r="AV607" s="137">
        <v>0.0628140703517588</v>
      </c>
      <c r="AW607" s="93"/>
      <c r="AX607" s="91"/>
    </row>
    <row r="608" ht="14.5" spans="1:50">
      <c r="A608" s="89"/>
      <c r="B608" s="93"/>
      <c r="C608" s="148" t="s">
        <v>371</v>
      </c>
      <c r="D608" s="126" t="s">
        <v>372</v>
      </c>
      <c r="E608" s="149" t="s">
        <v>630</v>
      </c>
      <c r="F608" s="149" t="s">
        <v>630</v>
      </c>
      <c r="G608" s="149" t="s">
        <v>630</v>
      </c>
      <c r="H608" s="149" t="s">
        <v>630</v>
      </c>
      <c r="I608" s="128">
        <v>0.9</v>
      </c>
      <c r="J608" s="129">
        <v>0.932584269662921</v>
      </c>
      <c r="K608" s="129">
        <v>0.941176470588235</v>
      </c>
      <c r="L608" s="130">
        <v>0.958333333333333</v>
      </c>
      <c r="M608" s="129">
        <v>0.927748691099476</v>
      </c>
      <c r="N608" s="131">
        <v>0.9</v>
      </c>
      <c r="O608" s="129">
        <v>0.953313744694744</v>
      </c>
      <c r="P608" s="129">
        <v>0.928513182930144</v>
      </c>
      <c r="Q608" s="129">
        <v>0.939308244507287</v>
      </c>
      <c r="R608" s="129">
        <v>0.942162696489834</v>
      </c>
      <c r="S608" s="131">
        <v>0.9</v>
      </c>
      <c r="T608" s="129">
        <v>0.900424420502775</v>
      </c>
      <c r="U608" s="129">
        <v>0.886382169067681</v>
      </c>
      <c r="V608" s="129">
        <v>0.872960626495541</v>
      </c>
      <c r="W608" s="129">
        <v>0.891613203341539</v>
      </c>
      <c r="X608" s="131">
        <v>0.92</v>
      </c>
      <c r="Y608" s="131">
        <v>0.915892543309064</v>
      </c>
      <c r="Z608" s="131">
        <v>0.94527027027027</v>
      </c>
      <c r="AA608" s="131">
        <v>0.941930316379656</v>
      </c>
      <c r="AB608" s="131">
        <v>0.941173360590734</v>
      </c>
      <c r="AC608" s="131">
        <v>0.92</v>
      </c>
      <c r="AD608" s="129">
        <v>0.999521196272697</v>
      </c>
      <c r="AE608" s="129">
        <v>0.999770068691978</v>
      </c>
      <c r="AF608" s="129">
        <v>0.997960571040109</v>
      </c>
      <c r="AG608" s="129">
        <v>0.999604080090669</v>
      </c>
      <c r="AH608" s="131">
        <v>0.92</v>
      </c>
      <c r="AI608" s="129">
        <v>0.943752471332542</v>
      </c>
      <c r="AJ608" s="129">
        <v>0.954417733374961</v>
      </c>
      <c r="AK608" s="129">
        <v>0.958649789029536</v>
      </c>
      <c r="AL608" s="129">
        <v>0.956049022952997</v>
      </c>
      <c r="AM608" s="128">
        <v>0.99</v>
      </c>
      <c r="AN608" s="133">
        <v>1</v>
      </c>
      <c r="AO608" s="133">
        <v>1</v>
      </c>
      <c r="AP608" s="133">
        <v>1</v>
      </c>
      <c r="AQ608" s="133">
        <v>1</v>
      </c>
      <c r="AR608" s="153">
        <v>0.05</v>
      </c>
      <c r="AS608" s="137">
        <v>0.0294117647058824</v>
      </c>
      <c r="AT608" s="137">
        <v>0</v>
      </c>
      <c r="AU608" s="137">
        <v>0.0384615384615385</v>
      </c>
      <c r="AV608" s="137">
        <v>0.0218340611353712</v>
      </c>
      <c r="AW608" s="93"/>
      <c r="AX608" s="91"/>
    </row>
    <row r="609" ht="14.5" spans="1:50">
      <c r="A609" s="89"/>
      <c r="B609" s="93"/>
      <c r="C609" s="148" t="s">
        <v>371</v>
      </c>
      <c r="D609" s="126" t="s">
        <v>372</v>
      </c>
      <c r="E609" s="149" t="s">
        <v>631</v>
      </c>
      <c r="F609" s="149" t="s">
        <v>631</v>
      </c>
      <c r="G609" s="149" t="s">
        <v>631</v>
      </c>
      <c r="H609" s="149" t="s">
        <v>631</v>
      </c>
      <c r="I609" s="128">
        <v>0.9</v>
      </c>
      <c r="J609" s="129">
        <v>0.965909090909091</v>
      </c>
      <c r="K609" s="129">
        <v>0.909090909090909</v>
      </c>
      <c r="L609" s="130">
        <v>0.945945945945946</v>
      </c>
      <c r="M609" s="129">
        <v>0.941629955947137</v>
      </c>
      <c r="N609" s="131">
        <v>0.9</v>
      </c>
      <c r="O609" s="129">
        <v>0.966784359879691</v>
      </c>
      <c r="P609" s="129">
        <v>0.965336134453782</v>
      </c>
      <c r="Q609" s="129">
        <v>0.959839357429719</v>
      </c>
      <c r="R609" s="129">
        <v>0.963406063067144</v>
      </c>
      <c r="S609" s="131">
        <v>0.9</v>
      </c>
      <c r="T609" s="129">
        <v>0.907283902183863</v>
      </c>
      <c r="U609" s="129">
        <v>0.925420168067227</v>
      </c>
      <c r="V609" s="129">
        <v>0.876049653158087</v>
      </c>
      <c r="W609" s="129">
        <v>0.902228747247255</v>
      </c>
      <c r="X609" s="131">
        <v>0.92</v>
      </c>
      <c r="Y609" s="131">
        <v>0.946524064171123</v>
      </c>
      <c r="Z609" s="131">
        <v>0.947603574329813</v>
      </c>
      <c r="AA609" s="131">
        <v>0.940646130728775</v>
      </c>
      <c r="AB609" s="131">
        <v>0.935665186882429</v>
      </c>
      <c r="AC609" s="131">
        <v>0.92</v>
      </c>
      <c r="AD609" s="129">
        <v>0.993002544529262</v>
      </c>
      <c r="AE609" s="129">
        <v>0.996556812592228</v>
      </c>
      <c r="AF609" s="129">
        <v>0.911864406779661</v>
      </c>
      <c r="AG609" s="129">
        <v>0.979754829123328</v>
      </c>
      <c r="AH609" s="131">
        <v>0.92</v>
      </c>
      <c r="AI609" s="129">
        <v>0.971054718477399</v>
      </c>
      <c r="AJ609" s="129">
        <v>0.964305842569979</v>
      </c>
      <c r="AK609" s="129">
        <v>0.970933646506166</v>
      </c>
      <c r="AL609" s="129">
        <v>0.965307364576993</v>
      </c>
      <c r="AM609" s="128">
        <v>0.99</v>
      </c>
      <c r="AN609" s="133">
        <v>1</v>
      </c>
      <c r="AO609" s="133">
        <v>1</v>
      </c>
      <c r="AP609" s="133">
        <v>1</v>
      </c>
      <c r="AQ609" s="133">
        <v>1</v>
      </c>
      <c r="AR609" s="153">
        <v>0.05</v>
      </c>
      <c r="AS609" s="137">
        <v>0.0592592592592593</v>
      </c>
      <c r="AT609" s="137">
        <v>0.003003003003003</v>
      </c>
      <c r="AU609" s="137">
        <v>0.00420168067226891</v>
      </c>
      <c r="AV609" s="137">
        <v>0.00926612305411416</v>
      </c>
      <c r="AW609" s="93"/>
      <c r="AX609" s="91"/>
    </row>
    <row r="610" ht="14.5" spans="1:50">
      <c r="A610" s="89"/>
      <c r="B610" s="93"/>
      <c r="C610" s="148" t="s">
        <v>371</v>
      </c>
      <c r="D610" s="126" t="s">
        <v>372</v>
      </c>
      <c r="E610" s="149" t="s">
        <v>632</v>
      </c>
      <c r="F610" s="149" t="s">
        <v>632</v>
      </c>
      <c r="G610" s="149" t="s">
        <v>632</v>
      </c>
      <c r="H610" s="149" t="s">
        <v>632</v>
      </c>
      <c r="I610" s="128">
        <v>0.9</v>
      </c>
      <c r="J610" s="129">
        <v>1</v>
      </c>
      <c r="K610" s="129">
        <v>1</v>
      </c>
      <c r="L610" s="130">
        <v>0.981818181818182</v>
      </c>
      <c r="M610" s="129">
        <v>0.994452149791956</v>
      </c>
      <c r="N610" s="131">
        <v>0.9</v>
      </c>
      <c r="O610" s="129">
        <v>0.980964077371815</v>
      </c>
      <c r="P610" s="129">
        <v>0.989147909967846</v>
      </c>
      <c r="Q610" s="129">
        <v>0.985794861082097</v>
      </c>
      <c r="R610" s="129">
        <v>0.985814261395877</v>
      </c>
      <c r="S610" s="131">
        <v>0.9</v>
      </c>
      <c r="T610" s="129">
        <v>0.934909425852011</v>
      </c>
      <c r="U610" s="129">
        <v>0.958199356913183</v>
      </c>
      <c r="V610" s="129">
        <v>0.935241278462503</v>
      </c>
      <c r="W610" s="129">
        <v>0.948099111027047</v>
      </c>
      <c r="X610" s="131">
        <v>0.92</v>
      </c>
      <c r="Y610" s="131">
        <v>0.944341372912802</v>
      </c>
      <c r="Z610" s="131">
        <v>0.953321364452424</v>
      </c>
      <c r="AA610" s="131">
        <v>0.94047619047619</v>
      </c>
      <c r="AB610" s="131">
        <v>0.948745733326109</v>
      </c>
      <c r="AC610" s="131">
        <v>0.92</v>
      </c>
      <c r="AD610" s="129">
        <v>0.998876404494382</v>
      </c>
      <c r="AE610" s="129">
        <v>0.996457489878543</v>
      </c>
      <c r="AF610" s="129">
        <v>0.995391705069124</v>
      </c>
      <c r="AG610" s="129">
        <v>0.995496818404307</v>
      </c>
      <c r="AH610" s="131">
        <v>0.92</v>
      </c>
      <c r="AI610" s="129">
        <v>0.97985257985258</v>
      </c>
      <c r="AJ610" s="129">
        <v>0.975984630163305</v>
      </c>
      <c r="AK610" s="129">
        <v>0.978648932446622</v>
      </c>
      <c r="AL610" s="129">
        <v>0.979611568858248</v>
      </c>
      <c r="AM610" s="128">
        <v>0.99</v>
      </c>
      <c r="AN610" s="133">
        <v>1</v>
      </c>
      <c r="AO610" s="133">
        <v>1</v>
      </c>
      <c r="AP610" s="133">
        <v>1</v>
      </c>
      <c r="AQ610" s="133">
        <v>1</v>
      </c>
      <c r="AR610" s="153">
        <v>0.05</v>
      </c>
      <c r="AS610" s="137">
        <v>0.0245398773006135</v>
      </c>
      <c r="AT610" s="137">
        <v>0.0403225806451613</v>
      </c>
      <c r="AU610" s="137">
        <v>0</v>
      </c>
      <c r="AV610" s="137">
        <v>0.0121886592474828</v>
      </c>
      <c r="AW610" s="93"/>
      <c r="AX610" s="91"/>
    </row>
    <row r="611" ht="14.5" spans="1:50">
      <c r="A611" s="89"/>
      <c r="B611" s="93"/>
      <c r="C611" s="148" t="s">
        <v>371</v>
      </c>
      <c r="D611" s="126" t="s">
        <v>372</v>
      </c>
      <c r="E611" s="149" t="s">
        <v>633</v>
      </c>
      <c r="F611" s="149" t="s">
        <v>633</v>
      </c>
      <c r="G611" s="149" t="s">
        <v>633</v>
      </c>
      <c r="H611" s="149" t="s">
        <v>633</v>
      </c>
      <c r="I611" s="128">
        <v>0.9</v>
      </c>
      <c r="J611" s="129">
        <v>0.981818181818182</v>
      </c>
      <c r="K611" s="129">
        <v>0.891304347826087</v>
      </c>
      <c r="L611" s="130">
        <v>0.843137254901961</v>
      </c>
      <c r="M611" s="129">
        <v>0.922689075630252</v>
      </c>
      <c r="N611" s="131">
        <v>0.9</v>
      </c>
      <c r="O611" s="129">
        <v>0.928241206030151</v>
      </c>
      <c r="P611" s="129">
        <v>0.918904958677686</v>
      </c>
      <c r="Q611" s="129">
        <v>0.922103487064117</v>
      </c>
      <c r="R611" s="129">
        <v>0.934831516848315</v>
      </c>
      <c r="S611" s="131">
        <v>0.9</v>
      </c>
      <c r="T611" s="129">
        <v>0.842010050251256</v>
      </c>
      <c r="U611" s="129">
        <v>0.884814049586777</v>
      </c>
      <c r="V611" s="129">
        <v>0.837457817772778</v>
      </c>
      <c r="W611" s="129">
        <v>0.855514448555144</v>
      </c>
      <c r="X611" s="131">
        <v>0.92</v>
      </c>
      <c r="Y611" s="131">
        <v>0.926863572433193</v>
      </c>
      <c r="Z611" s="131">
        <v>0.951973684210526</v>
      </c>
      <c r="AA611" s="131">
        <v>0.956626506024096</v>
      </c>
      <c r="AB611" s="131">
        <v>0.932857226482468</v>
      </c>
      <c r="AC611" s="131">
        <v>0.92</v>
      </c>
      <c r="AD611" s="129">
        <v>0.978339350180505</v>
      </c>
      <c r="AE611" s="129">
        <v>0.994464944649446</v>
      </c>
      <c r="AF611" s="129">
        <v>0.99249530956848</v>
      </c>
      <c r="AG611" s="129">
        <v>0.963072378138848</v>
      </c>
      <c r="AH611" s="131">
        <v>0.92</v>
      </c>
      <c r="AI611" s="129">
        <v>0.958782201405152</v>
      </c>
      <c r="AJ611" s="129">
        <v>0.965297860034702</v>
      </c>
      <c r="AK611" s="129">
        <v>0.980869961284445</v>
      </c>
      <c r="AL611" s="129">
        <v>0.96519790627243</v>
      </c>
      <c r="AM611" s="128">
        <v>0.99</v>
      </c>
      <c r="AN611" s="133">
        <v>1</v>
      </c>
      <c r="AO611" s="133">
        <v>1</v>
      </c>
      <c r="AP611" s="133">
        <v>1</v>
      </c>
      <c r="AQ611" s="133">
        <v>1</v>
      </c>
      <c r="AR611" s="153">
        <v>0.05</v>
      </c>
      <c r="AS611" s="137">
        <v>0.15</v>
      </c>
      <c r="AT611" s="137">
        <v>0</v>
      </c>
      <c r="AU611" s="137">
        <v>0.2</v>
      </c>
      <c r="AV611" s="137">
        <v>0.10077519379845</v>
      </c>
      <c r="AW611" s="93"/>
      <c r="AX611" s="91"/>
    </row>
    <row r="612" ht="14.5" spans="1:50">
      <c r="A612" s="89"/>
      <c r="B612" s="93"/>
      <c r="C612" s="148" t="s">
        <v>371</v>
      </c>
      <c r="D612" s="126" t="s">
        <v>372</v>
      </c>
      <c r="E612" s="149" t="s">
        <v>634</v>
      </c>
      <c r="F612" s="149" t="s">
        <v>634</v>
      </c>
      <c r="G612" s="149" t="s">
        <v>634</v>
      </c>
      <c r="H612" s="149" t="s">
        <v>634</v>
      </c>
      <c r="I612" s="128">
        <v>0.9</v>
      </c>
      <c r="J612" s="129">
        <v>0.957446808510638</v>
      </c>
      <c r="K612" s="129">
        <v>0.888888888888889</v>
      </c>
      <c r="L612" s="130">
        <v>0.975609756097561</v>
      </c>
      <c r="M612" s="129">
        <v>0.971717171717172</v>
      </c>
      <c r="N612" s="131">
        <v>0.9</v>
      </c>
      <c r="O612" s="129">
        <v>0.984837186179468</v>
      </c>
      <c r="P612" s="129">
        <v>0.990062111801242</v>
      </c>
      <c r="Q612" s="129">
        <v>0.98293743726999</v>
      </c>
      <c r="R612" s="129">
        <v>0.985367766849695</v>
      </c>
      <c r="S612" s="131">
        <v>0.9</v>
      </c>
      <c r="T612" s="129">
        <v>0.902560278399205</v>
      </c>
      <c r="U612" s="129">
        <v>0.924223602484472</v>
      </c>
      <c r="V612" s="129">
        <v>0.865506858481097</v>
      </c>
      <c r="W612" s="129">
        <v>0.907047607554456</v>
      </c>
      <c r="X612" s="131">
        <v>0.92</v>
      </c>
      <c r="Y612" s="131">
        <v>0.931528662420382</v>
      </c>
      <c r="Z612" s="131">
        <v>0.942691029900332</v>
      </c>
      <c r="AA612" s="131">
        <v>0.920943134535368</v>
      </c>
      <c r="AB612" s="131">
        <v>0.924554586113351</v>
      </c>
      <c r="AC612" s="131">
        <v>0.92</v>
      </c>
      <c r="AD612" s="129">
        <v>0.995114006514658</v>
      </c>
      <c r="AE612" s="129">
        <v>0.985343855693348</v>
      </c>
      <c r="AF612" s="129">
        <v>0.9925</v>
      </c>
      <c r="AG612" s="129">
        <v>0.992457445724187</v>
      </c>
      <c r="AH612" s="131">
        <v>0.92</v>
      </c>
      <c r="AI612" s="129">
        <v>0.968939393939394</v>
      </c>
      <c r="AJ612" s="129">
        <v>0.964868701206529</v>
      </c>
      <c r="AK612" s="129">
        <v>0.969272237196765</v>
      </c>
      <c r="AL612" s="129">
        <v>0.966114007349799</v>
      </c>
      <c r="AM612" s="128">
        <v>0.99</v>
      </c>
      <c r="AN612" s="133">
        <v>1</v>
      </c>
      <c r="AO612" s="133">
        <v>1</v>
      </c>
      <c r="AP612" s="133">
        <v>1</v>
      </c>
      <c r="AQ612" s="133">
        <v>1</v>
      </c>
      <c r="AR612" s="153">
        <v>0.05</v>
      </c>
      <c r="AS612" s="137">
        <v>0.0625</v>
      </c>
      <c r="AT612" s="137">
        <v>0</v>
      </c>
      <c r="AU612" s="137">
        <v>0</v>
      </c>
      <c r="AV612" s="137">
        <v>0.0347222222222222</v>
      </c>
      <c r="AW612" s="93"/>
      <c r="AX612" s="91"/>
    </row>
    <row r="613" ht="14.5" spans="1:50">
      <c r="A613" s="89"/>
      <c r="B613" s="93"/>
      <c r="C613" s="148" t="s">
        <v>371</v>
      </c>
      <c r="D613" s="126" t="s">
        <v>372</v>
      </c>
      <c r="E613" s="149" t="s">
        <v>635</v>
      </c>
      <c r="F613" s="149" t="s">
        <v>635</v>
      </c>
      <c r="G613" s="149" t="s">
        <v>635</v>
      </c>
      <c r="H613" s="149" t="s">
        <v>635</v>
      </c>
      <c r="I613" s="128">
        <v>0.9</v>
      </c>
      <c r="J613" s="129">
        <v>0.814814814814815</v>
      </c>
      <c r="K613" s="129">
        <v>0.863636363636364</v>
      </c>
      <c r="L613" s="130">
        <v>0.772727272727273</v>
      </c>
      <c r="M613" s="129">
        <v>0.798076923076923</v>
      </c>
      <c r="N613" s="131">
        <v>0.9</v>
      </c>
      <c r="O613" s="129">
        <v>0</v>
      </c>
      <c r="P613" s="129" t="s">
        <v>33</v>
      </c>
      <c r="Q613" s="129" t="s">
        <v>33</v>
      </c>
      <c r="R613" s="129">
        <v>0</v>
      </c>
      <c r="S613" s="131">
        <v>0.9</v>
      </c>
      <c r="T613" s="129">
        <v>0</v>
      </c>
      <c r="U613" s="129" t="s">
        <v>33</v>
      </c>
      <c r="V613" s="129" t="s">
        <v>33</v>
      </c>
      <c r="W613" s="129">
        <v>0</v>
      </c>
      <c r="X613" s="131">
        <v>0.92</v>
      </c>
      <c r="Y613" s="131" t="s">
        <v>33</v>
      </c>
      <c r="Z613" s="131">
        <v>0</v>
      </c>
      <c r="AA613" s="131" t="s">
        <v>33</v>
      </c>
      <c r="AB613" s="131">
        <v>0.5</v>
      </c>
      <c r="AC613" s="131">
        <v>0.92</v>
      </c>
      <c r="AD613" s="129">
        <v>0.866666666666667</v>
      </c>
      <c r="AE613" s="129">
        <v>0.977777777777778</v>
      </c>
      <c r="AF613" s="129">
        <v>1</v>
      </c>
      <c r="AG613" s="129">
        <v>0.939481268011527</v>
      </c>
      <c r="AH613" s="131">
        <v>0.92</v>
      </c>
      <c r="AI613" s="129">
        <v>0.909491701244813</v>
      </c>
      <c r="AJ613" s="129">
        <v>0.877831159917639</v>
      </c>
      <c r="AK613" s="129">
        <v>0.82161629434954</v>
      </c>
      <c r="AL613" s="129">
        <v>0.899749826687163</v>
      </c>
      <c r="AM613" s="128">
        <v>0.99</v>
      </c>
      <c r="AN613" s="133">
        <v>1</v>
      </c>
      <c r="AO613" s="133">
        <v>1</v>
      </c>
      <c r="AP613" s="133">
        <v>1</v>
      </c>
      <c r="AQ613" s="133">
        <v>1</v>
      </c>
      <c r="AR613" s="153">
        <v>0.05</v>
      </c>
      <c r="AS613" s="137">
        <v>0.5</v>
      </c>
      <c r="AT613" s="137">
        <v>0.166666666666667</v>
      </c>
      <c r="AU613" s="137">
        <v>0.1</v>
      </c>
      <c r="AV613" s="137">
        <v>0.0747663551401869</v>
      </c>
      <c r="AW613" s="93"/>
      <c r="AX613" s="91"/>
    </row>
    <row r="614" ht="14.5" spans="1:50">
      <c r="A614" s="89"/>
      <c r="B614" s="93"/>
      <c r="C614" s="148" t="s">
        <v>371</v>
      </c>
      <c r="D614" s="126" t="s">
        <v>372</v>
      </c>
      <c r="E614" s="149" t="s">
        <v>636</v>
      </c>
      <c r="F614" s="149" t="s">
        <v>636</v>
      </c>
      <c r="G614" s="149" t="s">
        <v>636</v>
      </c>
      <c r="H614" s="149" t="s">
        <v>636</v>
      </c>
      <c r="I614" s="128">
        <v>0.9</v>
      </c>
      <c r="J614" s="129">
        <v>0.948453608247423</v>
      </c>
      <c r="K614" s="129">
        <v>0.946666666666667</v>
      </c>
      <c r="L614" s="130">
        <v>0.921348314606742</v>
      </c>
      <c r="M614" s="129">
        <v>0.943323727185399</v>
      </c>
      <c r="N614" s="131">
        <v>0.9</v>
      </c>
      <c r="O614" s="129">
        <v>0.777777777777778</v>
      </c>
      <c r="P614" s="129">
        <v>0.941176470588235</v>
      </c>
      <c r="Q614" s="129">
        <v>0.95</v>
      </c>
      <c r="R614" s="129">
        <v>0.94949494949495</v>
      </c>
      <c r="S614" s="131">
        <v>0.9</v>
      </c>
      <c r="T614" s="129">
        <v>0.518518518518518</v>
      </c>
      <c r="U614" s="129">
        <v>1</v>
      </c>
      <c r="V614" s="129">
        <v>0.95</v>
      </c>
      <c r="W614" s="129">
        <v>0.919191919191919</v>
      </c>
      <c r="X614" s="131">
        <v>0.92</v>
      </c>
      <c r="Y614" s="131">
        <v>0.0769230769230769</v>
      </c>
      <c r="Z614" s="131">
        <v>0.75</v>
      </c>
      <c r="AA614" s="131">
        <v>1</v>
      </c>
      <c r="AB614" s="131">
        <v>0.459459459459459</v>
      </c>
      <c r="AC614" s="131">
        <v>0.92</v>
      </c>
      <c r="AD614" s="129">
        <v>0.998174071819842</v>
      </c>
      <c r="AE614" s="129">
        <v>0.997057092407298</v>
      </c>
      <c r="AF614" s="129">
        <v>0.970396387355745</v>
      </c>
      <c r="AG614" s="129">
        <v>0.990051202281418</v>
      </c>
      <c r="AH614" s="131">
        <v>0.92</v>
      </c>
      <c r="AI614" s="129">
        <v>0.96009953663978</v>
      </c>
      <c r="AJ614" s="129">
        <v>0.952734896131122</v>
      </c>
      <c r="AK614" s="129">
        <v>0.954232232849943</v>
      </c>
      <c r="AL614" s="129">
        <v>0.957825931232092</v>
      </c>
      <c r="AM614" s="128">
        <v>0.99</v>
      </c>
      <c r="AN614" s="133">
        <v>1</v>
      </c>
      <c r="AO614" s="133">
        <v>1</v>
      </c>
      <c r="AP614" s="133">
        <v>1</v>
      </c>
      <c r="AQ614" s="133">
        <v>1</v>
      </c>
      <c r="AR614" s="153">
        <v>0.05</v>
      </c>
      <c r="AS614" s="137">
        <v>0.0625620655412115</v>
      </c>
      <c r="AT614" s="137">
        <v>0.0346878097125867</v>
      </c>
      <c r="AU614" s="137">
        <v>0.0798755186721992</v>
      </c>
      <c r="AV614" s="137">
        <v>0.0248051558752998</v>
      </c>
      <c r="AW614" s="93"/>
      <c r="AX614" s="91"/>
    </row>
    <row r="615" ht="14.5" spans="1:50">
      <c r="A615" s="89"/>
      <c r="B615" s="93"/>
      <c r="C615" s="148" t="s">
        <v>371</v>
      </c>
      <c r="D615" s="126" t="s">
        <v>372</v>
      </c>
      <c r="E615" s="149" t="s">
        <v>637</v>
      </c>
      <c r="F615" s="149" t="s">
        <v>637</v>
      </c>
      <c r="G615" s="149" t="s">
        <v>637</v>
      </c>
      <c r="H615" s="149" t="s">
        <v>637</v>
      </c>
      <c r="I615" s="128">
        <v>0.9</v>
      </c>
      <c r="J615" s="129">
        <v>0.909090909090909</v>
      </c>
      <c r="K615" s="129">
        <v>1</v>
      </c>
      <c r="L615" s="130">
        <v>0.947368421052632</v>
      </c>
      <c r="M615" s="129">
        <v>0.965065502183406</v>
      </c>
      <c r="N615" s="131">
        <v>0.9</v>
      </c>
      <c r="O615" s="129">
        <v>0.953508771929825</v>
      </c>
      <c r="P615" s="129">
        <v>0.972557628979144</v>
      </c>
      <c r="Q615" s="129">
        <v>0.967297762478485</v>
      </c>
      <c r="R615" s="129">
        <v>0.962442288737874</v>
      </c>
      <c r="S615" s="131">
        <v>0.9</v>
      </c>
      <c r="T615" s="129">
        <v>0.887719298245614</v>
      </c>
      <c r="U615" s="129">
        <v>0.951701427003293</v>
      </c>
      <c r="V615" s="129">
        <v>0.921973608720597</v>
      </c>
      <c r="W615" s="129">
        <v>0.914665144991441</v>
      </c>
      <c r="X615" s="131">
        <v>0.92</v>
      </c>
      <c r="Y615" s="131">
        <v>0.952983725135624</v>
      </c>
      <c r="Z615" s="131">
        <v>0.958646616541353</v>
      </c>
      <c r="AA615" s="131">
        <v>0.933333333333333</v>
      </c>
      <c r="AB615" s="131">
        <v>0.957313245448839</v>
      </c>
      <c r="AC615" s="131">
        <v>0.92</v>
      </c>
      <c r="AD615" s="129">
        <v>0.984126984126984</v>
      </c>
      <c r="AE615" s="129">
        <v>0.972602739726027</v>
      </c>
      <c r="AF615" s="129">
        <v>0.950819672131147</v>
      </c>
      <c r="AG615" s="129">
        <v>0.967670011148272</v>
      </c>
      <c r="AH615" s="131">
        <v>0.92</v>
      </c>
      <c r="AI615" s="129">
        <v>0.972506168487839</v>
      </c>
      <c r="AJ615" s="129">
        <v>0.970934256055363</v>
      </c>
      <c r="AK615" s="129">
        <v>0.978478478478478</v>
      </c>
      <c r="AL615" s="129">
        <v>0.976154295733489</v>
      </c>
      <c r="AM615" s="128">
        <v>0.99</v>
      </c>
      <c r="AN615" s="133">
        <v>1</v>
      </c>
      <c r="AO615" s="133">
        <v>1</v>
      </c>
      <c r="AP615" s="133">
        <v>1</v>
      </c>
      <c r="AQ615" s="133">
        <v>1</v>
      </c>
      <c r="AR615" s="153">
        <v>0.05</v>
      </c>
      <c r="AS615" s="137">
        <v>0</v>
      </c>
      <c r="AT615" s="137">
        <v>0</v>
      </c>
      <c r="AU615" s="137">
        <v>0</v>
      </c>
      <c r="AV615" s="137">
        <v>0.157894736842105</v>
      </c>
      <c r="AW615" s="93"/>
      <c r="AX615" s="91"/>
    </row>
    <row r="616" ht="14.5" spans="1:50">
      <c r="A616" s="89"/>
      <c r="B616" s="93"/>
      <c r="C616" s="148" t="s">
        <v>371</v>
      </c>
      <c r="D616" s="126" t="s">
        <v>372</v>
      </c>
      <c r="E616" s="149" t="s">
        <v>638</v>
      </c>
      <c r="F616" s="149" t="s">
        <v>638</v>
      </c>
      <c r="G616" s="149" t="s">
        <v>638</v>
      </c>
      <c r="H616" s="149" t="s">
        <v>638</v>
      </c>
      <c r="I616" s="128">
        <v>0.9</v>
      </c>
      <c r="J616" s="129">
        <v>0.852941176470588</v>
      </c>
      <c r="K616" s="129">
        <v>0.875</v>
      </c>
      <c r="L616" s="130">
        <v>0.846938775510204</v>
      </c>
      <c r="M616" s="129">
        <v>0.893805309734513</v>
      </c>
      <c r="N616" s="131">
        <v>0.9</v>
      </c>
      <c r="O616" s="129">
        <v>0.0769230769230769</v>
      </c>
      <c r="P616" s="129">
        <v>0.333333333333333</v>
      </c>
      <c r="Q616" s="129" t="s">
        <v>33</v>
      </c>
      <c r="R616" s="129">
        <v>0.582089552238806</v>
      </c>
      <c r="S616" s="131">
        <v>0.9</v>
      </c>
      <c r="T616" s="129">
        <v>0.153846153846154</v>
      </c>
      <c r="U616" s="129">
        <v>0.833333333333333</v>
      </c>
      <c r="V616" s="129" t="s">
        <v>33</v>
      </c>
      <c r="W616" s="129">
        <v>0.686567164179104</v>
      </c>
      <c r="X616" s="131">
        <v>0.92</v>
      </c>
      <c r="Y616" s="131">
        <v>0.428571428571429</v>
      </c>
      <c r="Z616" s="131">
        <v>1</v>
      </c>
      <c r="AA616" s="131">
        <v>0.888888888888889</v>
      </c>
      <c r="AB616" s="131">
        <v>0.78125</v>
      </c>
      <c r="AC616" s="131">
        <v>0.92</v>
      </c>
      <c r="AD616" s="129">
        <v>0.998268398268398</v>
      </c>
      <c r="AE616" s="129">
        <v>0.995501574448943</v>
      </c>
      <c r="AF616" s="129">
        <v>0.998265394622723</v>
      </c>
      <c r="AG616" s="129">
        <v>0.996498172959805</v>
      </c>
      <c r="AH616" s="131">
        <v>0.92</v>
      </c>
      <c r="AI616" s="129">
        <v>0.969509043927649</v>
      </c>
      <c r="AJ616" s="129">
        <v>0.974599386293897</v>
      </c>
      <c r="AK616" s="129">
        <v>0.973544497435436</v>
      </c>
      <c r="AL616" s="129">
        <v>0.97711934569357</v>
      </c>
      <c r="AM616" s="128">
        <v>0.99</v>
      </c>
      <c r="AN616" s="133">
        <v>1</v>
      </c>
      <c r="AO616" s="133">
        <v>1</v>
      </c>
      <c r="AP616" s="133">
        <v>1</v>
      </c>
      <c r="AQ616" s="133">
        <v>1</v>
      </c>
      <c r="AR616" s="153">
        <v>0.05</v>
      </c>
      <c r="AS616" s="137">
        <v>0.0100334448160535</v>
      </c>
      <c r="AT616" s="137">
        <v>0.0100200400801603</v>
      </c>
      <c r="AU616" s="137">
        <v>0.0019047619047619</v>
      </c>
      <c r="AV616" s="137">
        <v>0.00618301731244847</v>
      </c>
      <c r="AW616" s="93"/>
      <c r="AX616" s="91"/>
    </row>
    <row r="617" ht="14.5" spans="1:50">
      <c r="A617" s="89"/>
      <c r="B617" s="93"/>
      <c r="C617" s="148" t="s">
        <v>371</v>
      </c>
      <c r="D617" s="126" t="s">
        <v>372</v>
      </c>
      <c r="E617" s="149" t="s">
        <v>639</v>
      </c>
      <c r="F617" s="149" t="s">
        <v>639</v>
      </c>
      <c r="G617" s="149" t="s">
        <v>639</v>
      </c>
      <c r="H617" s="149" t="s">
        <v>639</v>
      </c>
      <c r="I617" s="128">
        <v>0.9</v>
      </c>
      <c r="J617" s="129">
        <v>0.990291262135922</v>
      </c>
      <c r="K617" s="129">
        <v>1</v>
      </c>
      <c r="L617" s="130">
        <v>1</v>
      </c>
      <c r="M617" s="129">
        <v>0.998139534883721</v>
      </c>
      <c r="N617" s="131">
        <v>0.9</v>
      </c>
      <c r="O617" s="129">
        <v>0.989680792515135</v>
      </c>
      <c r="P617" s="129">
        <v>0.995624696159455</v>
      </c>
      <c r="Q617" s="129">
        <v>0.994741966893866</v>
      </c>
      <c r="R617" s="129">
        <v>0.992405447825427</v>
      </c>
      <c r="S617" s="131">
        <v>0.9</v>
      </c>
      <c r="T617" s="129">
        <v>0.9489543203082</v>
      </c>
      <c r="U617" s="129">
        <v>0.971560525036461</v>
      </c>
      <c r="V617" s="129">
        <v>0.948393378773126</v>
      </c>
      <c r="W617" s="129">
        <v>0.950534150169612</v>
      </c>
      <c r="X617" s="131">
        <v>0.92</v>
      </c>
      <c r="Y617" s="131">
        <v>0.968640396121312</v>
      </c>
      <c r="Z617" s="131">
        <v>0.97035779576913</v>
      </c>
      <c r="AA617" s="131">
        <v>0.972762645914397</v>
      </c>
      <c r="AB617" s="131">
        <v>0.966439815769574</v>
      </c>
      <c r="AC617" s="131">
        <v>0.92</v>
      </c>
      <c r="AD617" s="129">
        <v>0.999141460837406</v>
      </c>
      <c r="AE617" s="129">
        <v>0.995354098493112</v>
      </c>
      <c r="AF617" s="129">
        <v>0.991504583053879</v>
      </c>
      <c r="AG617" s="129">
        <v>0.996749622967153</v>
      </c>
      <c r="AH617" s="131">
        <v>0.92</v>
      </c>
      <c r="AI617" s="129">
        <v>0.97549504950495</v>
      </c>
      <c r="AJ617" s="129">
        <v>0.978607809847199</v>
      </c>
      <c r="AK617" s="129">
        <v>0.984426329237133</v>
      </c>
      <c r="AL617" s="129">
        <v>0.975998606419559</v>
      </c>
      <c r="AM617" s="128">
        <v>0.99</v>
      </c>
      <c r="AN617" s="133">
        <v>1</v>
      </c>
      <c r="AO617" s="133">
        <v>1</v>
      </c>
      <c r="AP617" s="133">
        <v>1</v>
      </c>
      <c r="AQ617" s="133">
        <v>1</v>
      </c>
      <c r="AR617" s="153">
        <v>0.05</v>
      </c>
      <c r="AS617" s="137">
        <v>0</v>
      </c>
      <c r="AT617" s="137">
        <v>0.0645161290322581</v>
      </c>
      <c r="AU617" s="137">
        <v>0.176470588235294</v>
      </c>
      <c r="AV617" s="137">
        <v>0.0435967302452316</v>
      </c>
      <c r="AW617" s="93"/>
      <c r="AX617" s="91"/>
    </row>
    <row r="618" ht="14.5" spans="1:50">
      <c r="A618" s="89"/>
      <c r="B618" s="93"/>
      <c r="C618" s="148" t="s">
        <v>371</v>
      </c>
      <c r="D618" s="126" t="s">
        <v>372</v>
      </c>
      <c r="E618" s="149" t="s">
        <v>640</v>
      </c>
      <c r="F618" s="149" t="s">
        <v>640</v>
      </c>
      <c r="G618" s="149" t="s">
        <v>640</v>
      </c>
      <c r="H618" s="149" t="s">
        <v>640</v>
      </c>
      <c r="I618" s="128">
        <v>0.9</v>
      </c>
      <c r="J618" s="129">
        <v>1</v>
      </c>
      <c r="K618" s="129">
        <v>0.978723404255319</v>
      </c>
      <c r="L618" s="130">
        <v>1</v>
      </c>
      <c r="M618" s="129">
        <v>0.972689075630252</v>
      </c>
      <c r="N618" s="131">
        <v>0.9</v>
      </c>
      <c r="O618" s="129">
        <v>0.990157480314961</v>
      </c>
      <c r="P618" s="129">
        <v>0.996319018404908</v>
      </c>
      <c r="Q618" s="129">
        <v>0.994614003590664</v>
      </c>
      <c r="R618" s="129">
        <v>0.982834994462901</v>
      </c>
      <c r="S618" s="131">
        <v>0.9</v>
      </c>
      <c r="T618" s="129">
        <v>0.915354330708661</v>
      </c>
      <c r="U618" s="129">
        <v>0.936605316973415</v>
      </c>
      <c r="V618" s="129">
        <v>0.897666068222621</v>
      </c>
      <c r="W618" s="129">
        <v>0.89905869324474</v>
      </c>
      <c r="X618" s="131">
        <v>0.92</v>
      </c>
      <c r="Y618" s="131">
        <v>0.944067119456652</v>
      </c>
      <c r="Z618" s="131">
        <v>0.945721271393643</v>
      </c>
      <c r="AA618" s="131">
        <v>0.946922642574817</v>
      </c>
      <c r="AB618" s="131">
        <v>0.933304704903513</v>
      </c>
      <c r="AC618" s="131">
        <v>0.92</v>
      </c>
      <c r="AD618" s="129">
        <v>0.997502132326063</v>
      </c>
      <c r="AE618" s="129">
        <v>0.997837800734461</v>
      </c>
      <c r="AF618" s="129">
        <v>0.995427174355956</v>
      </c>
      <c r="AG618" s="129">
        <v>0.963002822362232</v>
      </c>
      <c r="AH618" s="131">
        <v>0.92</v>
      </c>
      <c r="AI618" s="129">
        <v>0.962551377683057</v>
      </c>
      <c r="AJ618" s="129">
        <v>0.960862253478061</v>
      </c>
      <c r="AK618" s="129">
        <v>0.966432645897323</v>
      </c>
      <c r="AL618" s="129">
        <v>0.954512025712963</v>
      </c>
      <c r="AM618" s="128">
        <v>0.99</v>
      </c>
      <c r="AN618" s="133">
        <v>1</v>
      </c>
      <c r="AO618" s="133">
        <v>1</v>
      </c>
      <c r="AP618" s="133">
        <v>1</v>
      </c>
      <c r="AQ618" s="133">
        <v>1</v>
      </c>
      <c r="AR618" s="153">
        <v>0.05</v>
      </c>
      <c r="AS618" s="137">
        <v>0.0294117647058824</v>
      </c>
      <c r="AT618" s="137">
        <v>0.166666666666667</v>
      </c>
      <c r="AU618" s="137">
        <v>0.127659574468085</v>
      </c>
      <c r="AV618" s="137">
        <v>0.0542763157894737</v>
      </c>
      <c r="AW618" s="93"/>
      <c r="AX618" s="91"/>
    </row>
    <row r="619" ht="14.5" spans="1:50">
      <c r="A619" s="89"/>
      <c r="B619" s="93"/>
      <c r="C619" s="148" t="s">
        <v>371</v>
      </c>
      <c r="D619" s="126" t="s">
        <v>372</v>
      </c>
      <c r="E619" s="149" t="s">
        <v>641</v>
      </c>
      <c r="F619" s="149" t="s">
        <v>641</v>
      </c>
      <c r="G619" s="149" t="s">
        <v>641</v>
      </c>
      <c r="H619" s="149" t="s">
        <v>641</v>
      </c>
      <c r="I619" s="128">
        <v>0.9</v>
      </c>
      <c r="J619" s="129">
        <v>0.928571428571429</v>
      </c>
      <c r="K619" s="129">
        <v>0.902173913043478</v>
      </c>
      <c r="L619" s="130">
        <v>0.896103896103896</v>
      </c>
      <c r="M619" s="129">
        <v>0.87624750499002</v>
      </c>
      <c r="N619" s="131">
        <v>0.9</v>
      </c>
      <c r="O619" s="129">
        <v>0.973048941798942</v>
      </c>
      <c r="P619" s="129">
        <v>0.991158014831717</v>
      </c>
      <c r="Q619" s="129">
        <v>0.959963809092965</v>
      </c>
      <c r="R619" s="129">
        <v>0.976450735914503</v>
      </c>
      <c r="S619" s="131">
        <v>0.9</v>
      </c>
      <c r="T619" s="129">
        <v>0.913359788359788</v>
      </c>
      <c r="U619" s="129">
        <v>0.929264118653736</v>
      </c>
      <c r="V619" s="129">
        <v>0.863831712282289</v>
      </c>
      <c r="W619" s="129">
        <v>0.895959501265585</v>
      </c>
      <c r="X619" s="131">
        <v>0.92</v>
      </c>
      <c r="Y619" s="131">
        <v>0.936165106791457</v>
      </c>
      <c r="Z619" s="131">
        <v>0.946379468377635</v>
      </c>
      <c r="AA619" s="131">
        <v>0.918743228602384</v>
      </c>
      <c r="AB619" s="131">
        <v>0.933909322800955</v>
      </c>
      <c r="AC619" s="131">
        <v>0.92</v>
      </c>
      <c r="AD619" s="129">
        <v>0.987965876285316</v>
      </c>
      <c r="AE619" s="129">
        <v>0.887883475874953</v>
      </c>
      <c r="AF619" s="129">
        <v>0.986421652937449</v>
      </c>
      <c r="AG619" s="129">
        <v>0.949041782729805</v>
      </c>
      <c r="AH619" s="131">
        <v>0.92</v>
      </c>
      <c r="AI619" s="129">
        <v>0.960649960845732</v>
      </c>
      <c r="AJ619" s="129">
        <v>0.961515513126492</v>
      </c>
      <c r="AK619" s="129">
        <v>0.947017104714226</v>
      </c>
      <c r="AL619" s="129">
        <v>0.95448093368849</v>
      </c>
      <c r="AM619" s="128">
        <v>0.99</v>
      </c>
      <c r="AN619" s="133">
        <v>1</v>
      </c>
      <c r="AO619" s="133">
        <v>1</v>
      </c>
      <c r="AP619" s="133">
        <v>0.993421052631579</v>
      </c>
      <c r="AQ619" s="133">
        <v>0.999351911860013</v>
      </c>
      <c r="AR619" s="153">
        <v>0.05</v>
      </c>
      <c r="AS619" s="137">
        <v>0.108108108108108</v>
      </c>
      <c r="AT619" s="137">
        <v>0.113636363636364</v>
      </c>
      <c r="AU619" s="137">
        <v>0.173913043478261</v>
      </c>
      <c r="AV619" s="137">
        <v>0.0688172043010753</v>
      </c>
      <c r="AW619" s="93"/>
      <c r="AX619" s="91"/>
    </row>
    <row r="620" ht="14.5" spans="1:50">
      <c r="A620" s="89"/>
      <c r="B620" s="93"/>
      <c r="C620" s="148" t="s">
        <v>371</v>
      </c>
      <c r="D620" s="126" t="s">
        <v>372</v>
      </c>
      <c r="E620" s="149" t="s">
        <v>642</v>
      </c>
      <c r="F620" s="149" t="s">
        <v>642</v>
      </c>
      <c r="G620" s="149" t="s">
        <v>642</v>
      </c>
      <c r="H620" s="149" t="s">
        <v>642</v>
      </c>
      <c r="I620" s="128">
        <v>0.9</v>
      </c>
      <c r="J620" s="129">
        <v>0.9</v>
      </c>
      <c r="K620" s="129">
        <v>0.948717948717949</v>
      </c>
      <c r="L620" s="130">
        <v>0.945945945945946</v>
      </c>
      <c r="M620" s="129">
        <v>0.950561797752809</v>
      </c>
      <c r="N620" s="131">
        <v>0.9</v>
      </c>
      <c r="O620" s="129">
        <v>0.993761696818465</v>
      </c>
      <c r="P620" s="129">
        <v>0.997327632282202</v>
      </c>
      <c r="Q620" s="129">
        <v>0.982180738226559</v>
      </c>
      <c r="R620" s="129">
        <v>0.990416902471232</v>
      </c>
      <c r="S620" s="131">
        <v>0.9</v>
      </c>
      <c r="T620" s="129">
        <v>0.944479101684342</v>
      </c>
      <c r="U620" s="129">
        <v>0.963121325494388</v>
      </c>
      <c r="V620" s="129">
        <v>0.96011879507849</v>
      </c>
      <c r="W620" s="129">
        <v>0.959139784946237</v>
      </c>
      <c r="X620" s="131">
        <v>0.92</v>
      </c>
      <c r="Y620" s="131">
        <v>0.938957816377171</v>
      </c>
      <c r="Z620" s="131">
        <v>0.927379784102061</v>
      </c>
      <c r="AA620" s="131">
        <v>0.94440031771247</v>
      </c>
      <c r="AB620" s="131">
        <v>0.939199661828942</v>
      </c>
      <c r="AC620" s="131">
        <v>0.92</v>
      </c>
      <c r="AD620" s="129">
        <v>0.966602927601213</v>
      </c>
      <c r="AE620" s="129">
        <v>0.987285123858162</v>
      </c>
      <c r="AF620" s="129">
        <v>0.987109664529019</v>
      </c>
      <c r="AG620" s="129">
        <v>0.973531122061008</v>
      </c>
      <c r="AH620" s="131">
        <v>0.92</v>
      </c>
      <c r="AI620" s="129">
        <v>0.959410300593529</v>
      </c>
      <c r="AJ620" s="129">
        <v>0.949482653682288</v>
      </c>
      <c r="AK620" s="129">
        <v>0.972068584070796</v>
      </c>
      <c r="AL620" s="129">
        <v>0.961642089932642</v>
      </c>
      <c r="AM620" s="128">
        <v>0.99</v>
      </c>
      <c r="AN620" s="133">
        <v>1</v>
      </c>
      <c r="AO620" s="133">
        <v>1</v>
      </c>
      <c r="AP620" s="133">
        <v>1</v>
      </c>
      <c r="AQ620" s="133">
        <v>1</v>
      </c>
      <c r="AR620" s="153">
        <v>0.05</v>
      </c>
      <c r="AS620" s="137">
        <v>0</v>
      </c>
      <c r="AT620" s="137">
        <v>0</v>
      </c>
      <c r="AU620" s="137">
        <v>0.142857142857143</v>
      </c>
      <c r="AV620" s="137">
        <v>0.0652173913043478</v>
      </c>
      <c r="AW620" s="93"/>
      <c r="AX620" s="91"/>
    </row>
    <row r="621" ht="14.5" spans="1:50">
      <c r="A621" s="89"/>
      <c r="B621" s="93"/>
      <c r="C621" s="148" t="s">
        <v>371</v>
      </c>
      <c r="D621" s="126" t="s">
        <v>372</v>
      </c>
      <c r="E621" s="149" t="s">
        <v>643</v>
      </c>
      <c r="F621" s="149" t="s">
        <v>643</v>
      </c>
      <c r="G621" s="149" t="s">
        <v>643</v>
      </c>
      <c r="H621" s="149" t="s">
        <v>643</v>
      </c>
      <c r="I621" s="128">
        <v>0.9</v>
      </c>
      <c r="J621" s="129">
        <v>0.98</v>
      </c>
      <c r="K621" s="129">
        <v>0.96078431372549</v>
      </c>
      <c r="L621" s="130">
        <v>0.95</v>
      </c>
      <c r="M621" s="129">
        <v>0.95910780669145</v>
      </c>
      <c r="N621" s="131">
        <v>0.9</v>
      </c>
      <c r="O621" s="129">
        <v>0.955886124647345</v>
      </c>
      <c r="P621" s="129">
        <v>0.974865350089767</v>
      </c>
      <c r="Q621" s="129">
        <v>0.965244322092223</v>
      </c>
      <c r="R621" s="129">
        <v>0.967143516382095</v>
      </c>
      <c r="S621" s="131">
        <v>0.9</v>
      </c>
      <c r="T621" s="129">
        <v>0.922544242113362</v>
      </c>
      <c r="U621" s="129">
        <v>0.921454219030521</v>
      </c>
      <c r="V621" s="129">
        <v>0.909153475567791</v>
      </c>
      <c r="W621" s="129">
        <v>0.928472542685741</v>
      </c>
      <c r="X621" s="131">
        <v>0.92</v>
      </c>
      <c r="Y621" s="131">
        <v>0.933699489996077</v>
      </c>
      <c r="Z621" s="131">
        <v>0.947382407653468</v>
      </c>
      <c r="AA621" s="131">
        <v>0.916152897657213</v>
      </c>
      <c r="AB621" s="131">
        <v>0.9368441189331</v>
      </c>
      <c r="AC621" s="131">
        <v>0.92</v>
      </c>
      <c r="AD621" s="129">
        <v>0.995646102029081</v>
      </c>
      <c r="AE621" s="129">
        <v>0.979549868616474</v>
      </c>
      <c r="AF621" s="129">
        <v>0.986623963828184</v>
      </c>
      <c r="AG621" s="129">
        <v>0.987591763197373</v>
      </c>
      <c r="AH621" s="131">
        <v>0.92</v>
      </c>
      <c r="AI621" s="129">
        <v>0.957842529448233</v>
      </c>
      <c r="AJ621" s="129">
        <v>0.961628294961628</v>
      </c>
      <c r="AK621" s="129">
        <v>0.953180212014134</v>
      </c>
      <c r="AL621" s="129">
        <v>0.957461585207049</v>
      </c>
      <c r="AM621" s="128">
        <v>0.99</v>
      </c>
      <c r="AN621" s="133">
        <v>1</v>
      </c>
      <c r="AO621" s="133">
        <v>1</v>
      </c>
      <c r="AP621" s="133">
        <v>1</v>
      </c>
      <c r="AQ621" s="133">
        <v>1</v>
      </c>
      <c r="AR621" s="153">
        <v>0.05</v>
      </c>
      <c r="AS621" s="137">
        <v>0</v>
      </c>
      <c r="AT621" s="137">
        <v>0</v>
      </c>
      <c r="AU621" s="137">
        <v>0.333333333333333</v>
      </c>
      <c r="AV621" s="137">
        <v>0.0547945205479452</v>
      </c>
      <c r="AW621" s="93"/>
      <c r="AX621" s="91"/>
    </row>
    <row r="622" ht="14.5" spans="1:50">
      <c r="A622" s="89"/>
      <c r="B622" s="93"/>
      <c r="C622" s="148" t="s">
        <v>371</v>
      </c>
      <c r="D622" s="126" t="s">
        <v>372</v>
      </c>
      <c r="E622" s="149" t="s">
        <v>644</v>
      </c>
      <c r="F622" s="149" t="s">
        <v>644</v>
      </c>
      <c r="G622" s="149" t="s">
        <v>644</v>
      </c>
      <c r="H622" s="149" t="s">
        <v>644</v>
      </c>
      <c r="I622" s="128">
        <v>0.9</v>
      </c>
      <c r="J622" s="129">
        <v>0.983050847457627</v>
      </c>
      <c r="K622" s="129">
        <v>0.980392156862745</v>
      </c>
      <c r="L622" s="130">
        <v>0.9375</v>
      </c>
      <c r="M622" s="129">
        <v>0.969747899159664</v>
      </c>
      <c r="N622" s="131">
        <v>0.9</v>
      </c>
      <c r="O622" s="129">
        <v>0.978091426163893</v>
      </c>
      <c r="P622" s="129">
        <v>0.989373007438895</v>
      </c>
      <c r="Q622" s="129">
        <v>0.986686390532544</v>
      </c>
      <c r="R622" s="129">
        <v>0.980319535221496</v>
      </c>
      <c r="S622" s="131">
        <v>0.9</v>
      </c>
      <c r="T622" s="129">
        <v>0.916789551295555</v>
      </c>
      <c r="U622" s="129">
        <v>0.944739638682253</v>
      </c>
      <c r="V622" s="129">
        <v>0.934023668639053</v>
      </c>
      <c r="W622" s="129">
        <v>0.906172839506173</v>
      </c>
      <c r="X622" s="131">
        <v>0.92</v>
      </c>
      <c r="Y622" s="131">
        <v>0.967609955676781</v>
      </c>
      <c r="Z622" s="131">
        <v>0.950532877538709</v>
      </c>
      <c r="AA622" s="131">
        <v>0.950394065832174</v>
      </c>
      <c r="AB622" s="131">
        <v>0.939046196328739</v>
      </c>
      <c r="AC622" s="131">
        <v>0.92</v>
      </c>
      <c r="AD622" s="129">
        <v>0.995592048401037</v>
      </c>
      <c r="AE622" s="129">
        <v>0.885314685314685</v>
      </c>
      <c r="AF622" s="129">
        <v>0.996159164234137</v>
      </c>
      <c r="AG622" s="129">
        <v>0.970576916909855</v>
      </c>
      <c r="AH622" s="131">
        <v>0.92</v>
      </c>
      <c r="AI622" s="129">
        <v>0.970703125</v>
      </c>
      <c r="AJ622" s="129">
        <v>0.962317354524481</v>
      </c>
      <c r="AK622" s="129">
        <v>0.972548311359942</v>
      </c>
      <c r="AL622" s="129">
        <v>0.95646276004818</v>
      </c>
      <c r="AM622" s="128">
        <v>0.99</v>
      </c>
      <c r="AN622" s="133">
        <v>1</v>
      </c>
      <c r="AO622" s="133">
        <v>1</v>
      </c>
      <c r="AP622" s="133">
        <v>1</v>
      </c>
      <c r="AQ622" s="133">
        <v>1</v>
      </c>
      <c r="AR622" s="153">
        <v>0.05</v>
      </c>
      <c r="AS622" s="137">
        <v>0.0263157894736842</v>
      </c>
      <c r="AT622" s="137">
        <v>0.219512195121951</v>
      </c>
      <c r="AU622" s="137">
        <v>0.244444444444444</v>
      </c>
      <c r="AV622" s="137">
        <v>0.0823117338003503</v>
      </c>
      <c r="AW622" s="93"/>
      <c r="AX622" s="91"/>
    </row>
    <row r="623" ht="14.5" spans="1:50">
      <c r="A623" s="89"/>
      <c r="B623" s="93"/>
      <c r="C623" s="148" t="s">
        <v>371</v>
      </c>
      <c r="D623" s="126" t="s">
        <v>372</v>
      </c>
      <c r="E623" s="149" t="s">
        <v>645</v>
      </c>
      <c r="F623" s="149" t="s">
        <v>645</v>
      </c>
      <c r="G623" s="149" t="s">
        <v>645</v>
      </c>
      <c r="H623" s="149" t="s">
        <v>645</v>
      </c>
      <c r="I623" s="128">
        <v>0.9</v>
      </c>
      <c r="J623" s="129">
        <v>1</v>
      </c>
      <c r="K623" s="129">
        <v>1</v>
      </c>
      <c r="L623" s="130">
        <v>1</v>
      </c>
      <c r="M623" s="129">
        <v>0.998223801065719</v>
      </c>
      <c r="N623" s="131">
        <v>0.9</v>
      </c>
      <c r="O623" s="129">
        <v>0.982940291018565</v>
      </c>
      <c r="P623" s="129">
        <v>0.987356775977874</v>
      </c>
      <c r="Q623" s="129">
        <v>0.978791092258749</v>
      </c>
      <c r="R623" s="129">
        <v>0.98094020735691</v>
      </c>
      <c r="S623" s="131">
        <v>0.9</v>
      </c>
      <c r="T623" s="129">
        <v>0.966382338183643</v>
      </c>
      <c r="U623" s="129">
        <v>0.967206637692612</v>
      </c>
      <c r="V623" s="129">
        <v>0.976670201484624</v>
      </c>
      <c r="W623" s="129">
        <v>0.968726033233916</v>
      </c>
      <c r="X623" s="131">
        <v>0.92</v>
      </c>
      <c r="Y623" s="131">
        <v>0.970647366304785</v>
      </c>
      <c r="Z623" s="131">
        <v>0.983350409836066</v>
      </c>
      <c r="AA623" s="131">
        <v>0.983132530120482</v>
      </c>
      <c r="AB623" s="131">
        <v>0.982516556291391</v>
      </c>
      <c r="AC623" s="131">
        <v>0.92</v>
      </c>
      <c r="AD623" s="129">
        <v>0.984208226702453</v>
      </c>
      <c r="AE623" s="129">
        <v>0.991922759035239</v>
      </c>
      <c r="AF623" s="129">
        <v>0.992618756509532</v>
      </c>
      <c r="AG623" s="129">
        <v>0.989864987478677</v>
      </c>
      <c r="AH623" s="131">
        <v>0.92</v>
      </c>
      <c r="AI623" s="129">
        <v>0.982090473984869</v>
      </c>
      <c r="AJ623" s="129">
        <v>0.988668115492083</v>
      </c>
      <c r="AK623" s="129">
        <v>0.989977728285078</v>
      </c>
      <c r="AL623" s="129">
        <v>0.988577689515853</v>
      </c>
      <c r="AM623" s="128">
        <v>0.99</v>
      </c>
      <c r="AN623" s="133">
        <v>1</v>
      </c>
      <c r="AO623" s="133">
        <v>1</v>
      </c>
      <c r="AP623" s="133">
        <v>1</v>
      </c>
      <c r="AQ623" s="133">
        <v>1</v>
      </c>
      <c r="AR623" s="153">
        <v>0.05</v>
      </c>
      <c r="AS623" s="137">
        <v>0.00307692307692308</v>
      </c>
      <c r="AT623" s="137">
        <v>0.00598802395209581</v>
      </c>
      <c r="AU623" s="137">
        <v>0.00364963503649635</v>
      </c>
      <c r="AV623" s="137">
        <v>0.00354609929078014</v>
      </c>
      <c r="AW623" s="93"/>
      <c r="AX623" s="91"/>
    </row>
    <row r="624" ht="14.5" spans="1:50">
      <c r="A624" s="89"/>
      <c r="B624" s="93"/>
      <c r="C624" s="148" t="s">
        <v>371</v>
      </c>
      <c r="D624" s="126" t="s">
        <v>372</v>
      </c>
      <c r="E624" s="149" t="s">
        <v>646</v>
      </c>
      <c r="F624" s="149" t="s">
        <v>646</v>
      </c>
      <c r="G624" s="149" t="s">
        <v>646</v>
      </c>
      <c r="H624" s="149" t="s">
        <v>646</v>
      </c>
      <c r="I624" s="128">
        <v>0.9</v>
      </c>
      <c r="J624" s="129">
        <v>1</v>
      </c>
      <c r="K624" s="129">
        <v>1</v>
      </c>
      <c r="L624" s="130">
        <v>1</v>
      </c>
      <c r="M624" s="129">
        <v>1</v>
      </c>
      <c r="N624" s="131">
        <v>0.9</v>
      </c>
      <c r="O624" s="129">
        <v>0.983831282952548</v>
      </c>
      <c r="P624" s="129">
        <v>0.972400513478819</v>
      </c>
      <c r="Q624" s="129">
        <v>0.985029940119761</v>
      </c>
      <c r="R624" s="129">
        <v>0.986149353358365</v>
      </c>
      <c r="S624" s="131">
        <v>0.9</v>
      </c>
      <c r="T624" s="129">
        <v>0.951845342706503</v>
      </c>
      <c r="U624" s="129">
        <v>0.957637997432606</v>
      </c>
      <c r="V624" s="129">
        <v>0.963073852295409</v>
      </c>
      <c r="W624" s="129">
        <v>0.963037129745515</v>
      </c>
      <c r="X624" s="131">
        <v>0.92</v>
      </c>
      <c r="Y624" s="131">
        <v>0.967778405879028</v>
      </c>
      <c r="Z624" s="131">
        <v>0.980026195153897</v>
      </c>
      <c r="AA624" s="131">
        <v>0.979678238780694</v>
      </c>
      <c r="AB624" s="131">
        <v>0.981078832169603</v>
      </c>
      <c r="AC624" s="131">
        <v>0.92</v>
      </c>
      <c r="AD624" s="129">
        <v>0.990527740189445</v>
      </c>
      <c r="AE624" s="129">
        <v>0.976772616136919</v>
      </c>
      <c r="AF624" s="129">
        <v>0.979127134724858</v>
      </c>
      <c r="AG624" s="129">
        <v>0.988153395212506</v>
      </c>
      <c r="AH624" s="131">
        <v>0.92</v>
      </c>
      <c r="AI624" s="129">
        <v>0.974864572047671</v>
      </c>
      <c r="AJ624" s="129">
        <v>0.983087597571553</v>
      </c>
      <c r="AK624" s="129">
        <v>0.984929356357928</v>
      </c>
      <c r="AL624" s="129">
        <v>0.986130213277028</v>
      </c>
      <c r="AM624" s="128">
        <v>0.99</v>
      </c>
      <c r="AN624" s="133">
        <v>1</v>
      </c>
      <c r="AO624" s="133">
        <v>1</v>
      </c>
      <c r="AP624" s="133">
        <v>1</v>
      </c>
      <c r="AQ624" s="133">
        <v>1</v>
      </c>
      <c r="AR624" s="153">
        <v>0.05</v>
      </c>
      <c r="AS624" s="137">
        <v>0</v>
      </c>
      <c r="AT624" s="137">
        <v>0.222222222222222</v>
      </c>
      <c r="AU624" s="137">
        <v>0.142857142857143</v>
      </c>
      <c r="AV624" s="137">
        <v>0.0628019323671498</v>
      </c>
      <c r="AW624" s="93"/>
      <c r="AX624" s="91"/>
    </row>
    <row r="625" ht="14.5" spans="1:50">
      <c r="A625" s="89"/>
      <c r="B625" s="93"/>
      <c r="C625" s="148" t="s">
        <v>371</v>
      </c>
      <c r="D625" s="126" t="s">
        <v>372</v>
      </c>
      <c r="E625" s="149" t="s">
        <v>647</v>
      </c>
      <c r="F625" s="149" t="s">
        <v>647</v>
      </c>
      <c r="G625" s="149" t="s">
        <v>647</v>
      </c>
      <c r="H625" s="149" t="s">
        <v>647</v>
      </c>
      <c r="I625" s="128">
        <v>0.9</v>
      </c>
      <c r="J625" s="129">
        <v>0.939393939393939</v>
      </c>
      <c r="K625" s="129">
        <v>0.846153846153846</v>
      </c>
      <c r="L625" s="130">
        <v>0.909090909090909</v>
      </c>
      <c r="M625" s="129">
        <v>0.83008356545961</v>
      </c>
      <c r="N625" s="131">
        <v>0.9</v>
      </c>
      <c r="O625" s="129">
        <v>0.97955293709929</v>
      </c>
      <c r="P625" s="129">
        <v>0.982908458864426</v>
      </c>
      <c r="Q625" s="129">
        <v>0.979127134724858</v>
      </c>
      <c r="R625" s="129">
        <v>0.976946270781859</v>
      </c>
      <c r="S625" s="131">
        <v>0.9</v>
      </c>
      <c r="T625" s="129">
        <v>0.943337376537862</v>
      </c>
      <c r="U625" s="129">
        <v>0.969293163383546</v>
      </c>
      <c r="V625" s="129">
        <v>0.931214421252372</v>
      </c>
      <c r="W625" s="129">
        <v>0.941433895891788</v>
      </c>
      <c r="X625" s="131">
        <v>0.92</v>
      </c>
      <c r="Y625" s="131">
        <v>0.910699700517288</v>
      </c>
      <c r="Z625" s="131">
        <v>0.908480429777437</v>
      </c>
      <c r="AA625" s="131">
        <v>0.831619537275064</v>
      </c>
      <c r="AB625" s="131">
        <v>0.876906318082789</v>
      </c>
      <c r="AC625" s="131">
        <v>0.92</v>
      </c>
      <c r="AD625" s="129">
        <v>0.994585363013566</v>
      </c>
      <c r="AE625" s="129">
        <v>0.96965691943389</v>
      </c>
      <c r="AF625" s="129">
        <v>0.988073543109383</v>
      </c>
      <c r="AG625" s="129">
        <v>0.97178083399682</v>
      </c>
      <c r="AH625" s="131">
        <v>0.92</v>
      </c>
      <c r="AI625" s="129">
        <v>0.953207706965912</v>
      </c>
      <c r="AJ625" s="129">
        <v>0.940253748558247</v>
      </c>
      <c r="AK625" s="129">
        <v>0.918535469107551</v>
      </c>
      <c r="AL625" s="129">
        <v>0.927308248031095</v>
      </c>
      <c r="AM625" s="128">
        <v>0.99</v>
      </c>
      <c r="AN625" s="133">
        <v>1</v>
      </c>
      <c r="AO625" s="133">
        <v>1</v>
      </c>
      <c r="AP625" s="133">
        <v>1</v>
      </c>
      <c r="AQ625" s="133">
        <v>1</v>
      </c>
      <c r="AR625" s="153">
        <v>0.05</v>
      </c>
      <c r="AS625" s="137">
        <v>0</v>
      </c>
      <c r="AT625" s="137">
        <v>0</v>
      </c>
      <c r="AU625" s="137">
        <v>0.166666666666667</v>
      </c>
      <c r="AV625" s="137">
        <v>0.0528169014084507</v>
      </c>
      <c r="AW625" s="93"/>
      <c r="AX625" s="91"/>
    </row>
    <row r="626" ht="14.5" spans="1:50">
      <c r="A626" s="89"/>
      <c r="B626" s="93"/>
      <c r="C626" s="148" t="s">
        <v>371</v>
      </c>
      <c r="D626" s="126" t="s">
        <v>372</v>
      </c>
      <c r="E626" s="149" t="s">
        <v>648</v>
      </c>
      <c r="F626" s="149" t="s">
        <v>648</v>
      </c>
      <c r="G626" s="149" t="s">
        <v>648</v>
      </c>
      <c r="H626" s="149" t="s">
        <v>648</v>
      </c>
      <c r="I626" s="128">
        <v>0.9</v>
      </c>
      <c r="J626" s="129">
        <v>0.923076923076923</v>
      </c>
      <c r="K626" s="129">
        <v>0.901639344262295</v>
      </c>
      <c r="L626" s="130">
        <v>0.822222222222222</v>
      </c>
      <c r="M626" s="129">
        <v>0.910355486862442</v>
      </c>
      <c r="N626" s="131">
        <v>0.9</v>
      </c>
      <c r="O626" s="129">
        <v>0.92021894178139</v>
      </c>
      <c r="P626" s="129">
        <v>0.98757120662869</v>
      </c>
      <c r="Q626" s="129">
        <v>0.984637153830604</v>
      </c>
      <c r="R626" s="129">
        <v>0.957404481891054</v>
      </c>
      <c r="S626" s="131">
        <v>0.9</v>
      </c>
      <c r="T626" s="129">
        <v>0.889202189417814</v>
      </c>
      <c r="U626" s="129">
        <v>0.931123770067323</v>
      </c>
      <c r="V626" s="129">
        <v>0.833030119264201</v>
      </c>
      <c r="W626" s="129">
        <v>0.898426072201744</v>
      </c>
      <c r="X626" s="131">
        <v>0.92</v>
      </c>
      <c r="Y626" s="131">
        <v>0.898387096774194</v>
      </c>
      <c r="Z626" s="131">
        <v>0.954319761668322</v>
      </c>
      <c r="AA626" s="131">
        <v>0.91327148043566</v>
      </c>
      <c r="AB626" s="131">
        <v>0.942050227511376</v>
      </c>
      <c r="AC626" s="131">
        <v>0.92</v>
      </c>
      <c r="AD626" s="129">
        <v>0.991514658807987</v>
      </c>
      <c r="AE626" s="129">
        <v>0.89323467230444</v>
      </c>
      <c r="AF626" s="129">
        <v>0.411120840630473</v>
      </c>
      <c r="AG626" s="129">
        <v>0.964705035366958</v>
      </c>
      <c r="AH626" s="131">
        <v>0.92</v>
      </c>
      <c r="AI626" s="129">
        <v>0.940024077924921</v>
      </c>
      <c r="AJ626" s="129">
        <v>0.963511844616594</v>
      </c>
      <c r="AK626" s="129">
        <v>0.945738521610341</v>
      </c>
      <c r="AL626" s="129">
        <v>0.95619422518085</v>
      </c>
      <c r="AM626" s="128">
        <v>0.99</v>
      </c>
      <c r="AN626" s="133">
        <v>1</v>
      </c>
      <c r="AO626" s="133">
        <v>1</v>
      </c>
      <c r="AP626" s="133">
        <v>1</v>
      </c>
      <c r="AQ626" s="133">
        <v>1</v>
      </c>
      <c r="AR626" s="153">
        <v>0.05</v>
      </c>
      <c r="AS626" s="137">
        <v>0.0217391304347826</v>
      </c>
      <c r="AT626" s="137">
        <v>0.111111111111111</v>
      </c>
      <c r="AU626" s="137">
        <v>0.0350877192982456</v>
      </c>
      <c r="AV626" s="137">
        <v>0.0415472779369628</v>
      </c>
      <c r="AW626" s="93"/>
      <c r="AX626" s="91"/>
    </row>
    <row r="627" ht="14.5" spans="1:50">
      <c r="A627" s="89"/>
      <c r="B627" s="93"/>
      <c r="C627" s="148" t="s">
        <v>371</v>
      </c>
      <c r="D627" s="126" t="s">
        <v>372</v>
      </c>
      <c r="E627" s="149" t="s">
        <v>649</v>
      </c>
      <c r="F627" s="149" t="s">
        <v>649</v>
      </c>
      <c r="G627" s="149" t="s">
        <v>649</v>
      </c>
      <c r="H627" s="149" t="s">
        <v>649</v>
      </c>
      <c r="I627" s="128">
        <v>0.9</v>
      </c>
      <c r="J627" s="129">
        <v>1</v>
      </c>
      <c r="K627" s="129">
        <v>0.972972972972973</v>
      </c>
      <c r="L627" s="130">
        <v>0.973684210526316</v>
      </c>
      <c r="M627" s="129">
        <v>0.973947895791583</v>
      </c>
      <c r="N627" s="131">
        <v>0.9</v>
      </c>
      <c r="O627" s="129">
        <v>0.943950930626058</v>
      </c>
      <c r="P627" s="129">
        <v>0.954094940010433</v>
      </c>
      <c r="Q627" s="129">
        <v>0.972187886279357</v>
      </c>
      <c r="R627" s="129">
        <v>0.970564141772705</v>
      </c>
      <c r="S627" s="131">
        <v>0.9</v>
      </c>
      <c r="T627" s="129">
        <v>0.919839255499154</v>
      </c>
      <c r="U627" s="129">
        <v>0.94679186228482</v>
      </c>
      <c r="V627" s="129">
        <v>0.913782447466007</v>
      </c>
      <c r="W627" s="129">
        <v>0.945961443940801</v>
      </c>
      <c r="X627" s="131">
        <v>0.92</v>
      </c>
      <c r="Y627" s="131">
        <v>0.961165048543689</v>
      </c>
      <c r="Z627" s="131">
        <v>0.963285625388923</v>
      </c>
      <c r="AA627" s="131">
        <v>0.965116279069767</v>
      </c>
      <c r="AB627" s="131">
        <v>0.972768159694412</v>
      </c>
      <c r="AC627" s="131">
        <v>0.92</v>
      </c>
      <c r="AD627" s="129">
        <v>0.988835725677831</v>
      </c>
      <c r="AE627" s="129">
        <v>0.998796630565584</v>
      </c>
      <c r="AF627" s="129">
        <v>1</v>
      </c>
      <c r="AG627" s="129">
        <v>0.990024614587382</v>
      </c>
      <c r="AH627" s="131">
        <v>0.92</v>
      </c>
      <c r="AI627" s="129">
        <v>0.979913916786227</v>
      </c>
      <c r="AJ627" s="129">
        <v>0.977582292849035</v>
      </c>
      <c r="AK627" s="129">
        <v>0.98493543758967</v>
      </c>
      <c r="AL627" s="129">
        <v>0.98562212679014</v>
      </c>
      <c r="AM627" s="128">
        <v>0.99</v>
      </c>
      <c r="AN627" s="133">
        <v>1</v>
      </c>
      <c r="AO627" s="133">
        <v>1</v>
      </c>
      <c r="AP627" s="133">
        <v>1</v>
      </c>
      <c r="AQ627" s="133">
        <v>1</v>
      </c>
      <c r="AR627" s="153">
        <v>0.05</v>
      </c>
      <c r="AS627" s="137">
        <v>0.136363636363636</v>
      </c>
      <c r="AT627" s="137">
        <v>0</v>
      </c>
      <c r="AU627" s="137">
        <v>0</v>
      </c>
      <c r="AV627" s="137">
        <v>0.0540540540540541</v>
      </c>
      <c r="AW627" s="93"/>
      <c r="AX627" s="91"/>
    </row>
    <row r="628" ht="14.5" spans="1:50">
      <c r="A628" s="89"/>
      <c r="B628" s="93"/>
      <c r="C628" s="148" t="s">
        <v>371</v>
      </c>
      <c r="D628" s="126" t="s">
        <v>372</v>
      </c>
      <c r="E628" s="149" t="s">
        <v>650</v>
      </c>
      <c r="F628" s="149" t="s">
        <v>650</v>
      </c>
      <c r="G628" s="149" t="s">
        <v>650</v>
      </c>
      <c r="H628" s="149" t="s">
        <v>650</v>
      </c>
      <c r="I628" s="128">
        <v>0.9</v>
      </c>
      <c r="J628" s="129">
        <v>0.954545454545455</v>
      </c>
      <c r="K628" s="129">
        <v>0.909090909090909</v>
      </c>
      <c r="L628" s="130">
        <v>0.938775510204082</v>
      </c>
      <c r="M628" s="129">
        <v>0.911445279866333</v>
      </c>
      <c r="N628" s="131">
        <v>0.9</v>
      </c>
      <c r="O628" s="129">
        <v>0.960221839739912</v>
      </c>
      <c r="P628" s="129">
        <v>0.910158121705798</v>
      </c>
      <c r="Q628" s="129">
        <v>0.908199643493761</v>
      </c>
      <c r="R628" s="129">
        <v>0.950495468192775</v>
      </c>
      <c r="S628" s="131">
        <v>0.9</v>
      </c>
      <c r="T628" s="129">
        <v>0.597150506789061</v>
      </c>
      <c r="U628" s="129">
        <v>0.736942980354576</v>
      </c>
      <c r="V628" s="129">
        <v>0.696078431372549</v>
      </c>
      <c r="W628" s="129">
        <v>0.741708131880524</v>
      </c>
      <c r="X628" s="131">
        <v>0.92</v>
      </c>
      <c r="Y628" s="131">
        <v>0.943691345151199</v>
      </c>
      <c r="Z628" s="131">
        <v>0.922267206477733</v>
      </c>
      <c r="AA628" s="131">
        <v>0.944326617179215</v>
      </c>
      <c r="AB628" s="131">
        <v>0.939010175471758</v>
      </c>
      <c r="AC628" s="131">
        <v>0.92</v>
      </c>
      <c r="AD628" s="129">
        <v>0.998279816513762</v>
      </c>
      <c r="AE628" s="129">
        <v>0.996682464454976</v>
      </c>
      <c r="AF628" s="129">
        <v>0.999359385009609</v>
      </c>
      <c r="AG628" s="129">
        <v>0.998249940338875</v>
      </c>
      <c r="AH628" s="131">
        <v>0.92</v>
      </c>
      <c r="AI628" s="129">
        <v>0.966979152091787</v>
      </c>
      <c r="AJ628" s="129">
        <v>0.949739814697297</v>
      </c>
      <c r="AK628" s="129">
        <v>0.964957066604781</v>
      </c>
      <c r="AL628" s="129">
        <v>0.966044423670552</v>
      </c>
      <c r="AM628" s="128">
        <v>0.99</v>
      </c>
      <c r="AN628" s="133">
        <v>1</v>
      </c>
      <c r="AO628" s="133">
        <v>1</v>
      </c>
      <c r="AP628" s="133">
        <v>1</v>
      </c>
      <c r="AQ628" s="133">
        <v>1</v>
      </c>
      <c r="AR628" s="153">
        <v>0.05</v>
      </c>
      <c r="AS628" s="137">
        <v>0.0857142857142857</v>
      </c>
      <c r="AT628" s="137">
        <v>0.2</v>
      </c>
      <c r="AU628" s="137">
        <v>0.1</v>
      </c>
      <c r="AV628" s="137">
        <v>0.0945945945945946</v>
      </c>
      <c r="AW628" s="93"/>
      <c r="AX628" s="91"/>
    </row>
    <row r="629" ht="14.5" spans="1:50">
      <c r="A629" s="89"/>
      <c r="B629" s="93"/>
      <c r="C629" s="148" t="s">
        <v>371</v>
      </c>
      <c r="D629" s="126" t="s">
        <v>372</v>
      </c>
      <c r="E629" s="149" t="s">
        <v>651</v>
      </c>
      <c r="F629" s="149" t="s">
        <v>651</v>
      </c>
      <c r="G629" s="149" t="s">
        <v>651</v>
      </c>
      <c r="H629" s="149" t="s">
        <v>651</v>
      </c>
      <c r="I629" s="128">
        <v>0.9</v>
      </c>
      <c r="J629" s="129">
        <v>0.752808988764045</v>
      </c>
      <c r="K629" s="129">
        <v>0.727272727272727</v>
      </c>
      <c r="L629" s="130">
        <v>0.740740740740741</v>
      </c>
      <c r="M629" s="129">
        <v>0.777537796976242</v>
      </c>
      <c r="N629" s="131">
        <v>0.9</v>
      </c>
      <c r="O629" s="129">
        <v>0.966837692403954</v>
      </c>
      <c r="P629" s="129">
        <v>0.896223205171827</v>
      </c>
      <c r="Q629" s="129">
        <v>0.937789203084833</v>
      </c>
      <c r="R629" s="129">
        <v>0.91882192797921</v>
      </c>
      <c r="S629" s="131">
        <v>0.9</v>
      </c>
      <c r="T629" s="129">
        <v>0.631335252158678</v>
      </c>
      <c r="U629" s="129">
        <v>0.754338210275604</v>
      </c>
      <c r="V629" s="129">
        <v>0.541388174807198</v>
      </c>
      <c r="W629" s="129">
        <v>0.584457369137483</v>
      </c>
      <c r="X629" s="131">
        <v>0.92</v>
      </c>
      <c r="Y629" s="131">
        <v>0.899710354815351</v>
      </c>
      <c r="Z629" s="131">
        <v>0.899300699300699</v>
      </c>
      <c r="AA629" s="131">
        <v>0.905277401894452</v>
      </c>
      <c r="AB629" s="131">
        <v>0.854972734354713</v>
      </c>
      <c r="AC629" s="131">
        <v>0.92</v>
      </c>
      <c r="AD629" s="129">
        <v>0.998852882133639</v>
      </c>
      <c r="AE629" s="129">
        <v>0.9978277295051</v>
      </c>
      <c r="AF629" s="129">
        <v>0.895963379109447</v>
      </c>
      <c r="AG629" s="129">
        <v>0.97490084719908</v>
      </c>
      <c r="AH629" s="131">
        <v>0.92</v>
      </c>
      <c r="AI629" s="129">
        <v>0.938447233844723</v>
      </c>
      <c r="AJ629" s="129">
        <v>0.92791860665632</v>
      </c>
      <c r="AK629" s="129">
        <v>0.954601394776426</v>
      </c>
      <c r="AL629" s="129">
        <v>0.908291957346071</v>
      </c>
      <c r="AM629" s="128">
        <v>0.99</v>
      </c>
      <c r="AN629" s="133">
        <v>1</v>
      </c>
      <c r="AO629" s="133">
        <v>1</v>
      </c>
      <c r="AP629" s="133">
        <v>1</v>
      </c>
      <c r="AQ629" s="133">
        <v>1</v>
      </c>
      <c r="AR629" s="153">
        <v>0.05</v>
      </c>
      <c r="AS629" s="137">
        <v>0.0615384615384615</v>
      </c>
      <c r="AT629" s="137">
        <v>0.024390243902439</v>
      </c>
      <c r="AU629" s="137">
        <v>0.0652173913043478</v>
      </c>
      <c r="AV629" s="137">
        <v>0.0317324185248714</v>
      </c>
      <c r="AW629" s="93"/>
      <c r="AX629" s="91"/>
    </row>
    <row r="630" ht="14.5" spans="1:50">
      <c r="A630" s="89"/>
      <c r="B630" s="93"/>
      <c r="C630" s="148" t="s">
        <v>371</v>
      </c>
      <c r="D630" s="126" t="s">
        <v>372</v>
      </c>
      <c r="E630" s="149" t="s">
        <v>652</v>
      </c>
      <c r="F630" s="149" t="s">
        <v>652</v>
      </c>
      <c r="G630" s="149" t="s">
        <v>652</v>
      </c>
      <c r="H630" s="149" t="s">
        <v>652</v>
      </c>
      <c r="I630" s="128">
        <v>0.9</v>
      </c>
      <c r="J630" s="129">
        <v>0.926470588235294</v>
      </c>
      <c r="K630" s="129">
        <v>0.838709677419355</v>
      </c>
      <c r="L630" s="130">
        <v>0.850746268656716</v>
      </c>
      <c r="M630" s="129">
        <v>0.829787234042553</v>
      </c>
      <c r="N630" s="131">
        <v>0.9</v>
      </c>
      <c r="O630" s="129">
        <v>0.961469387755102</v>
      </c>
      <c r="P630" s="129">
        <v>0.974326599326599</v>
      </c>
      <c r="Q630" s="129">
        <v>0.952047295817824</v>
      </c>
      <c r="R630" s="129">
        <v>0.934815044470711</v>
      </c>
      <c r="S630" s="131">
        <v>0.9</v>
      </c>
      <c r="T630" s="129">
        <v>0.706612244897959</v>
      </c>
      <c r="U630" s="129">
        <v>0.77020202020202</v>
      </c>
      <c r="V630" s="129">
        <v>0.721918108167287</v>
      </c>
      <c r="W630" s="129">
        <v>0.743833200922355</v>
      </c>
      <c r="X630" s="131">
        <v>0.92</v>
      </c>
      <c r="Y630" s="131">
        <v>0.908298945437872</v>
      </c>
      <c r="Z630" s="131">
        <v>0.908184461985875</v>
      </c>
      <c r="AA630" s="131">
        <v>0.93030303030303</v>
      </c>
      <c r="AB630" s="131">
        <v>0.921497735111998</v>
      </c>
      <c r="AC630" s="131">
        <v>0.92</v>
      </c>
      <c r="AD630" s="129">
        <v>0.996929555224143</v>
      </c>
      <c r="AE630" s="129">
        <v>0.991201885310291</v>
      </c>
      <c r="AF630" s="129">
        <v>0.969161384690395</v>
      </c>
      <c r="AG630" s="129">
        <v>0.979455709711846</v>
      </c>
      <c r="AH630" s="131">
        <v>0.92</v>
      </c>
      <c r="AI630" s="129">
        <v>0.938493018777082</v>
      </c>
      <c r="AJ630" s="129">
        <v>0.931034482758621</v>
      </c>
      <c r="AK630" s="129">
        <v>0.9609375</v>
      </c>
      <c r="AL630" s="129">
        <v>0.951400264200793</v>
      </c>
      <c r="AM630" s="128">
        <v>0.99</v>
      </c>
      <c r="AN630" s="133">
        <v>1</v>
      </c>
      <c r="AO630" s="133">
        <v>1</v>
      </c>
      <c r="AP630" s="133">
        <v>1</v>
      </c>
      <c r="AQ630" s="133">
        <v>1</v>
      </c>
      <c r="AR630" s="153">
        <v>0.05</v>
      </c>
      <c r="AS630" s="137">
        <v>0.116666666666667</v>
      </c>
      <c r="AT630" s="137">
        <v>0.0909090909090909</v>
      </c>
      <c r="AU630" s="137">
        <v>0.0909090909090909</v>
      </c>
      <c r="AV630" s="137">
        <v>0.0818713450292398</v>
      </c>
      <c r="AW630" s="93"/>
      <c r="AX630" s="91"/>
    </row>
    <row r="631" ht="14.5" spans="1:50">
      <c r="A631" s="89"/>
      <c r="B631" s="93"/>
      <c r="C631" s="148" t="s">
        <v>371</v>
      </c>
      <c r="D631" s="126" t="s">
        <v>372</v>
      </c>
      <c r="E631" s="149" t="s">
        <v>653</v>
      </c>
      <c r="F631" s="149" t="s">
        <v>653</v>
      </c>
      <c r="G631" s="149" t="s">
        <v>653</v>
      </c>
      <c r="H631" s="149" t="s">
        <v>653</v>
      </c>
      <c r="I631" s="128">
        <v>0.9</v>
      </c>
      <c r="J631" s="129">
        <v>0.964705882352941</v>
      </c>
      <c r="K631" s="129">
        <v>0.934210526315789</v>
      </c>
      <c r="L631" s="130">
        <v>0.918918918918919</v>
      </c>
      <c r="M631" s="129">
        <v>0.926935659760087</v>
      </c>
      <c r="N631" s="131">
        <v>0.9</v>
      </c>
      <c r="O631" s="129">
        <v>0.547566487963839</v>
      </c>
      <c r="P631" s="129">
        <v>0.95959595959596</v>
      </c>
      <c r="Q631" s="129">
        <v>0.928069901700733</v>
      </c>
      <c r="R631" s="129">
        <v>0.865996993303266</v>
      </c>
      <c r="S631" s="131">
        <v>0.9</v>
      </c>
      <c r="T631" s="129">
        <v>0.711237254283612</v>
      </c>
      <c r="U631" s="129">
        <v>0.906432748538012</v>
      </c>
      <c r="V631" s="129">
        <v>0.809798720549228</v>
      </c>
      <c r="W631" s="129">
        <v>0.829930299302993</v>
      </c>
      <c r="X631" s="131">
        <v>0.92</v>
      </c>
      <c r="Y631" s="131">
        <v>0.945578231292517</v>
      </c>
      <c r="Z631" s="131">
        <v>0.943401937046005</v>
      </c>
      <c r="AA631" s="131">
        <v>0.934758155230596</v>
      </c>
      <c r="AB631" s="131">
        <v>0.938979220290037</v>
      </c>
      <c r="AC631" s="131">
        <v>0.92</v>
      </c>
      <c r="AD631" s="129">
        <v>0.998932764140875</v>
      </c>
      <c r="AE631" s="129">
        <v>0.998093058733791</v>
      </c>
      <c r="AF631" s="129">
        <v>0.988875645609853</v>
      </c>
      <c r="AG631" s="129">
        <v>0.993560686295276</v>
      </c>
      <c r="AH631" s="131">
        <v>0.92</v>
      </c>
      <c r="AI631" s="129">
        <v>0.968925646378674</v>
      </c>
      <c r="AJ631" s="129">
        <v>0.965331823970567</v>
      </c>
      <c r="AK631" s="129">
        <v>0.966776597044094</v>
      </c>
      <c r="AL631" s="129">
        <v>0.968859778562656</v>
      </c>
      <c r="AM631" s="128">
        <v>0.99</v>
      </c>
      <c r="AN631" s="133">
        <v>1</v>
      </c>
      <c r="AO631" s="133">
        <v>1</v>
      </c>
      <c r="AP631" s="133">
        <v>1</v>
      </c>
      <c r="AQ631" s="133">
        <v>1</v>
      </c>
      <c r="AR631" s="153">
        <v>0.05</v>
      </c>
      <c r="AS631" s="137">
        <v>0.0731707317073171</v>
      </c>
      <c r="AT631" s="137">
        <v>0</v>
      </c>
      <c r="AU631" s="137">
        <v>0.0740740740740741</v>
      </c>
      <c r="AV631" s="137">
        <v>0.0540540540540541</v>
      </c>
      <c r="AW631" s="93"/>
      <c r="AX631" s="91"/>
    </row>
    <row r="632" ht="14.5" spans="1:50">
      <c r="A632" s="89"/>
      <c r="B632" s="93"/>
      <c r="C632" s="148" t="s">
        <v>371</v>
      </c>
      <c r="D632" s="126" t="s">
        <v>372</v>
      </c>
      <c r="E632" s="149" t="s">
        <v>654</v>
      </c>
      <c r="F632" s="149" t="s">
        <v>654</v>
      </c>
      <c r="G632" s="149" t="s">
        <v>654</v>
      </c>
      <c r="H632" s="149" t="s">
        <v>654</v>
      </c>
      <c r="I632" s="128">
        <v>0.9</v>
      </c>
      <c r="J632" s="129">
        <v>1</v>
      </c>
      <c r="K632" s="129">
        <v>1</v>
      </c>
      <c r="L632" s="130">
        <v>1</v>
      </c>
      <c r="M632" s="129">
        <v>0.991416309012876</v>
      </c>
      <c r="N632" s="131">
        <v>0.9</v>
      </c>
      <c r="O632" s="129">
        <v>0.986425339366516</v>
      </c>
      <c r="P632" s="129">
        <v>0.992287917737789</v>
      </c>
      <c r="Q632" s="129">
        <v>0.988477653631285</v>
      </c>
      <c r="R632" s="129">
        <v>0.989474987617633</v>
      </c>
      <c r="S632" s="131">
        <v>0.9</v>
      </c>
      <c r="T632" s="129">
        <v>0.954499748617396</v>
      </c>
      <c r="U632" s="129">
        <v>0.953084832904884</v>
      </c>
      <c r="V632" s="129">
        <v>0.946578212290503</v>
      </c>
      <c r="W632" s="129">
        <v>0.958797672114908</v>
      </c>
      <c r="X632" s="131">
        <v>0.92</v>
      </c>
      <c r="Y632" s="131">
        <v>0.9803250641574</v>
      </c>
      <c r="Z632" s="131">
        <v>0.96572934973638</v>
      </c>
      <c r="AA632" s="131">
        <v>0.96792189679219</v>
      </c>
      <c r="AB632" s="131">
        <v>0.973394982187524</v>
      </c>
      <c r="AC632" s="131">
        <v>0.92</v>
      </c>
      <c r="AD632" s="129">
        <v>0.987951807228916</v>
      </c>
      <c r="AE632" s="129">
        <v>0.964028776978417</v>
      </c>
      <c r="AF632" s="129">
        <v>0.983516483516483</v>
      </c>
      <c r="AG632" s="129">
        <v>0.982739420935412</v>
      </c>
      <c r="AH632" s="131">
        <v>0.92</v>
      </c>
      <c r="AI632" s="129">
        <v>0.985236985236985</v>
      </c>
      <c r="AJ632" s="129">
        <v>0.977736549165121</v>
      </c>
      <c r="AK632" s="129">
        <v>0.98547891650377</v>
      </c>
      <c r="AL632" s="129">
        <v>0.985824487373904</v>
      </c>
      <c r="AM632" s="128">
        <v>0.99</v>
      </c>
      <c r="AN632" s="133">
        <v>1</v>
      </c>
      <c r="AO632" s="133">
        <v>1</v>
      </c>
      <c r="AP632" s="133">
        <v>1</v>
      </c>
      <c r="AQ632" s="133">
        <v>1</v>
      </c>
      <c r="AR632" s="153">
        <v>0.05</v>
      </c>
      <c r="AS632" s="137">
        <v>0.133333333333333</v>
      </c>
      <c r="AT632" s="137">
        <v>0.333333333333333</v>
      </c>
      <c r="AU632" s="137">
        <v>0</v>
      </c>
      <c r="AV632" s="137">
        <v>0.0666666666666667</v>
      </c>
      <c r="AW632" s="93"/>
      <c r="AX632" s="91"/>
    </row>
    <row r="633" ht="14.5" spans="1:50">
      <c r="A633" s="89"/>
      <c r="B633" s="93"/>
      <c r="C633" s="148" t="s">
        <v>371</v>
      </c>
      <c r="D633" s="126" t="s">
        <v>372</v>
      </c>
      <c r="E633" s="149" t="s">
        <v>655</v>
      </c>
      <c r="F633" s="149" t="s">
        <v>655</v>
      </c>
      <c r="G633" s="149" t="s">
        <v>655</v>
      </c>
      <c r="H633" s="149" t="s">
        <v>655</v>
      </c>
      <c r="I633" s="128">
        <v>0.9</v>
      </c>
      <c r="J633" s="129">
        <v>0.785046728971963</v>
      </c>
      <c r="K633" s="129">
        <v>0.69047619047619</v>
      </c>
      <c r="L633" s="130">
        <v>0.64367816091954</v>
      </c>
      <c r="M633" s="129">
        <v>0.754306436990027</v>
      </c>
      <c r="N633" s="131">
        <v>0.9</v>
      </c>
      <c r="O633" s="129">
        <v>0.972898032200358</v>
      </c>
      <c r="P633" s="129">
        <v>0.909550045913682</v>
      </c>
      <c r="Q633" s="129">
        <v>0.879055207740467</v>
      </c>
      <c r="R633" s="129">
        <v>0.962652551095427</v>
      </c>
      <c r="S633" s="131">
        <v>0.9</v>
      </c>
      <c r="T633" s="129">
        <v>0.593738819320215</v>
      </c>
      <c r="U633" s="129">
        <v>0.717171717171717</v>
      </c>
      <c r="V633" s="129">
        <v>0.602731929425157</v>
      </c>
      <c r="W633" s="129">
        <v>0.679397637602313</v>
      </c>
      <c r="X633" s="131">
        <v>0.92</v>
      </c>
      <c r="Y633" s="131">
        <v>0.908814589665654</v>
      </c>
      <c r="Z633" s="131">
        <v>0.886082751209027</v>
      </c>
      <c r="AA633" s="131">
        <v>0.872747132714364</v>
      </c>
      <c r="AB633" s="131">
        <v>0.88641488162345</v>
      </c>
      <c r="AC633" s="131">
        <v>0.92</v>
      </c>
      <c r="AD633" s="129">
        <v>0.992844364937388</v>
      </c>
      <c r="AE633" s="129">
        <v>0.978436657681941</v>
      </c>
      <c r="AF633" s="129">
        <v>0.997780244173141</v>
      </c>
      <c r="AG633" s="129">
        <v>0.994153624752653</v>
      </c>
      <c r="AH633" s="131">
        <v>0.92</v>
      </c>
      <c r="AI633" s="129">
        <v>0.948986486486487</v>
      </c>
      <c r="AJ633" s="129">
        <v>0.932656598167863</v>
      </c>
      <c r="AK633" s="129">
        <v>0.957105768145389</v>
      </c>
      <c r="AL633" s="129">
        <v>0.949301475611422</v>
      </c>
      <c r="AM633" s="128">
        <v>0.99</v>
      </c>
      <c r="AN633" s="133">
        <v>1</v>
      </c>
      <c r="AO633" s="133">
        <v>1</v>
      </c>
      <c r="AP633" s="133">
        <v>1</v>
      </c>
      <c r="AQ633" s="133">
        <v>1</v>
      </c>
      <c r="AR633" s="153">
        <v>0.05</v>
      </c>
      <c r="AS633" s="137">
        <v>0</v>
      </c>
      <c r="AT633" s="137">
        <v>0.142857142857143</v>
      </c>
      <c r="AU633" s="137">
        <v>0.0909090909090909</v>
      </c>
      <c r="AV633" s="137">
        <v>0.0864553314121037</v>
      </c>
      <c r="AW633" s="93"/>
      <c r="AX633" s="91"/>
    </row>
    <row r="634" ht="14.5" spans="1:50">
      <c r="A634" s="89"/>
      <c r="B634" s="93"/>
      <c r="C634" s="148" t="s">
        <v>371</v>
      </c>
      <c r="D634" s="126" t="s">
        <v>372</v>
      </c>
      <c r="E634" s="149" t="s">
        <v>656</v>
      </c>
      <c r="F634" s="149" t="s">
        <v>656</v>
      </c>
      <c r="G634" s="149" t="s">
        <v>656</v>
      </c>
      <c r="H634" s="149" t="s">
        <v>656</v>
      </c>
      <c r="I634" s="128">
        <v>0.9</v>
      </c>
      <c r="J634" s="129">
        <v>0.807692307692308</v>
      </c>
      <c r="K634" s="129">
        <v>0.790697674418605</v>
      </c>
      <c r="L634" s="130">
        <v>0.695652173913043</v>
      </c>
      <c r="M634" s="129">
        <v>0.735674676524954</v>
      </c>
      <c r="N634" s="131">
        <v>0.9</v>
      </c>
      <c r="O634" s="129">
        <v>0.946621621621622</v>
      </c>
      <c r="P634" s="129">
        <v>0.976275207591934</v>
      </c>
      <c r="Q634" s="129">
        <v>0.913055478884902</v>
      </c>
      <c r="R634" s="129">
        <v>0.913868652383129</v>
      </c>
      <c r="S634" s="131">
        <v>0.9</v>
      </c>
      <c r="T634" s="129">
        <v>0.468243243243243</v>
      </c>
      <c r="U634" s="129">
        <v>0.572360616844603</v>
      </c>
      <c r="V634" s="129">
        <v>0.483853160364339</v>
      </c>
      <c r="W634" s="129">
        <v>0.519610742224253</v>
      </c>
      <c r="X634" s="131">
        <v>0.92</v>
      </c>
      <c r="Y634" s="131">
        <v>0.77793199167245</v>
      </c>
      <c r="Z634" s="131">
        <v>0.88162672476398</v>
      </c>
      <c r="AA634" s="131">
        <v>0.933333333333333</v>
      </c>
      <c r="AB634" s="131">
        <v>0.86422522978939</v>
      </c>
      <c r="AC634" s="131">
        <v>0.92</v>
      </c>
      <c r="AD634" s="129">
        <v>0.994413407821229</v>
      </c>
      <c r="AE634" s="129">
        <v>0.993103448275862</v>
      </c>
      <c r="AF634" s="129">
        <v>0.993670886075949</v>
      </c>
      <c r="AG634" s="129">
        <v>0.994998468919057</v>
      </c>
      <c r="AH634" s="131">
        <v>0.92</v>
      </c>
      <c r="AI634" s="129">
        <v>0.904284257055423</v>
      </c>
      <c r="AJ634" s="129">
        <v>0.906984334203655</v>
      </c>
      <c r="AK634" s="129">
        <v>0.919408679065331</v>
      </c>
      <c r="AL634" s="129">
        <v>0.911401583444383</v>
      </c>
      <c r="AM634" s="128">
        <v>0.99</v>
      </c>
      <c r="AN634" s="133">
        <v>1</v>
      </c>
      <c r="AO634" s="133">
        <v>1</v>
      </c>
      <c r="AP634" s="133">
        <v>1</v>
      </c>
      <c r="AQ634" s="133">
        <v>1</v>
      </c>
      <c r="AR634" s="153">
        <v>0.05</v>
      </c>
      <c r="AS634" s="137">
        <v>0.307692307692308</v>
      </c>
      <c r="AT634" s="137">
        <v>0.125</v>
      </c>
      <c r="AU634" s="137">
        <v>0.0869565217391304</v>
      </c>
      <c r="AV634" s="137">
        <v>0.104761904761905</v>
      </c>
      <c r="AW634" s="93"/>
      <c r="AX634" s="91"/>
    </row>
    <row r="635" ht="14.5" spans="1:50">
      <c r="A635" s="89"/>
      <c r="B635" s="93"/>
      <c r="C635" s="148" t="s">
        <v>371</v>
      </c>
      <c r="D635" s="126" t="s">
        <v>372</v>
      </c>
      <c r="E635" s="149" t="s">
        <v>657</v>
      </c>
      <c r="F635" s="149" t="s">
        <v>657</v>
      </c>
      <c r="G635" s="149" t="s">
        <v>657</v>
      </c>
      <c r="H635" s="149" t="s">
        <v>657</v>
      </c>
      <c r="I635" s="128">
        <v>0.9</v>
      </c>
      <c r="J635" s="129">
        <v>0.949367088607595</v>
      </c>
      <c r="K635" s="129">
        <v>0.91044776119403</v>
      </c>
      <c r="L635" s="130">
        <v>0.880597014925373</v>
      </c>
      <c r="M635" s="129">
        <v>0.918757467144564</v>
      </c>
      <c r="N635" s="131">
        <v>0.9</v>
      </c>
      <c r="O635" s="129">
        <v>0.947066519070142</v>
      </c>
      <c r="P635" s="129">
        <v>0.988185017596782</v>
      </c>
      <c r="Q635" s="129">
        <v>0.856663984982569</v>
      </c>
      <c r="R635" s="129">
        <v>0.944418554857236</v>
      </c>
      <c r="S635" s="131">
        <v>0.9</v>
      </c>
      <c r="T635" s="129">
        <v>0.854684512428298</v>
      </c>
      <c r="U635" s="129">
        <v>0.89894419306184</v>
      </c>
      <c r="V635" s="129">
        <v>0.859211584875302</v>
      </c>
      <c r="W635" s="129">
        <v>0.88358502210411</v>
      </c>
      <c r="X635" s="131">
        <v>0.92</v>
      </c>
      <c r="Y635" s="131">
        <v>0.72782319103845</v>
      </c>
      <c r="Z635" s="131">
        <v>0.799023596419854</v>
      </c>
      <c r="AA635" s="131">
        <v>0.708634828750603</v>
      </c>
      <c r="AB635" s="131">
        <v>0.775731281379611</v>
      </c>
      <c r="AC635" s="131">
        <v>0.92</v>
      </c>
      <c r="AD635" s="129">
        <v>0.997202696887104</v>
      </c>
      <c r="AE635" s="129">
        <v>0.997807508165913</v>
      </c>
      <c r="AF635" s="129">
        <v>0.993369249896395</v>
      </c>
      <c r="AG635" s="129">
        <v>0.985471832774868</v>
      </c>
      <c r="AH635" s="131">
        <v>0.92</v>
      </c>
      <c r="AI635" s="129">
        <v>0.859300657050072</v>
      </c>
      <c r="AJ635" s="129">
        <v>0.86383200730403</v>
      </c>
      <c r="AK635" s="129">
        <v>0.852018877818563</v>
      </c>
      <c r="AL635" s="129">
        <v>0.880910124750155</v>
      </c>
      <c r="AM635" s="128">
        <v>0.99</v>
      </c>
      <c r="AN635" s="133">
        <v>1</v>
      </c>
      <c r="AO635" s="133">
        <v>1</v>
      </c>
      <c r="AP635" s="133">
        <v>1</v>
      </c>
      <c r="AQ635" s="133">
        <v>1</v>
      </c>
      <c r="AR635" s="153">
        <v>0.05</v>
      </c>
      <c r="AS635" s="137">
        <v>0.0072463768115942</v>
      </c>
      <c r="AT635" s="137">
        <v>0.0128205128205128</v>
      </c>
      <c r="AU635" s="137">
        <v>0.00411522633744856</v>
      </c>
      <c r="AV635" s="137">
        <v>0.0053694707236001</v>
      </c>
      <c r="AW635" s="93"/>
      <c r="AX635" s="91"/>
    </row>
    <row r="636" ht="14.5" spans="1:50">
      <c r="A636" s="89"/>
      <c r="B636" s="93"/>
      <c r="C636" s="148" t="s">
        <v>371</v>
      </c>
      <c r="D636" s="126" t="s">
        <v>372</v>
      </c>
      <c r="E636" s="149" t="s">
        <v>658</v>
      </c>
      <c r="F636" s="149" t="s">
        <v>658</v>
      </c>
      <c r="G636" s="149" t="s">
        <v>658</v>
      </c>
      <c r="H636" s="149" t="s">
        <v>658</v>
      </c>
      <c r="I636" s="128">
        <v>0.9</v>
      </c>
      <c r="J636" s="129">
        <v>0.933962264150943</v>
      </c>
      <c r="K636" s="129">
        <v>0.954022988505747</v>
      </c>
      <c r="L636" s="130">
        <v>0.934065934065934</v>
      </c>
      <c r="M636" s="129">
        <v>0.926873857404022</v>
      </c>
      <c r="N636" s="131">
        <v>0.9</v>
      </c>
      <c r="O636" s="129">
        <v>0.979994086922243</v>
      </c>
      <c r="P636" s="129">
        <v>0.977314211212516</v>
      </c>
      <c r="Q636" s="129">
        <v>0.990595190111514</v>
      </c>
      <c r="R636" s="129">
        <v>0.97071738790438</v>
      </c>
      <c r="S636" s="131">
        <v>0.9</v>
      </c>
      <c r="T636" s="129">
        <v>0.898492165171972</v>
      </c>
      <c r="U636" s="129">
        <v>0.930117340286832</v>
      </c>
      <c r="V636" s="129">
        <v>0.891038559720543</v>
      </c>
      <c r="W636" s="129">
        <v>0.894190397131892</v>
      </c>
      <c r="X636" s="131">
        <v>0.92</v>
      </c>
      <c r="Y636" s="131">
        <v>0.894752272060979</v>
      </c>
      <c r="Z636" s="131">
        <v>0.86167069567553</v>
      </c>
      <c r="AA636" s="131">
        <v>0.861366941347552</v>
      </c>
      <c r="AB636" s="131">
        <v>0.839727528969621</v>
      </c>
      <c r="AC636" s="131">
        <v>0.92</v>
      </c>
      <c r="AD636" s="129">
        <v>0.997782705099778</v>
      </c>
      <c r="AE636" s="129">
        <v>0.99956772334294</v>
      </c>
      <c r="AF636" s="129">
        <v>0.999061662198391</v>
      </c>
      <c r="AG636" s="129">
        <v>0.998711510022402</v>
      </c>
      <c r="AH636" s="131">
        <v>0.92</v>
      </c>
      <c r="AI636" s="129">
        <v>0.941068004130403</v>
      </c>
      <c r="AJ636" s="129">
        <v>0.914342366159947</v>
      </c>
      <c r="AK636" s="129">
        <v>0.944461975386557</v>
      </c>
      <c r="AL636" s="129">
        <v>0.920338536521109</v>
      </c>
      <c r="AM636" s="128">
        <v>0.99</v>
      </c>
      <c r="AN636" s="133">
        <v>1</v>
      </c>
      <c r="AO636" s="133">
        <v>1</v>
      </c>
      <c r="AP636" s="133">
        <v>1</v>
      </c>
      <c r="AQ636" s="133">
        <v>1</v>
      </c>
      <c r="AR636" s="153">
        <v>0.05</v>
      </c>
      <c r="AS636" s="137">
        <v>0.00558659217877095</v>
      </c>
      <c r="AT636" s="137">
        <v>0.0297029702970297</v>
      </c>
      <c r="AU636" s="137">
        <v>0</v>
      </c>
      <c r="AV636" s="137">
        <v>0.0229357798165138</v>
      </c>
      <c r="AW636" s="93"/>
      <c r="AX636" s="91"/>
    </row>
    <row r="637" ht="14.5" spans="1:50">
      <c r="A637" s="89"/>
      <c r="B637" s="93"/>
      <c r="C637" s="148" t="s">
        <v>371</v>
      </c>
      <c r="D637" s="126" t="s">
        <v>372</v>
      </c>
      <c r="E637" s="149" t="s">
        <v>659</v>
      </c>
      <c r="F637" s="149" t="s">
        <v>659</v>
      </c>
      <c r="G637" s="149" t="s">
        <v>659</v>
      </c>
      <c r="H637" s="149" t="s">
        <v>659</v>
      </c>
      <c r="I637" s="128">
        <v>0.9</v>
      </c>
      <c r="J637" s="129">
        <v>0.823529411764706</v>
      </c>
      <c r="K637" s="129">
        <v>0.74025974025974</v>
      </c>
      <c r="L637" s="130">
        <v>0.794871794871795</v>
      </c>
      <c r="M637" s="129">
        <v>0.810032017075774</v>
      </c>
      <c r="N637" s="131">
        <v>0.9</v>
      </c>
      <c r="O637" s="129">
        <v>0.906356551388212</v>
      </c>
      <c r="P637" s="129">
        <v>0.854881266490765</v>
      </c>
      <c r="Q637" s="129">
        <v>0.92777482740308</v>
      </c>
      <c r="R637" s="129">
        <v>0.906113944520463</v>
      </c>
      <c r="S637" s="131">
        <v>0.9</v>
      </c>
      <c r="T637" s="129">
        <v>0.500487092060399</v>
      </c>
      <c r="U637" s="129">
        <v>0.733839050131926</v>
      </c>
      <c r="V637" s="129">
        <v>0.51141795007966</v>
      </c>
      <c r="W637" s="129">
        <v>0.576735290459012</v>
      </c>
      <c r="X637" s="131">
        <v>0.92</v>
      </c>
      <c r="Y637" s="131">
        <v>0.849356804333108</v>
      </c>
      <c r="Z637" s="131">
        <v>0.898793565683646</v>
      </c>
      <c r="AA637" s="131">
        <v>0.877538461538461</v>
      </c>
      <c r="AB637" s="131">
        <v>0.857846334463866</v>
      </c>
      <c r="AC637" s="131">
        <v>0.92</v>
      </c>
      <c r="AD637" s="129">
        <v>0.996589617279272</v>
      </c>
      <c r="AE637" s="129">
        <v>0.996615905245347</v>
      </c>
      <c r="AF637" s="129">
        <v>0.995260663507109</v>
      </c>
      <c r="AG637" s="129">
        <v>0.963998136687296</v>
      </c>
      <c r="AH637" s="131">
        <v>0.92</v>
      </c>
      <c r="AI637" s="129">
        <v>0.896212053371541</v>
      </c>
      <c r="AJ637" s="129">
        <v>0.918550531914894</v>
      </c>
      <c r="AK637" s="129">
        <v>0.93979381443299</v>
      </c>
      <c r="AL637" s="129">
        <v>0.917723584081508</v>
      </c>
      <c r="AM637" s="128">
        <v>0.99</v>
      </c>
      <c r="AN637" s="133">
        <v>1</v>
      </c>
      <c r="AO637" s="133">
        <v>1</v>
      </c>
      <c r="AP637" s="133">
        <v>1</v>
      </c>
      <c r="AQ637" s="133">
        <v>1</v>
      </c>
      <c r="AR637" s="153">
        <v>0.05</v>
      </c>
      <c r="AS637" s="137">
        <v>0.0264705882352941</v>
      </c>
      <c r="AT637" s="137">
        <v>0.0106951871657754</v>
      </c>
      <c r="AU637" s="137">
        <v>0.00826446280991736</v>
      </c>
      <c r="AV637" s="137">
        <v>0.00862460281434408</v>
      </c>
      <c r="AW637" s="93"/>
      <c r="AX637" s="91"/>
    </row>
    <row r="638" ht="14.5" spans="1:50">
      <c r="A638" s="89"/>
      <c r="B638" s="93"/>
      <c r="C638" s="148" t="s">
        <v>371</v>
      </c>
      <c r="D638" s="126" t="s">
        <v>372</v>
      </c>
      <c r="E638" s="149" t="s">
        <v>660</v>
      </c>
      <c r="F638" s="149" t="s">
        <v>660</v>
      </c>
      <c r="G638" s="149" t="s">
        <v>660</v>
      </c>
      <c r="H638" s="149" t="s">
        <v>660</v>
      </c>
      <c r="I638" s="128">
        <v>0.9</v>
      </c>
      <c r="J638" s="129">
        <v>0.306666666666667</v>
      </c>
      <c r="K638" s="129">
        <v>0.358208955223881</v>
      </c>
      <c r="L638" s="130">
        <v>0.323076923076923</v>
      </c>
      <c r="M638" s="129">
        <v>0.385194479297365</v>
      </c>
      <c r="N638" s="131">
        <v>0.9</v>
      </c>
      <c r="O638" s="129">
        <v>0.426078971533517</v>
      </c>
      <c r="P638" s="129">
        <v>0.436845947919202</v>
      </c>
      <c r="Q638" s="129">
        <v>0.373725790010194</v>
      </c>
      <c r="R638" s="129">
        <v>0.445394364407269</v>
      </c>
      <c r="S638" s="131">
        <v>0.9</v>
      </c>
      <c r="T638" s="129">
        <v>0.41924293439445</v>
      </c>
      <c r="U638" s="129">
        <v>0.425164273545875</v>
      </c>
      <c r="V638" s="129">
        <v>0.368246687054027</v>
      </c>
      <c r="W638" s="129">
        <v>0.444539436440727</v>
      </c>
      <c r="X638" s="131">
        <v>0.92</v>
      </c>
      <c r="Y638" s="131">
        <v>0</v>
      </c>
      <c r="Z638" s="131" t="s">
        <v>33</v>
      </c>
      <c r="AA638" s="131">
        <v>0</v>
      </c>
      <c r="AB638" s="131">
        <v>0</v>
      </c>
      <c r="AC638" s="131">
        <v>0.92</v>
      </c>
      <c r="AD638" s="129">
        <v>0.996908809891808</v>
      </c>
      <c r="AE638" s="129">
        <v>0.99601593625498</v>
      </c>
      <c r="AF638" s="129">
        <v>0.993874425727412</v>
      </c>
      <c r="AG638" s="129">
        <v>0.994760397336535</v>
      </c>
      <c r="AH638" s="131">
        <v>0.92</v>
      </c>
      <c r="AI638" s="129">
        <v>0.918604651162791</v>
      </c>
      <c r="AJ638" s="129">
        <v>0.890484302750061</v>
      </c>
      <c r="AK638" s="129">
        <v>0.874888520830679</v>
      </c>
      <c r="AL638" s="129">
        <v>0.888315198558459</v>
      </c>
      <c r="AM638" s="128">
        <v>0.99</v>
      </c>
      <c r="AN638" s="133">
        <v>1</v>
      </c>
      <c r="AO638" s="133">
        <v>1</v>
      </c>
      <c r="AP638" s="133">
        <v>1</v>
      </c>
      <c r="AQ638" s="133">
        <v>1</v>
      </c>
      <c r="AR638" s="153">
        <v>0.05</v>
      </c>
      <c r="AS638" s="137">
        <v>0.146341463414634</v>
      </c>
      <c r="AT638" s="137">
        <v>0</v>
      </c>
      <c r="AU638" s="137">
        <v>0.032258064516129</v>
      </c>
      <c r="AV638" s="137">
        <v>0.0777027027027027</v>
      </c>
      <c r="AW638" s="93"/>
      <c r="AX638" s="91"/>
    </row>
    <row r="639" ht="14.5" spans="1:50">
      <c r="A639" s="89"/>
      <c r="B639" s="93"/>
      <c r="C639" s="148" t="s">
        <v>371</v>
      </c>
      <c r="D639" s="126" t="s">
        <v>372</v>
      </c>
      <c r="E639" s="149" t="s">
        <v>661</v>
      </c>
      <c r="F639" s="149" t="s">
        <v>661</v>
      </c>
      <c r="G639" s="149" t="s">
        <v>661</v>
      </c>
      <c r="H639" s="149" t="s">
        <v>661</v>
      </c>
      <c r="I639" s="128">
        <v>0.9</v>
      </c>
      <c r="J639" s="129">
        <v>0.35632183908046</v>
      </c>
      <c r="K639" s="129">
        <v>0.338235294117647</v>
      </c>
      <c r="L639" s="130">
        <v>0.338028169014085</v>
      </c>
      <c r="M639" s="129">
        <v>0.223427331887202</v>
      </c>
      <c r="N639" s="131">
        <v>0.9</v>
      </c>
      <c r="O639" s="129">
        <v>0.90310637529348</v>
      </c>
      <c r="P639" s="129">
        <v>0.668298653610771</v>
      </c>
      <c r="Q639" s="129">
        <v>0.577108562854999</v>
      </c>
      <c r="R639" s="129">
        <v>0.546514761983745</v>
      </c>
      <c r="S639" s="131">
        <v>0.9</v>
      </c>
      <c r="T639" s="129">
        <v>0.550478598519054</v>
      </c>
      <c r="U639" s="129">
        <v>0.674826601387189</v>
      </c>
      <c r="V639" s="129">
        <v>0.556210481191727</v>
      </c>
      <c r="W639" s="129">
        <v>0.641088903632443</v>
      </c>
      <c r="X639" s="131">
        <v>0.92</v>
      </c>
      <c r="Y639" s="131">
        <v>0.111111111111111</v>
      </c>
      <c r="Z639" s="131">
        <v>0.222222222222222</v>
      </c>
      <c r="AA639" s="131">
        <v>0.6</v>
      </c>
      <c r="AB639" s="131">
        <v>0.780612244897959</v>
      </c>
      <c r="AC639" s="131">
        <v>0.92</v>
      </c>
      <c r="AD639" s="129">
        <v>0.820901688729752</v>
      </c>
      <c r="AE639" s="129">
        <v>0.778549926701805</v>
      </c>
      <c r="AF639" s="129">
        <v>0.991630060548498</v>
      </c>
      <c r="AG639" s="129">
        <v>0.905769929161179</v>
      </c>
      <c r="AH639" s="131">
        <v>0.92</v>
      </c>
      <c r="AI639" s="129">
        <v>0.928352559480894</v>
      </c>
      <c r="AJ639" s="129">
        <v>0.926898798615353</v>
      </c>
      <c r="AK639" s="129">
        <v>0.930934789592033</v>
      </c>
      <c r="AL639" s="129">
        <v>0.939335386141478</v>
      </c>
      <c r="AM639" s="128">
        <v>0.99</v>
      </c>
      <c r="AN639" s="133">
        <v>1</v>
      </c>
      <c r="AO639" s="133">
        <v>1</v>
      </c>
      <c r="AP639" s="133">
        <v>0.681818181818182</v>
      </c>
      <c r="AQ639" s="133">
        <v>0.980609418282548</v>
      </c>
      <c r="AR639" s="153">
        <v>0.05</v>
      </c>
      <c r="AS639" s="137">
        <v>0.0925925925925926</v>
      </c>
      <c r="AT639" s="137">
        <v>0.172413793103448</v>
      </c>
      <c r="AU639" s="137">
        <v>0.0285714285714286</v>
      </c>
      <c r="AV639" s="137">
        <v>0.0780856423173804</v>
      </c>
      <c r="AW639" s="93"/>
      <c r="AX639" s="91"/>
    </row>
    <row r="640" ht="14.5" spans="1:50">
      <c r="A640" s="89"/>
      <c r="B640" s="93"/>
      <c r="C640" s="148" t="s">
        <v>371</v>
      </c>
      <c r="D640" s="126" t="s">
        <v>372</v>
      </c>
      <c r="E640" s="149" t="s">
        <v>662</v>
      </c>
      <c r="F640" s="149" t="s">
        <v>662</v>
      </c>
      <c r="G640" s="149" t="s">
        <v>662</v>
      </c>
      <c r="H640" s="149" t="s">
        <v>662</v>
      </c>
      <c r="I640" s="128">
        <v>0.9</v>
      </c>
      <c r="J640" s="129">
        <v>0.981132075471698</v>
      </c>
      <c r="K640" s="129">
        <v>0.975</v>
      </c>
      <c r="L640" s="130">
        <v>0.975609756097561</v>
      </c>
      <c r="M640" s="129">
        <v>0.974264705882353</v>
      </c>
      <c r="N640" s="131">
        <v>0.9</v>
      </c>
      <c r="O640" s="129">
        <v>0.962562994960403</v>
      </c>
      <c r="P640" s="129">
        <v>0.979545454545454</v>
      </c>
      <c r="Q640" s="129">
        <v>0.976669941060904</v>
      </c>
      <c r="R640" s="129">
        <v>0.969150703133651</v>
      </c>
      <c r="S640" s="131">
        <v>0.9</v>
      </c>
      <c r="T640" s="129">
        <v>0.767638588912887</v>
      </c>
      <c r="U640" s="129">
        <v>0.881818181818182</v>
      </c>
      <c r="V640" s="129">
        <v>0.693025540275049</v>
      </c>
      <c r="W640" s="129">
        <v>0.787598272616543</v>
      </c>
      <c r="X640" s="131">
        <v>0.92</v>
      </c>
      <c r="Y640" s="131">
        <v>0.951826363155108</v>
      </c>
      <c r="Z640" s="131">
        <v>0.937062937062937</v>
      </c>
      <c r="AA640" s="131">
        <v>0.923010380622837</v>
      </c>
      <c r="AB640" s="131">
        <v>0.927811585450829</v>
      </c>
      <c r="AC640" s="131">
        <v>0.92</v>
      </c>
      <c r="AD640" s="129">
        <v>0.999371859296482</v>
      </c>
      <c r="AE640" s="129">
        <v>1</v>
      </c>
      <c r="AF640" s="129">
        <v>1</v>
      </c>
      <c r="AG640" s="129">
        <v>0.998848484848485</v>
      </c>
      <c r="AH640" s="131">
        <v>0.92</v>
      </c>
      <c r="AI640" s="129">
        <v>0.966295152410367</v>
      </c>
      <c r="AJ640" s="129">
        <v>0.9581351094196</v>
      </c>
      <c r="AK640" s="129">
        <v>0.955814843152257</v>
      </c>
      <c r="AL640" s="129">
        <v>0.957540592812486</v>
      </c>
      <c r="AM640" s="128">
        <v>0.99</v>
      </c>
      <c r="AN640" s="133">
        <v>1</v>
      </c>
      <c r="AO640" s="133">
        <v>1</v>
      </c>
      <c r="AP640" s="133">
        <v>1</v>
      </c>
      <c r="AQ640" s="133">
        <v>1</v>
      </c>
      <c r="AR640" s="153">
        <v>0.05</v>
      </c>
      <c r="AS640" s="137">
        <v>0.236842105263158</v>
      </c>
      <c r="AT640" s="137">
        <v>0</v>
      </c>
      <c r="AU640" s="137">
        <v>0</v>
      </c>
      <c r="AV640" s="137">
        <v>0.08</v>
      </c>
      <c r="AW640" s="93"/>
      <c r="AX640" s="91"/>
    </row>
    <row r="641" ht="14.5" spans="1:50">
      <c r="A641" s="89"/>
      <c r="B641" s="93"/>
      <c r="C641" s="148" t="s">
        <v>371</v>
      </c>
      <c r="D641" s="126" t="s">
        <v>372</v>
      </c>
      <c r="E641" s="149" t="s">
        <v>663</v>
      </c>
      <c r="F641" s="149" t="s">
        <v>663</v>
      </c>
      <c r="G641" s="149" t="s">
        <v>663</v>
      </c>
      <c r="H641" s="149" t="s">
        <v>663</v>
      </c>
      <c r="I641" s="128">
        <v>0.9</v>
      </c>
      <c r="J641" s="129">
        <v>0.816666666666667</v>
      </c>
      <c r="K641" s="129">
        <v>0.760869565217391</v>
      </c>
      <c r="L641" s="130">
        <v>0.792452830188679</v>
      </c>
      <c r="M641" s="129">
        <v>0.780674846625767</v>
      </c>
      <c r="N641" s="131">
        <v>0.9</v>
      </c>
      <c r="O641" s="129">
        <v>0.946431627588567</v>
      </c>
      <c r="P641" s="129">
        <v>0.992850759606792</v>
      </c>
      <c r="Q641" s="129">
        <v>0.975795607350964</v>
      </c>
      <c r="R641" s="129">
        <v>0.971908718839142</v>
      </c>
      <c r="S641" s="131">
        <v>0.9</v>
      </c>
      <c r="T641" s="129">
        <v>0.581892863255177</v>
      </c>
      <c r="U641" s="129">
        <v>0.719392314566577</v>
      </c>
      <c r="V641" s="129">
        <v>0.564993276557597</v>
      </c>
      <c r="W641" s="129">
        <v>0.644487163586754</v>
      </c>
      <c r="X641" s="131">
        <v>0.92</v>
      </c>
      <c r="Y641" s="131">
        <v>0.841033283656234</v>
      </c>
      <c r="Z641" s="131">
        <v>0.841566533155318</v>
      </c>
      <c r="AA641" s="131">
        <v>0.806351665375678</v>
      </c>
      <c r="AB641" s="131">
        <v>0.844013377926421</v>
      </c>
      <c r="AC641" s="131">
        <v>0.92</v>
      </c>
      <c r="AD641" s="129">
        <v>0.991873222267371</v>
      </c>
      <c r="AE641" s="129">
        <v>0.983643277595458</v>
      </c>
      <c r="AF641" s="129">
        <v>0.960481354924974</v>
      </c>
      <c r="AG641" s="129">
        <v>0.982619410238553</v>
      </c>
      <c r="AH641" s="131">
        <v>0.92</v>
      </c>
      <c r="AI641" s="129">
        <v>0.914205702647658</v>
      </c>
      <c r="AJ641" s="129">
        <v>0.897481613550256</v>
      </c>
      <c r="AK641" s="129">
        <v>0.920041717364853</v>
      </c>
      <c r="AL641" s="129">
        <v>0.921508549482513</v>
      </c>
      <c r="AM641" s="128">
        <v>0.99</v>
      </c>
      <c r="AN641" s="133">
        <v>1</v>
      </c>
      <c r="AO641" s="133">
        <v>1</v>
      </c>
      <c r="AP641" s="133">
        <v>1</v>
      </c>
      <c r="AQ641" s="133">
        <v>1</v>
      </c>
      <c r="AR641" s="153">
        <v>0.05</v>
      </c>
      <c r="AS641" s="137">
        <v>0.19047619047619</v>
      </c>
      <c r="AT641" s="137">
        <v>0.0555555555555556</v>
      </c>
      <c r="AU641" s="137">
        <v>0.0740740740740741</v>
      </c>
      <c r="AV641" s="137">
        <v>0.0926640926640927</v>
      </c>
      <c r="AW641" s="93"/>
      <c r="AX641" s="91"/>
    </row>
    <row r="642" ht="14.5" spans="1:50">
      <c r="A642" s="89"/>
      <c r="B642" s="93"/>
      <c r="C642" s="167"/>
      <c r="D642" s="168"/>
      <c r="E642" s="168"/>
      <c r="F642" s="141"/>
      <c r="G642" s="141"/>
      <c r="H642" s="168"/>
      <c r="I642" s="169"/>
      <c r="J642" s="170"/>
      <c r="K642" s="170"/>
      <c r="L642" s="130"/>
      <c r="M642" s="170"/>
      <c r="N642" s="146"/>
      <c r="O642" s="170"/>
      <c r="P642" s="170"/>
      <c r="Q642" s="129"/>
      <c r="R642" s="170"/>
      <c r="S642" s="146"/>
      <c r="T642" s="170"/>
      <c r="U642" s="170"/>
      <c r="V642" s="129"/>
      <c r="W642" s="170"/>
      <c r="X642" s="146"/>
      <c r="Y642" s="146"/>
      <c r="Z642" s="146"/>
      <c r="AA642" s="131"/>
      <c r="AB642" s="146"/>
      <c r="AC642" s="170"/>
      <c r="AD642" s="170"/>
      <c r="AE642" s="170"/>
      <c r="AF642" s="129"/>
      <c r="AG642" s="170"/>
      <c r="AH642" s="170"/>
      <c r="AI642" s="170"/>
      <c r="AJ642" s="170"/>
      <c r="AK642" s="129"/>
      <c r="AL642" s="170"/>
      <c r="AM642" s="169"/>
      <c r="AN642" s="169"/>
      <c r="AO642" s="169"/>
      <c r="AP642" s="133"/>
      <c r="AQ642" s="169"/>
      <c r="AR642" s="170"/>
      <c r="AS642" s="169"/>
      <c r="AT642" s="169"/>
      <c r="AU642" s="137"/>
      <c r="AV642" s="169"/>
      <c r="AW642" s="93"/>
      <c r="AX642" s="91"/>
    </row>
    <row r="643" ht="14.5" spans="1:50">
      <c r="A643" s="89"/>
      <c r="B643" s="93"/>
      <c r="C643" s="148" t="s">
        <v>664</v>
      </c>
      <c r="D643" s="126" t="s">
        <v>665</v>
      </c>
      <c r="E643" s="171" t="s">
        <v>666</v>
      </c>
      <c r="F643" s="171" t="s">
        <v>666</v>
      </c>
      <c r="G643" s="171" t="s">
        <v>666</v>
      </c>
      <c r="H643" s="171" t="s">
        <v>666</v>
      </c>
      <c r="I643" s="128">
        <v>0.9</v>
      </c>
      <c r="J643" s="129">
        <v>1</v>
      </c>
      <c r="K643" s="129">
        <v>0.92</v>
      </c>
      <c r="L643" s="130">
        <v>1</v>
      </c>
      <c r="M643" s="129">
        <v>0.980609418282548</v>
      </c>
      <c r="N643" s="131">
        <v>0.9</v>
      </c>
      <c r="O643" s="129">
        <v>0.97487628473544</v>
      </c>
      <c r="P643" s="129">
        <v>0.971337579617834</v>
      </c>
      <c r="Q643" s="129">
        <v>0.976352887676216</v>
      </c>
      <c r="R643" s="129">
        <v>0.977425015954052</v>
      </c>
      <c r="S643" s="131">
        <v>0.9</v>
      </c>
      <c r="T643" s="129">
        <v>0.946707270650933</v>
      </c>
      <c r="U643" s="129">
        <v>0.91932059447983</v>
      </c>
      <c r="V643" s="129">
        <v>0.962255570713961</v>
      </c>
      <c r="W643" s="129">
        <v>0.95664486279515</v>
      </c>
      <c r="X643" s="131">
        <v>0.92</v>
      </c>
      <c r="Y643" s="131">
        <v>0.935318275154004</v>
      </c>
      <c r="Z643" s="131">
        <v>0.933110367892977</v>
      </c>
      <c r="AA643" s="131">
        <v>0.955268389662028</v>
      </c>
      <c r="AB643" s="131">
        <v>0.92544066358752</v>
      </c>
      <c r="AC643" s="131">
        <v>0.92</v>
      </c>
      <c r="AD643" s="129">
        <v>0.997448979591837</v>
      </c>
      <c r="AE643" s="129">
        <v>0.995024875621891</v>
      </c>
      <c r="AF643" s="129">
        <v>0.989429175475687</v>
      </c>
      <c r="AG643" s="129">
        <v>0.993157627977699</v>
      </c>
      <c r="AH643" s="131">
        <v>0.92</v>
      </c>
      <c r="AI643" s="129">
        <v>0.968342127186892</v>
      </c>
      <c r="AJ643" s="129">
        <v>0.936363636363636</v>
      </c>
      <c r="AK643" s="129">
        <v>0.975351014040562</v>
      </c>
      <c r="AL643" s="129">
        <v>0.963990472187193</v>
      </c>
      <c r="AM643" s="128">
        <v>0.99</v>
      </c>
      <c r="AN643" s="133">
        <v>1</v>
      </c>
      <c r="AO643" s="133">
        <v>1</v>
      </c>
      <c r="AP643" s="133">
        <v>1</v>
      </c>
      <c r="AQ643" s="133">
        <v>1</v>
      </c>
      <c r="AR643" s="153">
        <v>0.0810595228934205</v>
      </c>
      <c r="AS643" s="137">
        <v>0</v>
      </c>
      <c r="AT643" s="137">
        <v>0.0833333333333333</v>
      </c>
      <c r="AU643" s="137">
        <v>0</v>
      </c>
      <c r="AV643" s="137">
        <v>0.0338983050847458</v>
      </c>
      <c r="AW643" s="93"/>
      <c r="AX643" s="91"/>
    </row>
    <row r="644" ht="14.5" spans="1:50">
      <c r="A644" s="89"/>
      <c r="B644" s="93"/>
      <c r="C644" s="148" t="s">
        <v>664</v>
      </c>
      <c r="D644" s="126" t="s">
        <v>665</v>
      </c>
      <c r="E644" s="171" t="s">
        <v>667</v>
      </c>
      <c r="F644" s="171" t="s">
        <v>667</v>
      </c>
      <c r="G644" s="171" t="s">
        <v>667</v>
      </c>
      <c r="H644" s="171" t="s">
        <v>667</v>
      </c>
      <c r="I644" s="128">
        <v>0.9</v>
      </c>
      <c r="J644" s="129">
        <v>1</v>
      </c>
      <c r="K644" s="129">
        <v>1</v>
      </c>
      <c r="L644" s="130">
        <v>0.962962962962963</v>
      </c>
      <c r="M644" s="129">
        <v>0.996699669966997</v>
      </c>
      <c r="N644" s="131">
        <v>0.9</v>
      </c>
      <c r="O644" s="129">
        <v>0.983870967741935</v>
      </c>
      <c r="P644" s="129">
        <v>0.972318339100346</v>
      </c>
      <c r="Q644" s="129">
        <v>0.981407035175879</v>
      </c>
      <c r="R644" s="129">
        <v>0.979943358558893</v>
      </c>
      <c r="S644" s="131">
        <v>0.9</v>
      </c>
      <c r="T644" s="129">
        <v>0.959459459459459</v>
      </c>
      <c r="U644" s="129">
        <v>0.953863898500577</v>
      </c>
      <c r="V644" s="129">
        <v>0.953768844221106</v>
      </c>
      <c r="W644" s="129">
        <v>0.956683225776498</v>
      </c>
      <c r="X644" s="131">
        <v>0.92</v>
      </c>
      <c r="Y644" s="131">
        <v>0.957583547557841</v>
      </c>
      <c r="Z644" s="131">
        <v>0.958483754512635</v>
      </c>
      <c r="AA644" s="131">
        <v>0.965324384787472</v>
      </c>
      <c r="AB644" s="131">
        <v>0.967173117444826</v>
      </c>
      <c r="AC644" s="131">
        <v>0.92</v>
      </c>
      <c r="AD644" s="129">
        <v>0.998522021874076</v>
      </c>
      <c r="AE644" s="129">
        <v>0.990084134615385</v>
      </c>
      <c r="AF644" s="129">
        <v>0.992769034453424</v>
      </c>
      <c r="AG644" s="129">
        <v>0.99171270718232</v>
      </c>
      <c r="AH644" s="131">
        <v>0.92</v>
      </c>
      <c r="AI644" s="129">
        <v>0.984049479166667</v>
      </c>
      <c r="AJ644" s="129">
        <v>0.97752808988764</v>
      </c>
      <c r="AK644" s="129">
        <v>0.978856152512998</v>
      </c>
      <c r="AL644" s="129">
        <v>0.982073342274854</v>
      </c>
      <c r="AM644" s="128">
        <v>0.99</v>
      </c>
      <c r="AN644" s="133">
        <v>1</v>
      </c>
      <c r="AO644" s="133">
        <v>1</v>
      </c>
      <c r="AP644" s="133">
        <v>1</v>
      </c>
      <c r="AQ644" s="133">
        <v>1</v>
      </c>
      <c r="AR644" s="153">
        <v>0.0810595228934205</v>
      </c>
      <c r="AS644" s="137">
        <v>0.25</v>
      </c>
      <c r="AT644" s="137">
        <v>0</v>
      </c>
      <c r="AU644" s="137">
        <v>0.125</v>
      </c>
      <c r="AV644" s="137">
        <v>0.0759493670886076</v>
      </c>
      <c r="AW644" s="93"/>
      <c r="AX644" s="91"/>
    </row>
    <row r="645" ht="14.5" spans="1:50">
      <c r="A645" s="89"/>
      <c r="B645" s="93"/>
      <c r="C645" s="148" t="s">
        <v>664</v>
      </c>
      <c r="D645" s="126" t="s">
        <v>665</v>
      </c>
      <c r="E645" s="171" t="s">
        <v>668</v>
      </c>
      <c r="F645" s="171" t="s">
        <v>668</v>
      </c>
      <c r="G645" s="171" t="s">
        <v>668</v>
      </c>
      <c r="H645" s="171" t="s">
        <v>668</v>
      </c>
      <c r="I645" s="128">
        <v>0.9</v>
      </c>
      <c r="J645" s="129">
        <v>0.979166666666667</v>
      </c>
      <c r="K645" s="129">
        <v>0.945945945945946</v>
      </c>
      <c r="L645" s="130">
        <v>0.976190476190476</v>
      </c>
      <c r="M645" s="129">
        <v>0.988235294117647</v>
      </c>
      <c r="N645" s="131">
        <v>0.9</v>
      </c>
      <c r="O645" s="129">
        <v>0.971420239136775</v>
      </c>
      <c r="P645" s="129">
        <v>0.924812030075188</v>
      </c>
      <c r="Q645" s="129">
        <v>0.97445766270119</v>
      </c>
      <c r="R645" s="129">
        <v>0.967247513912964</v>
      </c>
      <c r="S645" s="131">
        <v>0.9</v>
      </c>
      <c r="T645" s="129">
        <v>0.930300379119277</v>
      </c>
      <c r="U645" s="129">
        <v>0.910609857978279</v>
      </c>
      <c r="V645" s="129">
        <v>0.932120363890833</v>
      </c>
      <c r="W645" s="129">
        <v>0.928595322811179</v>
      </c>
      <c r="X645" s="131">
        <v>0.92</v>
      </c>
      <c r="Y645" s="131">
        <v>0.882854926299457</v>
      </c>
      <c r="Z645" s="131">
        <v>0.832107843137255</v>
      </c>
      <c r="AA645" s="131">
        <v>0.792862684251358</v>
      </c>
      <c r="AB645" s="131">
        <v>0.745557821147684</v>
      </c>
      <c r="AC645" s="131">
        <v>0.92</v>
      </c>
      <c r="AD645" s="129">
        <v>1</v>
      </c>
      <c r="AE645" s="129">
        <v>0.977011494252874</v>
      </c>
      <c r="AF645" s="129">
        <v>0.981651376146789</v>
      </c>
      <c r="AG645" s="129">
        <v>0.982425307557118</v>
      </c>
      <c r="AH645" s="131">
        <v>0.92</v>
      </c>
      <c r="AI645" s="129">
        <v>0.943832132259432</v>
      </c>
      <c r="AJ645" s="129">
        <v>0.902233250620347</v>
      </c>
      <c r="AK645" s="129">
        <v>0.916586306653809</v>
      </c>
      <c r="AL645" s="129">
        <v>0.901906947810978</v>
      </c>
      <c r="AM645" s="128">
        <v>0.99</v>
      </c>
      <c r="AN645" s="133" t="s">
        <v>33</v>
      </c>
      <c r="AO645" s="133">
        <v>1</v>
      </c>
      <c r="AP645" s="133">
        <v>1</v>
      </c>
      <c r="AQ645" s="133">
        <v>1</v>
      </c>
      <c r="AR645" s="153">
        <v>0.0810595228934205</v>
      </c>
      <c r="AS645" s="137">
        <v>0</v>
      </c>
      <c r="AT645" s="137">
        <v>0</v>
      </c>
      <c r="AU645" s="137">
        <v>0</v>
      </c>
      <c r="AV645" s="137">
        <v>0.0272108843537415</v>
      </c>
      <c r="AW645" s="93"/>
      <c r="AX645" s="91"/>
    </row>
    <row r="646" ht="14.5" spans="1:50">
      <c r="A646" s="89"/>
      <c r="B646" s="93"/>
      <c r="C646" s="148" t="s">
        <v>664</v>
      </c>
      <c r="D646" s="126" t="s">
        <v>665</v>
      </c>
      <c r="E646" s="171" t="s">
        <v>669</v>
      </c>
      <c r="F646" s="171" t="s">
        <v>669</v>
      </c>
      <c r="G646" s="171" t="s">
        <v>669</v>
      </c>
      <c r="H646" s="171" t="s">
        <v>669</v>
      </c>
      <c r="I646" s="128">
        <v>0.9</v>
      </c>
      <c r="J646" s="129">
        <v>0.888888888888889</v>
      </c>
      <c r="K646" s="129">
        <v>0.9</v>
      </c>
      <c r="L646" s="130">
        <v>0.909090909090909</v>
      </c>
      <c r="M646" s="129">
        <v>0.897637795275591</v>
      </c>
      <c r="N646" s="131">
        <v>0.9</v>
      </c>
      <c r="O646" s="129">
        <v>0.986591026302218</v>
      </c>
      <c r="P646" s="129">
        <v>0.983113069016153</v>
      </c>
      <c r="Q646" s="129">
        <v>0.986650845446455</v>
      </c>
      <c r="R646" s="129">
        <v>0.981204886174348</v>
      </c>
      <c r="S646" s="131">
        <v>0.9</v>
      </c>
      <c r="T646" s="129">
        <v>0.952810727178958</v>
      </c>
      <c r="U646" s="129">
        <v>0.961086637298091</v>
      </c>
      <c r="V646" s="129">
        <v>0.955799466033818</v>
      </c>
      <c r="W646" s="129">
        <v>0.953858967240422</v>
      </c>
      <c r="X646" s="131">
        <v>0.92</v>
      </c>
      <c r="Y646" s="131">
        <v>0.921316165951359</v>
      </c>
      <c r="Z646" s="131">
        <v>0.92174913693901</v>
      </c>
      <c r="AA646" s="131">
        <v>0.935261707988981</v>
      </c>
      <c r="AB646" s="131">
        <v>0.921653177656893</v>
      </c>
      <c r="AC646" s="131">
        <v>0.92</v>
      </c>
      <c r="AD646" s="129">
        <v>1</v>
      </c>
      <c r="AE646" s="129">
        <v>0.997050147492625</v>
      </c>
      <c r="AF646" s="129">
        <v>0.996632996632997</v>
      </c>
      <c r="AG646" s="129">
        <v>0.992606284658041</v>
      </c>
      <c r="AH646" s="131">
        <v>0.92</v>
      </c>
      <c r="AI646" s="129">
        <v>0.963805192344135</v>
      </c>
      <c r="AJ646" s="129">
        <v>0.959229390681004</v>
      </c>
      <c r="AK646" s="129">
        <v>0.964559585492228</v>
      </c>
      <c r="AL646" s="129">
        <v>0.963368099720173</v>
      </c>
      <c r="AM646" s="128">
        <v>0.99</v>
      </c>
      <c r="AN646" s="133">
        <v>1</v>
      </c>
      <c r="AO646" s="133">
        <v>1</v>
      </c>
      <c r="AP646" s="133">
        <v>1</v>
      </c>
      <c r="AQ646" s="133">
        <v>1</v>
      </c>
      <c r="AR646" s="153">
        <v>0.0810595228934205</v>
      </c>
      <c r="AS646" s="137">
        <v>0.0454545454545455</v>
      </c>
      <c r="AT646" s="137">
        <v>0</v>
      </c>
      <c r="AU646" s="137">
        <v>0</v>
      </c>
      <c r="AV646" s="137">
        <v>0.051948051948052</v>
      </c>
      <c r="AW646" s="93"/>
      <c r="AX646" s="91"/>
    </row>
    <row r="647" ht="14.5" spans="1:50">
      <c r="A647" s="89"/>
      <c r="B647" s="93"/>
      <c r="C647" s="148" t="s">
        <v>664</v>
      </c>
      <c r="D647" s="126" t="s">
        <v>665</v>
      </c>
      <c r="E647" s="171" t="s">
        <v>670</v>
      </c>
      <c r="F647" s="171" t="s">
        <v>670</v>
      </c>
      <c r="G647" s="171" t="s">
        <v>670</v>
      </c>
      <c r="H647" s="171" t="s">
        <v>670</v>
      </c>
      <c r="I647" s="128">
        <v>0.9</v>
      </c>
      <c r="J647" s="129">
        <v>1</v>
      </c>
      <c r="K647" s="129">
        <v>1</v>
      </c>
      <c r="L647" s="130">
        <v>1</v>
      </c>
      <c r="M647" s="129">
        <v>1</v>
      </c>
      <c r="N647" s="131">
        <v>0.9</v>
      </c>
      <c r="O647" s="129">
        <v>0.99624765478424</v>
      </c>
      <c r="P647" s="129">
        <v>0.998230088495575</v>
      </c>
      <c r="Q647" s="129">
        <v>0.9958071278826</v>
      </c>
      <c r="R647" s="129">
        <v>0.991899246883109</v>
      </c>
      <c r="S647" s="131">
        <v>0.9</v>
      </c>
      <c r="T647" s="129">
        <v>0.963101938711695</v>
      </c>
      <c r="U647" s="129">
        <v>0.976991150442478</v>
      </c>
      <c r="V647" s="129">
        <v>0.974842767295597</v>
      </c>
      <c r="W647" s="129">
        <v>0.971520789823429</v>
      </c>
      <c r="X647" s="131">
        <v>0.92</v>
      </c>
      <c r="Y647" s="131">
        <v>0.965765765765766</v>
      </c>
      <c r="Z647" s="131">
        <v>0.950953678474114</v>
      </c>
      <c r="AA647" s="131">
        <v>0.975</v>
      </c>
      <c r="AB647" s="131">
        <v>0.959339651482727</v>
      </c>
      <c r="AC647" s="131">
        <v>0.92</v>
      </c>
      <c r="AD647" s="129">
        <v>0.99622641509434</v>
      </c>
      <c r="AE647" s="129">
        <v>1</v>
      </c>
      <c r="AF647" s="129">
        <v>0.994962216624685</v>
      </c>
      <c r="AG647" s="129">
        <v>0.992966918468351</v>
      </c>
      <c r="AH647" s="131">
        <v>0.92</v>
      </c>
      <c r="AI647" s="129">
        <v>0.98050139275766</v>
      </c>
      <c r="AJ647" s="129">
        <v>0.973175965665236</v>
      </c>
      <c r="AK647" s="129">
        <v>0.987445678416224</v>
      </c>
      <c r="AL647" s="129">
        <v>0.982232366630863</v>
      </c>
      <c r="AM647" s="128">
        <v>0.99</v>
      </c>
      <c r="AN647" s="133">
        <v>1</v>
      </c>
      <c r="AO647" s="133">
        <v>1</v>
      </c>
      <c r="AP647" s="133">
        <v>1</v>
      </c>
      <c r="AQ647" s="133">
        <v>1</v>
      </c>
      <c r="AR647" s="153">
        <v>0.0810595228934205</v>
      </c>
      <c r="AS647" s="137">
        <v>0.133333333333333</v>
      </c>
      <c r="AT647" s="137">
        <v>0</v>
      </c>
      <c r="AU647" s="137">
        <v>0.111111111111111</v>
      </c>
      <c r="AV647" s="137">
        <v>0.06</v>
      </c>
      <c r="AW647" s="93"/>
      <c r="AX647" s="91"/>
    </row>
    <row r="648" ht="14.5" spans="1:50">
      <c r="A648" s="89"/>
      <c r="B648" s="93"/>
      <c r="C648" s="148" t="s">
        <v>664</v>
      </c>
      <c r="D648" s="126" t="s">
        <v>665</v>
      </c>
      <c r="E648" s="171" t="s">
        <v>671</v>
      </c>
      <c r="F648" s="171" t="s">
        <v>671</v>
      </c>
      <c r="G648" s="171" t="s">
        <v>671</v>
      </c>
      <c r="H648" s="171" t="s">
        <v>671</v>
      </c>
      <c r="I648" s="128">
        <v>0.9</v>
      </c>
      <c r="J648" s="129">
        <v>1</v>
      </c>
      <c r="K648" s="129">
        <v>1</v>
      </c>
      <c r="L648" s="130">
        <v>1</v>
      </c>
      <c r="M648" s="129">
        <v>0.996655518394649</v>
      </c>
      <c r="N648" s="131">
        <v>0.9</v>
      </c>
      <c r="O648" s="129">
        <v>0.979863068868304</v>
      </c>
      <c r="P648" s="129">
        <v>0.970652173913043</v>
      </c>
      <c r="Q648" s="129">
        <v>0.984395898350424</v>
      </c>
      <c r="R648" s="129">
        <v>0.978905217965654</v>
      </c>
      <c r="S648" s="131">
        <v>0.9</v>
      </c>
      <c r="T648" s="129">
        <v>0.959726137736609</v>
      </c>
      <c r="U648" s="129">
        <v>0.970652173913043</v>
      </c>
      <c r="V648" s="129">
        <v>0.959429335711101</v>
      </c>
      <c r="W648" s="129">
        <v>0.96614927344782</v>
      </c>
      <c r="X648" s="131">
        <v>0.92</v>
      </c>
      <c r="Y648" s="131">
        <v>0.936524453694069</v>
      </c>
      <c r="Z648" s="131">
        <v>0.953206239168111</v>
      </c>
      <c r="AA648" s="131">
        <v>0.939393939393939</v>
      </c>
      <c r="AB648" s="131">
        <v>0.946878635129895</v>
      </c>
      <c r="AC648" s="131">
        <v>0.92</v>
      </c>
      <c r="AD648" s="129">
        <v>0.994981179422836</v>
      </c>
      <c r="AE648" s="129">
        <v>0.979166666666667</v>
      </c>
      <c r="AF648" s="129">
        <v>0.983193277310924</v>
      </c>
      <c r="AG648" s="129">
        <v>0.986252720815672</v>
      </c>
      <c r="AH648" s="131">
        <v>0.92</v>
      </c>
      <c r="AI648" s="129">
        <v>0.966898954703833</v>
      </c>
      <c r="AJ648" s="129">
        <v>0.968603874415498</v>
      </c>
      <c r="AK648" s="129">
        <v>0.966932026944274</v>
      </c>
      <c r="AL648" s="129">
        <v>0.973194384136633</v>
      </c>
      <c r="AM648" s="128">
        <v>0.99</v>
      </c>
      <c r="AN648" s="133">
        <v>1</v>
      </c>
      <c r="AO648" s="133">
        <v>1</v>
      </c>
      <c r="AP648" s="133">
        <v>1</v>
      </c>
      <c r="AQ648" s="133">
        <v>1</v>
      </c>
      <c r="AR648" s="153">
        <v>0.0810595228934205</v>
      </c>
      <c r="AS648" s="137">
        <v>0</v>
      </c>
      <c r="AT648" s="137">
        <v>0</v>
      </c>
      <c r="AU648" s="137">
        <v>0</v>
      </c>
      <c r="AV648" s="137">
        <v>0.0413793103448276</v>
      </c>
      <c r="AW648" s="93"/>
      <c r="AX648" s="91"/>
    </row>
    <row r="649" ht="14.5" spans="1:50">
      <c r="A649" s="89"/>
      <c r="B649" s="93"/>
      <c r="C649" s="148" t="s">
        <v>664</v>
      </c>
      <c r="D649" s="126" t="s">
        <v>665</v>
      </c>
      <c r="E649" s="171" t="s">
        <v>672</v>
      </c>
      <c r="F649" s="171" t="s">
        <v>672</v>
      </c>
      <c r="G649" s="171" t="s">
        <v>672</v>
      </c>
      <c r="H649" s="171" t="s">
        <v>672</v>
      </c>
      <c r="I649" s="128">
        <v>0.9</v>
      </c>
      <c r="J649" s="129">
        <v>1</v>
      </c>
      <c r="K649" s="129">
        <v>1</v>
      </c>
      <c r="L649" s="130">
        <v>1</v>
      </c>
      <c r="M649" s="129">
        <v>1</v>
      </c>
      <c r="N649" s="131">
        <v>0.9</v>
      </c>
      <c r="O649" s="129">
        <v>0.989679521998914</v>
      </c>
      <c r="P649" s="129">
        <v>0.992138364779874</v>
      </c>
      <c r="Q649" s="129">
        <v>0.99005593536358</v>
      </c>
      <c r="R649" s="129">
        <v>0.990985851209493</v>
      </c>
      <c r="S649" s="131">
        <v>0.9</v>
      </c>
      <c r="T649" s="129">
        <v>0.959804454101032</v>
      </c>
      <c r="U649" s="129">
        <v>0.959119496855346</v>
      </c>
      <c r="V649" s="129">
        <v>0.945307644499689</v>
      </c>
      <c r="W649" s="129">
        <v>0.950650387950707</v>
      </c>
      <c r="X649" s="131">
        <v>0.92</v>
      </c>
      <c r="Y649" s="131">
        <v>0.915980230642504</v>
      </c>
      <c r="Z649" s="131">
        <v>0.842956120092379</v>
      </c>
      <c r="AA649" s="131">
        <v>0.927246790299572</v>
      </c>
      <c r="AB649" s="131">
        <v>0.891484249866524</v>
      </c>
      <c r="AC649" s="131">
        <v>0.92</v>
      </c>
      <c r="AD649" s="129">
        <v>1</v>
      </c>
      <c r="AE649" s="129">
        <v>0.985074626865672</v>
      </c>
      <c r="AF649" s="129">
        <v>1</v>
      </c>
      <c r="AG649" s="129">
        <v>0.993035770813549</v>
      </c>
      <c r="AH649" s="131">
        <v>0.92</v>
      </c>
      <c r="AI649" s="129">
        <v>0.973039215686274</v>
      </c>
      <c r="AJ649" s="129">
        <v>0.925303454715219</v>
      </c>
      <c r="AK649" s="129">
        <v>0.972727272727273</v>
      </c>
      <c r="AL649" s="129">
        <v>0.961675258761939</v>
      </c>
      <c r="AM649" s="128">
        <v>0.99</v>
      </c>
      <c r="AN649" s="133">
        <v>1</v>
      </c>
      <c r="AO649" s="133">
        <v>1</v>
      </c>
      <c r="AP649" s="133">
        <v>1</v>
      </c>
      <c r="AQ649" s="133">
        <v>1</v>
      </c>
      <c r="AR649" s="153">
        <v>0.0810595228934205</v>
      </c>
      <c r="AS649" s="137">
        <v>0</v>
      </c>
      <c r="AT649" s="137">
        <v>0</v>
      </c>
      <c r="AU649" s="137">
        <v>0</v>
      </c>
      <c r="AV649" s="137">
        <v>0.0410958904109589</v>
      </c>
      <c r="AW649" s="93"/>
      <c r="AX649" s="91"/>
    </row>
    <row r="650" ht="14.5" spans="1:50">
      <c r="A650" s="89"/>
      <c r="B650" s="93"/>
      <c r="C650" s="148" t="s">
        <v>664</v>
      </c>
      <c r="D650" s="126" t="s">
        <v>665</v>
      </c>
      <c r="E650" s="171" t="s">
        <v>673</v>
      </c>
      <c r="F650" s="171" t="s">
        <v>673</v>
      </c>
      <c r="G650" s="171" t="s">
        <v>673</v>
      </c>
      <c r="H650" s="171" t="s">
        <v>673</v>
      </c>
      <c r="I650" s="128">
        <v>0.9</v>
      </c>
      <c r="J650" s="129">
        <v>0.838709677419355</v>
      </c>
      <c r="K650" s="129">
        <v>0.863636363636364</v>
      </c>
      <c r="L650" s="130">
        <v>0.88</v>
      </c>
      <c r="M650" s="129">
        <v>0.846394984326019</v>
      </c>
      <c r="N650" s="131">
        <v>0.9</v>
      </c>
      <c r="O650" s="129">
        <v>0.981289808917197</v>
      </c>
      <c r="P650" s="129">
        <v>0.972428419936373</v>
      </c>
      <c r="Q650" s="129">
        <v>0.969188944268237</v>
      </c>
      <c r="R650" s="129">
        <v>0.977371773382501</v>
      </c>
      <c r="S650" s="131">
        <v>0.9</v>
      </c>
      <c r="T650" s="129">
        <v>0.963773885350318</v>
      </c>
      <c r="U650" s="129">
        <v>0.95864262990456</v>
      </c>
      <c r="V650" s="129">
        <v>0.950158586316266</v>
      </c>
      <c r="W650" s="129">
        <v>0.962663426081126</v>
      </c>
      <c r="X650" s="131">
        <v>0.92</v>
      </c>
      <c r="Y650" s="131">
        <v>0.967532467532468</v>
      </c>
      <c r="Z650" s="131">
        <v>0.966216216216216</v>
      </c>
      <c r="AA650" s="131">
        <v>0.96086508753862</v>
      </c>
      <c r="AB650" s="131">
        <v>0.968771755345599</v>
      </c>
      <c r="AC650" s="131">
        <v>0.92</v>
      </c>
      <c r="AD650" s="129">
        <v>1</v>
      </c>
      <c r="AE650" s="129">
        <v>0.997695852534562</v>
      </c>
      <c r="AF650" s="129">
        <v>0.991638795986622</v>
      </c>
      <c r="AG650" s="129">
        <v>0.995121951219512</v>
      </c>
      <c r="AH650" s="131">
        <v>0.92</v>
      </c>
      <c r="AI650" s="129">
        <v>0.981373690337602</v>
      </c>
      <c r="AJ650" s="129">
        <v>0.979153094462541</v>
      </c>
      <c r="AK650" s="129">
        <v>0.977029578351164</v>
      </c>
      <c r="AL650" s="129">
        <v>0.982990389717587</v>
      </c>
      <c r="AM650" s="128">
        <v>0.99</v>
      </c>
      <c r="AN650" s="133">
        <v>1</v>
      </c>
      <c r="AO650" s="133">
        <v>1</v>
      </c>
      <c r="AP650" s="133">
        <v>1</v>
      </c>
      <c r="AQ650" s="133">
        <v>1</v>
      </c>
      <c r="AR650" s="153">
        <v>0.0810595228934205</v>
      </c>
      <c r="AS650" s="137">
        <v>0</v>
      </c>
      <c r="AT650" s="137">
        <v>0</v>
      </c>
      <c r="AU650" s="137">
        <v>0</v>
      </c>
      <c r="AV650" s="137">
        <v>0.036144578313253</v>
      </c>
      <c r="AW650" s="93"/>
      <c r="AX650" s="91"/>
    </row>
    <row r="651" ht="14.5" spans="1:50">
      <c r="A651" s="89"/>
      <c r="B651" s="93"/>
      <c r="C651" s="148" t="s">
        <v>664</v>
      </c>
      <c r="D651" s="126" t="s">
        <v>665</v>
      </c>
      <c r="E651" s="171" t="s">
        <v>674</v>
      </c>
      <c r="F651" s="171" t="s">
        <v>674</v>
      </c>
      <c r="G651" s="171" t="s">
        <v>674</v>
      </c>
      <c r="H651" s="171" t="s">
        <v>674</v>
      </c>
      <c r="I651" s="128">
        <v>0.9</v>
      </c>
      <c r="J651" s="129">
        <v>1</v>
      </c>
      <c r="K651" s="129">
        <v>1</v>
      </c>
      <c r="L651" s="130">
        <v>0.906976744186046</v>
      </c>
      <c r="M651" s="129">
        <v>0.971074380165289</v>
      </c>
      <c r="N651" s="131">
        <v>0.9</v>
      </c>
      <c r="O651" s="129">
        <v>0.954942368145302</v>
      </c>
      <c r="P651" s="129">
        <v>0.957186544342508</v>
      </c>
      <c r="Q651" s="129">
        <v>0.95985401459854</v>
      </c>
      <c r="R651" s="129">
        <v>0.942820606503471</v>
      </c>
      <c r="S651" s="131">
        <v>0.9</v>
      </c>
      <c r="T651" s="129">
        <v>0.929793922458959</v>
      </c>
      <c r="U651" s="129">
        <v>0.933741080530071</v>
      </c>
      <c r="V651" s="129">
        <v>0.942416869424169</v>
      </c>
      <c r="W651" s="129">
        <v>0.9362805991962</v>
      </c>
      <c r="X651" s="131">
        <v>0.92</v>
      </c>
      <c r="Y651" s="131">
        <v>0.848754448398576</v>
      </c>
      <c r="Z651" s="131">
        <v>0.8</v>
      </c>
      <c r="AA651" s="131">
        <v>0.827467811158798</v>
      </c>
      <c r="AB651" s="131">
        <v>0.810084177976293</v>
      </c>
      <c r="AC651" s="131">
        <v>0.92</v>
      </c>
      <c r="AD651" s="129">
        <v>0.994334277620397</v>
      </c>
      <c r="AE651" s="129">
        <v>0.976303317535545</v>
      </c>
      <c r="AF651" s="129">
        <v>0.982638888888889</v>
      </c>
      <c r="AG651" s="129">
        <v>0.986168741355463</v>
      </c>
      <c r="AH651" s="131">
        <v>0.92</v>
      </c>
      <c r="AI651" s="129">
        <v>0.932046138415246</v>
      </c>
      <c r="AJ651" s="129">
        <v>0.899749373433584</v>
      </c>
      <c r="AK651" s="129">
        <v>0.925364913247039</v>
      </c>
      <c r="AL651" s="129">
        <v>0.925215920449012</v>
      </c>
      <c r="AM651" s="128">
        <v>0.99</v>
      </c>
      <c r="AN651" s="133">
        <v>1</v>
      </c>
      <c r="AO651" s="133">
        <v>1</v>
      </c>
      <c r="AP651" s="133">
        <v>1</v>
      </c>
      <c r="AQ651" s="133">
        <v>1</v>
      </c>
      <c r="AR651" s="153">
        <v>0.0810595228934205</v>
      </c>
      <c r="AS651" s="137">
        <v>0</v>
      </c>
      <c r="AT651" s="137">
        <v>0.25</v>
      </c>
      <c r="AU651" s="137">
        <v>0</v>
      </c>
      <c r="AV651" s="137">
        <v>0.0648648648648649</v>
      </c>
      <c r="AW651" s="93"/>
      <c r="AX651" s="91"/>
    </row>
    <row r="652" ht="14.5" spans="1:50">
      <c r="A652" s="89"/>
      <c r="B652" s="93"/>
      <c r="C652" s="148" t="s">
        <v>664</v>
      </c>
      <c r="D652" s="126" t="s">
        <v>665</v>
      </c>
      <c r="E652" s="171" t="s">
        <v>675</v>
      </c>
      <c r="F652" s="171" t="s">
        <v>675</v>
      </c>
      <c r="G652" s="171" t="s">
        <v>675</v>
      </c>
      <c r="H652" s="171" t="s">
        <v>675</v>
      </c>
      <c r="I652" s="128">
        <v>0.9</v>
      </c>
      <c r="J652" s="129">
        <v>1</v>
      </c>
      <c r="K652" s="129">
        <v>1</v>
      </c>
      <c r="L652" s="130">
        <v>0.962962962962963</v>
      </c>
      <c r="M652" s="129">
        <v>0.993690851735016</v>
      </c>
      <c r="N652" s="131">
        <v>0.9</v>
      </c>
      <c r="O652" s="129">
        <v>0.922352176738142</v>
      </c>
      <c r="P652" s="129">
        <v>0.929824561403509</v>
      </c>
      <c r="Q652" s="129">
        <v>0.896911053219204</v>
      </c>
      <c r="R652" s="129">
        <v>0.932055053201148</v>
      </c>
      <c r="S652" s="131">
        <v>0.9</v>
      </c>
      <c r="T652" s="129">
        <v>0.924301494476933</v>
      </c>
      <c r="U652" s="129">
        <v>0.908466819221968</v>
      </c>
      <c r="V652" s="129">
        <v>0.880908075921102</v>
      </c>
      <c r="W652" s="129">
        <v>0.917202309619784</v>
      </c>
      <c r="X652" s="131">
        <v>0.92</v>
      </c>
      <c r="Y652" s="131">
        <v>0.824778761061947</v>
      </c>
      <c r="Z652" s="131">
        <v>0.897858319604613</v>
      </c>
      <c r="AA652" s="131">
        <v>0.89198606271777</v>
      </c>
      <c r="AB652" s="131">
        <v>0.869169893921536</v>
      </c>
      <c r="AC652" s="131">
        <v>0.92</v>
      </c>
      <c r="AD652" s="129">
        <v>0.978256324482542</v>
      </c>
      <c r="AE652" s="129">
        <v>0.9968</v>
      </c>
      <c r="AF652" s="129">
        <v>0.998381877022654</v>
      </c>
      <c r="AG652" s="129">
        <v>0.993600869947092</v>
      </c>
      <c r="AH652" s="131">
        <v>0.92</v>
      </c>
      <c r="AI652" s="129">
        <v>0.950315673895141</v>
      </c>
      <c r="AJ652" s="129">
        <v>0.932221063607925</v>
      </c>
      <c r="AK652" s="129">
        <v>0.964357767316745</v>
      </c>
      <c r="AL652" s="129">
        <v>0.949074074074074</v>
      </c>
      <c r="AM652" s="128">
        <v>0.99</v>
      </c>
      <c r="AN652" s="133">
        <v>1</v>
      </c>
      <c r="AO652" s="133">
        <v>1</v>
      </c>
      <c r="AP652" s="133">
        <v>1</v>
      </c>
      <c r="AQ652" s="133">
        <v>1</v>
      </c>
      <c r="AR652" s="153">
        <v>0.0810595228934205</v>
      </c>
      <c r="AS652" s="137">
        <v>0</v>
      </c>
      <c r="AT652" s="137">
        <v>0</v>
      </c>
      <c r="AU652" s="137">
        <v>0</v>
      </c>
      <c r="AV652" s="137">
        <v>0.0254237288135593</v>
      </c>
      <c r="AW652" s="93"/>
      <c r="AX652" s="91"/>
    </row>
    <row r="653" ht="14.5" spans="1:50">
      <c r="A653" s="89"/>
      <c r="B653" s="93"/>
      <c r="C653" s="148" t="s">
        <v>664</v>
      </c>
      <c r="D653" s="126" t="s">
        <v>665</v>
      </c>
      <c r="E653" s="171" t="s">
        <v>676</v>
      </c>
      <c r="F653" s="171" t="s">
        <v>676</v>
      </c>
      <c r="G653" s="171" t="s">
        <v>676</v>
      </c>
      <c r="H653" s="171" t="s">
        <v>676</v>
      </c>
      <c r="I653" s="128">
        <v>0.9</v>
      </c>
      <c r="J653" s="129">
        <v>0.986486486486487</v>
      </c>
      <c r="K653" s="129">
        <v>0.982142857142857</v>
      </c>
      <c r="L653" s="130">
        <v>0.954545454545455</v>
      </c>
      <c r="M653" s="129">
        <v>0.956919060052219</v>
      </c>
      <c r="N653" s="131">
        <v>0.9</v>
      </c>
      <c r="O653" s="129">
        <v>0.943929870989084</v>
      </c>
      <c r="P653" s="129">
        <v>0.969544965962021</v>
      </c>
      <c r="Q653" s="129">
        <v>0.965293244246474</v>
      </c>
      <c r="R653" s="129">
        <v>0.966165836112256</v>
      </c>
      <c r="S653" s="131">
        <v>0.9</v>
      </c>
      <c r="T653" s="129">
        <v>0.938802514058882</v>
      </c>
      <c r="U653" s="129">
        <v>0.958437835901111</v>
      </c>
      <c r="V653" s="129">
        <v>0.93652561247216</v>
      </c>
      <c r="W653" s="129">
        <v>0.947131777136648</v>
      </c>
      <c r="X653" s="131">
        <v>0.92</v>
      </c>
      <c r="Y653" s="131">
        <v>0.95079086115993</v>
      </c>
      <c r="Z653" s="131">
        <v>0.967150496562261</v>
      </c>
      <c r="AA653" s="131">
        <v>0.973333333333333</v>
      </c>
      <c r="AB653" s="131">
        <v>0.971419344421121</v>
      </c>
      <c r="AC653" s="131">
        <v>0.92</v>
      </c>
      <c r="AD653" s="129">
        <v>0.994644916790245</v>
      </c>
      <c r="AE653" s="129">
        <v>0.967506981658993</v>
      </c>
      <c r="AF653" s="129">
        <v>0.930520853353834</v>
      </c>
      <c r="AG653" s="129">
        <v>0.964621097745894</v>
      </c>
      <c r="AH653" s="131">
        <v>0.92</v>
      </c>
      <c r="AI653" s="129">
        <v>0.980929844097996</v>
      </c>
      <c r="AJ653" s="129">
        <v>0.980263157894737</v>
      </c>
      <c r="AK653" s="129">
        <v>0.987796833773087</v>
      </c>
      <c r="AL653" s="129">
        <v>0.986743288029432</v>
      </c>
      <c r="AM653" s="128">
        <v>0.99</v>
      </c>
      <c r="AN653" s="133">
        <v>1</v>
      </c>
      <c r="AO653" s="133">
        <v>1</v>
      </c>
      <c r="AP653" s="133">
        <v>1</v>
      </c>
      <c r="AQ653" s="133">
        <v>1</v>
      </c>
      <c r="AR653" s="153">
        <v>0.0810595228934205</v>
      </c>
      <c r="AS653" s="137">
        <v>0</v>
      </c>
      <c r="AT653" s="137">
        <v>0</v>
      </c>
      <c r="AU653" s="137">
        <v>0</v>
      </c>
      <c r="AV653" s="137">
        <v>0.0192307692307692</v>
      </c>
      <c r="AW653" s="93"/>
      <c r="AX653" s="91"/>
    </row>
    <row r="654" ht="14.5" spans="1:50">
      <c r="A654" s="89"/>
      <c r="B654" s="93"/>
      <c r="C654" s="148" t="s">
        <v>664</v>
      </c>
      <c r="D654" s="126" t="s">
        <v>665</v>
      </c>
      <c r="E654" s="171" t="s">
        <v>677</v>
      </c>
      <c r="F654" s="171" t="s">
        <v>677</v>
      </c>
      <c r="G654" s="171" t="s">
        <v>677</v>
      </c>
      <c r="H654" s="171" t="s">
        <v>677</v>
      </c>
      <c r="I654" s="128">
        <v>0.9</v>
      </c>
      <c r="J654" s="129">
        <v>1</v>
      </c>
      <c r="K654" s="129">
        <v>0.928571428571429</v>
      </c>
      <c r="L654" s="130">
        <v>1</v>
      </c>
      <c r="M654" s="129">
        <v>0.971830985915493</v>
      </c>
      <c r="N654" s="131">
        <v>0.9</v>
      </c>
      <c r="O654" s="129">
        <v>0.731218697829716</v>
      </c>
      <c r="P654" s="129">
        <v>0.910041841004184</v>
      </c>
      <c r="Q654" s="129">
        <v>0.946775844421699</v>
      </c>
      <c r="R654" s="129">
        <v>0.921048718838281</v>
      </c>
      <c r="S654" s="131">
        <v>0.9</v>
      </c>
      <c r="T654" s="129">
        <v>0.774207011686144</v>
      </c>
      <c r="U654" s="129">
        <v>0.903765690376569</v>
      </c>
      <c r="V654" s="129">
        <v>0.874616171954964</v>
      </c>
      <c r="W654" s="129">
        <v>0.888288645487436</v>
      </c>
      <c r="X654" s="131">
        <v>0.92</v>
      </c>
      <c r="Y654" s="131">
        <v>0.719540229885058</v>
      </c>
      <c r="Z654" s="131">
        <v>0.82837528604119</v>
      </c>
      <c r="AA654" s="131">
        <v>0.790874524714829</v>
      </c>
      <c r="AB654" s="131">
        <v>0.811009583240472</v>
      </c>
      <c r="AC654" s="131">
        <v>0.92</v>
      </c>
      <c r="AD654" s="129">
        <v>0.933872598584429</v>
      </c>
      <c r="AE654" s="129">
        <v>0.993351800554017</v>
      </c>
      <c r="AF654" s="129">
        <v>0.988794752664662</v>
      </c>
      <c r="AG654" s="129">
        <v>0.986529586131852</v>
      </c>
      <c r="AH654" s="131">
        <v>0.92</v>
      </c>
      <c r="AI654" s="129">
        <v>0.907132768361582</v>
      </c>
      <c r="AJ654" s="129">
        <v>0.899497487437186</v>
      </c>
      <c r="AK654" s="129">
        <v>0.945421741091565</v>
      </c>
      <c r="AL654" s="129">
        <v>0.93647383143471</v>
      </c>
      <c r="AM654" s="128">
        <v>0.99</v>
      </c>
      <c r="AN654" s="133">
        <v>1</v>
      </c>
      <c r="AO654" s="133">
        <v>1</v>
      </c>
      <c r="AP654" s="133">
        <v>1</v>
      </c>
      <c r="AQ654" s="133">
        <v>1</v>
      </c>
      <c r="AR654" s="153">
        <v>0.0810595228934205</v>
      </c>
      <c r="AS654" s="137">
        <v>0</v>
      </c>
      <c r="AT654" s="137">
        <v>0</v>
      </c>
      <c r="AU654" s="137">
        <v>0</v>
      </c>
      <c r="AV654" s="137">
        <v>0.0816326530612245</v>
      </c>
      <c r="AW654" s="93"/>
      <c r="AX654" s="91"/>
    </row>
    <row r="655" ht="14.5" spans="1:50">
      <c r="A655" s="89"/>
      <c r="B655" s="93"/>
      <c r="C655" s="148" t="s">
        <v>664</v>
      </c>
      <c r="D655" s="126" t="s">
        <v>665</v>
      </c>
      <c r="E655" s="171" t="s">
        <v>678</v>
      </c>
      <c r="F655" s="171" t="s">
        <v>678</v>
      </c>
      <c r="G655" s="171" t="s">
        <v>678</v>
      </c>
      <c r="H655" s="171" t="s">
        <v>678</v>
      </c>
      <c r="I655" s="128">
        <v>0.9</v>
      </c>
      <c r="J655" s="129">
        <v>1</v>
      </c>
      <c r="K655" s="129">
        <v>0.977272727272727</v>
      </c>
      <c r="L655" s="130">
        <v>0.962264150943396</v>
      </c>
      <c r="M655" s="129">
        <v>0.978187919463087</v>
      </c>
      <c r="N655" s="131">
        <v>0.9</v>
      </c>
      <c r="O655" s="129">
        <v>0.984871124392977</v>
      </c>
      <c r="P655" s="129">
        <v>0.990934449093445</v>
      </c>
      <c r="Q655" s="129">
        <v>0.98755011605824</v>
      </c>
      <c r="R655" s="129">
        <v>0.983674795427318</v>
      </c>
      <c r="S655" s="131">
        <v>0.9</v>
      </c>
      <c r="T655" s="129">
        <v>0.865521105715353</v>
      </c>
      <c r="U655" s="129">
        <v>0.907949790794979</v>
      </c>
      <c r="V655" s="129">
        <v>0.914116902300063</v>
      </c>
      <c r="W655" s="129">
        <v>0.899287295173506</v>
      </c>
      <c r="X655" s="131">
        <v>0.92</v>
      </c>
      <c r="Y655" s="131">
        <v>0.832871652816251</v>
      </c>
      <c r="Z655" s="131">
        <v>0.850658857979502</v>
      </c>
      <c r="AA655" s="131">
        <v>0.859673024523161</v>
      </c>
      <c r="AB655" s="131">
        <v>0.871540265832682</v>
      </c>
      <c r="AC655" s="131">
        <v>0.92</v>
      </c>
      <c r="AD655" s="129">
        <v>0.953879290162476</v>
      </c>
      <c r="AE655" s="129">
        <v>0.967915652879156</v>
      </c>
      <c r="AF655" s="129">
        <v>0.986347940145087</v>
      </c>
      <c r="AG655" s="129">
        <v>0.979640987852321</v>
      </c>
      <c r="AH655" s="131">
        <v>0.92</v>
      </c>
      <c r="AI655" s="129">
        <v>0.93367505436471</v>
      </c>
      <c r="AJ655" s="129">
        <v>0.917335852621634</v>
      </c>
      <c r="AK655" s="129">
        <v>0.952137376689806</v>
      </c>
      <c r="AL655" s="129">
        <v>0.942383316142341</v>
      </c>
      <c r="AM655" s="128">
        <v>0.99</v>
      </c>
      <c r="AN655" s="133">
        <v>1</v>
      </c>
      <c r="AO655" s="133">
        <v>1</v>
      </c>
      <c r="AP655" s="133">
        <v>1</v>
      </c>
      <c r="AQ655" s="133">
        <v>1</v>
      </c>
      <c r="AR655" s="153">
        <v>0.0810595228934205</v>
      </c>
      <c r="AS655" s="137">
        <v>0</v>
      </c>
      <c r="AT655" s="137">
        <v>0</v>
      </c>
      <c r="AU655" s="137">
        <v>0.0714285714285714</v>
      </c>
      <c r="AV655" s="137">
        <v>0.0476190476190476</v>
      </c>
      <c r="AW655" s="93"/>
      <c r="AX655" s="91"/>
    </row>
    <row r="656" ht="14.5" spans="1:50">
      <c r="A656" s="89"/>
      <c r="B656" s="93"/>
      <c r="C656" s="148" t="s">
        <v>664</v>
      </c>
      <c r="D656" s="126" t="s">
        <v>665</v>
      </c>
      <c r="E656" s="171" t="s">
        <v>679</v>
      </c>
      <c r="F656" s="171" t="s">
        <v>679</v>
      </c>
      <c r="G656" s="171" t="s">
        <v>679</v>
      </c>
      <c r="H656" s="171" t="s">
        <v>679</v>
      </c>
      <c r="I656" s="128">
        <v>0.9</v>
      </c>
      <c r="J656" s="129">
        <v>1</v>
      </c>
      <c r="K656" s="129">
        <v>0.9</v>
      </c>
      <c r="L656" s="130">
        <v>1</v>
      </c>
      <c r="M656" s="129">
        <v>0.914473684210526</v>
      </c>
      <c r="N656" s="131">
        <v>0.9</v>
      </c>
      <c r="O656" s="129">
        <v>0.902389078498294</v>
      </c>
      <c r="P656" s="129">
        <v>0.895397489539749</v>
      </c>
      <c r="Q656" s="129">
        <v>0.928571428571429</v>
      </c>
      <c r="R656" s="129">
        <v>0.936890370987912</v>
      </c>
      <c r="S656" s="131">
        <v>0.9</v>
      </c>
      <c r="T656" s="129">
        <v>0.852559726962457</v>
      </c>
      <c r="U656" s="129">
        <v>0.841004184100418</v>
      </c>
      <c r="V656" s="129">
        <v>0.906196213425129</v>
      </c>
      <c r="W656" s="129">
        <v>0.898124218424343</v>
      </c>
      <c r="X656" s="131">
        <v>0.92</v>
      </c>
      <c r="Y656" s="131">
        <v>0.914285714285714</v>
      </c>
      <c r="Z656" s="131">
        <v>0.730769230769231</v>
      </c>
      <c r="AA656" s="131">
        <v>0.823008849557522</v>
      </c>
      <c r="AB656" s="131">
        <v>0.834740651387214</v>
      </c>
      <c r="AC656" s="131">
        <v>0.92</v>
      </c>
      <c r="AD656" s="129">
        <v>0.997821350762527</v>
      </c>
      <c r="AE656" s="129">
        <v>0.998098859315589</v>
      </c>
      <c r="AF656" s="129">
        <v>0.995215311004785</v>
      </c>
      <c r="AG656" s="129">
        <v>0.996119929453263</v>
      </c>
      <c r="AH656" s="131">
        <v>0.92</v>
      </c>
      <c r="AI656" s="129">
        <v>0.966081871345029</v>
      </c>
      <c r="AJ656" s="129">
        <v>0.863143631436314</v>
      </c>
      <c r="AK656" s="129">
        <v>0.970980392156863</v>
      </c>
      <c r="AL656" s="129">
        <v>0.94669244579478</v>
      </c>
      <c r="AM656" s="128">
        <v>0.99</v>
      </c>
      <c r="AN656" s="133">
        <v>1</v>
      </c>
      <c r="AO656" s="133">
        <v>1</v>
      </c>
      <c r="AP656" s="133">
        <v>1</v>
      </c>
      <c r="AQ656" s="133">
        <v>1</v>
      </c>
      <c r="AR656" s="153">
        <v>0.0810595228934205</v>
      </c>
      <c r="AS656" s="137">
        <v>0</v>
      </c>
      <c r="AT656" s="137">
        <v>0</v>
      </c>
      <c r="AU656" s="137">
        <v>0</v>
      </c>
      <c r="AV656" s="137">
        <v>0.0377358490566038</v>
      </c>
      <c r="AW656" s="93"/>
      <c r="AX656" s="91"/>
    </row>
    <row r="657" ht="14.5" spans="1:50">
      <c r="A657" s="89"/>
      <c r="B657" s="93"/>
      <c r="C657" s="148" t="s">
        <v>664</v>
      </c>
      <c r="D657" s="126" t="s">
        <v>665</v>
      </c>
      <c r="E657" s="171" t="s">
        <v>680</v>
      </c>
      <c r="F657" s="171" t="s">
        <v>680</v>
      </c>
      <c r="G657" s="171" t="s">
        <v>680</v>
      </c>
      <c r="H657" s="171" t="s">
        <v>680</v>
      </c>
      <c r="I657" s="128">
        <v>0.9</v>
      </c>
      <c r="J657" s="129">
        <v>1</v>
      </c>
      <c r="K657" s="129">
        <v>1</v>
      </c>
      <c r="L657" s="130">
        <v>0.966666666666667</v>
      </c>
      <c r="M657" s="129">
        <v>0.975935828877005</v>
      </c>
      <c r="N657" s="131">
        <v>0.9</v>
      </c>
      <c r="O657" s="129">
        <v>0.81622678396872</v>
      </c>
      <c r="P657" s="129">
        <v>0.975965040058267</v>
      </c>
      <c r="Q657" s="129">
        <v>0.887212372689551</v>
      </c>
      <c r="R657" s="129">
        <v>0.867827980402831</v>
      </c>
      <c r="S657" s="131">
        <v>0.9</v>
      </c>
      <c r="T657" s="129">
        <v>0.957315086347344</v>
      </c>
      <c r="U657" s="129">
        <v>0.975965040058267</v>
      </c>
      <c r="V657" s="129">
        <v>0.938513768389287</v>
      </c>
      <c r="W657" s="129">
        <v>0.954382144801306</v>
      </c>
      <c r="X657" s="131">
        <v>0.92</v>
      </c>
      <c r="Y657" s="131">
        <v>0.932874354561102</v>
      </c>
      <c r="Z657" s="131">
        <v>0.977707006369427</v>
      </c>
      <c r="AA657" s="131">
        <v>0.990712074303406</v>
      </c>
      <c r="AB657" s="131">
        <v>0.965017333753546</v>
      </c>
      <c r="AC657" s="131">
        <v>0.92</v>
      </c>
      <c r="AD657" s="129">
        <v>0.999726501960069</v>
      </c>
      <c r="AE657" s="129">
        <v>0.975754404325833</v>
      </c>
      <c r="AF657" s="129">
        <v>0.966834423754404</v>
      </c>
      <c r="AG657" s="129">
        <v>0.989987087054772</v>
      </c>
      <c r="AH657" s="131">
        <v>0.92</v>
      </c>
      <c r="AI657" s="129">
        <v>0.974527526705012</v>
      </c>
      <c r="AJ657" s="129">
        <v>0.988005997001499</v>
      </c>
      <c r="AK657" s="129">
        <v>0.986218487394958</v>
      </c>
      <c r="AL657" s="129">
        <v>0.983869065172515</v>
      </c>
      <c r="AM657" s="128">
        <v>0.99</v>
      </c>
      <c r="AN657" s="133">
        <v>1</v>
      </c>
      <c r="AO657" s="133">
        <v>1</v>
      </c>
      <c r="AP657" s="133">
        <v>1</v>
      </c>
      <c r="AQ657" s="133">
        <v>1</v>
      </c>
      <c r="AR657" s="153">
        <v>0.0810595228934205</v>
      </c>
      <c r="AS657" s="137">
        <v>0.1</v>
      </c>
      <c r="AT657" s="137">
        <v>0</v>
      </c>
      <c r="AU657" s="137">
        <v>0</v>
      </c>
      <c r="AV657" s="137">
        <v>0.0396039603960396</v>
      </c>
      <c r="AW657" s="93"/>
      <c r="AX657" s="91"/>
    </row>
    <row r="658" ht="14.5" spans="1:50">
      <c r="A658" s="89"/>
      <c r="B658" s="93"/>
      <c r="C658" s="148" t="s">
        <v>664</v>
      </c>
      <c r="D658" s="126" t="s">
        <v>665</v>
      </c>
      <c r="E658" s="171" t="s">
        <v>681</v>
      </c>
      <c r="F658" s="171" t="s">
        <v>681</v>
      </c>
      <c r="G658" s="171" t="s">
        <v>681</v>
      </c>
      <c r="H658" s="171" t="s">
        <v>681</v>
      </c>
      <c r="I658" s="128">
        <v>0.9</v>
      </c>
      <c r="J658" s="129">
        <v>0.903225806451613</v>
      </c>
      <c r="K658" s="129">
        <v>0.952380952380952</v>
      </c>
      <c r="L658" s="130">
        <v>0.884615384615385</v>
      </c>
      <c r="M658" s="129">
        <v>0.909090909090909</v>
      </c>
      <c r="N658" s="131">
        <v>0.9</v>
      </c>
      <c r="O658" s="129">
        <v>0.939268867924528</v>
      </c>
      <c r="P658" s="129">
        <v>0.852167182662539</v>
      </c>
      <c r="Q658" s="129">
        <v>0.834167262330236</v>
      </c>
      <c r="R658" s="129">
        <v>0.874000748375685</v>
      </c>
      <c r="S658" s="131">
        <v>0.9</v>
      </c>
      <c r="T658" s="129">
        <v>0.51061320754717</v>
      </c>
      <c r="U658" s="129">
        <v>0.575851393188854</v>
      </c>
      <c r="V658" s="129">
        <v>0.442816297355254</v>
      </c>
      <c r="W658" s="129">
        <v>0.514644351464435</v>
      </c>
      <c r="X658" s="131">
        <v>0.92</v>
      </c>
      <c r="Y658" s="131">
        <v>0.529711375212224</v>
      </c>
      <c r="Z658" s="131">
        <v>0.5115562403698</v>
      </c>
      <c r="AA658" s="131">
        <v>0.58125</v>
      </c>
      <c r="AB658" s="131">
        <v>0.487338748208313</v>
      </c>
      <c r="AC658" s="131">
        <v>0.92</v>
      </c>
      <c r="AD658" s="129">
        <v>0.816927322907084</v>
      </c>
      <c r="AE658" s="129">
        <v>0.995239658568615</v>
      </c>
      <c r="AF658" s="129">
        <v>0.998043531425777</v>
      </c>
      <c r="AG658" s="129">
        <v>0.97873904334883</v>
      </c>
      <c r="AH658" s="131">
        <v>0.92</v>
      </c>
      <c r="AI658" s="129">
        <v>0.850037678975132</v>
      </c>
      <c r="AJ658" s="129">
        <v>0.758371973209686</v>
      </c>
      <c r="AK658" s="129">
        <v>0.807248236048749</v>
      </c>
      <c r="AL658" s="129">
        <v>0.800336322869955</v>
      </c>
      <c r="AM658" s="128">
        <v>0.99</v>
      </c>
      <c r="AN658" s="133">
        <v>1</v>
      </c>
      <c r="AO658" s="133">
        <v>1</v>
      </c>
      <c r="AP658" s="133">
        <v>1</v>
      </c>
      <c r="AQ658" s="133">
        <v>1</v>
      </c>
      <c r="AR658" s="153">
        <v>0.0810595228934205</v>
      </c>
      <c r="AS658" s="137">
        <v>0</v>
      </c>
      <c r="AT658" s="137">
        <v>0</v>
      </c>
      <c r="AU658" s="137">
        <v>-0.166666666666667</v>
      </c>
      <c r="AV658" s="137">
        <v>0</v>
      </c>
      <c r="AW658" s="93"/>
      <c r="AX658" s="91"/>
    </row>
    <row r="659" ht="14.5" spans="1:50">
      <c r="A659" s="89"/>
      <c r="B659" s="93"/>
      <c r="C659" s="148" t="s">
        <v>664</v>
      </c>
      <c r="D659" s="126" t="s">
        <v>665</v>
      </c>
      <c r="E659" s="171" t="s">
        <v>682</v>
      </c>
      <c r="F659" s="171" t="s">
        <v>682</v>
      </c>
      <c r="G659" s="171" t="s">
        <v>682</v>
      </c>
      <c r="H659" s="171" t="s">
        <v>682</v>
      </c>
      <c r="I659" s="128">
        <v>0.9</v>
      </c>
      <c r="J659" s="129">
        <v>1</v>
      </c>
      <c r="K659" s="129">
        <v>1</v>
      </c>
      <c r="L659" s="130">
        <v>1</v>
      </c>
      <c r="M659" s="129">
        <v>0.973809523809524</v>
      </c>
      <c r="N659" s="131">
        <v>0.9</v>
      </c>
      <c r="O659" s="129">
        <v>0.931838300383594</v>
      </c>
      <c r="P659" s="129">
        <v>0.987642585551331</v>
      </c>
      <c r="Q659" s="129">
        <v>0.978419654714475</v>
      </c>
      <c r="R659" s="129">
        <v>0.971336543466944</v>
      </c>
      <c r="S659" s="131">
        <v>0.9</v>
      </c>
      <c r="T659" s="129">
        <v>0.971377987606964</v>
      </c>
      <c r="U659" s="129">
        <v>0.968155893536122</v>
      </c>
      <c r="V659" s="129">
        <v>0.968791500664011</v>
      </c>
      <c r="W659" s="129">
        <v>0.963853461738678</v>
      </c>
      <c r="X659" s="131">
        <v>0.92</v>
      </c>
      <c r="Y659" s="131">
        <v>0.944606413994169</v>
      </c>
      <c r="Z659" s="131">
        <v>0.970319634703196</v>
      </c>
      <c r="AA659" s="131">
        <v>0.98635477582846</v>
      </c>
      <c r="AB659" s="131">
        <v>0.974603174603175</v>
      </c>
      <c r="AC659" s="131">
        <v>0.92</v>
      </c>
      <c r="AD659" s="129">
        <v>0.99259810303143</v>
      </c>
      <c r="AE659" s="129">
        <v>0.992899408284024</v>
      </c>
      <c r="AF659" s="129">
        <v>0.978143591274495</v>
      </c>
      <c r="AG659" s="129">
        <v>0.975088942733881</v>
      </c>
      <c r="AH659" s="131">
        <v>0.92</v>
      </c>
      <c r="AI659" s="129">
        <v>0.984539877300614</v>
      </c>
      <c r="AJ659" s="129">
        <v>0.984228187919463</v>
      </c>
      <c r="AK659" s="129">
        <v>0.988945578231292</v>
      </c>
      <c r="AL659" s="129">
        <v>0.987209780152044</v>
      </c>
      <c r="AM659" s="128">
        <v>0.99</v>
      </c>
      <c r="AN659" s="133">
        <v>1</v>
      </c>
      <c r="AO659" s="133">
        <v>1</v>
      </c>
      <c r="AP659" s="133">
        <v>1</v>
      </c>
      <c r="AQ659" s="133">
        <v>1</v>
      </c>
      <c r="AR659" s="153">
        <v>0.0810595228934205</v>
      </c>
      <c r="AS659" s="137">
        <v>0</v>
      </c>
      <c r="AT659" s="137">
        <v>0.25</v>
      </c>
      <c r="AU659" s="137">
        <v>0.375</v>
      </c>
      <c r="AV659" s="137">
        <v>0.0512820512820513</v>
      </c>
      <c r="AW659" s="93"/>
      <c r="AX659" s="91"/>
    </row>
    <row r="660" ht="14.5" spans="1:50">
      <c r="A660" s="89"/>
      <c r="B660" s="93"/>
      <c r="C660" s="148" t="s">
        <v>664</v>
      </c>
      <c r="D660" s="126" t="s">
        <v>665</v>
      </c>
      <c r="E660" s="171" t="s">
        <v>683</v>
      </c>
      <c r="F660" s="171" t="s">
        <v>683</v>
      </c>
      <c r="G660" s="171" t="s">
        <v>683</v>
      </c>
      <c r="H660" s="171" t="s">
        <v>683</v>
      </c>
      <c r="I660" s="128">
        <v>0.9</v>
      </c>
      <c r="J660" s="129">
        <v>0.918918918918919</v>
      </c>
      <c r="K660" s="129">
        <v>0.966101694915254</v>
      </c>
      <c r="L660" s="130">
        <v>0.972602739726027</v>
      </c>
      <c r="M660" s="129">
        <v>0.957658779576588</v>
      </c>
      <c r="N660" s="131">
        <v>0.9</v>
      </c>
      <c r="O660" s="129">
        <v>0.931827687160184</v>
      </c>
      <c r="P660" s="129">
        <v>0.97841726618705</v>
      </c>
      <c r="Q660" s="129">
        <v>0.895327669902913</v>
      </c>
      <c r="R660" s="129">
        <v>0.921565995525727</v>
      </c>
      <c r="S660" s="131">
        <v>0.9</v>
      </c>
      <c r="T660" s="129">
        <v>0.939634741391329</v>
      </c>
      <c r="U660" s="129">
        <v>0.966349501044326</v>
      </c>
      <c r="V660" s="129">
        <v>0.949180825242718</v>
      </c>
      <c r="W660" s="129">
        <v>0.951782252050708</v>
      </c>
      <c r="X660" s="131">
        <v>0.92</v>
      </c>
      <c r="Y660" s="131">
        <v>0.866362451108214</v>
      </c>
      <c r="Z660" s="131">
        <v>0.896241397564849</v>
      </c>
      <c r="AA660" s="131">
        <v>0.88689407540395</v>
      </c>
      <c r="AB660" s="131">
        <v>0.895115952213633</v>
      </c>
      <c r="AC660" s="131">
        <v>0.92</v>
      </c>
      <c r="AD660" s="129">
        <v>0.996462066655502</v>
      </c>
      <c r="AE660" s="129">
        <v>0.981667709854649</v>
      </c>
      <c r="AF660" s="129">
        <v>0.949269359107122</v>
      </c>
      <c r="AG660" s="129">
        <v>0.973522544347092</v>
      </c>
      <c r="AH660" s="131">
        <v>0.92</v>
      </c>
      <c r="AI660" s="129">
        <v>0.959467217820645</v>
      </c>
      <c r="AJ660" s="129">
        <v>0.955673758865248</v>
      </c>
      <c r="AK660" s="129">
        <v>0.970683616552082</v>
      </c>
      <c r="AL660" s="129">
        <v>0.96468379399672</v>
      </c>
      <c r="AM660" s="128">
        <v>0.99</v>
      </c>
      <c r="AN660" s="133">
        <v>1</v>
      </c>
      <c r="AO660" s="133">
        <v>1</v>
      </c>
      <c r="AP660" s="133">
        <v>1</v>
      </c>
      <c r="AQ660" s="133">
        <v>1</v>
      </c>
      <c r="AR660" s="153">
        <v>0.0810595228934205</v>
      </c>
      <c r="AS660" s="137">
        <v>0</v>
      </c>
      <c r="AT660" s="137">
        <v>0</v>
      </c>
      <c r="AU660" s="137">
        <v>0.0434782608695652</v>
      </c>
      <c r="AV660" s="137">
        <v>0.0196078431372549</v>
      </c>
      <c r="AW660" s="93"/>
      <c r="AX660" s="91"/>
    </row>
    <row r="661" ht="14.5" spans="1:50">
      <c r="A661" s="89"/>
      <c r="B661" s="93"/>
      <c r="C661" s="148" t="s">
        <v>664</v>
      </c>
      <c r="D661" s="126" t="s">
        <v>665</v>
      </c>
      <c r="E661" s="171" t="s">
        <v>684</v>
      </c>
      <c r="F661" s="171" t="s">
        <v>684</v>
      </c>
      <c r="G661" s="171" t="s">
        <v>684</v>
      </c>
      <c r="H661" s="171" t="s">
        <v>684</v>
      </c>
      <c r="I661" s="128">
        <v>0.9</v>
      </c>
      <c r="J661" s="129">
        <v>0.964285714285714</v>
      </c>
      <c r="K661" s="129">
        <v>1</v>
      </c>
      <c r="L661" s="130">
        <v>0.928571428571429</v>
      </c>
      <c r="M661" s="129">
        <v>0.958064516129032</v>
      </c>
      <c r="N661" s="131">
        <v>0.9</v>
      </c>
      <c r="O661" s="129">
        <v>0.824805021875594</v>
      </c>
      <c r="P661" s="129">
        <v>0.970629370629371</v>
      </c>
      <c r="Q661" s="129">
        <v>0.892365456821026</v>
      </c>
      <c r="R661" s="129">
        <v>0.860220960751999</v>
      </c>
      <c r="S661" s="131">
        <v>0.9</v>
      </c>
      <c r="T661" s="129">
        <v>0.933612326421914</v>
      </c>
      <c r="U661" s="129">
        <v>0.963916083916084</v>
      </c>
      <c r="V661" s="129">
        <v>0.950771798080934</v>
      </c>
      <c r="W661" s="129">
        <v>0.94591955075383</v>
      </c>
      <c r="X661" s="131">
        <v>0.92</v>
      </c>
      <c r="Y661" s="131">
        <v>0.950980392156863</v>
      </c>
      <c r="Z661" s="131">
        <v>0.957781978575929</v>
      </c>
      <c r="AA661" s="131">
        <v>0.955176093916756</v>
      </c>
      <c r="AB661" s="131">
        <v>0.954848569046957</v>
      </c>
      <c r="AC661" s="131">
        <v>0.92</v>
      </c>
      <c r="AD661" s="129">
        <v>0.996507056097732</v>
      </c>
      <c r="AE661" s="129">
        <v>0.980783334219057</v>
      </c>
      <c r="AF661" s="129">
        <v>0.986508120202137</v>
      </c>
      <c r="AG661" s="129">
        <v>0.964754470018907</v>
      </c>
      <c r="AH661" s="131">
        <v>0.92</v>
      </c>
      <c r="AI661" s="129">
        <v>0.976186864856666</v>
      </c>
      <c r="AJ661" s="129">
        <v>0.977343144848954</v>
      </c>
      <c r="AK661" s="129">
        <v>0.980812837955695</v>
      </c>
      <c r="AL661" s="129">
        <v>0.976628237995628</v>
      </c>
      <c r="AM661" s="128">
        <v>0.99</v>
      </c>
      <c r="AN661" s="133">
        <v>1</v>
      </c>
      <c r="AO661" s="133">
        <v>1</v>
      </c>
      <c r="AP661" s="133">
        <v>1</v>
      </c>
      <c r="AQ661" s="133">
        <v>1</v>
      </c>
      <c r="AR661" s="153">
        <v>0.0810595228934205</v>
      </c>
      <c r="AS661" s="137">
        <v>0.125</v>
      </c>
      <c r="AT661" s="137">
        <v>0</v>
      </c>
      <c r="AU661" s="137">
        <v>0</v>
      </c>
      <c r="AV661" s="137">
        <v>0.0294117647058824</v>
      </c>
      <c r="AW661" s="93"/>
      <c r="AX661" s="91"/>
    </row>
    <row r="662" ht="14.5" spans="1:50">
      <c r="A662" s="89"/>
      <c r="B662" s="93"/>
      <c r="C662" s="148" t="s">
        <v>664</v>
      </c>
      <c r="D662" s="126" t="s">
        <v>665</v>
      </c>
      <c r="E662" s="171" t="s">
        <v>685</v>
      </c>
      <c r="F662" s="171" t="s">
        <v>685</v>
      </c>
      <c r="G662" s="171" t="s">
        <v>685</v>
      </c>
      <c r="H662" s="171" t="s">
        <v>685</v>
      </c>
      <c r="I662" s="128">
        <v>0.9</v>
      </c>
      <c r="J662" s="129">
        <v>1</v>
      </c>
      <c r="K662" s="129">
        <v>1</v>
      </c>
      <c r="L662" s="130">
        <v>0.974358974358974</v>
      </c>
      <c r="M662" s="129">
        <v>0.986143187066975</v>
      </c>
      <c r="N662" s="131">
        <v>0.9</v>
      </c>
      <c r="O662" s="129">
        <v>0.938080495356037</v>
      </c>
      <c r="P662" s="129">
        <v>0.957995578481945</v>
      </c>
      <c r="Q662" s="129">
        <v>0.964531680440771</v>
      </c>
      <c r="R662" s="129">
        <v>0.952337984596049</v>
      </c>
      <c r="S662" s="131">
        <v>0.9</v>
      </c>
      <c r="T662" s="129">
        <v>0.917815930199831</v>
      </c>
      <c r="U662" s="129">
        <v>0.893146647015475</v>
      </c>
      <c r="V662" s="129">
        <v>0.941804407713499</v>
      </c>
      <c r="W662" s="129">
        <v>0.924559311656086</v>
      </c>
      <c r="X662" s="131">
        <v>0.92</v>
      </c>
      <c r="Y662" s="131">
        <v>0.937325905292479</v>
      </c>
      <c r="Z662" s="131">
        <v>0.885200553250346</v>
      </c>
      <c r="AA662" s="131">
        <v>0.941860465116279</v>
      </c>
      <c r="AB662" s="131">
        <v>0.921645021645022</v>
      </c>
      <c r="AC662" s="131">
        <v>0.92</v>
      </c>
      <c r="AD662" s="129">
        <v>0.995801259622113</v>
      </c>
      <c r="AE662" s="129">
        <v>0.994535519125683</v>
      </c>
      <c r="AF662" s="129">
        <v>0.994191674733785</v>
      </c>
      <c r="AG662" s="129">
        <v>0.991712556567254</v>
      </c>
      <c r="AH662" s="131">
        <v>0.92</v>
      </c>
      <c r="AI662" s="129">
        <v>0.957152891594474</v>
      </c>
      <c r="AJ662" s="129">
        <v>0.925516578567996</v>
      </c>
      <c r="AK662" s="129">
        <v>0.967364532019704</v>
      </c>
      <c r="AL662" s="129">
        <v>0.954744217902113</v>
      </c>
      <c r="AM662" s="128">
        <v>0.99</v>
      </c>
      <c r="AN662" s="133">
        <v>1</v>
      </c>
      <c r="AO662" s="133">
        <v>1</v>
      </c>
      <c r="AP662" s="133">
        <v>1</v>
      </c>
      <c r="AQ662" s="133">
        <v>1</v>
      </c>
      <c r="AR662" s="153">
        <v>0.0810595228934205</v>
      </c>
      <c r="AS662" s="137">
        <v>0.0384615384615385</v>
      </c>
      <c r="AT662" s="137">
        <v>0</v>
      </c>
      <c r="AU662" s="137">
        <v>0.0454545454545455</v>
      </c>
      <c r="AV662" s="137">
        <v>0.0256410256410256</v>
      </c>
      <c r="AW662" s="93"/>
      <c r="AX662" s="91"/>
    </row>
    <row r="663" ht="14.5" spans="1:50">
      <c r="A663" s="89"/>
      <c r="B663" s="93"/>
      <c r="C663" s="148" t="s">
        <v>664</v>
      </c>
      <c r="D663" s="126" t="s">
        <v>665</v>
      </c>
      <c r="E663" s="171" t="s">
        <v>686</v>
      </c>
      <c r="F663" s="171" t="s">
        <v>686</v>
      </c>
      <c r="G663" s="171" t="s">
        <v>686</v>
      </c>
      <c r="H663" s="171" t="s">
        <v>686</v>
      </c>
      <c r="I663" s="128">
        <v>0.9</v>
      </c>
      <c r="J663" s="129">
        <v>0.851851851851852</v>
      </c>
      <c r="K663" s="129">
        <v>0.863636363636364</v>
      </c>
      <c r="L663" s="130">
        <v>0.869565217391304</v>
      </c>
      <c r="M663" s="129">
        <v>0.887719298245614</v>
      </c>
      <c r="N663" s="131">
        <v>0.9</v>
      </c>
      <c r="O663" s="129">
        <v>0.711186113789778</v>
      </c>
      <c r="P663" s="129">
        <v>0.5924617196702</v>
      </c>
      <c r="Q663" s="129">
        <v>0.71951951951952</v>
      </c>
      <c r="R663" s="129">
        <v>0.750739287058444</v>
      </c>
      <c r="S663" s="131">
        <v>0.9</v>
      </c>
      <c r="T663" s="129">
        <v>0.906943105110897</v>
      </c>
      <c r="U663" s="129">
        <v>0.921083627797409</v>
      </c>
      <c r="V663" s="129">
        <v>0.91051051051051</v>
      </c>
      <c r="W663" s="129">
        <v>0.918167643421689</v>
      </c>
      <c r="X663" s="131">
        <v>0.92</v>
      </c>
      <c r="Y663" s="131">
        <v>0.918141592920354</v>
      </c>
      <c r="Z663" s="131">
        <v>0.949886104783599</v>
      </c>
      <c r="AA663" s="131">
        <v>0.94672131147541</v>
      </c>
      <c r="AB663" s="131">
        <v>0.93264367816092</v>
      </c>
      <c r="AC663" s="131">
        <v>0.92</v>
      </c>
      <c r="AD663" s="129">
        <v>0.998003992015968</v>
      </c>
      <c r="AE663" s="129">
        <v>0.954144620811287</v>
      </c>
      <c r="AF663" s="129">
        <v>0.98539435248296</v>
      </c>
      <c r="AG663" s="129">
        <v>0.987191981066407</v>
      </c>
      <c r="AH663" s="131">
        <v>0.92</v>
      </c>
      <c r="AI663" s="129">
        <v>0.949326999208234</v>
      </c>
      <c r="AJ663" s="129">
        <v>0.953416149068323</v>
      </c>
      <c r="AK663" s="129">
        <v>0.962283918281823</v>
      </c>
      <c r="AL663" s="129">
        <v>0.962394875593708</v>
      </c>
      <c r="AM663" s="128">
        <v>0.99</v>
      </c>
      <c r="AN663" s="133">
        <v>1</v>
      </c>
      <c r="AO663" s="133">
        <v>1</v>
      </c>
      <c r="AP663" s="133">
        <v>1</v>
      </c>
      <c r="AQ663" s="133">
        <v>1</v>
      </c>
      <c r="AR663" s="153">
        <v>0.0810595228934205</v>
      </c>
      <c r="AS663" s="137">
        <v>0</v>
      </c>
      <c r="AT663" s="137">
        <v>0</v>
      </c>
      <c r="AU663" s="137">
        <v>0.125</v>
      </c>
      <c r="AV663" s="137">
        <v>0.0353982300884956</v>
      </c>
      <c r="AW663" s="93"/>
      <c r="AX663" s="91"/>
    </row>
    <row r="664" ht="14.5" spans="1:50">
      <c r="A664" s="89"/>
      <c r="B664" s="93"/>
      <c r="C664" s="148" t="s">
        <v>664</v>
      </c>
      <c r="D664" s="126" t="s">
        <v>665</v>
      </c>
      <c r="E664" s="171" t="s">
        <v>687</v>
      </c>
      <c r="F664" s="171" t="s">
        <v>687</v>
      </c>
      <c r="G664" s="171" t="s">
        <v>687</v>
      </c>
      <c r="H664" s="171" t="s">
        <v>687</v>
      </c>
      <c r="I664" s="128">
        <v>0.9</v>
      </c>
      <c r="J664" s="129">
        <v>0.96875</v>
      </c>
      <c r="K664" s="129">
        <v>0.96551724137931</v>
      </c>
      <c r="L664" s="130">
        <v>0.933333333333333</v>
      </c>
      <c r="M664" s="129">
        <v>0.946022727272727</v>
      </c>
      <c r="N664" s="131">
        <v>0.9</v>
      </c>
      <c r="O664" s="129">
        <v>0.891736632788334</v>
      </c>
      <c r="P664" s="129">
        <v>0.97463768115942</v>
      </c>
      <c r="Q664" s="129">
        <v>0.96044895777659</v>
      </c>
      <c r="R664" s="129">
        <v>0.900483282374988</v>
      </c>
      <c r="S664" s="131">
        <v>0.9</v>
      </c>
      <c r="T664" s="129">
        <v>0.907202828104286</v>
      </c>
      <c r="U664" s="129">
        <v>0.926328502415459</v>
      </c>
      <c r="V664" s="129">
        <v>0.925173703901657</v>
      </c>
      <c r="W664" s="129">
        <v>0.910296873458921</v>
      </c>
      <c r="X664" s="131">
        <v>0.92</v>
      </c>
      <c r="Y664" s="131">
        <v>0.877551020408163</v>
      </c>
      <c r="Z664" s="131">
        <v>0.894422310756972</v>
      </c>
      <c r="AA664" s="131">
        <v>0.790794979079498</v>
      </c>
      <c r="AB664" s="131">
        <v>0.856381845301513</v>
      </c>
      <c r="AC664" s="131">
        <v>0.92</v>
      </c>
      <c r="AD664" s="129">
        <v>0.999043977055449</v>
      </c>
      <c r="AE664" s="129">
        <v>0.99662415603901</v>
      </c>
      <c r="AF664" s="129">
        <v>0.996058854440357</v>
      </c>
      <c r="AG664" s="129">
        <v>0.986236187030556</v>
      </c>
      <c r="AH664" s="131">
        <v>0.92</v>
      </c>
      <c r="AI664" s="129">
        <v>0.942307692307692</v>
      </c>
      <c r="AJ664" s="129">
        <v>0.930827067669173</v>
      </c>
      <c r="AK664" s="129">
        <v>0.935071090047393</v>
      </c>
      <c r="AL664" s="129">
        <v>0.933368037480479</v>
      </c>
      <c r="AM664" s="128">
        <v>0.99</v>
      </c>
      <c r="AN664" s="133">
        <v>1</v>
      </c>
      <c r="AO664" s="133">
        <v>1</v>
      </c>
      <c r="AP664" s="133">
        <v>1</v>
      </c>
      <c r="AQ664" s="133">
        <v>1</v>
      </c>
      <c r="AR664" s="153">
        <v>0.0810595228934205</v>
      </c>
      <c r="AS664" s="137">
        <v>0</v>
      </c>
      <c r="AT664" s="137">
        <v>0.111111111111111</v>
      </c>
      <c r="AU664" s="137">
        <v>0</v>
      </c>
      <c r="AV664" s="137">
        <v>0.036036036036036</v>
      </c>
      <c r="AW664" s="93"/>
      <c r="AX664" s="91"/>
    </row>
    <row r="665" ht="14.5" spans="1:50">
      <c r="A665" s="89"/>
      <c r="B665" s="93"/>
      <c r="C665" s="148" t="s">
        <v>664</v>
      </c>
      <c r="D665" s="126" t="s">
        <v>665</v>
      </c>
      <c r="E665" s="171" t="s">
        <v>688</v>
      </c>
      <c r="F665" s="171" t="s">
        <v>688</v>
      </c>
      <c r="G665" s="171" t="s">
        <v>688</v>
      </c>
      <c r="H665" s="171" t="s">
        <v>688</v>
      </c>
      <c r="I665" s="128">
        <v>0.9</v>
      </c>
      <c r="J665" s="129">
        <v>1</v>
      </c>
      <c r="K665" s="129">
        <v>0.958333333333333</v>
      </c>
      <c r="L665" s="130">
        <v>0.931034482758621</v>
      </c>
      <c r="M665" s="129">
        <v>0.954407294832827</v>
      </c>
      <c r="N665" s="131">
        <v>0.9</v>
      </c>
      <c r="O665" s="129">
        <v>0.985573272589218</v>
      </c>
      <c r="P665" s="129">
        <v>0.980961923847695</v>
      </c>
      <c r="Q665" s="129">
        <v>0.985734664764622</v>
      </c>
      <c r="R665" s="129">
        <v>0.97271693823418</v>
      </c>
      <c r="S665" s="131">
        <v>0.9</v>
      </c>
      <c r="T665" s="129">
        <v>0.89749430523918</v>
      </c>
      <c r="U665" s="129">
        <v>0.93687374749499</v>
      </c>
      <c r="V665" s="129">
        <v>0.946742748454589</v>
      </c>
      <c r="W665" s="129">
        <v>0.933602795671761</v>
      </c>
      <c r="X665" s="131">
        <v>0.92</v>
      </c>
      <c r="Y665" s="131">
        <v>0.899029126213592</v>
      </c>
      <c r="Z665" s="131">
        <v>0.900181488203267</v>
      </c>
      <c r="AA665" s="131">
        <v>0.936254980079681</v>
      </c>
      <c r="AB665" s="131">
        <v>0.915391705069124</v>
      </c>
      <c r="AC665" s="131">
        <v>0.92</v>
      </c>
      <c r="AD665" s="129">
        <v>0.998628257887517</v>
      </c>
      <c r="AE665" s="129">
        <v>0.980519480519481</v>
      </c>
      <c r="AF665" s="129">
        <v>0.993047508690614</v>
      </c>
      <c r="AG665" s="129">
        <v>0.985930333457295</v>
      </c>
      <c r="AH665" s="131">
        <v>0.92</v>
      </c>
      <c r="AI665" s="129">
        <v>0.958717053032709</v>
      </c>
      <c r="AJ665" s="129">
        <v>0.94258064516129</v>
      </c>
      <c r="AK665" s="129">
        <v>0.97196261682243</v>
      </c>
      <c r="AL665" s="129">
        <v>0.964149844055249</v>
      </c>
      <c r="AM665" s="128">
        <v>0.99</v>
      </c>
      <c r="AN665" s="133">
        <v>1</v>
      </c>
      <c r="AO665" s="133">
        <v>1</v>
      </c>
      <c r="AP665" s="133">
        <v>1</v>
      </c>
      <c r="AQ665" s="133">
        <v>1</v>
      </c>
      <c r="AR665" s="153">
        <v>0.0810595228934205</v>
      </c>
      <c r="AS665" s="137">
        <v>0</v>
      </c>
      <c r="AT665" s="137">
        <v>0</v>
      </c>
      <c r="AU665" s="137">
        <v>0</v>
      </c>
      <c r="AV665" s="137">
        <v>0.0246913580246914</v>
      </c>
      <c r="AW665" s="93"/>
      <c r="AX665" s="91"/>
    </row>
    <row r="666" ht="14.5" spans="1:50">
      <c r="A666" s="89"/>
      <c r="B666" s="93"/>
      <c r="C666" s="148" t="s">
        <v>664</v>
      </c>
      <c r="D666" s="126" t="s">
        <v>665</v>
      </c>
      <c r="E666" s="171" t="s">
        <v>689</v>
      </c>
      <c r="F666" s="171" t="s">
        <v>689</v>
      </c>
      <c r="G666" s="171" t="s">
        <v>689</v>
      </c>
      <c r="H666" s="171" t="s">
        <v>689</v>
      </c>
      <c r="I666" s="128">
        <v>0.9</v>
      </c>
      <c r="J666" s="129">
        <v>0.916666666666667</v>
      </c>
      <c r="K666" s="129">
        <v>0.91304347826087</v>
      </c>
      <c r="L666" s="130">
        <v>0.958333333333333</v>
      </c>
      <c r="M666" s="129">
        <v>0.962837837837838</v>
      </c>
      <c r="N666" s="131">
        <v>0.9</v>
      </c>
      <c r="O666" s="129">
        <v>0.970588235294118</v>
      </c>
      <c r="P666" s="129">
        <v>0.976427923844062</v>
      </c>
      <c r="Q666" s="129">
        <v>0.981442429354703</v>
      </c>
      <c r="R666" s="129">
        <v>0.976153260390365</v>
      </c>
      <c r="S666" s="131">
        <v>0.9</v>
      </c>
      <c r="T666" s="129">
        <v>0.926111908177905</v>
      </c>
      <c r="U666" s="129">
        <v>0.940163191296464</v>
      </c>
      <c r="V666" s="129">
        <v>0.940109658371995</v>
      </c>
      <c r="W666" s="129">
        <v>0.947817722736564</v>
      </c>
      <c r="X666" s="131">
        <v>0.92</v>
      </c>
      <c r="Y666" s="131">
        <v>0.898936170212766</v>
      </c>
      <c r="Z666" s="131">
        <v>0.924162257495591</v>
      </c>
      <c r="AA666" s="131">
        <v>0.941634241245136</v>
      </c>
      <c r="AB666" s="131">
        <v>0.93262599469496</v>
      </c>
      <c r="AC666" s="131">
        <v>0.92</v>
      </c>
      <c r="AD666" s="129">
        <v>0.998950682056663</v>
      </c>
      <c r="AE666" s="129">
        <v>0.990393852065322</v>
      </c>
      <c r="AF666" s="129">
        <v>0.996820349761526</v>
      </c>
      <c r="AG666" s="129">
        <v>0.996408515084237</v>
      </c>
      <c r="AH666" s="131">
        <v>0.92</v>
      </c>
      <c r="AI666" s="129">
        <v>0.95972553699284</v>
      </c>
      <c r="AJ666" s="129">
        <v>0.953892215568862</v>
      </c>
      <c r="AK666" s="129">
        <v>0.975266362252664</v>
      </c>
      <c r="AL666" s="129">
        <v>0.974190597536672</v>
      </c>
      <c r="AM666" s="128">
        <v>0.99</v>
      </c>
      <c r="AN666" s="133">
        <v>1</v>
      </c>
      <c r="AO666" s="133">
        <v>1</v>
      </c>
      <c r="AP666" s="133">
        <v>1</v>
      </c>
      <c r="AQ666" s="133">
        <v>1</v>
      </c>
      <c r="AR666" s="153">
        <v>0.0810595228934205</v>
      </c>
      <c r="AS666" s="137">
        <v>0</v>
      </c>
      <c r="AT666" s="137">
        <v>0.2</v>
      </c>
      <c r="AU666" s="137">
        <v>0.1</v>
      </c>
      <c r="AV666" s="137">
        <v>0.0619469026548673</v>
      </c>
      <c r="AW666" s="93"/>
      <c r="AX666" s="91"/>
    </row>
    <row r="667" ht="14.5" spans="1:50">
      <c r="A667" s="89"/>
      <c r="B667" s="93"/>
      <c r="C667" s="148" t="s">
        <v>664</v>
      </c>
      <c r="D667" s="126" t="s">
        <v>665</v>
      </c>
      <c r="E667" s="171" t="s">
        <v>690</v>
      </c>
      <c r="F667" s="171" t="s">
        <v>690</v>
      </c>
      <c r="G667" s="171" t="s">
        <v>690</v>
      </c>
      <c r="H667" s="171" t="s">
        <v>690</v>
      </c>
      <c r="I667" s="128">
        <v>0.9</v>
      </c>
      <c r="J667" s="129">
        <v>1</v>
      </c>
      <c r="K667" s="129">
        <v>1</v>
      </c>
      <c r="L667" s="130">
        <v>1</v>
      </c>
      <c r="M667" s="129">
        <v>1</v>
      </c>
      <c r="N667" s="131">
        <v>0.9</v>
      </c>
      <c r="O667" s="129">
        <v>0.935391800726518</v>
      </c>
      <c r="P667" s="129">
        <v>0.905249679897567</v>
      </c>
      <c r="Q667" s="129">
        <v>0.950621546961326</v>
      </c>
      <c r="R667" s="129">
        <v>0.938235024589914</v>
      </c>
      <c r="S667" s="131">
        <v>0.9</v>
      </c>
      <c r="T667" s="129">
        <v>0.969382459782045</v>
      </c>
      <c r="U667" s="129">
        <v>0.97887323943662</v>
      </c>
      <c r="V667" s="129">
        <v>0.976519337016575</v>
      </c>
      <c r="W667" s="129">
        <v>0.977884351040108</v>
      </c>
      <c r="X667" s="131">
        <v>0.92</v>
      </c>
      <c r="Y667" s="131">
        <v>0.95886524822695</v>
      </c>
      <c r="Z667" s="131">
        <v>0.977584059775841</v>
      </c>
      <c r="AA667" s="131">
        <v>0.960732984293194</v>
      </c>
      <c r="AB667" s="131">
        <v>0.967313169673132</v>
      </c>
      <c r="AC667" s="131">
        <v>0.92</v>
      </c>
      <c r="AD667" s="129">
        <v>0.999259990133202</v>
      </c>
      <c r="AE667" s="129">
        <v>0.991913746630728</v>
      </c>
      <c r="AF667" s="129">
        <v>0.997944501541624</v>
      </c>
      <c r="AG667" s="129">
        <v>0.996580380929659</v>
      </c>
      <c r="AH667" s="131">
        <v>0.92</v>
      </c>
      <c r="AI667" s="129">
        <v>0.984901531728665</v>
      </c>
      <c r="AJ667" s="129">
        <v>0.987758547910511</v>
      </c>
      <c r="AK667" s="129">
        <v>0.989960450258594</v>
      </c>
      <c r="AL667" s="129">
        <v>0.988093458875106</v>
      </c>
      <c r="AM667" s="128">
        <v>0.99</v>
      </c>
      <c r="AN667" s="133">
        <v>1</v>
      </c>
      <c r="AO667" s="133">
        <v>1</v>
      </c>
      <c r="AP667" s="133">
        <v>1</v>
      </c>
      <c r="AQ667" s="133">
        <v>1</v>
      </c>
      <c r="AR667" s="153">
        <v>0.0810595228934205</v>
      </c>
      <c r="AS667" s="137">
        <v>0</v>
      </c>
      <c r="AT667" s="137">
        <v>0</v>
      </c>
      <c r="AU667" s="137">
        <v>0</v>
      </c>
      <c r="AV667" s="137">
        <v>0.0211267605633803</v>
      </c>
      <c r="AW667" s="93"/>
      <c r="AX667" s="91"/>
    </row>
    <row r="668" ht="14.5" spans="1:50">
      <c r="A668" s="89"/>
      <c r="B668" s="93"/>
      <c r="C668" s="148" t="s">
        <v>664</v>
      </c>
      <c r="D668" s="126" t="s">
        <v>665</v>
      </c>
      <c r="E668" s="171" t="s">
        <v>691</v>
      </c>
      <c r="F668" s="171" t="s">
        <v>691</v>
      </c>
      <c r="G668" s="171" t="s">
        <v>691</v>
      </c>
      <c r="H668" s="171" t="s">
        <v>691</v>
      </c>
      <c r="I668" s="128">
        <v>0.9</v>
      </c>
      <c r="J668" s="129">
        <v>1</v>
      </c>
      <c r="K668" s="129">
        <v>1</v>
      </c>
      <c r="L668" s="130">
        <v>1</v>
      </c>
      <c r="M668" s="129">
        <v>0.995180722891566</v>
      </c>
      <c r="N668" s="131">
        <v>0.9</v>
      </c>
      <c r="O668" s="129">
        <v>0.99316974449785</v>
      </c>
      <c r="P668" s="129">
        <v>0.993224932249323</v>
      </c>
      <c r="Q668" s="129">
        <v>0.987894233832431</v>
      </c>
      <c r="R668" s="129">
        <v>0.992855913238079</v>
      </c>
      <c r="S668" s="131">
        <v>0.9</v>
      </c>
      <c r="T668" s="129">
        <v>0.949152542372881</v>
      </c>
      <c r="U668" s="129">
        <v>0.942411924119241</v>
      </c>
      <c r="V668" s="129">
        <v>0.950302644154189</v>
      </c>
      <c r="W668" s="129">
        <v>0.952917886038905</v>
      </c>
      <c r="X668" s="131">
        <v>0.92</v>
      </c>
      <c r="Y668" s="131">
        <v>0.917775090689238</v>
      </c>
      <c r="Z668" s="131">
        <v>0.931790499390987</v>
      </c>
      <c r="AA668" s="131">
        <v>0.912935323383085</v>
      </c>
      <c r="AB668" s="131">
        <v>0.925907508702138</v>
      </c>
      <c r="AC668" s="131">
        <v>0.92</v>
      </c>
      <c r="AD668" s="129">
        <v>0.99347471451876</v>
      </c>
      <c r="AE668" s="129">
        <v>0.998422712933754</v>
      </c>
      <c r="AF668" s="129">
        <v>0.998601398601399</v>
      </c>
      <c r="AG668" s="129">
        <v>0.996767847105115</v>
      </c>
      <c r="AH668" s="131">
        <v>0.92</v>
      </c>
      <c r="AI668" s="129">
        <v>0.961932650073206</v>
      </c>
      <c r="AJ668" s="129">
        <v>0.953852851545494</v>
      </c>
      <c r="AK668" s="129">
        <v>0.973461321287408</v>
      </c>
      <c r="AL668" s="129">
        <v>0.969280969583965</v>
      </c>
      <c r="AM668" s="128">
        <v>0.99</v>
      </c>
      <c r="AN668" s="133">
        <v>1</v>
      </c>
      <c r="AO668" s="133">
        <v>1</v>
      </c>
      <c r="AP668" s="133">
        <v>1</v>
      </c>
      <c r="AQ668" s="133">
        <v>1</v>
      </c>
      <c r="AR668" s="153">
        <v>0.0810595228934205</v>
      </c>
      <c r="AS668" s="137">
        <v>0</v>
      </c>
      <c r="AT668" s="137">
        <v>0</v>
      </c>
      <c r="AU668" s="137">
        <v>0.0714285714285714</v>
      </c>
      <c r="AV668" s="137">
        <v>0.0273972602739726</v>
      </c>
      <c r="AW668" s="93"/>
      <c r="AX668" s="91"/>
    </row>
    <row r="669" ht="14.5" spans="1:50">
      <c r="A669" s="89"/>
      <c r="B669" s="93"/>
      <c r="C669" s="148" t="s">
        <v>664</v>
      </c>
      <c r="D669" s="126" t="s">
        <v>665</v>
      </c>
      <c r="E669" s="171" t="s">
        <v>692</v>
      </c>
      <c r="F669" s="171" t="s">
        <v>692</v>
      </c>
      <c r="G669" s="171" t="s">
        <v>692</v>
      </c>
      <c r="H669" s="171" t="s">
        <v>692</v>
      </c>
      <c r="I669" s="128">
        <v>0.9</v>
      </c>
      <c r="J669" s="129">
        <v>1</v>
      </c>
      <c r="K669" s="129">
        <v>1</v>
      </c>
      <c r="L669" s="130">
        <v>1</v>
      </c>
      <c r="M669" s="129">
        <v>1</v>
      </c>
      <c r="N669" s="131">
        <v>0.9</v>
      </c>
      <c r="O669" s="129">
        <v>0.986849628359062</v>
      </c>
      <c r="P669" s="129">
        <v>0.98030303030303</v>
      </c>
      <c r="Q669" s="129">
        <v>0.984229390681004</v>
      </c>
      <c r="R669" s="129">
        <v>0.988110096564409</v>
      </c>
      <c r="S669" s="131">
        <v>0.9</v>
      </c>
      <c r="T669" s="129">
        <v>0.926243567753002</v>
      </c>
      <c r="U669" s="129">
        <v>0.925757575757576</v>
      </c>
      <c r="V669" s="129">
        <v>0.94910394265233</v>
      </c>
      <c r="W669" s="129">
        <v>0.938514090520922</v>
      </c>
      <c r="X669" s="131">
        <v>0.92</v>
      </c>
      <c r="Y669" s="131">
        <v>0.914438502673797</v>
      </c>
      <c r="Z669" s="131">
        <v>0.954285714285714</v>
      </c>
      <c r="AA669" s="131">
        <v>0.943396226415094</v>
      </c>
      <c r="AB669" s="131">
        <v>0.938053097345133</v>
      </c>
      <c r="AC669" s="131">
        <v>0.92</v>
      </c>
      <c r="AD669" s="129">
        <v>0.993464052287582</v>
      </c>
      <c r="AE669" s="129">
        <v>0.987179487179487</v>
      </c>
      <c r="AF669" s="129">
        <v>1</v>
      </c>
      <c r="AG669" s="129">
        <v>0.994292237442922</v>
      </c>
      <c r="AH669" s="131">
        <v>0.92</v>
      </c>
      <c r="AI669" s="129">
        <v>0.964672633066415</v>
      </c>
      <c r="AJ669" s="129">
        <v>0.956435643564356</v>
      </c>
      <c r="AK669" s="129">
        <v>0.974887314874437</v>
      </c>
      <c r="AL669" s="129">
        <v>0.972759509993553</v>
      </c>
      <c r="AM669" s="128">
        <v>0.99</v>
      </c>
      <c r="AN669" s="133">
        <v>1</v>
      </c>
      <c r="AO669" s="133">
        <v>1</v>
      </c>
      <c r="AP669" s="133">
        <v>1</v>
      </c>
      <c r="AQ669" s="133">
        <v>1</v>
      </c>
      <c r="AR669" s="153">
        <v>0.0810595228934205</v>
      </c>
      <c r="AS669" s="137">
        <v>0</v>
      </c>
      <c r="AT669" s="137">
        <v>0</v>
      </c>
      <c r="AU669" s="137">
        <v>0</v>
      </c>
      <c r="AV669" s="137">
        <v>0.0275229357798165</v>
      </c>
      <c r="AW669" s="93"/>
      <c r="AX669" s="91"/>
    </row>
    <row r="670" ht="14.5" spans="1:50">
      <c r="A670" s="89"/>
      <c r="B670" s="93"/>
      <c r="C670" s="148" t="s">
        <v>664</v>
      </c>
      <c r="D670" s="126" t="s">
        <v>665</v>
      </c>
      <c r="E670" s="171" t="s">
        <v>693</v>
      </c>
      <c r="F670" s="171" t="s">
        <v>693</v>
      </c>
      <c r="G670" s="171" t="s">
        <v>693</v>
      </c>
      <c r="H670" s="171" t="s">
        <v>693</v>
      </c>
      <c r="I670" s="128">
        <v>0.9</v>
      </c>
      <c r="J670" s="129" t="s">
        <v>33</v>
      </c>
      <c r="K670" s="129" t="s">
        <v>33</v>
      </c>
      <c r="L670" s="130" t="s">
        <v>33</v>
      </c>
      <c r="M670" s="129" t="s">
        <v>33</v>
      </c>
      <c r="N670" s="131">
        <v>0.9</v>
      </c>
      <c r="O670" s="129" t="s">
        <v>33</v>
      </c>
      <c r="P670" s="129" t="s">
        <v>33</v>
      </c>
      <c r="Q670" s="129" t="s">
        <v>33</v>
      </c>
      <c r="R670" s="129" t="s">
        <v>33</v>
      </c>
      <c r="S670" s="131">
        <v>0.9</v>
      </c>
      <c r="T670" s="129" t="s">
        <v>33</v>
      </c>
      <c r="U670" s="129" t="s">
        <v>33</v>
      </c>
      <c r="V670" s="129" t="s">
        <v>33</v>
      </c>
      <c r="W670" s="129" t="s">
        <v>33</v>
      </c>
      <c r="X670" s="131">
        <v>0.92</v>
      </c>
      <c r="Y670" s="131" t="s">
        <v>33</v>
      </c>
      <c r="Z670" s="131" t="s">
        <v>33</v>
      </c>
      <c r="AA670" s="131" t="s">
        <v>33</v>
      </c>
      <c r="AB670" s="131" t="s">
        <v>33</v>
      </c>
      <c r="AC670" s="131">
        <v>0.92</v>
      </c>
      <c r="AD670" s="129" t="s">
        <v>33</v>
      </c>
      <c r="AE670" s="129" t="s">
        <v>33</v>
      </c>
      <c r="AF670" s="129" t="s">
        <v>33</v>
      </c>
      <c r="AG670" s="129" t="s">
        <v>33</v>
      </c>
      <c r="AH670" s="131">
        <v>0.92</v>
      </c>
      <c r="AI670" s="129" t="s">
        <v>33</v>
      </c>
      <c r="AJ670" s="129" t="s">
        <v>33</v>
      </c>
      <c r="AK670" s="129" t="s">
        <v>33</v>
      </c>
      <c r="AL670" s="129" t="s">
        <v>33</v>
      </c>
      <c r="AM670" s="128">
        <v>0.99</v>
      </c>
      <c r="AN670" s="133" t="s">
        <v>33</v>
      </c>
      <c r="AO670" s="133" t="s">
        <v>33</v>
      </c>
      <c r="AP670" s="133" t="s">
        <v>33</v>
      </c>
      <c r="AQ670" s="133" t="s">
        <v>33</v>
      </c>
      <c r="AR670" s="153">
        <v>0.0810595228934205</v>
      </c>
      <c r="AS670" s="137" t="s">
        <v>33</v>
      </c>
      <c r="AT670" s="137" t="s">
        <v>33</v>
      </c>
      <c r="AU670" s="137" t="s">
        <v>33</v>
      </c>
      <c r="AV670" s="137" t="s">
        <v>33</v>
      </c>
      <c r="AW670" s="93"/>
      <c r="AX670" s="91"/>
    </row>
    <row r="671" ht="14.5" spans="1:50">
      <c r="A671" s="89"/>
      <c r="B671" s="93"/>
      <c r="C671" s="148" t="s">
        <v>664</v>
      </c>
      <c r="D671" s="126" t="s">
        <v>665</v>
      </c>
      <c r="E671" s="171" t="s">
        <v>694</v>
      </c>
      <c r="F671" s="171" t="s">
        <v>694</v>
      </c>
      <c r="G671" s="171" t="s">
        <v>694</v>
      </c>
      <c r="H671" s="171" t="s">
        <v>694</v>
      </c>
      <c r="I671" s="128">
        <v>0.9</v>
      </c>
      <c r="J671" s="129">
        <v>0.9</v>
      </c>
      <c r="K671" s="129">
        <v>0.833333333333333</v>
      </c>
      <c r="L671" s="130">
        <v>0.862068965517241</v>
      </c>
      <c r="M671" s="129">
        <v>0.896024464831804</v>
      </c>
      <c r="N671" s="131">
        <v>0.9</v>
      </c>
      <c r="O671" s="129">
        <v>0.939076318375369</v>
      </c>
      <c r="P671" s="129">
        <v>0.945553539019964</v>
      </c>
      <c r="Q671" s="129">
        <v>0.953883495145631</v>
      </c>
      <c r="R671" s="129">
        <v>0.947185028580377</v>
      </c>
      <c r="S671" s="131">
        <v>0.9</v>
      </c>
      <c r="T671" s="129">
        <v>0.940386505076974</v>
      </c>
      <c r="U671" s="129">
        <v>0.954627949183303</v>
      </c>
      <c r="V671" s="129">
        <v>0.946197411003236</v>
      </c>
      <c r="W671" s="129">
        <v>0.946245399733772</v>
      </c>
      <c r="X671" s="131">
        <v>0.92</v>
      </c>
      <c r="Y671" s="131">
        <v>0.954118873826903</v>
      </c>
      <c r="Z671" s="131">
        <v>0.961597542242704</v>
      </c>
      <c r="AA671" s="131">
        <v>0.96078431372549</v>
      </c>
      <c r="AB671" s="131">
        <v>0.960019682617788</v>
      </c>
      <c r="AC671" s="131">
        <v>0.92</v>
      </c>
      <c r="AD671" s="129">
        <v>1</v>
      </c>
      <c r="AE671" s="129">
        <v>1</v>
      </c>
      <c r="AF671" s="129">
        <v>0.998845265588915</v>
      </c>
      <c r="AG671" s="129">
        <v>0.997057643439882</v>
      </c>
      <c r="AH671" s="131">
        <v>0.92</v>
      </c>
      <c r="AI671" s="129">
        <v>0.974825523429711</v>
      </c>
      <c r="AJ671" s="129">
        <v>0.979463776383343</v>
      </c>
      <c r="AK671" s="129">
        <v>0.974612594790636</v>
      </c>
      <c r="AL671" s="129">
        <v>0.977881360964313</v>
      </c>
      <c r="AM671" s="128">
        <v>0.99</v>
      </c>
      <c r="AN671" s="133">
        <v>1</v>
      </c>
      <c r="AO671" s="133">
        <v>1</v>
      </c>
      <c r="AP671" s="133">
        <v>1</v>
      </c>
      <c r="AQ671" s="133">
        <v>1</v>
      </c>
      <c r="AR671" s="153">
        <v>0.0810595228934205</v>
      </c>
      <c r="AS671" s="137">
        <v>0</v>
      </c>
      <c r="AT671" s="137">
        <v>0</v>
      </c>
      <c r="AU671" s="137">
        <v>0</v>
      </c>
      <c r="AV671" s="137">
        <v>0.04</v>
      </c>
      <c r="AW671" s="93"/>
      <c r="AX671" s="91"/>
    </row>
    <row r="672" ht="14.5" spans="1:50">
      <c r="A672" s="89"/>
      <c r="B672" s="93"/>
      <c r="C672" s="148" t="s">
        <v>664</v>
      </c>
      <c r="D672" s="126" t="s">
        <v>665</v>
      </c>
      <c r="E672" s="171" t="s">
        <v>695</v>
      </c>
      <c r="F672" s="171" t="s">
        <v>695</v>
      </c>
      <c r="G672" s="171" t="s">
        <v>695</v>
      </c>
      <c r="H672" s="171" t="s">
        <v>695</v>
      </c>
      <c r="I672" s="128">
        <v>0.9</v>
      </c>
      <c r="J672" s="129">
        <v>0.821428571428571</v>
      </c>
      <c r="K672" s="129">
        <v>0.875</v>
      </c>
      <c r="L672" s="130">
        <v>0.851851851851852</v>
      </c>
      <c r="M672" s="129">
        <v>0.853968253968254</v>
      </c>
      <c r="N672" s="131">
        <v>0.9</v>
      </c>
      <c r="O672" s="129">
        <v>0.953700684708184</v>
      </c>
      <c r="P672" s="129">
        <v>0.962101636520241</v>
      </c>
      <c r="Q672" s="129">
        <v>0.95</v>
      </c>
      <c r="R672" s="129">
        <v>0.95449262729716</v>
      </c>
      <c r="S672" s="131">
        <v>0.9</v>
      </c>
      <c r="T672" s="129">
        <v>0.94913596348223</v>
      </c>
      <c r="U672" s="129">
        <v>0.928509905254091</v>
      </c>
      <c r="V672" s="129">
        <v>0.942481203007519</v>
      </c>
      <c r="W672" s="129">
        <v>0.945049756664488</v>
      </c>
      <c r="X672" s="131">
        <v>0.92</v>
      </c>
      <c r="Y672" s="131">
        <v>0.933267909715407</v>
      </c>
      <c r="Z672" s="131">
        <v>0.926905132192846</v>
      </c>
      <c r="AA672" s="131">
        <v>0.928787878787879</v>
      </c>
      <c r="AB672" s="131">
        <v>0.925351429956374</v>
      </c>
      <c r="AC672" s="131">
        <v>0.92</v>
      </c>
      <c r="AD672" s="129">
        <v>0.9875</v>
      </c>
      <c r="AE672" s="129">
        <v>1</v>
      </c>
      <c r="AF672" s="129">
        <v>0.993788819875776</v>
      </c>
      <c r="AG672" s="129">
        <v>0.98838630806846</v>
      </c>
      <c r="AH672" s="131">
        <v>0.92</v>
      </c>
      <c r="AI672" s="129">
        <v>0.970149253731343</v>
      </c>
      <c r="AJ672" s="129">
        <v>0.956232686980609</v>
      </c>
      <c r="AK672" s="129">
        <v>0.974759615384615</v>
      </c>
      <c r="AL672" s="129">
        <v>0.968155177225788</v>
      </c>
      <c r="AM672" s="128">
        <v>0.99</v>
      </c>
      <c r="AN672" s="133">
        <v>1</v>
      </c>
      <c r="AO672" s="133">
        <v>1</v>
      </c>
      <c r="AP672" s="133">
        <v>1</v>
      </c>
      <c r="AQ672" s="133">
        <v>1</v>
      </c>
      <c r="AR672" s="153">
        <v>0.0810595228934205</v>
      </c>
      <c r="AS672" s="137">
        <v>0</v>
      </c>
      <c r="AT672" s="137">
        <v>0</v>
      </c>
      <c r="AU672" s="137">
        <v>0</v>
      </c>
      <c r="AV672" s="137">
        <v>0.021978021978022</v>
      </c>
      <c r="AW672" s="93"/>
      <c r="AX672" s="91"/>
    </row>
    <row r="673" ht="14.5" spans="1:50">
      <c r="A673" s="89"/>
      <c r="B673" s="93"/>
      <c r="C673" s="148" t="s">
        <v>664</v>
      </c>
      <c r="D673" s="126" t="s">
        <v>665</v>
      </c>
      <c r="E673" s="171" t="s">
        <v>696</v>
      </c>
      <c r="F673" s="171" t="s">
        <v>696</v>
      </c>
      <c r="G673" s="171" t="s">
        <v>696</v>
      </c>
      <c r="H673" s="171" t="s">
        <v>696</v>
      </c>
      <c r="I673" s="128">
        <v>0.9</v>
      </c>
      <c r="J673" s="129">
        <v>0.894736842105263</v>
      </c>
      <c r="K673" s="129">
        <v>0.8125</v>
      </c>
      <c r="L673" s="130">
        <v>0.861111111111111</v>
      </c>
      <c r="M673" s="129">
        <v>0.847058823529412</v>
      </c>
      <c r="N673" s="131">
        <v>0.9</v>
      </c>
      <c r="O673" s="129">
        <v>0.52776176753122</v>
      </c>
      <c r="P673" s="129">
        <v>0.936343852013058</v>
      </c>
      <c r="Q673" s="129">
        <v>0.738361683079678</v>
      </c>
      <c r="R673" s="129">
        <v>0.855280653950954</v>
      </c>
      <c r="S673" s="131">
        <v>0.9</v>
      </c>
      <c r="T673" s="129">
        <v>0.909510086455331</v>
      </c>
      <c r="U673" s="129">
        <v>0.904787812840044</v>
      </c>
      <c r="V673" s="129">
        <v>0.897045658012534</v>
      </c>
      <c r="W673" s="129">
        <v>0.912980926430518</v>
      </c>
      <c r="X673" s="131">
        <v>0.92</v>
      </c>
      <c r="Y673" s="131">
        <v>0.939836448598131</v>
      </c>
      <c r="Z673" s="131">
        <v>0.920498084291188</v>
      </c>
      <c r="AA673" s="131">
        <v>0.924354243542435</v>
      </c>
      <c r="AB673" s="131">
        <v>0.931107653133399</v>
      </c>
      <c r="AC673" s="131">
        <v>0.92</v>
      </c>
      <c r="AD673" s="129">
        <v>0.998591549295775</v>
      </c>
      <c r="AE673" s="129">
        <v>0.994606598984772</v>
      </c>
      <c r="AF673" s="129">
        <v>0.991436261316369</v>
      </c>
      <c r="AG673" s="129">
        <v>0.992955363460178</v>
      </c>
      <c r="AH673" s="131">
        <v>0.92</v>
      </c>
      <c r="AI673" s="129">
        <v>0.970945359930616</v>
      </c>
      <c r="AJ673" s="129">
        <v>0.955347871235722</v>
      </c>
      <c r="AK673" s="129">
        <v>0.970831832913216</v>
      </c>
      <c r="AL673" s="129">
        <v>0.970529928198977</v>
      </c>
      <c r="AM673" s="128">
        <v>0.99</v>
      </c>
      <c r="AN673" s="133">
        <v>1</v>
      </c>
      <c r="AO673" s="133">
        <v>1</v>
      </c>
      <c r="AP673" s="133">
        <v>1</v>
      </c>
      <c r="AQ673" s="133">
        <v>1</v>
      </c>
      <c r="AR673" s="153">
        <v>0.0810595228934205</v>
      </c>
      <c r="AS673" s="137">
        <v>0</v>
      </c>
      <c r="AT673" s="137">
        <v>0</v>
      </c>
      <c r="AU673" s="137">
        <v>0</v>
      </c>
      <c r="AV673" s="137">
        <v>0.0148148148148148</v>
      </c>
      <c r="AW673" s="93"/>
      <c r="AX673" s="91"/>
    </row>
    <row r="674" ht="14.5" spans="1:50">
      <c r="A674" s="89"/>
      <c r="B674" s="93"/>
      <c r="C674" s="148" t="s">
        <v>664</v>
      </c>
      <c r="D674" s="126" t="s">
        <v>665</v>
      </c>
      <c r="E674" s="171" t="s">
        <v>697</v>
      </c>
      <c r="F674" s="171" t="s">
        <v>697</v>
      </c>
      <c r="G674" s="171" t="s">
        <v>697</v>
      </c>
      <c r="H674" s="171" t="s">
        <v>697</v>
      </c>
      <c r="I674" s="128">
        <v>0.9</v>
      </c>
      <c r="J674" s="129">
        <v>0.645161290322581</v>
      </c>
      <c r="K674" s="129">
        <v>0.791666666666667</v>
      </c>
      <c r="L674" s="130">
        <v>0.777777777777778</v>
      </c>
      <c r="M674" s="129">
        <v>0.762917933130699</v>
      </c>
      <c r="N674" s="131">
        <v>0.9</v>
      </c>
      <c r="O674" s="129">
        <v>0.948322756119674</v>
      </c>
      <c r="P674" s="129">
        <v>0.929752066115702</v>
      </c>
      <c r="Q674" s="129">
        <v>0.93852309930884</v>
      </c>
      <c r="R674" s="129">
        <v>0.934102581204562</v>
      </c>
      <c r="S674" s="131">
        <v>0.9</v>
      </c>
      <c r="T674" s="129">
        <v>0.915080084617709</v>
      </c>
      <c r="U674" s="129">
        <v>0.920661157024793</v>
      </c>
      <c r="V674" s="129">
        <v>0.926518734085122</v>
      </c>
      <c r="W674" s="129">
        <v>0.923330887747616</v>
      </c>
      <c r="X674" s="131">
        <v>0.92</v>
      </c>
      <c r="Y674" s="131">
        <v>0.911607142857143</v>
      </c>
      <c r="Z674" s="131">
        <v>0.907010014306152</v>
      </c>
      <c r="AA674" s="131">
        <v>0.924409448818898</v>
      </c>
      <c r="AB674" s="131">
        <v>0.904667109046671</v>
      </c>
      <c r="AC674" s="131">
        <v>0.92</v>
      </c>
      <c r="AD674" s="129">
        <v>1</v>
      </c>
      <c r="AE674" s="129">
        <v>1</v>
      </c>
      <c r="AF674" s="129">
        <v>0.994869771112865</v>
      </c>
      <c r="AG674" s="129">
        <v>0.998612687602472</v>
      </c>
      <c r="AH674" s="131">
        <v>0.92</v>
      </c>
      <c r="AI674" s="129">
        <v>0.952811018288553</v>
      </c>
      <c r="AJ674" s="129">
        <v>0.947616553169199</v>
      </c>
      <c r="AK674" s="129">
        <v>0.96574128765505</v>
      </c>
      <c r="AL674" s="129">
        <v>0.953714139344262</v>
      </c>
      <c r="AM674" s="128">
        <v>0.99</v>
      </c>
      <c r="AN674" s="133">
        <v>1</v>
      </c>
      <c r="AO674" s="133">
        <v>1</v>
      </c>
      <c r="AP674" s="133">
        <v>1</v>
      </c>
      <c r="AQ674" s="133">
        <v>1</v>
      </c>
      <c r="AR674" s="153">
        <v>0.0810595228934205</v>
      </c>
      <c r="AS674" s="137">
        <v>0</v>
      </c>
      <c r="AT674" s="137">
        <v>0</v>
      </c>
      <c r="AU674" s="137">
        <v>0</v>
      </c>
      <c r="AV674" s="137">
        <v>-0.0078740157480315</v>
      </c>
      <c r="AW674" s="93"/>
      <c r="AX674" s="91"/>
    </row>
    <row r="675" ht="14.5" spans="1:50">
      <c r="A675" s="89"/>
      <c r="B675" s="93"/>
      <c r="C675" s="148" t="s">
        <v>664</v>
      </c>
      <c r="D675" s="126" t="s">
        <v>665</v>
      </c>
      <c r="E675" s="171" t="s">
        <v>698</v>
      </c>
      <c r="F675" s="171" t="s">
        <v>698</v>
      </c>
      <c r="G675" s="171" t="s">
        <v>698</v>
      </c>
      <c r="H675" s="171" t="s">
        <v>698</v>
      </c>
      <c r="I675" s="128">
        <v>0.9</v>
      </c>
      <c r="J675" s="129">
        <v>0.526315789473684</v>
      </c>
      <c r="K675" s="129">
        <v>0.823529411764706</v>
      </c>
      <c r="L675" s="130">
        <v>1</v>
      </c>
      <c r="M675" s="129">
        <v>0.815315315315315</v>
      </c>
      <c r="N675" s="131">
        <v>0.9</v>
      </c>
      <c r="O675" s="129">
        <v>0.98581865062312</v>
      </c>
      <c r="P675" s="129">
        <v>0.982352941176471</v>
      </c>
      <c r="Q675" s="129">
        <v>0.979257641921397</v>
      </c>
      <c r="R675" s="129">
        <v>0.982634212045411</v>
      </c>
      <c r="S675" s="131">
        <v>0.9</v>
      </c>
      <c r="T675" s="129">
        <v>0.933820369574559</v>
      </c>
      <c r="U675" s="129">
        <v>0.92</v>
      </c>
      <c r="V675" s="129">
        <v>0.935043668122271</v>
      </c>
      <c r="W675" s="129">
        <v>0.940735039445834</v>
      </c>
      <c r="X675" s="131">
        <v>0.92</v>
      </c>
      <c r="Y675" s="131">
        <v>0.93765903307888</v>
      </c>
      <c r="Z675" s="131">
        <v>0.968864468864469</v>
      </c>
      <c r="AA675" s="131">
        <v>0.926605504587156</v>
      </c>
      <c r="AB675" s="131">
        <v>0.943623342983392</v>
      </c>
      <c r="AC675" s="131">
        <v>0.92</v>
      </c>
      <c r="AD675" s="129">
        <v>0.997682502896871</v>
      </c>
      <c r="AE675" s="129">
        <v>0.99904214559387</v>
      </c>
      <c r="AF675" s="129">
        <v>0.998417721518987</v>
      </c>
      <c r="AG675" s="129">
        <v>0.995947197776748</v>
      </c>
      <c r="AH675" s="131">
        <v>0.92</v>
      </c>
      <c r="AI675" s="129">
        <v>0.968197879858657</v>
      </c>
      <c r="AJ675" s="129">
        <v>0.970672389127325</v>
      </c>
      <c r="AK675" s="129">
        <v>0.970458553791887</v>
      </c>
      <c r="AL675" s="129">
        <v>0.972004970396901</v>
      </c>
      <c r="AM675" s="128">
        <v>0.99</v>
      </c>
      <c r="AN675" s="133">
        <v>1</v>
      </c>
      <c r="AO675" s="133">
        <v>1</v>
      </c>
      <c r="AP675" s="133">
        <v>1</v>
      </c>
      <c r="AQ675" s="133">
        <v>1</v>
      </c>
      <c r="AR675" s="153">
        <v>0.0810595228934205</v>
      </c>
      <c r="AS675" s="137">
        <v>0</v>
      </c>
      <c r="AT675" s="137">
        <v>0</v>
      </c>
      <c r="AU675" s="137">
        <v>0</v>
      </c>
      <c r="AV675" s="137">
        <v>0.0634920634920635</v>
      </c>
      <c r="AW675" s="93"/>
      <c r="AX675" s="91"/>
    </row>
    <row r="676" ht="14.5" spans="1:50">
      <c r="A676" s="89"/>
      <c r="B676" s="93"/>
      <c r="C676" s="148" t="s">
        <v>664</v>
      </c>
      <c r="D676" s="126" t="s">
        <v>665</v>
      </c>
      <c r="E676" s="171" t="s">
        <v>699</v>
      </c>
      <c r="F676" s="171" t="s">
        <v>699</v>
      </c>
      <c r="G676" s="171" t="s">
        <v>699</v>
      </c>
      <c r="H676" s="171" t="s">
        <v>699</v>
      </c>
      <c r="I676" s="128">
        <v>0.9</v>
      </c>
      <c r="J676" s="129">
        <v>0.956521739130435</v>
      </c>
      <c r="K676" s="129">
        <v>0.941176470588235</v>
      </c>
      <c r="L676" s="130">
        <v>0.904761904761905</v>
      </c>
      <c r="M676" s="129">
        <v>0.964285714285714</v>
      </c>
      <c r="N676" s="131">
        <v>0.9</v>
      </c>
      <c r="O676" s="129">
        <v>0.991824600520253</v>
      </c>
      <c r="P676" s="129">
        <v>0.995093228655545</v>
      </c>
      <c r="Q676" s="129">
        <v>0.995160580730312</v>
      </c>
      <c r="R676" s="129">
        <v>0.995319166563108</v>
      </c>
      <c r="S676" s="131">
        <v>0.9</v>
      </c>
      <c r="T676" s="129">
        <v>0.956521739130435</v>
      </c>
      <c r="U676" s="129">
        <v>0.954857703631011</v>
      </c>
      <c r="V676" s="129">
        <v>0.959964804223493</v>
      </c>
      <c r="W676" s="129">
        <v>0.962511909200116</v>
      </c>
      <c r="X676" s="131">
        <v>0.92</v>
      </c>
      <c r="Y676" s="131">
        <v>0.97286432160804</v>
      </c>
      <c r="Z676" s="131">
        <v>0.969155844155844</v>
      </c>
      <c r="AA676" s="131">
        <v>0.968045112781955</v>
      </c>
      <c r="AB676" s="131">
        <v>0.9750885179565</v>
      </c>
      <c r="AC676" s="131">
        <v>0.92</v>
      </c>
      <c r="AD676" s="129">
        <v>1</v>
      </c>
      <c r="AE676" s="129">
        <v>0.992337164750958</v>
      </c>
      <c r="AF676" s="129">
        <v>0.996835443037975</v>
      </c>
      <c r="AG676" s="129">
        <v>0.993013972055888</v>
      </c>
      <c r="AH676" s="131">
        <v>0.92</v>
      </c>
      <c r="AI676" s="129">
        <v>0.983179598480738</v>
      </c>
      <c r="AJ676" s="129">
        <v>0.983496332518337</v>
      </c>
      <c r="AK676" s="129">
        <v>0.988235294117647</v>
      </c>
      <c r="AL676" s="129">
        <v>0.98798751950078</v>
      </c>
      <c r="AM676" s="128">
        <v>0.99</v>
      </c>
      <c r="AN676" s="133">
        <v>1</v>
      </c>
      <c r="AO676" s="133">
        <v>1</v>
      </c>
      <c r="AP676" s="133">
        <v>1</v>
      </c>
      <c r="AQ676" s="133">
        <v>1</v>
      </c>
      <c r="AR676" s="153">
        <v>0.0810595228934205</v>
      </c>
      <c r="AS676" s="137">
        <v>0</v>
      </c>
      <c r="AT676" s="137">
        <v>0</v>
      </c>
      <c r="AU676" s="137">
        <v>0</v>
      </c>
      <c r="AV676" s="137">
        <v>0.0294117647058824</v>
      </c>
      <c r="AW676" s="93"/>
      <c r="AX676" s="91"/>
    </row>
    <row r="677" ht="14.5" spans="1:50">
      <c r="A677" s="89"/>
      <c r="B677" s="93"/>
      <c r="C677" s="148" t="s">
        <v>664</v>
      </c>
      <c r="D677" s="126" t="s">
        <v>665</v>
      </c>
      <c r="E677" s="171" t="s">
        <v>700</v>
      </c>
      <c r="F677" s="171" t="s">
        <v>700</v>
      </c>
      <c r="G677" s="171" t="s">
        <v>700</v>
      </c>
      <c r="H677" s="171" t="s">
        <v>700</v>
      </c>
      <c r="I677" s="128">
        <v>0.9</v>
      </c>
      <c r="J677" s="129">
        <v>0.9125</v>
      </c>
      <c r="K677" s="129">
        <v>0.814285714285714</v>
      </c>
      <c r="L677" s="130">
        <v>0.866666666666667</v>
      </c>
      <c r="M677" s="129">
        <v>0.858085808580858</v>
      </c>
      <c r="N677" s="131">
        <v>0.9</v>
      </c>
      <c r="O677" s="129">
        <v>0.90153143471252</v>
      </c>
      <c r="P677" s="129">
        <v>0.971036585365854</v>
      </c>
      <c r="Q677" s="129">
        <v>0.840916424653114</v>
      </c>
      <c r="R677" s="129">
        <v>0.87739681022639</v>
      </c>
      <c r="S677" s="131">
        <v>0.9</v>
      </c>
      <c r="T677" s="129">
        <v>0.919666845781838</v>
      </c>
      <c r="U677" s="129">
        <v>0.938262195121951</v>
      </c>
      <c r="V677" s="129">
        <v>0.91432720232333</v>
      </c>
      <c r="W677" s="129">
        <v>0.927617824502718</v>
      </c>
      <c r="X677" s="131">
        <v>0.92</v>
      </c>
      <c r="Y677" s="131">
        <v>0.91516103692066</v>
      </c>
      <c r="Z677" s="131">
        <v>0.920603674540682</v>
      </c>
      <c r="AA677" s="131">
        <v>0.901348474095103</v>
      </c>
      <c r="AB677" s="131">
        <v>0.909090909090909</v>
      </c>
      <c r="AC677" s="131">
        <v>0.92</v>
      </c>
      <c r="AD677" s="129">
        <v>1</v>
      </c>
      <c r="AE677" s="129">
        <v>0.99359795134443</v>
      </c>
      <c r="AF677" s="129">
        <v>0.995211492418196</v>
      </c>
      <c r="AG677" s="129">
        <v>0.995479957178542</v>
      </c>
      <c r="AH677" s="131">
        <v>0.92</v>
      </c>
      <c r="AI677" s="129">
        <v>0.961788536560968</v>
      </c>
      <c r="AJ677" s="129">
        <v>0.953712632594021</v>
      </c>
      <c r="AK677" s="129">
        <v>0.963858588513602</v>
      </c>
      <c r="AL677" s="129">
        <v>0.961925221683883</v>
      </c>
      <c r="AM677" s="128">
        <v>0.99</v>
      </c>
      <c r="AN677" s="133">
        <v>1</v>
      </c>
      <c r="AO677" s="133">
        <v>1</v>
      </c>
      <c r="AP677" s="133">
        <v>1</v>
      </c>
      <c r="AQ677" s="133">
        <v>1</v>
      </c>
      <c r="AR677" s="153">
        <v>0.0810595228934205</v>
      </c>
      <c r="AS677" s="137">
        <v>0.0303030303030303</v>
      </c>
      <c r="AT677" s="137">
        <v>0</v>
      </c>
      <c r="AU677" s="137">
        <v>0.0277777777777778</v>
      </c>
      <c r="AV677" s="137">
        <v>0.0650684931506849</v>
      </c>
      <c r="AW677" s="93"/>
      <c r="AX677" s="91"/>
    </row>
    <row r="678" ht="14.5" spans="1:50">
      <c r="A678" s="89"/>
      <c r="B678" s="93"/>
      <c r="C678" s="148" t="s">
        <v>664</v>
      </c>
      <c r="D678" s="126" t="s">
        <v>665</v>
      </c>
      <c r="E678" s="171" t="s">
        <v>701</v>
      </c>
      <c r="F678" s="171" t="s">
        <v>701</v>
      </c>
      <c r="G678" s="171" t="s">
        <v>701</v>
      </c>
      <c r="H678" s="171" t="s">
        <v>701</v>
      </c>
      <c r="I678" s="128">
        <v>0.9</v>
      </c>
      <c r="J678" s="129">
        <v>0.833333333333333</v>
      </c>
      <c r="K678" s="129">
        <v>0.75</v>
      </c>
      <c r="L678" s="130">
        <v>0.833333333333333</v>
      </c>
      <c r="M678" s="129">
        <v>0.805555555555556</v>
      </c>
      <c r="N678" s="131">
        <v>0.9</v>
      </c>
      <c r="O678" s="129">
        <v>0.984633569739953</v>
      </c>
      <c r="P678" s="129">
        <v>0.987455197132617</v>
      </c>
      <c r="Q678" s="129">
        <v>0.981467181467181</v>
      </c>
      <c r="R678" s="129">
        <v>0.98606690713629</v>
      </c>
      <c r="S678" s="131">
        <v>0.9</v>
      </c>
      <c r="T678" s="129">
        <v>0.943262411347518</v>
      </c>
      <c r="U678" s="129">
        <v>0.937275985663082</v>
      </c>
      <c r="V678" s="129">
        <v>0.944401544401544</v>
      </c>
      <c r="W678" s="129">
        <v>0.940448405120588</v>
      </c>
      <c r="X678" s="131">
        <v>0.92</v>
      </c>
      <c r="Y678" s="131">
        <v>0.853615520282187</v>
      </c>
      <c r="Z678" s="131">
        <v>0.807692307692308</v>
      </c>
      <c r="AA678" s="131">
        <v>0.856269113149847</v>
      </c>
      <c r="AB678" s="131">
        <v>0.870237561631555</v>
      </c>
      <c r="AC678" s="131">
        <v>0.92</v>
      </c>
      <c r="AD678" s="129">
        <v>0.9875</v>
      </c>
      <c r="AE678" s="129">
        <v>0.989010989010989</v>
      </c>
      <c r="AF678" s="129">
        <v>0.944444444444444</v>
      </c>
      <c r="AG678" s="129">
        <v>0.984978540772532</v>
      </c>
      <c r="AH678" s="131">
        <v>0.92</v>
      </c>
      <c r="AI678" s="129">
        <v>0.955289951305888</v>
      </c>
      <c r="AJ678" s="129">
        <v>0.9140625</v>
      </c>
      <c r="AK678" s="129">
        <v>0.959926017262639</v>
      </c>
      <c r="AL678" s="129">
        <v>0.956460976134165</v>
      </c>
      <c r="AM678" s="128">
        <v>0.99</v>
      </c>
      <c r="AN678" s="133">
        <v>1</v>
      </c>
      <c r="AO678" s="133">
        <v>1</v>
      </c>
      <c r="AP678" s="133">
        <v>1</v>
      </c>
      <c r="AQ678" s="133">
        <v>1</v>
      </c>
      <c r="AR678" s="153">
        <v>0.0810595228934205</v>
      </c>
      <c r="AS678" s="137">
        <v>0</v>
      </c>
      <c r="AT678" s="137">
        <v>0</v>
      </c>
      <c r="AU678" s="137">
        <v>0</v>
      </c>
      <c r="AV678" s="137">
        <v>0.0204081632653061</v>
      </c>
      <c r="AW678" s="93"/>
      <c r="AX678" s="91"/>
    </row>
    <row r="679" ht="14.5" spans="1:50">
      <c r="A679" s="89"/>
      <c r="B679" s="93"/>
      <c r="C679" s="148" t="s">
        <v>664</v>
      </c>
      <c r="D679" s="126" t="s">
        <v>665</v>
      </c>
      <c r="E679" s="171" t="s">
        <v>702</v>
      </c>
      <c r="F679" s="171" t="s">
        <v>702</v>
      </c>
      <c r="G679" s="171" t="s">
        <v>702</v>
      </c>
      <c r="H679" s="171" t="s">
        <v>702</v>
      </c>
      <c r="I679" s="128">
        <v>0.9</v>
      </c>
      <c r="J679" s="129">
        <v>0.75</v>
      </c>
      <c r="K679" s="129">
        <v>0.8</v>
      </c>
      <c r="L679" s="130">
        <v>0.869565217391304</v>
      </c>
      <c r="M679" s="129">
        <v>0.825278810408922</v>
      </c>
      <c r="N679" s="131">
        <v>0.9</v>
      </c>
      <c r="O679" s="129">
        <v>0.84874715261959</v>
      </c>
      <c r="P679" s="129">
        <v>0.912932138284251</v>
      </c>
      <c r="Q679" s="129">
        <v>0.944645628556648</v>
      </c>
      <c r="R679" s="129">
        <v>0.893386773547094</v>
      </c>
      <c r="S679" s="131">
        <v>0.9</v>
      </c>
      <c r="T679" s="129">
        <v>0.88246013667426</v>
      </c>
      <c r="U679" s="129">
        <v>0.907810499359795</v>
      </c>
      <c r="V679" s="129">
        <v>0.911536471805484</v>
      </c>
      <c r="W679" s="129">
        <v>0.900050100200401</v>
      </c>
      <c r="X679" s="131">
        <v>0.92</v>
      </c>
      <c r="Y679" s="131">
        <v>0.874504623513871</v>
      </c>
      <c r="Z679" s="131">
        <v>0.892561983471074</v>
      </c>
      <c r="AA679" s="131">
        <v>0.87621359223301</v>
      </c>
      <c r="AB679" s="131">
        <v>0.879770992366412</v>
      </c>
      <c r="AC679" s="131">
        <v>0.92</v>
      </c>
      <c r="AD679" s="129">
        <v>0.958333333333333</v>
      </c>
      <c r="AE679" s="129">
        <v>1</v>
      </c>
      <c r="AF679" s="129">
        <v>0.888888888888889</v>
      </c>
      <c r="AG679" s="129">
        <v>0.968523002421308</v>
      </c>
      <c r="AH679" s="131">
        <v>0.92</v>
      </c>
      <c r="AI679" s="129">
        <v>0.92310298102981</v>
      </c>
      <c r="AJ679" s="129">
        <v>0.926482213438735</v>
      </c>
      <c r="AK679" s="129">
        <v>0.947570332480818</v>
      </c>
      <c r="AL679" s="129">
        <v>0.93432380952381</v>
      </c>
      <c r="AM679" s="128">
        <v>0.99</v>
      </c>
      <c r="AN679" s="133">
        <v>1</v>
      </c>
      <c r="AO679" s="133">
        <v>1</v>
      </c>
      <c r="AP679" s="133">
        <v>1</v>
      </c>
      <c r="AQ679" s="133">
        <v>1</v>
      </c>
      <c r="AR679" s="153">
        <v>0.0810595228934205</v>
      </c>
      <c r="AS679" s="137">
        <v>0</v>
      </c>
      <c r="AT679" s="137">
        <v>0</v>
      </c>
      <c r="AU679" s="137">
        <v>0</v>
      </c>
      <c r="AV679" s="137">
        <v>0.0735294117647059</v>
      </c>
      <c r="AW679" s="93"/>
      <c r="AX679" s="91"/>
    </row>
    <row r="680" ht="14.5" spans="1:50">
      <c r="A680" s="89"/>
      <c r="B680" s="93"/>
      <c r="C680" s="148" t="s">
        <v>664</v>
      </c>
      <c r="D680" s="126" t="s">
        <v>665</v>
      </c>
      <c r="E680" s="171" t="s">
        <v>703</v>
      </c>
      <c r="F680" s="171" t="s">
        <v>703</v>
      </c>
      <c r="G680" s="171" t="s">
        <v>703</v>
      </c>
      <c r="H680" s="171" t="s">
        <v>703</v>
      </c>
      <c r="I680" s="128">
        <v>0.9</v>
      </c>
      <c r="J680" s="129">
        <v>0.970588235294118</v>
      </c>
      <c r="K680" s="129">
        <v>0.939393939393939</v>
      </c>
      <c r="L680" s="130">
        <v>0.939393939393939</v>
      </c>
      <c r="M680" s="129">
        <v>0.931818181818182</v>
      </c>
      <c r="N680" s="131">
        <v>0.9</v>
      </c>
      <c r="O680" s="129">
        <v>0.957924707371085</v>
      </c>
      <c r="P680" s="129">
        <v>0.964539007092199</v>
      </c>
      <c r="Q680" s="129">
        <v>0.976982097186701</v>
      </c>
      <c r="R680" s="129">
        <v>0.97000866583776</v>
      </c>
      <c r="S680" s="131">
        <v>0.9</v>
      </c>
      <c r="T680" s="129">
        <v>0.935463460930085</v>
      </c>
      <c r="U680" s="129">
        <v>0.921197793538219</v>
      </c>
      <c r="V680" s="129">
        <v>0.93307757885763</v>
      </c>
      <c r="W680" s="129">
        <v>0.937756678346709</v>
      </c>
      <c r="X680" s="131">
        <v>0.92</v>
      </c>
      <c r="Y680" s="131">
        <v>0.909348441926346</v>
      </c>
      <c r="Z680" s="131">
        <v>0.943624161073826</v>
      </c>
      <c r="AA680" s="131">
        <v>0.905982905982906</v>
      </c>
      <c r="AB680" s="131">
        <v>0.928571428571429</v>
      </c>
      <c r="AC680" s="131">
        <v>0.92</v>
      </c>
      <c r="AD680" s="129">
        <v>0.992990654205608</v>
      </c>
      <c r="AE680" s="129">
        <v>0.993103448275862</v>
      </c>
      <c r="AF680" s="129">
        <v>1</v>
      </c>
      <c r="AG680" s="129">
        <v>0.995389048991354</v>
      </c>
      <c r="AH680" s="131">
        <v>0.92</v>
      </c>
      <c r="AI680" s="129">
        <v>0.951900698215671</v>
      </c>
      <c r="AJ680" s="129">
        <v>0.951837140019861</v>
      </c>
      <c r="AK680" s="129">
        <v>0.958472376714868</v>
      </c>
      <c r="AL680" s="129">
        <v>0.95875003709529</v>
      </c>
      <c r="AM680" s="128">
        <v>0.99</v>
      </c>
      <c r="AN680" s="133">
        <v>1</v>
      </c>
      <c r="AO680" s="133">
        <v>1</v>
      </c>
      <c r="AP680" s="133">
        <v>1</v>
      </c>
      <c r="AQ680" s="133">
        <v>1</v>
      </c>
      <c r="AR680" s="153">
        <v>0.0810595228934205</v>
      </c>
      <c r="AS680" s="137">
        <v>0</v>
      </c>
      <c r="AT680" s="137">
        <v>0</v>
      </c>
      <c r="AU680" s="137">
        <v>-0.166666666666667</v>
      </c>
      <c r="AV680" s="137">
        <v>0.0354609929078014</v>
      </c>
      <c r="AW680" s="93"/>
      <c r="AX680" s="91"/>
    </row>
    <row r="681" ht="14.5" spans="1:50">
      <c r="A681" s="89"/>
      <c r="B681" s="93"/>
      <c r="C681" s="148" t="s">
        <v>664</v>
      </c>
      <c r="D681" s="126" t="s">
        <v>665</v>
      </c>
      <c r="E681" s="171" t="s">
        <v>704</v>
      </c>
      <c r="F681" s="171" t="s">
        <v>704</v>
      </c>
      <c r="G681" s="171" t="s">
        <v>704</v>
      </c>
      <c r="H681" s="171" t="s">
        <v>704</v>
      </c>
      <c r="I681" s="128">
        <v>0.9</v>
      </c>
      <c r="J681" s="129">
        <v>0.80952380952381</v>
      </c>
      <c r="K681" s="129">
        <v>0.8</v>
      </c>
      <c r="L681" s="130">
        <v>0.8</v>
      </c>
      <c r="M681" s="129">
        <v>0.838842975206612</v>
      </c>
      <c r="N681" s="131">
        <v>0.9</v>
      </c>
      <c r="O681" s="129">
        <v>0.966119640021175</v>
      </c>
      <c r="P681" s="129">
        <v>0.976592977893368</v>
      </c>
      <c r="Q681" s="129">
        <v>0.962827988338192</v>
      </c>
      <c r="R681" s="129">
        <v>0.967805671780567</v>
      </c>
      <c r="S681" s="131">
        <v>0.9</v>
      </c>
      <c r="T681" s="129">
        <v>0.922181048173637</v>
      </c>
      <c r="U681" s="129">
        <v>0.932379713914174</v>
      </c>
      <c r="V681" s="129">
        <v>0.927842565597668</v>
      </c>
      <c r="W681" s="129">
        <v>0.937877731287773</v>
      </c>
      <c r="X681" s="131">
        <v>0.92</v>
      </c>
      <c r="Y681" s="131">
        <v>0.927350427350427</v>
      </c>
      <c r="Z681" s="131">
        <v>0.903292181069959</v>
      </c>
      <c r="AA681" s="131">
        <v>0.96551724137931</v>
      </c>
      <c r="AB681" s="131">
        <v>0.940725388601036</v>
      </c>
      <c r="AC681" s="131">
        <v>0.92</v>
      </c>
      <c r="AD681" s="129">
        <v>1</v>
      </c>
      <c r="AE681" s="129">
        <v>1</v>
      </c>
      <c r="AF681" s="129">
        <v>1</v>
      </c>
      <c r="AG681" s="129">
        <v>0.998813936249073</v>
      </c>
      <c r="AH681" s="131">
        <v>0.92</v>
      </c>
      <c r="AI681" s="129">
        <v>0.949512091641918</v>
      </c>
      <c r="AJ681" s="129">
        <v>0.940239043824701</v>
      </c>
      <c r="AK681" s="129">
        <v>0.958730158730159</v>
      </c>
      <c r="AL681" s="129">
        <v>0.961014795316329</v>
      </c>
      <c r="AM681" s="128">
        <v>0.99</v>
      </c>
      <c r="AN681" s="133">
        <v>1</v>
      </c>
      <c r="AO681" s="133">
        <v>1</v>
      </c>
      <c r="AP681" s="133">
        <v>1</v>
      </c>
      <c r="AQ681" s="133">
        <v>1</v>
      </c>
      <c r="AR681" s="153">
        <v>0.0810595228934205</v>
      </c>
      <c r="AS681" s="137">
        <v>0.0555555555555556</v>
      </c>
      <c r="AT681" s="137">
        <v>0.125</v>
      </c>
      <c r="AU681" s="137">
        <v>0</v>
      </c>
      <c r="AV681" s="137">
        <v>0.0486111111111111</v>
      </c>
      <c r="AW681" s="93"/>
      <c r="AX681" s="91"/>
    </row>
    <row r="682" ht="14.5" spans="1:50">
      <c r="A682" s="89"/>
      <c r="B682" s="93"/>
      <c r="C682" s="148" t="s">
        <v>664</v>
      </c>
      <c r="D682" s="126" t="s">
        <v>665</v>
      </c>
      <c r="E682" s="171" t="s">
        <v>705</v>
      </c>
      <c r="F682" s="171" t="s">
        <v>705</v>
      </c>
      <c r="G682" s="171" t="s">
        <v>705</v>
      </c>
      <c r="H682" s="171" t="s">
        <v>705</v>
      </c>
      <c r="I682" s="128">
        <v>0.9</v>
      </c>
      <c r="J682" s="129">
        <v>0.878787878787879</v>
      </c>
      <c r="K682" s="129">
        <v>0.962962962962963</v>
      </c>
      <c r="L682" s="130">
        <v>1</v>
      </c>
      <c r="M682" s="129">
        <v>0.929971988795518</v>
      </c>
      <c r="N682" s="131">
        <v>0.9</v>
      </c>
      <c r="O682" s="129">
        <v>0.946323529411765</v>
      </c>
      <c r="P682" s="129">
        <v>0.946666666666667</v>
      </c>
      <c r="Q682" s="129">
        <v>0.892391633828433</v>
      </c>
      <c r="R682" s="129">
        <v>0.937585061788883</v>
      </c>
      <c r="S682" s="131">
        <v>0.9</v>
      </c>
      <c r="T682" s="129">
        <v>0.922549019607843</v>
      </c>
      <c r="U682" s="129">
        <v>0.901587301587302</v>
      </c>
      <c r="V682" s="129">
        <v>0.911185207638678</v>
      </c>
      <c r="W682" s="129">
        <v>0.923267461484022</v>
      </c>
      <c r="X682" s="131">
        <v>0.92</v>
      </c>
      <c r="Y682" s="131">
        <v>0.926773455377574</v>
      </c>
      <c r="Z682" s="131">
        <v>0.907954545454545</v>
      </c>
      <c r="AA682" s="131">
        <v>0.915211970074813</v>
      </c>
      <c r="AB682" s="131">
        <v>0.934129692832764</v>
      </c>
      <c r="AC682" s="131">
        <v>0.92</v>
      </c>
      <c r="AD682" s="129">
        <v>0.997572815533981</v>
      </c>
      <c r="AE682" s="129">
        <v>0.998043052837573</v>
      </c>
      <c r="AF682" s="129">
        <v>0.993303571428571</v>
      </c>
      <c r="AG682" s="129">
        <v>0.993395252837977</v>
      </c>
      <c r="AH682" s="131">
        <v>0.92</v>
      </c>
      <c r="AI682" s="129">
        <v>0.949535728704078</v>
      </c>
      <c r="AJ682" s="129">
        <v>0.929967426710098</v>
      </c>
      <c r="AK682" s="129">
        <v>0.951621621621622</v>
      </c>
      <c r="AL682" s="129">
        <v>0.958536478236043</v>
      </c>
      <c r="AM682" s="128">
        <v>0.99</v>
      </c>
      <c r="AN682" s="133">
        <v>1</v>
      </c>
      <c r="AO682" s="133">
        <v>1</v>
      </c>
      <c r="AP682" s="133">
        <v>1</v>
      </c>
      <c r="AQ682" s="133">
        <v>1</v>
      </c>
      <c r="AR682" s="153">
        <v>0.0810595228934205</v>
      </c>
      <c r="AS682" s="137">
        <v>0</v>
      </c>
      <c r="AT682" s="137">
        <v>0.0625</v>
      </c>
      <c r="AU682" s="137">
        <v>0.176470588235294</v>
      </c>
      <c r="AV682" s="137">
        <v>0.0457142857142857</v>
      </c>
      <c r="AW682" s="93"/>
      <c r="AX682" s="91"/>
    </row>
    <row r="683" ht="14.5" spans="1:50">
      <c r="A683" s="89"/>
      <c r="B683" s="93"/>
      <c r="C683" s="148" t="s">
        <v>664</v>
      </c>
      <c r="D683" s="126" t="s">
        <v>665</v>
      </c>
      <c r="E683" s="171" t="s">
        <v>706</v>
      </c>
      <c r="F683" s="171" t="s">
        <v>706</v>
      </c>
      <c r="G683" s="171" t="s">
        <v>706</v>
      </c>
      <c r="H683" s="171" t="s">
        <v>706</v>
      </c>
      <c r="I683" s="128">
        <v>0.9</v>
      </c>
      <c r="J683" s="129">
        <v>0.96</v>
      </c>
      <c r="K683" s="129">
        <v>0.909090909090909</v>
      </c>
      <c r="L683" s="130">
        <v>1</v>
      </c>
      <c r="M683" s="129">
        <v>0.944250871080139</v>
      </c>
      <c r="N683" s="131">
        <v>0.9</v>
      </c>
      <c r="O683" s="129">
        <v>0.911555842479019</v>
      </c>
      <c r="P683" s="129">
        <v>0.942924159499609</v>
      </c>
      <c r="Q683" s="129">
        <v>0.956599552572707</v>
      </c>
      <c r="R683" s="129">
        <v>0.937966872361156</v>
      </c>
      <c r="S683" s="131">
        <v>0.9</v>
      </c>
      <c r="T683" s="129">
        <v>0.88896061975468</v>
      </c>
      <c r="U683" s="129">
        <v>0.910867865519937</v>
      </c>
      <c r="V683" s="129">
        <v>0.924384787472036</v>
      </c>
      <c r="W683" s="129">
        <v>0.916774926924326</v>
      </c>
      <c r="X683" s="131">
        <v>0.92</v>
      </c>
      <c r="Y683" s="131">
        <v>0.9140625</v>
      </c>
      <c r="Z683" s="131">
        <v>0.9177545691906</v>
      </c>
      <c r="AA683" s="131">
        <v>0.897142857142857</v>
      </c>
      <c r="AB683" s="131">
        <v>0.919605282252213</v>
      </c>
      <c r="AC683" s="131">
        <v>0.92</v>
      </c>
      <c r="AD683" s="129">
        <v>0.997222222222222</v>
      </c>
      <c r="AE683" s="129">
        <v>0.997757847533632</v>
      </c>
      <c r="AF683" s="129">
        <v>0.99488926746167</v>
      </c>
      <c r="AG683" s="129">
        <v>0.995433789954338</v>
      </c>
      <c r="AH683" s="131">
        <v>0.92</v>
      </c>
      <c r="AI683" s="129">
        <v>0.948784273150543</v>
      </c>
      <c r="AJ683" s="129">
        <v>0.940831295843521</v>
      </c>
      <c r="AK683" s="129">
        <v>0.960541586073501</v>
      </c>
      <c r="AL683" s="129">
        <v>0.955525948483695</v>
      </c>
      <c r="AM683" s="128">
        <v>0.99</v>
      </c>
      <c r="AN683" s="133">
        <v>1</v>
      </c>
      <c r="AO683" s="133">
        <v>1</v>
      </c>
      <c r="AP683" s="133">
        <v>1</v>
      </c>
      <c r="AQ683" s="133">
        <v>1</v>
      </c>
      <c r="AR683" s="153">
        <v>0.0810595228934205</v>
      </c>
      <c r="AS683" s="137">
        <v>0</v>
      </c>
      <c r="AT683" s="137">
        <v>0.181818181818182</v>
      </c>
      <c r="AU683" s="137">
        <v>0</v>
      </c>
      <c r="AV683" s="137">
        <v>0.054421768707483</v>
      </c>
      <c r="AW683" s="93"/>
      <c r="AX683" s="91"/>
    </row>
    <row r="684" ht="14.5" spans="1:50">
      <c r="A684" s="89"/>
      <c r="B684" s="93"/>
      <c r="C684" s="148" t="s">
        <v>664</v>
      </c>
      <c r="D684" s="126" t="s">
        <v>665</v>
      </c>
      <c r="E684" s="171" t="s">
        <v>707</v>
      </c>
      <c r="F684" s="171" t="s">
        <v>707</v>
      </c>
      <c r="G684" s="171" t="s">
        <v>707</v>
      </c>
      <c r="H684" s="171" t="s">
        <v>707</v>
      </c>
      <c r="I684" s="128">
        <v>0.9</v>
      </c>
      <c r="J684" s="129">
        <v>0.935483870967742</v>
      </c>
      <c r="K684" s="129">
        <v>0.916666666666667</v>
      </c>
      <c r="L684" s="130">
        <v>0.933333333333333</v>
      </c>
      <c r="M684" s="129">
        <v>0.900584795321637</v>
      </c>
      <c r="N684" s="131">
        <v>0.9</v>
      </c>
      <c r="O684" s="129">
        <v>0.868860391967094</v>
      </c>
      <c r="P684" s="129">
        <v>0.969897652016857</v>
      </c>
      <c r="Q684" s="129">
        <v>0.871438746438746</v>
      </c>
      <c r="R684" s="129">
        <v>0.899730580712176</v>
      </c>
      <c r="S684" s="131">
        <v>0.9</v>
      </c>
      <c r="T684" s="129">
        <v>0.909992741350109</v>
      </c>
      <c r="U684" s="129">
        <v>0.927754364840458</v>
      </c>
      <c r="V684" s="129">
        <v>0.934116809116809</v>
      </c>
      <c r="W684" s="129">
        <v>0.93339176161262</v>
      </c>
      <c r="X684" s="131">
        <v>0.92</v>
      </c>
      <c r="Y684" s="131">
        <v>0.935390549662488</v>
      </c>
      <c r="Z684" s="131">
        <v>0.932773109243697</v>
      </c>
      <c r="AA684" s="131">
        <v>0.963809523809524</v>
      </c>
      <c r="AB684" s="131">
        <v>0.941285251964864</v>
      </c>
      <c r="AC684" s="131">
        <v>0.92</v>
      </c>
      <c r="AD684" s="129">
        <v>0.989276139410188</v>
      </c>
      <c r="AE684" s="129">
        <v>0.997876857749469</v>
      </c>
      <c r="AF684" s="129">
        <v>0.997368421052632</v>
      </c>
      <c r="AG684" s="129">
        <v>0.995590051155407</v>
      </c>
      <c r="AH684" s="131">
        <v>0.92</v>
      </c>
      <c r="AI684" s="129">
        <v>0.945647969052224</v>
      </c>
      <c r="AJ684" s="129">
        <v>0.944508228090318</v>
      </c>
      <c r="AK684" s="129">
        <v>0.969396939693969</v>
      </c>
      <c r="AL684" s="129">
        <v>0.960772388627034</v>
      </c>
      <c r="AM684" s="128">
        <v>0.99</v>
      </c>
      <c r="AN684" s="133">
        <v>1</v>
      </c>
      <c r="AO684" s="133">
        <v>1</v>
      </c>
      <c r="AP684" s="133">
        <v>1</v>
      </c>
      <c r="AQ684" s="133">
        <v>1</v>
      </c>
      <c r="AR684" s="153">
        <v>0.0810595228934205</v>
      </c>
      <c r="AS684" s="137">
        <v>0.333333333333333</v>
      </c>
      <c r="AT684" s="137">
        <v>0</v>
      </c>
      <c r="AU684" s="137">
        <v>0</v>
      </c>
      <c r="AV684" s="137">
        <v>0.0522388059701493</v>
      </c>
      <c r="AW684" s="93"/>
      <c r="AX684" s="91"/>
    </row>
    <row r="685" ht="14.5" spans="1:50">
      <c r="A685" s="89"/>
      <c r="B685" s="93"/>
      <c r="C685" s="148" t="s">
        <v>664</v>
      </c>
      <c r="D685" s="126" t="s">
        <v>665</v>
      </c>
      <c r="E685" s="171" t="s">
        <v>708</v>
      </c>
      <c r="F685" s="171" t="s">
        <v>708</v>
      </c>
      <c r="G685" s="171" t="s">
        <v>708</v>
      </c>
      <c r="H685" s="171" t="s">
        <v>708</v>
      </c>
      <c r="I685" s="128">
        <v>0.9</v>
      </c>
      <c r="J685" s="129">
        <v>1</v>
      </c>
      <c r="K685" s="129">
        <v>0.944444444444444</v>
      </c>
      <c r="L685" s="130">
        <v>0.95</v>
      </c>
      <c r="M685" s="129">
        <v>0.970212765957447</v>
      </c>
      <c r="N685" s="131">
        <v>0.9</v>
      </c>
      <c r="O685" s="129">
        <v>0.979572446555819</v>
      </c>
      <c r="P685" s="129">
        <v>0.979513444302177</v>
      </c>
      <c r="Q685" s="129">
        <v>0.992972593113141</v>
      </c>
      <c r="R685" s="129">
        <v>0.980354178195905</v>
      </c>
      <c r="S685" s="131">
        <v>0.9</v>
      </c>
      <c r="T685" s="129">
        <v>0.942042755344418</v>
      </c>
      <c r="U685" s="129">
        <v>0.942381562099872</v>
      </c>
      <c r="V685" s="129">
        <v>0.965565706254392</v>
      </c>
      <c r="W685" s="129">
        <v>0.959158826784726</v>
      </c>
      <c r="X685" s="131">
        <v>0.92</v>
      </c>
      <c r="Y685" s="131">
        <v>0.821428571428571</v>
      </c>
      <c r="Z685" s="131">
        <v>0.883333333333333</v>
      </c>
      <c r="AA685" s="131">
        <v>0.805555555555556</v>
      </c>
      <c r="AB685" s="131">
        <v>0.866395112016293</v>
      </c>
      <c r="AC685" s="131">
        <v>0.92</v>
      </c>
      <c r="AD685" s="129">
        <v>0.992395437262357</v>
      </c>
      <c r="AE685" s="129">
        <v>0.996632996632997</v>
      </c>
      <c r="AF685" s="129">
        <v>1</v>
      </c>
      <c r="AG685" s="129">
        <v>0.993988684582744</v>
      </c>
      <c r="AH685" s="131">
        <v>0.92</v>
      </c>
      <c r="AI685" s="129">
        <v>0.937233630375823</v>
      </c>
      <c r="AJ685" s="129">
        <v>0.9333838001514</v>
      </c>
      <c r="AK685" s="129">
        <v>0.954240390482001</v>
      </c>
      <c r="AL685" s="129">
        <v>0.952482485531526</v>
      </c>
      <c r="AM685" s="128">
        <v>0.99</v>
      </c>
      <c r="AN685" s="133">
        <v>1</v>
      </c>
      <c r="AO685" s="133">
        <v>1</v>
      </c>
      <c r="AP685" s="133">
        <v>1</v>
      </c>
      <c r="AQ685" s="133">
        <v>1</v>
      </c>
      <c r="AR685" s="153">
        <v>0.0810595228934205</v>
      </c>
      <c r="AS685" s="137">
        <v>0</v>
      </c>
      <c r="AT685" s="137">
        <v>0</v>
      </c>
      <c r="AU685" s="137">
        <v>-0.0909090909090909</v>
      </c>
      <c r="AV685" s="137">
        <v>0.0161290322580645</v>
      </c>
      <c r="AW685" s="93"/>
      <c r="AX685" s="91"/>
    </row>
    <row r="686" ht="14.5" spans="1:50">
      <c r="A686" s="89"/>
      <c r="B686" s="93"/>
      <c r="C686" s="148" t="s">
        <v>664</v>
      </c>
      <c r="D686" s="126" t="s">
        <v>665</v>
      </c>
      <c r="E686" s="171" t="s">
        <v>709</v>
      </c>
      <c r="F686" s="171" t="s">
        <v>709</v>
      </c>
      <c r="G686" s="171" t="s">
        <v>709</v>
      </c>
      <c r="H686" s="171" t="s">
        <v>709</v>
      </c>
      <c r="I686" s="128">
        <v>0.9</v>
      </c>
      <c r="J686" s="129">
        <v>0.883720930232558</v>
      </c>
      <c r="K686" s="129">
        <v>0.885714285714286</v>
      </c>
      <c r="L686" s="130">
        <v>0.921052631578947</v>
      </c>
      <c r="M686" s="129">
        <v>0.898947368421053</v>
      </c>
      <c r="N686" s="131">
        <v>0.9</v>
      </c>
      <c r="O686" s="129">
        <v>0.954644097222222</v>
      </c>
      <c r="P686" s="129">
        <v>0.979326639102185</v>
      </c>
      <c r="Q686" s="129">
        <v>0.944094272403398</v>
      </c>
      <c r="R686" s="129">
        <v>0.954444199652395</v>
      </c>
      <c r="S686" s="131">
        <v>0.9</v>
      </c>
      <c r="T686" s="129">
        <v>0.9375</v>
      </c>
      <c r="U686" s="129">
        <v>0.942705256940343</v>
      </c>
      <c r="V686" s="129">
        <v>0.927651411345574</v>
      </c>
      <c r="W686" s="129">
        <v>0.937651465080414</v>
      </c>
      <c r="X686" s="131">
        <v>0.92</v>
      </c>
      <c r="Y686" s="131">
        <v>0.935553168635875</v>
      </c>
      <c r="Z686" s="131">
        <v>0.938100320170758</v>
      </c>
      <c r="AA686" s="131">
        <v>0.899795501022495</v>
      </c>
      <c r="AB686" s="131">
        <v>0.932620769150162</v>
      </c>
      <c r="AC686" s="131">
        <v>0.92</v>
      </c>
      <c r="AD686" s="129">
        <v>1</v>
      </c>
      <c r="AE686" s="129">
        <v>0.99812382739212</v>
      </c>
      <c r="AF686" s="129">
        <v>0.999273783587509</v>
      </c>
      <c r="AG686" s="129">
        <v>0.99741633119029</v>
      </c>
      <c r="AH686" s="131">
        <v>0.92</v>
      </c>
      <c r="AI686" s="129">
        <v>0.958476259252573</v>
      </c>
      <c r="AJ686" s="129">
        <v>0.952471482889734</v>
      </c>
      <c r="AK686" s="129">
        <v>0.95142580956984</v>
      </c>
      <c r="AL686" s="129">
        <v>0.957991864272249</v>
      </c>
      <c r="AM686" s="128">
        <v>0.99</v>
      </c>
      <c r="AN686" s="133">
        <v>1</v>
      </c>
      <c r="AO686" s="133">
        <v>1</v>
      </c>
      <c r="AP686" s="133">
        <v>1</v>
      </c>
      <c r="AQ686" s="133">
        <v>1</v>
      </c>
      <c r="AR686" s="153">
        <v>0.0810595228934205</v>
      </c>
      <c r="AS686" s="137">
        <v>0</v>
      </c>
      <c r="AT686" s="137">
        <v>0.111111111111111</v>
      </c>
      <c r="AU686" s="137">
        <v>0</v>
      </c>
      <c r="AV686" s="137">
        <v>0.0547945205479452</v>
      </c>
      <c r="AW686" s="93"/>
      <c r="AX686" s="91"/>
    </row>
    <row r="687" ht="14.5" spans="1:50">
      <c r="A687" s="89"/>
      <c r="B687" s="93"/>
      <c r="C687" s="148" t="s">
        <v>664</v>
      </c>
      <c r="D687" s="126" t="s">
        <v>665</v>
      </c>
      <c r="E687" s="171" t="s">
        <v>710</v>
      </c>
      <c r="F687" s="171" t="s">
        <v>710</v>
      </c>
      <c r="G687" s="171" t="s">
        <v>710</v>
      </c>
      <c r="H687" s="171" t="s">
        <v>710</v>
      </c>
      <c r="I687" s="128">
        <v>0.9</v>
      </c>
      <c r="J687" s="129">
        <v>1</v>
      </c>
      <c r="K687" s="129">
        <v>0.954545454545455</v>
      </c>
      <c r="L687" s="130">
        <v>1</v>
      </c>
      <c r="M687" s="129">
        <v>0.986440677966102</v>
      </c>
      <c r="N687" s="131">
        <v>0.9</v>
      </c>
      <c r="O687" s="129">
        <v>0.979864082557262</v>
      </c>
      <c r="P687" s="129">
        <v>0.973007712082262</v>
      </c>
      <c r="Q687" s="129">
        <v>0.980786825251601</v>
      </c>
      <c r="R687" s="129">
        <v>0.969953424968761</v>
      </c>
      <c r="S687" s="131">
        <v>0.9</v>
      </c>
      <c r="T687" s="129">
        <v>0.940347344575887</v>
      </c>
      <c r="U687" s="129">
        <v>0.944730077120823</v>
      </c>
      <c r="V687" s="129">
        <v>0.947544983226594</v>
      </c>
      <c r="W687" s="129">
        <v>0.944535953652164</v>
      </c>
      <c r="X687" s="131">
        <v>0.92</v>
      </c>
      <c r="Y687" s="131">
        <v>0.953542392566783</v>
      </c>
      <c r="Z687" s="131">
        <v>0.741399762752076</v>
      </c>
      <c r="AA687" s="131">
        <v>0.934117647058823</v>
      </c>
      <c r="AB687" s="131">
        <v>0.932369402985075</v>
      </c>
      <c r="AC687" s="131">
        <v>0.92</v>
      </c>
      <c r="AD687" s="129">
        <v>0.995689655172414</v>
      </c>
      <c r="AE687" s="129">
        <v>0.995073891625616</v>
      </c>
      <c r="AF687" s="129">
        <v>1</v>
      </c>
      <c r="AG687" s="129">
        <v>0.994204998189062</v>
      </c>
      <c r="AH687" s="131">
        <v>0.92</v>
      </c>
      <c r="AI687" s="129">
        <v>0.964211832850641</v>
      </c>
      <c r="AJ687" s="129">
        <v>0.886666666666667</v>
      </c>
      <c r="AK687" s="129">
        <v>0.96841252699784</v>
      </c>
      <c r="AL687" s="129">
        <v>0.96494633477963</v>
      </c>
      <c r="AM687" s="128">
        <v>0.99</v>
      </c>
      <c r="AN687" s="133">
        <v>1</v>
      </c>
      <c r="AO687" s="133">
        <v>1</v>
      </c>
      <c r="AP687" s="133">
        <v>1</v>
      </c>
      <c r="AQ687" s="133">
        <v>1</v>
      </c>
      <c r="AR687" s="153">
        <v>0.0810595228934205</v>
      </c>
      <c r="AS687" s="137">
        <v>0</v>
      </c>
      <c r="AT687" s="137">
        <v>0</v>
      </c>
      <c r="AU687" s="137">
        <v>0.222222222222222</v>
      </c>
      <c r="AV687" s="137">
        <v>0.0192307692307692</v>
      </c>
      <c r="AW687" s="93"/>
      <c r="AX687" s="91"/>
    </row>
    <row r="688" ht="14.5" spans="1:50">
      <c r="A688" s="89"/>
      <c r="B688" s="93"/>
      <c r="C688" s="148" t="s">
        <v>664</v>
      </c>
      <c r="D688" s="126" t="s">
        <v>665</v>
      </c>
      <c r="E688" s="171" t="s">
        <v>711</v>
      </c>
      <c r="F688" s="171" t="s">
        <v>711</v>
      </c>
      <c r="G688" s="171" t="s">
        <v>711</v>
      </c>
      <c r="H688" s="171" t="s">
        <v>711</v>
      </c>
      <c r="I688" s="128">
        <v>0.9</v>
      </c>
      <c r="J688" s="129">
        <v>0.971014492753623</v>
      </c>
      <c r="K688" s="129">
        <v>0.983333333333333</v>
      </c>
      <c r="L688" s="130">
        <v>0.916666666666667</v>
      </c>
      <c r="M688" s="129">
        <v>0.954847277556441</v>
      </c>
      <c r="N688" s="131">
        <v>0.9</v>
      </c>
      <c r="O688" s="129">
        <v>0.968398663020359</v>
      </c>
      <c r="P688" s="129">
        <v>0.944285714285714</v>
      </c>
      <c r="Q688" s="129">
        <v>0.969444444444444</v>
      </c>
      <c r="R688" s="129">
        <v>0.961176536879473</v>
      </c>
      <c r="S688" s="131">
        <v>0.9</v>
      </c>
      <c r="T688" s="129">
        <v>0.930720145852325</v>
      </c>
      <c r="U688" s="129">
        <v>0.9325</v>
      </c>
      <c r="V688" s="129">
        <v>0.930555555555556</v>
      </c>
      <c r="W688" s="129">
        <v>0.936214571476869</v>
      </c>
      <c r="X688" s="131">
        <v>0.92</v>
      </c>
      <c r="Y688" s="131">
        <v>0.888726207906296</v>
      </c>
      <c r="Z688" s="131">
        <v>0.915006640106242</v>
      </c>
      <c r="AA688" s="131">
        <v>0.890429958391123</v>
      </c>
      <c r="AB688" s="131">
        <v>0.90544929628293</v>
      </c>
      <c r="AC688" s="131">
        <v>0.92</v>
      </c>
      <c r="AD688" s="129">
        <v>0.997877267464299</v>
      </c>
      <c r="AE688" s="129">
        <v>0.997064758759861</v>
      </c>
      <c r="AF688" s="129">
        <v>0.996924311313185</v>
      </c>
      <c r="AG688" s="129">
        <v>0.996418923163913</v>
      </c>
      <c r="AH688" s="131">
        <v>0.92</v>
      </c>
      <c r="AI688" s="129">
        <v>0.950069173688844</v>
      </c>
      <c r="AJ688" s="129">
        <v>0.944998839637967</v>
      </c>
      <c r="AK688" s="129">
        <v>0.949522983521249</v>
      </c>
      <c r="AL688" s="129">
        <v>0.952766813137708</v>
      </c>
      <c r="AM688" s="128">
        <v>0.99</v>
      </c>
      <c r="AN688" s="133">
        <v>1</v>
      </c>
      <c r="AO688" s="133">
        <v>1</v>
      </c>
      <c r="AP688" s="133">
        <v>1</v>
      </c>
      <c r="AQ688" s="133">
        <v>1</v>
      </c>
      <c r="AR688" s="153">
        <v>0.0810595228934205</v>
      </c>
      <c r="AS688" s="137">
        <v>0</v>
      </c>
      <c r="AT688" s="137">
        <v>0.104166666666667</v>
      </c>
      <c r="AU688" s="137">
        <v>0.0188679245283019</v>
      </c>
      <c r="AV688" s="137">
        <v>0.0346020761245675</v>
      </c>
      <c r="AW688" s="93"/>
      <c r="AX688" s="91"/>
    </row>
    <row r="689" ht="14.5" spans="1:50">
      <c r="A689" s="89"/>
      <c r="B689" s="93"/>
      <c r="C689" s="148" t="s">
        <v>664</v>
      </c>
      <c r="D689" s="126" t="s">
        <v>665</v>
      </c>
      <c r="E689" s="171" t="s">
        <v>712</v>
      </c>
      <c r="F689" s="171" t="s">
        <v>712</v>
      </c>
      <c r="G689" s="171" t="s">
        <v>712</v>
      </c>
      <c r="H689" s="171" t="s">
        <v>712</v>
      </c>
      <c r="I689" s="128">
        <v>0.9</v>
      </c>
      <c r="J689" s="129">
        <v>0.96551724137931</v>
      </c>
      <c r="K689" s="129">
        <v>1</v>
      </c>
      <c r="L689" s="130">
        <v>0.962962962962963</v>
      </c>
      <c r="M689" s="129">
        <v>0.978593272171254</v>
      </c>
      <c r="N689" s="131">
        <v>0.9</v>
      </c>
      <c r="O689" s="129">
        <v>0.951544518473652</v>
      </c>
      <c r="P689" s="129">
        <v>0.973724884080371</v>
      </c>
      <c r="Q689" s="129">
        <v>0.944969905417025</v>
      </c>
      <c r="R689" s="129">
        <v>0.95914694846466</v>
      </c>
      <c r="S689" s="131">
        <v>0.9</v>
      </c>
      <c r="T689" s="129">
        <v>0.926711084191399</v>
      </c>
      <c r="U689" s="129">
        <v>0.930448222565688</v>
      </c>
      <c r="V689" s="129">
        <v>0.913155631986242</v>
      </c>
      <c r="W689" s="129">
        <v>0.930928861321694</v>
      </c>
      <c r="X689" s="131">
        <v>0.92</v>
      </c>
      <c r="Y689" s="131">
        <v>0.939276485788114</v>
      </c>
      <c r="Z689" s="131">
        <v>0.920881971465629</v>
      </c>
      <c r="AA689" s="131">
        <v>0.925566343042071</v>
      </c>
      <c r="AB689" s="131">
        <v>0.926339285714286</v>
      </c>
      <c r="AC689" s="131">
        <v>0.92</v>
      </c>
      <c r="AD689" s="129">
        <v>0.996354799513973</v>
      </c>
      <c r="AE689" s="129">
        <v>1</v>
      </c>
      <c r="AF689" s="129">
        <v>1</v>
      </c>
      <c r="AG689" s="129">
        <v>0.996670247046187</v>
      </c>
      <c r="AH689" s="131">
        <v>0.92</v>
      </c>
      <c r="AI689" s="129">
        <v>0.95657507360157</v>
      </c>
      <c r="AJ689" s="129">
        <v>0.947215496368039</v>
      </c>
      <c r="AK689" s="129">
        <v>0.959013282732448</v>
      </c>
      <c r="AL689" s="129">
        <v>0.958861144945189</v>
      </c>
      <c r="AM689" s="128">
        <v>0.99</v>
      </c>
      <c r="AN689" s="133">
        <v>1</v>
      </c>
      <c r="AO689" s="133">
        <v>1</v>
      </c>
      <c r="AP689" s="133">
        <v>1</v>
      </c>
      <c r="AQ689" s="133">
        <v>1</v>
      </c>
      <c r="AR689" s="153">
        <v>0.0810595228934205</v>
      </c>
      <c r="AS689" s="137">
        <v>0.0555555555555556</v>
      </c>
      <c r="AT689" s="137">
        <v>0</v>
      </c>
      <c r="AU689" s="137">
        <v>0</v>
      </c>
      <c r="AV689" s="137">
        <v>0.0555555555555556</v>
      </c>
      <c r="AW689" s="93"/>
      <c r="AX689" s="91"/>
    </row>
    <row r="690" ht="14.5" spans="1:50">
      <c r="A690" s="89"/>
      <c r="B690" s="93"/>
      <c r="C690" s="148" t="s">
        <v>664</v>
      </c>
      <c r="D690" s="126" t="s">
        <v>665</v>
      </c>
      <c r="E690" s="171" t="s">
        <v>713</v>
      </c>
      <c r="F690" s="171" t="s">
        <v>713</v>
      </c>
      <c r="G690" s="171" t="s">
        <v>713</v>
      </c>
      <c r="H690" s="171" t="s">
        <v>713</v>
      </c>
      <c r="I690" s="128">
        <v>0.9</v>
      </c>
      <c r="J690" s="129">
        <v>0.930232558139535</v>
      </c>
      <c r="K690" s="129">
        <v>0.944444444444444</v>
      </c>
      <c r="L690" s="130">
        <v>0.921052631578947</v>
      </c>
      <c r="M690" s="129">
        <v>0.925690021231423</v>
      </c>
      <c r="N690" s="131">
        <v>0.9</v>
      </c>
      <c r="O690" s="129">
        <v>0.954264524103832</v>
      </c>
      <c r="P690" s="129">
        <v>0.909266409266409</v>
      </c>
      <c r="Q690" s="129">
        <v>0.956412668548134</v>
      </c>
      <c r="R690" s="129">
        <v>0.949852765386746</v>
      </c>
      <c r="S690" s="131">
        <v>0.9</v>
      </c>
      <c r="T690" s="129">
        <v>0.913967861557478</v>
      </c>
      <c r="U690" s="129">
        <v>0.90990990990991</v>
      </c>
      <c r="V690" s="129">
        <v>0.911571025399812</v>
      </c>
      <c r="W690" s="129">
        <v>0.911921630368232</v>
      </c>
      <c r="X690" s="131">
        <v>0.92</v>
      </c>
      <c r="Y690" s="131">
        <v>0.926633165829146</v>
      </c>
      <c r="Z690" s="131">
        <v>0.922600619195046</v>
      </c>
      <c r="AA690" s="131">
        <v>0.906183368869936</v>
      </c>
      <c r="AB690" s="131">
        <v>0.90732353915829</v>
      </c>
      <c r="AC690" s="131">
        <v>0.92</v>
      </c>
      <c r="AD690" s="129">
        <v>1</v>
      </c>
      <c r="AE690" s="129">
        <v>0.908079342041606</v>
      </c>
      <c r="AF690" s="129">
        <v>0.963108063989553</v>
      </c>
      <c r="AG690" s="129">
        <v>0.984197428452924</v>
      </c>
      <c r="AH690" s="131">
        <v>0.92</v>
      </c>
      <c r="AI690" s="129">
        <v>0.951398532037294</v>
      </c>
      <c r="AJ690" s="129">
        <v>0.933042789223455</v>
      </c>
      <c r="AK690" s="129">
        <v>0.955725608089642</v>
      </c>
      <c r="AL690" s="129">
        <v>0.948340674799935</v>
      </c>
      <c r="AM690" s="128">
        <v>0.99</v>
      </c>
      <c r="AN690" s="133">
        <v>1</v>
      </c>
      <c r="AO690" s="133">
        <v>1</v>
      </c>
      <c r="AP690" s="133">
        <v>1</v>
      </c>
      <c r="AQ690" s="133">
        <v>1</v>
      </c>
      <c r="AR690" s="153">
        <v>0.0810595228934205</v>
      </c>
      <c r="AS690" s="137">
        <v>0</v>
      </c>
      <c r="AT690" s="137">
        <v>0.25</v>
      </c>
      <c r="AU690" s="137">
        <v>0</v>
      </c>
      <c r="AV690" s="137">
        <v>0.0833333333333333</v>
      </c>
      <c r="AW690" s="93"/>
      <c r="AX690" s="91"/>
    </row>
    <row r="691" ht="14.5" spans="1:50">
      <c r="A691" s="89"/>
      <c r="B691" s="93"/>
      <c r="C691" s="148" t="s">
        <v>664</v>
      </c>
      <c r="D691" s="126" t="s">
        <v>665</v>
      </c>
      <c r="E691" s="171" t="s">
        <v>714</v>
      </c>
      <c r="F691" s="171" t="s">
        <v>714</v>
      </c>
      <c r="G691" s="171" t="s">
        <v>714</v>
      </c>
      <c r="H691" s="171" t="s">
        <v>714</v>
      </c>
      <c r="I691" s="128">
        <v>0.9</v>
      </c>
      <c r="J691" s="129">
        <v>0.848484848484849</v>
      </c>
      <c r="K691" s="129">
        <v>0.884615384615385</v>
      </c>
      <c r="L691" s="130">
        <v>0.5625</v>
      </c>
      <c r="M691" s="129">
        <v>0.793478260869565</v>
      </c>
      <c r="N691" s="131">
        <v>0.9</v>
      </c>
      <c r="O691" s="129">
        <v>0.944915254237288</v>
      </c>
      <c r="P691" s="129">
        <v>0.886499402628435</v>
      </c>
      <c r="Q691" s="129">
        <v>0.95038295038295</v>
      </c>
      <c r="R691" s="129">
        <v>0.942400422749191</v>
      </c>
      <c r="S691" s="131">
        <v>0.9</v>
      </c>
      <c r="T691" s="129">
        <v>0.899629237288136</v>
      </c>
      <c r="U691" s="129">
        <v>0.93010752688172</v>
      </c>
      <c r="V691" s="129">
        <v>0.932733932733933</v>
      </c>
      <c r="W691" s="129">
        <v>0.92241891802629</v>
      </c>
      <c r="X691" s="131">
        <v>0.92</v>
      </c>
      <c r="Y691" s="131">
        <v>0.885786802030457</v>
      </c>
      <c r="Z691" s="131">
        <v>0.92468134414832</v>
      </c>
      <c r="AA691" s="131">
        <v>0.911111111111111</v>
      </c>
      <c r="AB691" s="131">
        <v>0.899759219363832</v>
      </c>
      <c r="AC691" s="131">
        <v>0.92</v>
      </c>
      <c r="AD691" s="129">
        <v>0.999697199091597</v>
      </c>
      <c r="AE691" s="129">
        <v>0.997898140662894</v>
      </c>
      <c r="AF691" s="129">
        <v>0.996074326092646</v>
      </c>
      <c r="AG691" s="129">
        <v>0.996996211129948</v>
      </c>
      <c r="AH691" s="131">
        <v>0.92</v>
      </c>
      <c r="AI691" s="129">
        <v>0.947437582128778</v>
      </c>
      <c r="AJ691" s="129">
        <v>0.952700039416634</v>
      </c>
      <c r="AK691" s="129">
        <v>0.964089197799015</v>
      </c>
      <c r="AL691" s="129">
        <v>0.949993451211526</v>
      </c>
      <c r="AM691" s="128">
        <v>0.99</v>
      </c>
      <c r="AN691" s="133">
        <v>1</v>
      </c>
      <c r="AO691" s="133">
        <v>1</v>
      </c>
      <c r="AP691" s="133">
        <v>1</v>
      </c>
      <c r="AQ691" s="133">
        <v>1</v>
      </c>
      <c r="AR691" s="153">
        <v>0.0810595228934205</v>
      </c>
      <c r="AS691" s="137">
        <v>0.115384615384615</v>
      </c>
      <c r="AT691" s="137">
        <v>0.032258064516129</v>
      </c>
      <c r="AU691" s="137">
        <v>0.05</v>
      </c>
      <c r="AV691" s="137">
        <v>0.0303030303030303</v>
      </c>
      <c r="AW691" s="93"/>
      <c r="AX691" s="91"/>
    </row>
    <row r="692" ht="14.5" spans="1:50">
      <c r="A692" s="89"/>
      <c r="B692" s="93"/>
      <c r="C692" s="148" t="s">
        <v>664</v>
      </c>
      <c r="D692" s="126" t="s">
        <v>665</v>
      </c>
      <c r="E692" s="171" t="s">
        <v>715</v>
      </c>
      <c r="F692" s="171" t="s">
        <v>715</v>
      </c>
      <c r="G692" s="171" t="s">
        <v>715</v>
      </c>
      <c r="H692" s="171" t="s">
        <v>715</v>
      </c>
      <c r="I692" s="128">
        <v>0.9</v>
      </c>
      <c r="J692" s="129">
        <v>1</v>
      </c>
      <c r="K692" s="129">
        <v>1</v>
      </c>
      <c r="L692" s="130">
        <v>1</v>
      </c>
      <c r="M692" s="129">
        <v>0.971698113207547</v>
      </c>
      <c r="N692" s="131">
        <v>0.9</v>
      </c>
      <c r="O692" s="129">
        <v>0.974439886399495</v>
      </c>
      <c r="P692" s="129">
        <v>0.8936</v>
      </c>
      <c r="Q692" s="129">
        <v>0.911149081589064</v>
      </c>
      <c r="R692" s="129">
        <v>0.948130277442702</v>
      </c>
      <c r="S692" s="131">
        <v>0.9</v>
      </c>
      <c r="T692" s="129">
        <v>0.9214263174503</v>
      </c>
      <c r="U692" s="129">
        <v>0.936</v>
      </c>
      <c r="V692" s="129">
        <v>0.910721913712089</v>
      </c>
      <c r="W692" s="129">
        <v>0.918751702400872</v>
      </c>
      <c r="X692" s="131">
        <v>0.92</v>
      </c>
      <c r="Y692" s="131">
        <v>0.885826771653543</v>
      </c>
      <c r="Z692" s="131">
        <v>0.879194630872483</v>
      </c>
      <c r="AA692" s="131">
        <v>0.814713896457766</v>
      </c>
      <c r="AB692" s="131">
        <v>0.860721291685529</v>
      </c>
      <c r="AC692" s="131">
        <v>0.92</v>
      </c>
      <c r="AD692" s="129">
        <v>0.99746192893401</v>
      </c>
      <c r="AE692" s="129">
        <v>0.98997995991984</v>
      </c>
      <c r="AF692" s="129">
        <v>1</v>
      </c>
      <c r="AG692" s="129">
        <v>0.992391053723772</v>
      </c>
      <c r="AH692" s="131">
        <v>0.92</v>
      </c>
      <c r="AI692" s="129">
        <v>0.949631137115238</v>
      </c>
      <c r="AJ692" s="129">
        <v>0.933333333333333</v>
      </c>
      <c r="AK692" s="129">
        <v>0.947193500738552</v>
      </c>
      <c r="AL692" s="129">
        <v>0.942157196325281</v>
      </c>
      <c r="AM692" s="128">
        <v>0.99</v>
      </c>
      <c r="AN692" s="133">
        <v>1</v>
      </c>
      <c r="AO692" s="133">
        <v>1</v>
      </c>
      <c r="AP692" s="133">
        <v>1</v>
      </c>
      <c r="AQ692" s="133">
        <v>1</v>
      </c>
      <c r="AR692" s="153">
        <v>0.0810595228934205</v>
      </c>
      <c r="AS692" s="137">
        <v>0.0714285714285714</v>
      </c>
      <c r="AT692" s="137">
        <v>0</v>
      </c>
      <c r="AU692" s="137">
        <v>0.230769230769231</v>
      </c>
      <c r="AV692" s="137">
        <v>0.0818713450292398</v>
      </c>
      <c r="AW692" s="93"/>
      <c r="AX692" s="91"/>
    </row>
    <row r="693" ht="14.5" spans="1:50">
      <c r="A693" s="89"/>
      <c r="B693" s="93"/>
      <c r="C693" s="148" t="s">
        <v>664</v>
      </c>
      <c r="D693" s="126" t="s">
        <v>665</v>
      </c>
      <c r="E693" s="171" t="s">
        <v>716</v>
      </c>
      <c r="F693" s="171" t="s">
        <v>716</v>
      </c>
      <c r="G693" s="171" t="s">
        <v>716</v>
      </c>
      <c r="H693" s="171" t="s">
        <v>716</v>
      </c>
      <c r="I693" s="128">
        <v>0.9</v>
      </c>
      <c r="J693" s="129">
        <v>0.964285714285714</v>
      </c>
      <c r="K693" s="129">
        <v>0.904761904761905</v>
      </c>
      <c r="L693" s="130">
        <v>0.96551724137931</v>
      </c>
      <c r="M693" s="129">
        <v>0.947852760736196</v>
      </c>
      <c r="N693" s="131">
        <v>0.9</v>
      </c>
      <c r="O693" s="129">
        <v>0.979841612670986</v>
      </c>
      <c r="P693" s="129">
        <v>0.982789855072464</v>
      </c>
      <c r="Q693" s="129">
        <v>0.973269062226117</v>
      </c>
      <c r="R693" s="129">
        <v>0.981862822746713</v>
      </c>
      <c r="S693" s="131">
        <v>0.9</v>
      </c>
      <c r="T693" s="129">
        <v>0.924766018718503</v>
      </c>
      <c r="U693" s="129">
        <v>0.939311594202899</v>
      </c>
      <c r="V693" s="129">
        <v>0.946976336546889</v>
      </c>
      <c r="W693" s="129">
        <v>0.937232694440044</v>
      </c>
      <c r="X693" s="131">
        <v>0.92</v>
      </c>
      <c r="Y693" s="131">
        <v>0.893053016453382</v>
      </c>
      <c r="Z693" s="131">
        <v>0.88034188034188</v>
      </c>
      <c r="AA693" s="131">
        <v>0.864453665283541</v>
      </c>
      <c r="AB693" s="131">
        <v>0.878240377062058</v>
      </c>
      <c r="AC693" s="131">
        <v>0.92</v>
      </c>
      <c r="AD693" s="129">
        <v>0.996763754045307</v>
      </c>
      <c r="AE693" s="129">
        <v>0.993769470404984</v>
      </c>
      <c r="AF693" s="129">
        <v>0.993492407809111</v>
      </c>
      <c r="AG693" s="129">
        <v>0.992976010373892</v>
      </c>
      <c r="AH693" s="131">
        <v>0.92</v>
      </c>
      <c r="AI693" s="129">
        <v>0.952737603305785</v>
      </c>
      <c r="AJ693" s="129">
        <v>0.944345766725873</v>
      </c>
      <c r="AK693" s="129">
        <v>0.953093812375249</v>
      </c>
      <c r="AL693" s="129">
        <v>0.951646421776672</v>
      </c>
      <c r="AM693" s="128">
        <v>0.99</v>
      </c>
      <c r="AN693" s="133">
        <v>1</v>
      </c>
      <c r="AO693" s="133">
        <v>1</v>
      </c>
      <c r="AP693" s="133">
        <v>1</v>
      </c>
      <c r="AQ693" s="133">
        <v>1</v>
      </c>
      <c r="AR693" s="153">
        <v>0.0810595228934205</v>
      </c>
      <c r="AS693" s="137">
        <v>0</v>
      </c>
      <c r="AT693" s="137">
        <v>0</v>
      </c>
      <c r="AU693" s="137">
        <v>0</v>
      </c>
      <c r="AV693" s="137">
        <v>0.010752688172043</v>
      </c>
      <c r="AW693" s="93"/>
      <c r="AX693" s="91"/>
    </row>
    <row r="694" ht="14.5" spans="1:50">
      <c r="A694" s="89"/>
      <c r="B694" s="93"/>
      <c r="C694" s="148" t="s">
        <v>664</v>
      </c>
      <c r="D694" s="126" t="s">
        <v>665</v>
      </c>
      <c r="E694" s="171" t="s">
        <v>717</v>
      </c>
      <c r="F694" s="171" t="s">
        <v>717</v>
      </c>
      <c r="G694" s="171" t="s">
        <v>717</v>
      </c>
      <c r="H694" s="171" t="s">
        <v>717</v>
      </c>
      <c r="I694" s="128">
        <v>0.9</v>
      </c>
      <c r="J694" s="129">
        <v>0.857142857142857</v>
      </c>
      <c r="K694" s="129">
        <v>0.783783783783784</v>
      </c>
      <c r="L694" s="130">
        <v>0.902439024390244</v>
      </c>
      <c r="M694" s="129">
        <v>0.874739039665971</v>
      </c>
      <c r="N694" s="131">
        <v>0.9</v>
      </c>
      <c r="O694" s="129">
        <v>0.957857974388824</v>
      </c>
      <c r="P694" s="129">
        <v>0.95</v>
      </c>
      <c r="Q694" s="129">
        <v>0.957622454595487</v>
      </c>
      <c r="R694" s="129">
        <v>0.959150567762867</v>
      </c>
      <c r="S694" s="131">
        <v>0.9</v>
      </c>
      <c r="T694" s="129">
        <v>0.921769499417928</v>
      </c>
      <c r="U694" s="129">
        <v>0.9125</v>
      </c>
      <c r="V694" s="129">
        <v>0.941662080352229</v>
      </c>
      <c r="W694" s="129">
        <v>0.931327729440102</v>
      </c>
      <c r="X694" s="131">
        <v>0.92</v>
      </c>
      <c r="Y694" s="131">
        <v>0.874354561101549</v>
      </c>
      <c r="Z694" s="131">
        <v>0.882235528942116</v>
      </c>
      <c r="AA694" s="131">
        <v>0.88</v>
      </c>
      <c r="AB694" s="131">
        <v>0.876810603990161</v>
      </c>
      <c r="AC694" s="131">
        <v>0.92</v>
      </c>
      <c r="AD694" s="129">
        <v>0.998348199537496</v>
      </c>
      <c r="AE694" s="129">
        <v>0.900502873563218</v>
      </c>
      <c r="AF694" s="129">
        <v>0.993966817496229</v>
      </c>
      <c r="AG694" s="129">
        <v>0.982094378183815</v>
      </c>
      <c r="AH694" s="131">
        <v>0.92</v>
      </c>
      <c r="AI694" s="129">
        <v>0.93873157807584</v>
      </c>
      <c r="AJ694" s="129">
        <v>0.926160337552743</v>
      </c>
      <c r="AK694" s="129">
        <v>0.949382716049383</v>
      </c>
      <c r="AL694" s="129">
        <v>0.943995662781241</v>
      </c>
      <c r="AM694" s="128">
        <v>0.99</v>
      </c>
      <c r="AN694" s="133">
        <v>1</v>
      </c>
      <c r="AO694" s="133">
        <v>1</v>
      </c>
      <c r="AP694" s="133">
        <v>1</v>
      </c>
      <c r="AQ694" s="133">
        <v>1</v>
      </c>
      <c r="AR694" s="153">
        <v>0.0810595228934205</v>
      </c>
      <c r="AS694" s="137">
        <v>0.0384615384615385</v>
      </c>
      <c r="AT694" s="137">
        <v>-0.027027027027027</v>
      </c>
      <c r="AU694" s="137">
        <v>-0.0277777777777778</v>
      </c>
      <c r="AV694" s="137">
        <v>0.0220125786163522</v>
      </c>
      <c r="AW694" s="93"/>
      <c r="AX694" s="91"/>
    </row>
    <row r="695" ht="14.5" spans="1:50">
      <c r="A695" s="89"/>
      <c r="B695" s="93"/>
      <c r="C695" s="148" t="s">
        <v>664</v>
      </c>
      <c r="D695" s="126" t="s">
        <v>665</v>
      </c>
      <c r="E695" s="171" t="s">
        <v>718</v>
      </c>
      <c r="F695" s="171" t="s">
        <v>718</v>
      </c>
      <c r="G695" s="171" t="s">
        <v>718</v>
      </c>
      <c r="H695" s="171" t="s">
        <v>718</v>
      </c>
      <c r="I695" s="128">
        <v>0.9</v>
      </c>
      <c r="J695" s="129">
        <v>0.823529411764706</v>
      </c>
      <c r="K695" s="129">
        <v>0.923076923076923</v>
      </c>
      <c r="L695" s="130">
        <v>0.705882352941177</v>
      </c>
      <c r="M695" s="129">
        <v>0.801705756929638</v>
      </c>
      <c r="N695" s="131">
        <v>0.9</v>
      </c>
      <c r="O695" s="129">
        <v>0.967782691092862</v>
      </c>
      <c r="P695" s="129">
        <v>0.964028776978417</v>
      </c>
      <c r="Q695" s="129">
        <v>0.971470373079737</v>
      </c>
      <c r="R695" s="129">
        <v>0.969070715591171</v>
      </c>
      <c r="S695" s="131">
        <v>0.9</v>
      </c>
      <c r="T695" s="129">
        <v>0.943777637397347</v>
      </c>
      <c r="U695" s="129">
        <v>0.938129496402878</v>
      </c>
      <c r="V695" s="129">
        <v>0.945866861741039</v>
      </c>
      <c r="W695" s="129">
        <v>0.943905525094897</v>
      </c>
      <c r="X695" s="131">
        <v>0.92</v>
      </c>
      <c r="Y695" s="131">
        <v>0.935724962630792</v>
      </c>
      <c r="Z695" s="131">
        <v>0.928191489361702</v>
      </c>
      <c r="AA695" s="131">
        <v>0.974418604651163</v>
      </c>
      <c r="AB695" s="131">
        <v>0.95989877360327</v>
      </c>
      <c r="AC695" s="131">
        <v>0.92</v>
      </c>
      <c r="AD695" s="129">
        <v>0.999143468950749</v>
      </c>
      <c r="AE695" s="129">
        <v>0.997393797237425</v>
      </c>
      <c r="AF695" s="129">
        <v>0.996526681401958</v>
      </c>
      <c r="AG695" s="129">
        <v>0.996337803232646</v>
      </c>
      <c r="AH695" s="131">
        <v>0.92</v>
      </c>
      <c r="AI695" s="129">
        <v>0.964031971580817</v>
      </c>
      <c r="AJ695" s="129">
        <v>0.958955223880597</v>
      </c>
      <c r="AK695" s="129">
        <v>0.986644407345576</v>
      </c>
      <c r="AL695" s="129">
        <v>0.976072801443477</v>
      </c>
      <c r="AM695" s="128">
        <v>0.99</v>
      </c>
      <c r="AN695" s="133">
        <v>1</v>
      </c>
      <c r="AO695" s="133">
        <v>1</v>
      </c>
      <c r="AP695" s="133">
        <v>1</v>
      </c>
      <c r="AQ695" s="133">
        <v>1</v>
      </c>
      <c r="AR695" s="153">
        <v>0.0810595228934205</v>
      </c>
      <c r="AS695" s="137">
        <v>0</v>
      </c>
      <c r="AT695" s="137">
        <v>-0.125</v>
      </c>
      <c r="AU695" s="137">
        <v>0.181818181818182</v>
      </c>
      <c r="AV695" s="137">
        <v>0.075812274368231</v>
      </c>
      <c r="AW695" s="93"/>
      <c r="AX695" s="91"/>
    </row>
    <row r="696" ht="14.5" spans="1:50">
      <c r="A696" s="89"/>
      <c r="B696" s="93"/>
      <c r="C696" s="148" t="s">
        <v>664</v>
      </c>
      <c r="D696" s="126" t="s">
        <v>665</v>
      </c>
      <c r="E696" s="171" t="s">
        <v>719</v>
      </c>
      <c r="F696" s="171" t="s">
        <v>719</v>
      </c>
      <c r="G696" s="171" t="s">
        <v>719</v>
      </c>
      <c r="H696" s="171" t="s">
        <v>719</v>
      </c>
      <c r="I696" s="128">
        <v>0.9</v>
      </c>
      <c r="J696" s="129">
        <v>0.857142857142857</v>
      </c>
      <c r="K696" s="129">
        <v>1</v>
      </c>
      <c r="L696" s="130">
        <v>1</v>
      </c>
      <c r="M696" s="129">
        <v>0.947154471544715</v>
      </c>
      <c r="N696" s="131">
        <v>0.9</v>
      </c>
      <c r="O696" s="129">
        <v>1</v>
      </c>
      <c r="P696" s="129">
        <v>0.999077490774908</v>
      </c>
      <c r="Q696" s="129">
        <v>1</v>
      </c>
      <c r="R696" s="129">
        <v>0.999182865990022</v>
      </c>
      <c r="S696" s="131">
        <v>0.9</v>
      </c>
      <c r="T696" s="129">
        <v>0.969060351413293</v>
      </c>
      <c r="U696" s="129">
        <v>0.966789667896679</v>
      </c>
      <c r="V696" s="129">
        <v>0.972506989748369</v>
      </c>
      <c r="W696" s="129">
        <v>0.973765697574402</v>
      </c>
      <c r="X696" s="131">
        <v>0.92</v>
      </c>
      <c r="Y696" s="131">
        <v>0.950950950950951</v>
      </c>
      <c r="Z696" s="131">
        <v>0.951219512195122</v>
      </c>
      <c r="AA696" s="131">
        <v>0.972477064220184</v>
      </c>
      <c r="AB696" s="131">
        <v>0.963500120860527</v>
      </c>
      <c r="AC696" s="131">
        <v>0.92</v>
      </c>
      <c r="AD696" s="129">
        <v>0.997333333333333</v>
      </c>
      <c r="AE696" s="129">
        <v>0.996343692870201</v>
      </c>
      <c r="AF696" s="129">
        <v>0.995535714285714</v>
      </c>
      <c r="AG696" s="129">
        <v>0.994959151746915</v>
      </c>
      <c r="AH696" s="131">
        <v>0.92</v>
      </c>
      <c r="AI696" s="129">
        <v>0.974564556262096</v>
      </c>
      <c r="AJ696" s="129">
        <v>0.973462002412545</v>
      </c>
      <c r="AK696" s="129">
        <v>0.986428571428571</v>
      </c>
      <c r="AL696" s="129">
        <v>0.982776121296707</v>
      </c>
      <c r="AM696" s="128">
        <v>0.99</v>
      </c>
      <c r="AN696" s="133">
        <v>1</v>
      </c>
      <c r="AO696" s="133">
        <v>1</v>
      </c>
      <c r="AP696" s="133">
        <v>1</v>
      </c>
      <c r="AQ696" s="133">
        <v>1</v>
      </c>
      <c r="AR696" s="153">
        <v>0.0810595228934205</v>
      </c>
      <c r="AS696" s="137">
        <v>0</v>
      </c>
      <c r="AT696" s="137">
        <v>0</v>
      </c>
      <c r="AU696" s="137">
        <v>0</v>
      </c>
      <c r="AV696" s="137">
        <v>0.032967032967033</v>
      </c>
      <c r="AW696" s="93"/>
      <c r="AX696" s="91"/>
    </row>
    <row r="697" ht="14.5" spans="1:50">
      <c r="A697" s="89"/>
      <c r="B697" s="93"/>
      <c r="C697" s="148" t="s">
        <v>664</v>
      </c>
      <c r="D697" s="126" t="s">
        <v>665</v>
      </c>
      <c r="E697" s="171" t="s">
        <v>720</v>
      </c>
      <c r="F697" s="171" t="s">
        <v>720</v>
      </c>
      <c r="G697" s="171" t="s">
        <v>720</v>
      </c>
      <c r="H697" s="171" t="s">
        <v>720</v>
      </c>
      <c r="I697" s="128">
        <v>0.9</v>
      </c>
      <c r="J697" s="129">
        <v>1</v>
      </c>
      <c r="K697" s="129">
        <v>0.971428571428571</v>
      </c>
      <c r="L697" s="130">
        <v>1</v>
      </c>
      <c r="M697" s="129">
        <v>0.993449781659389</v>
      </c>
      <c r="N697" s="131">
        <v>0.9</v>
      </c>
      <c r="O697" s="129">
        <v>0.989787468948385</v>
      </c>
      <c r="P697" s="129">
        <v>0.986139986139986</v>
      </c>
      <c r="Q697" s="129">
        <v>0.99164159144099</v>
      </c>
      <c r="R697" s="129">
        <v>0.993131541389153</v>
      </c>
      <c r="S697" s="131">
        <v>0.9</v>
      </c>
      <c r="T697" s="129">
        <v>0.938448799337566</v>
      </c>
      <c r="U697" s="129">
        <v>0.936936936936937</v>
      </c>
      <c r="V697" s="129">
        <v>0.925777331995988</v>
      </c>
      <c r="W697" s="129">
        <v>0.940622026641294</v>
      </c>
      <c r="X697" s="131">
        <v>0.92</v>
      </c>
      <c r="Y697" s="131">
        <v>0.932930918846412</v>
      </c>
      <c r="Z697" s="131">
        <v>0.917721518987342</v>
      </c>
      <c r="AA697" s="131">
        <v>0.919540229885057</v>
      </c>
      <c r="AB697" s="131">
        <v>0.933048900557926</v>
      </c>
      <c r="AC697" s="131">
        <v>0.92</v>
      </c>
      <c r="AD697" s="129">
        <v>1</v>
      </c>
      <c r="AE697" s="129">
        <v>0.996870109546166</v>
      </c>
      <c r="AF697" s="129">
        <v>0.976449275362319</v>
      </c>
      <c r="AG697" s="129">
        <v>0.994552824930327</v>
      </c>
      <c r="AH697" s="131">
        <v>0.92</v>
      </c>
      <c r="AI697" s="129">
        <v>0.963238169730153</v>
      </c>
      <c r="AJ697" s="129">
        <v>0.954321540528437</v>
      </c>
      <c r="AK697" s="129">
        <v>0.967038413878563</v>
      </c>
      <c r="AL697" s="129">
        <v>0.968246693727904</v>
      </c>
      <c r="AM697" s="128">
        <v>0.99</v>
      </c>
      <c r="AN697" s="133">
        <v>1</v>
      </c>
      <c r="AO697" s="133">
        <v>1</v>
      </c>
      <c r="AP697" s="133">
        <v>1</v>
      </c>
      <c r="AQ697" s="133">
        <v>1</v>
      </c>
      <c r="AR697" s="153">
        <v>0.0810595228934205</v>
      </c>
      <c r="AS697" s="137">
        <v>0</v>
      </c>
      <c r="AT697" s="137">
        <v>0</v>
      </c>
      <c r="AU697" s="137">
        <v>0</v>
      </c>
      <c r="AV697" s="137">
        <v>0.0387596899224806</v>
      </c>
      <c r="AW697" s="93"/>
      <c r="AX697" s="91"/>
    </row>
    <row r="698" ht="14.5" spans="1:50">
      <c r="A698" s="89"/>
      <c r="B698" s="93"/>
      <c r="C698" s="148" t="s">
        <v>664</v>
      </c>
      <c r="D698" s="126" t="s">
        <v>665</v>
      </c>
      <c r="E698" s="171" t="s">
        <v>721</v>
      </c>
      <c r="F698" s="171" t="s">
        <v>721</v>
      </c>
      <c r="G698" s="171" t="s">
        <v>721</v>
      </c>
      <c r="H698" s="171" t="s">
        <v>721</v>
      </c>
      <c r="I698" s="128">
        <v>0.9</v>
      </c>
      <c r="J698" s="129">
        <v>0.802469135802469</v>
      </c>
      <c r="K698" s="129">
        <v>0.82089552238806</v>
      </c>
      <c r="L698" s="130">
        <v>0.95</v>
      </c>
      <c r="M698" s="129">
        <v>0.841013824884793</v>
      </c>
      <c r="N698" s="131">
        <v>0.9</v>
      </c>
      <c r="O698" s="129">
        <v>0.957285429141717</v>
      </c>
      <c r="P698" s="129">
        <v>0.93306966839063</v>
      </c>
      <c r="Q698" s="129">
        <v>0.919279819954989</v>
      </c>
      <c r="R698" s="129">
        <v>0.931319158797289</v>
      </c>
      <c r="S698" s="131">
        <v>0.9</v>
      </c>
      <c r="T698" s="129">
        <v>0.923885562208915</v>
      </c>
      <c r="U698" s="129">
        <v>0.903863705506541</v>
      </c>
      <c r="V698" s="129">
        <v>0.917329332333083</v>
      </c>
      <c r="W698" s="129">
        <v>0.922976652569376</v>
      </c>
      <c r="X698" s="131">
        <v>0.92</v>
      </c>
      <c r="Y698" s="131">
        <v>0.92124718739955</v>
      </c>
      <c r="Z698" s="131">
        <v>0.891644204851752</v>
      </c>
      <c r="AA698" s="131">
        <v>0.923682914820286</v>
      </c>
      <c r="AB698" s="131">
        <v>0.906052184653389</v>
      </c>
      <c r="AC698" s="131">
        <v>0.92</v>
      </c>
      <c r="AD698" s="129">
        <v>0.997915218902015</v>
      </c>
      <c r="AE698" s="129">
        <v>0.976336546888694</v>
      </c>
      <c r="AF698" s="129">
        <v>0.993899057127011</v>
      </c>
      <c r="AG698" s="129">
        <v>0.989287686361126</v>
      </c>
      <c r="AH698" s="131">
        <v>0.92</v>
      </c>
      <c r="AI698" s="129">
        <v>0.954733672124977</v>
      </c>
      <c r="AJ698" s="129">
        <v>0.925724285436516</v>
      </c>
      <c r="AK698" s="129">
        <v>0.961476540938362</v>
      </c>
      <c r="AL698" s="129">
        <v>0.946563599216463</v>
      </c>
      <c r="AM698" s="128">
        <v>0.99</v>
      </c>
      <c r="AN698" s="133">
        <v>1</v>
      </c>
      <c r="AO698" s="133">
        <v>1</v>
      </c>
      <c r="AP698" s="133">
        <v>1</v>
      </c>
      <c r="AQ698" s="133">
        <v>1</v>
      </c>
      <c r="AR698" s="153">
        <v>0.0810595228934205</v>
      </c>
      <c r="AS698" s="137">
        <v>0.0153846153846154</v>
      </c>
      <c r="AT698" s="137">
        <v>0.027027027027027</v>
      </c>
      <c r="AU698" s="137">
        <v>0.0666666666666667</v>
      </c>
      <c r="AV698" s="137">
        <v>0.0588235294117647</v>
      </c>
      <c r="AW698" s="93"/>
      <c r="AX698" s="91"/>
    </row>
    <row r="699" ht="14.5" spans="1:50">
      <c r="A699" s="89"/>
      <c r="B699" s="93"/>
      <c r="C699" s="148" t="s">
        <v>664</v>
      </c>
      <c r="D699" s="126" t="s">
        <v>665</v>
      </c>
      <c r="E699" s="171" t="s">
        <v>722</v>
      </c>
      <c r="F699" s="171" t="s">
        <v>722</v>
      </c>
      <c r="G699" s="171" t="s">
        <v>722</v>
      </c>
      <c r="H699" s="171" t="s">
        <v>722</v>
      </c>
      <c r="I699" s="128">
        <v>0.9</v>
      </c>
      <c r="J699" s="129">
        <v>0.830188679245283</v>
      </c>
      <c r="K699" s="129">
        <v>0.763157894736842</v>
      </c>
      <c r="L699" s="130">
        <v>0.82</v>
      </c>
      <c r="M699" s="129">
        <v>0.824652777777778</v>
      </c>
      <c r="N699" s="131">
        <v>0.9</v>
      </c>
      <c r="O699" s="129">
        <v>0.972314049586777</v>
      </c>
      <c r="P699" s="129">
        <v>0.976412776412776</v>
      </c>
      <c r="Q699" s="129">
        <v>0.975011899095669</v>
      </c>
      <c r="R699" s="129">
        <v>0.975995000754197</v>
      </c>
      <c r="S699" s="131">
        <v>0.9</v>
      </c>
      <c r="T699" s="129">
        <v>0.94297520661157</v>
      </c>
      <c r="U699" s="129">
        <v>0.929238329238329</v>
      </c>
      <c r="V699" s="129">
        <v>0.933127082341742</v>
      </c>
      <c r="W699" s="129">
        <v>0.942379382420755</v>
      </c>
      <c r="X699" s="131">
        <v>0.92</v>
      </c>
      <c r="Y699" s="131">
        <v>0.944272445820433</v>
      </c>
      <c r="Z699" s="131">
        <v>0.922480620155039</v>
      </c>
      <c r="AA699" s="131">
        <v>0.947406340057637</v>
      </c>
      <c r="AB699" s="131">
        <v>0.942315789473684</v>
      </c>
      <c r="AC699" s="131">
        <v>0.92</v>
      </c>
      <c r="AD699" s="129">
        <v>0.991017964071856</v>
      </c>
      <c r="AE699" s="129">
        <v>0.986928104575163</v>
      </c>
      <c r="AF699" s="129">
        <v>0.990769230769231</v>
      </c>
      <c r="AG699" s="129">
        <v>0.985185185185185</v>
      </c>
      <c r="AH699" s="131">
        <v>0.92</v>
      </c>
      <c r="AI699" s="129">
        <v>0.972115668338743</v>
      </c>
      <c r="AJ699" s="129">
        <v>0.954005006257822</v>
      </c>
      <c r="AK699" s="129">
        <v>0.975675192273296</v>
      </c>
      <c r="AL699" s="129">
        <v>0.97233195310393</v>
      </c>
      <c r="AM699" s="128">
        <v>0.99</v>
      </c>
      <c r="AN699" s="133">
        <v>1</v>
      </c>
      <c r="AO699" s="133">
        <v>1</v>
      </c>
      <c r="AP699" s="133">
        <v>1</v>
      </c>
      <c r="AQ699" s="133">
        <v>1</v>
      </c>
      <c r="AR699" s="153">
        <v>0.0810595228934205</v>
      </c>
      <c r="AS699" s="137">
        <v>0.0263157894736842</v>
      </c>
      <c r="AT699" s="137">
        <v>0.0344827586206897</v>
      </c>
      <c r="AU699" s="137">
        <v>0.142857142857143</v>
      </c>
      <c r="AV699" s="137">
        <v>0.0449826989619377</v>
      </c>
      <c r="AW699" s="93"/>
      <c r="AX699" s="91"/>
    </row>
    <row r="700" ht="14.5" spans="1:50">
      <c r="A700" s="89"/>
      <c r="B700" s="93"/>
      <c r="C700" s="148" t="s">
        <v>664</v>
      </c>
      <c r="D700" s="126" t="s">
        <v>665</v>
      </c>
      <c r="E700" s="171" t="s">
        <v>723</v>
      </c>
      <c r="F700" s="171" t="s">
        <v>723</v>
      </c>
      <c r="G700" s="171" t="s">
        <v>723</v>
      </c>
      <c r="H700" s="171" t="s">
        <v>723</v>
      </c>
      <c r="I700" s="128">
        <v>0.9</v>
      </c>
      <c r="J700" s="129">
        <v>1</v>
      </c>
      <c r="K700" s="129">
        <v>1</v>
      </c>
      <c r="L700" s="130">
        <v>1</v>
      </c>
      <c r="M700" s="129">
        <v>0.971774193548387</v>
      </c>
      <c r="N700" s="131">
        <v>0.9</v>
      </c>
      <c r="O700" s="129">
        <v>0.986580783682233</v>
      </c>
      <c r="P700" s="129">
        <v>0.99869109947644</v>
      </c>
      <c r="Q700" s="129">
        <v>0.99251545720794</v>
      </c>
      <c r="R700" s="129">
        <v>0.991596139569414</v>
      </c>
      <c r="S700" s="131">
        <v>0.9</v>
      </c>
      <c r="T700" s="129">
        <v>0.93719806763285</v>
      </c>
      <c r="U700" s="129">
        <v>0.950916230366492</v>
      </c>
      <c r="V700" s="129">
        <v>0.954441913439636</v>
      </c>
      <c r="W700" s="129">
        <v>0.952130660727543</v>
      </c>
      <c r="X700" s="131">
        <v>0.92</v>
      </c>
      <c r="Y700" s="131">
        <v>0.944831959416614</v>
      </c>
      <c r="Z700" s="131">
        <v>0.93505039193729</v>
      </c>
      <c r="AA700" s="131">
        <v>0.934395501405811</v>
      </c>
      <c r="AB700" s="131">
        <v>0.942466191886053</v>
      </c>
      <c r="AC700" s="131">
        <v>0.92</v>
      </c>
      <c r="AD700" s="129">
        <v>0.998419596997234</v>
      </c>
      <c r="AE700" s="129">
        <v>0.998829496683574</v>
      </c>
      <c r="AF700" s="129">
        <v>0.998130841121495</v>
      </c>
      <c r="AG700" s="129">
        <v>0.996208862977476</v>
      </c>
      <c r="AH700" s="131">
        <v>0.92</v>
      </c>
      <c r="AI700" s="129">
        <v>0.966635249764373</v>
      </c>
      <c r="AJ700" s="129">
        <v>0.967795210569777</v>
      </c>
      <c r="AK700" s="129">
        <v>0.972470417773485</v>
      </c>
      <c r="AL700" s="129">
        <v>0.9721734987765</v>
      </c>
      <c r="AM700" s="128">
        <v>0.99</v>
      </c>
      <c r="AN700" s="133">
        <v>1</v>
      </c>
      <c r="AO700" s="133">
        <v>1</v>
      </c>
      <c r="AP700" s="133">
        <v>1</v>
      </c>
      <c r="AQ700" s="133">
        <v>1</v>
      </c>
      <c r="AR700" s="153">
        <v>0.0810595228934205</v>
      </c>
      <c r="AS700" s="137">
        <v>0.0454545454545455</v>
      </c>
      <c r="AT700" s="137">
        <v>0.133333333333333</v>
      </c>
      <c r="AU700" s="137">
        <v>0.214285714285714</v>
      </c>
      <c r="AV700" s="137">
        <v>0.0613207547169811</v>
      </c>
      <c r="AW700" s="93"/>
      <c r="AX700" s="91"/>
    </row>
    <row r="701" ht="14.5" spans="1:50">
      <c r="A701" s="89"/>
      <c r="B701" s="93"/>
      <c r="C701" s="148" t="s">
        <v>664</v>
      </c>
      <c r="D701" s="126" t="s">
        <v>665</v>
      </c>
      <c r="E701" s="171" t="s">
        <v>724</v>
      </c>
      <c r="F701" s="171" t="s">
        <v>724</v>
      </c>
      <c r="G701" s="171" t="s">
        <v>724</v>
      </c>
      <c r="H701" s="171" t="s">
        <v>724</v>
      </c>
      <c r="I701" s="128">
        <v>0.9</v>
      </c>
      <c r="J701" s="129">
        <v>0.981818181818182</v>
      </c>
      <c r="K701" s="129">
        <v>1</v>
      </c>
      <c r="L701" s="130">
        <v>0.88</v>
      </c>
      <c r="M701" s="129">
        <v>0.933682373472949</v>
      </c>
      <c r="N701" s="131">
        <v>0.9</v>
      </c>
      <c r="O701" s="129">
        <v>0.987724682156949</v>
      </c>
      <c r="P701" s="129">
        <v>0.982608695652174</v>
      </c>
      <c r="Q701" s="129">
        <v>0.978486262312079</v>
      </c>
      <c r="R701" s="129">
        <v>0.982051162356456</v>
      </c>
      <c r="S701" s="131">
        <v>0.9</v>
      </c>
      <c r="T701" s="129">
        <v>0.949802718106094</v>
      </c>
      <c r="U701" s="129">
        <v>0.936572890025575</v>
      </c>
      <c r="V701" s="129">
        <v>0.959823742871954</v>
      </c>
      <c r="W701" s="129">
        <v>0.956633367566054</v>
      </c>
      <c r="X701" s="131">
        <v>0.92</v>
      </c>
      <c r="Y701" s="131">
        <v>0.947777777777778</v>
      </c>
      <c r="Z701" s="131">
        <v>0.953294412010008</v>
      </c>
      <c r="AA701" s="131">
        <v>0.955984555984556</v>
      </c>
      <c r="AB701" s="131">
        <v>0.954598295014208</v>
      </c>
      <c r="AC701" s="131">
        <v>0.92</v>
      </c>
      <c r="AD701" s="129">
        <v>0.997405966277562</v>
      </c>
      <c r="AE701" s="129">
        <v>0.992076069730586</v>
      </c>
      <c r="AF701" s="129">
        <v>0.995365005793743</v>
      </c>
      <c r="AG701" s="129">
        <v>0.995639465235517</v>
      </c>
      <c r="AH701" s="131">
        <v>0.92</v>
      </c>
      <c r="AI701" s="129">
        <v>0.970768505421971</v>
      </c>
      <c r="AJ701" s="129">
        <v>0.967670364500792</v>
      </c>
      <c r="AK701" s="129">
        <v>0.982340384242189</v>
      </c>
      <c r="AL701" s="129">
        <v>0.979479882742187</v>
      </c>
      <c r="AM701" s="128">
        <v>0.99</v>
      </c>
      <c r="AN701" s="133">
        <v>1</v>
      </c>
      <c r="AO701" s="133">
        <v>1</v>
      </c>
      <c r="AP701" s="133">
        <v>1</v>
      </c>
      <c r="AQ701" s="133">
        <v>1</v>
      </c>
      <c r="AR701" s="153">
        <v>0.0810595228934205</v>
      </c>
      <c r="AS701" s="137">
        <v>0</v>
      </c>
      <c r="AT701" s="137">
        <v>0</v>
      </c>
      <c r="AU701" s="137">
        <v>0.1</v>
      </c>
      <c r="AV701" s="137">
        <v>0.0274725274725275</v>
      </c>
      <c r="AW701" s="93"/>
      <c r="AX701" s="91"/>
    </row>
    <row r="702" ht="14.5" spans="1:50">
      <c r="A702" s="89"/>
      <c r="B702" s="93"/>
      <c r="C702" s="148" t="s">
        <v>664</v>
      </c>
      <c r="D702" s="126" t="s">
        <v>665</v>
      </c>
      <c r="E702" s="171" t="s">
        <v>725</v>
      </c>
      <c r="F702" s="171" t="s">
        <v>725</v>
      </c>
      <c r="G702" s="171" t="s">
        <v>725</v>
      </c>
      <c r="H702" s="171" t="s">
        <v>725</v>
      </c>
      <c r="I702" s="128">
        <v>0.9</v>
      </c>
      <c r="J702" s="129">
        <v>0.75</v>
      </c>
      <c r="K702" s="129">
        <v>0.733333333333333</v>
      </c>
      <c r="L702" s="130">
        <v>0.777777777777778</v>
      </c>
      <c r="M702" s="129">
        <v>0.808411214953271</v>
      </c>
      <c r="N702" s="131">
        <v>0.9</v>
      </c>
      <c r="O702" s="129">
        <v>0.988350419384902</v>
      </c>
      <c r="P702" s="129">
        <v>0.989118607181719</v>
      </c>
      <c r="Q702" s="129">
        <v>0.992927094668118</v>
      </c>
      <c r="R702" s="129">
        <v>0.990512333965844</v>
      </c>
      <c r="S702" s="131">
        <v>0.9</v>
      </c>
      <c r="T702" s="129">
        <v>0.963187325256291</v>
      </c>
      <c r="U702" s="129">
        <v>0.955386289445049</v>
      </c>
      <c r="V702" s="129">
        <v>0.970620239390642</v>
      </c>
      <c r="W702" s="129">
        <v>0.967342454808749</v>
      </c>
      <c r="X702" s="131">
        <v>0.92</v>
      </c>
      <c r="Y702" s="131">
        <v>0.962102689486553</v>
      </c>
      <c r="Z702" s="131">
        <v>0.968152866242038</v>
      </c>
      <c r="AA702" s="131">
        <v>0.988524590163934</v>
      </c>
      <c r="AB702" s="131">
        <v>0.97392419492733</v>
      </c>
      <c r="AC702" s="131">
        <v>0.92</v>
      </c>
      <c r="AD702" s="129">
        <v>0.997093023255814</v>
      </c>
      <c r="AE702" s="129">
        <v>0.994444444444444</v>
      </c>
      <c r="AF702" s="129">
        <v>1</v>
      </c>
      <c r="AG702" s="129">
        <v>0.996485061511424</v>
      </c>
      <c r="AH702" s="131">
        <v>0.92</v>
      </c>
      <c r="AI702" s="129">
        <v>0.979082321187584</v>
      </c>
      <c r="AJ702" s="129">
        <v>0.977697841726619</v>
      </c>
      <c r="AK702" s="129">
        <v>0.991016741527154</v>
      </c>
      <c r="AL702" s="129">
        <v>0.986357586512866</v>
      </c>
      <c r="AM702" s="128">
        <v>0.99</v>
      </c>
      <c r="AN702" s="133">
        <v>1</v>
      </c>
      <c r="AO702" s="133">
        <v>1</v>
      </c>
      <c r="AP702" s="133">
        <v>1</v>
      </c>
      <c r="AQ702" s="133">
        <v>1</v>
      </c>
      <c r="AR702" s="153">
        <v>0.0810595228934205</v>
      </c>
      <c r="AS702" s="137">
        <v>0</v>
      </c>
      <c r="AT702" s="137">
        <v>0</v>
      </c>
      <c r="AU702" s="137">
        <v>0</v>
      </c>
      <c r="AV702" s="137">
        <v>0.0357142857142857</v>
      </c>
      <c r="AW702" s="93"/>
      <c r="AX702" s="91"/>
    </row>
    <row r="703" ht="14.5" spans="1:50">
      <c r="A703" s="89"/>
      <c r="B703" s="93"/>
      <c r="C703" s="148" t="s">
        <v>664</v>
      </c>
      <c r="D703" s="126" t="s">
        <v>665</v>
      </c>
      <c r="E703" s="171" t="s">
        <v>726</v>
      </c>
      <c r="F703" s="171" t="s">
        <v>726</v>
      </c>
      <c r="G703" s="171" t="s">
        <v>726</v>
      </c>
      <c r="H703" s="171" t="s">
        <v>726</v>
      </c>
      <c r="I703" s="128">
        <v>0.9</v>
      </c>
      <c r="J703" s="129">
        <v>0.977272727272727</v>
      </c>
      <c r="K703" s="129">
        <v>0.866666666666667</v>
      </c>
      <c r="L703" s="130">
        <v>0.909090909090909</v>
      </c>
      <c r="M703" s="129">
        <v>0.955459770114943</v>
      </c>
      <c r="N703" s="131">
        <v>0.9</v>
      </c>
      <c r="O703" s="129">
        <v>0.915657142857143</v>
      </c>
      <c r="P703" s="129">
        <v>0.882564102564103</v>
      </c>
      <c r="Q703" s="129">
        <v>0.918712061229876</v>
      </c>
      <c r="R703" s="129">
        <v>0.928384458777437</v>
      </c>
      <c r="S703" s="131">
        <v>0.9</v>
      </c>
      <c r="T703" s="129">
        <v>0.926857142857143</v>
      </c>
      <c r="U703" s="129">
        <v>0.908205128205128</v>
      </c>
      <c r="V703" s="129">
        <v>0.925046186328847</v>
      </c>
      <c r="W703" s="129">
        <v>0.919334143128432</v>
      </c>
      <c r="X703" s="131">
        <v>0.92</v>
      </c>
      <c r="Y703" s="131">
        <v>0.905325443786982</v>
      </c>
      <c r="Z703" s="131">
        <v>0.893137254901961</v>
      </c>
      <c r="AA703" s="131">
        <v>0.940456769983687</v>
      </c>
      <c r="AB703" s="131">
        <v>0.90485261680369</v>
      </c>
      <c r="AC703" s="131">
        <v>0.92</v>
      </c>
      <c r="AD703" s="129">
        <v>0.999331550802139</v>
      </c>
      <c r="AE703" s="129">
        <v>0.996383363471971</v>
      </c>
      <c r="AF703" s="129">
        <v>0.990045941807044</v>
      </c>
      <c r="AG703" s="129">
        <v>0.991221231739145</v>
      </c>
      <c r="AH703" s="131">
        <v>0.92</v>
      </c>
      <c r="AI703" s="129">
        <v>0.952844187963726</v>
      </c>
      <c r="AJ703" s="129">
        <v>0.927946127946128</v>
      </c>
      <c r="AK703" s="129">
        <v>0.966699900299103</v>
      </c>
      <c r="AL703" s="129">
        <v>0.953140145910923</v>
      </c>
      <c r="AM703" s="128">
        <v>0.99</v>
      </c>
      <c r="AN703" s="133">
        <v>1</v>
      </c>
      <c r="AO703" s="133">
        <v>1</v>
      </c>
      <c r="AP703" s="133">
        <v>1</v>
      </c>
      <c r="AQ703" s="133">
        <v>1</v>
      </c>
      <c r="AR703" s="153">
        <v>0.0810595228934205</v>
      </c>
      <c r="AS703" s="137">
        <v>0.0833333333333333</v>
      </c>
      <c r="AT703" s="137">
        <v>0.0588235294117647</v>
      </c>
      <c r="AU703" s="137">
        <v>0.04</v>
      </c>
      <c r="AV703" s="137">
        <v>0.032520325203252</v>
      </c>
      <c r="AW703" s="93"/>
      <c r="AX703" s="91"/>
    </row>
    <row r="704" ht="14.5" spans="1:50">
      <c r="A704" s="89"/>
      <c r="B704" s="93"/>
      <c r="C704" s="148" t="s">
        <v>664</v>
      </c>
      <c r="D704" s="126" t="s">
        <v>665</v>
      </c>
      <c r="E704" s="171" t="s">
        <v>727</v>
      </c>
      <c r="F704" s="171" t="s">
        <v>727</v>
      </c>
      <c r="G704" s="171" t="s">
        <v>727</v>
      </c>
      <c r="H704" s="171" t="s">
        <v>727</v>
      </c>
      <c r="I704" s="128">
        <v>0.9</v>
      </c>
      <c r="J704" s="129">
        <v>0.972972972972973</v>
      </c>
      <c r="K704" s="129">
        <v>0.961538461538462</v>
      </c>
      <c r="L704" s="130">
        <v>1</v>
      </c>
      <c r="M704" s="129">
        <v>0.985148514851485</v>
      </c>
      <c r="N704" s="131">
        <v>0.9</v>
      </c>
      <c r="O704" s="129">
        <v>0.982529925590424</v>
      </c>
      <c r="P704" s="129">
        <v>0.985904463586531</v>
      </c>
      <c r="Q704" s="129">
        <v>0.980724749421742</v>
      </c>
      <c r="R704" s="129">
        <v>0.984267806472469</v>
      </c>
      <c r="S704" s="131">
        <v>0.9</v>
      </c>
      <c r="T704" s="129">
        <v>0.920090585571013</v>
      </c>
      <c r="U704" s="129">
        <v>0.92247454972592</v>
      </c>
      <c r="V704" s="129">
        <v>0.931380107941403</v>
      </c>
      <c r="W704" s="129">
        <v>0.933443482633526</v>
      </c>
      <c r="X704" s="131">
        <v>0.92</v>
      </c>
      <c r="Y704" s="131">
        <v>0.93349358974359</v>
      </c>
      <c r="Z704" s="131">
        <v>0.893915756630265</v>
      </c>
      <c r="AA704" s="131">
        <v>0.916067146282974</v>
      </c>
      <c r="AB704" s="131">
        <v>0.914646778537394</v>
      </c>
      <c r="AC704" s="131">
        <v>0.92</v>
      </c>
      <c r="AD704" s="129">
        <v>0.998891352549889</v>
      </c>
      <c r="AE704" s="129">
        <v>0.994871794871795</v>
      </c>
      <c r="AF704" s="129">
        <v>0.999230177059276</v>
      </c>
      <c r="AG704" s="129">
        <v>0.99577592275973</v>
      </c>
      <c r="AH704" s="131">
        <v>0.92</v>
      </c>
      <c r="AI704" s="129">
        <v>0.961511869094261</v>
      </c>
      <c r="AJ704" s="129">
        <v>0.948383733055266</v>
      </c>
      <c r="AK704" s="129">
        <v>0.966452742123687</v>
      </c>
      <c r="AL704" s="129">
        <v>0.964373333333333</v>
      </c>
      <c r="AM704" s="128">
        <v>0.99</v>
      </c>
      <c r="AN704" s="133">
        <v>1</v>
      </c>
      <c r="AO704" s="133">
        <v>1</v>
      </c>
      <c r="AP704" s="133">
        <v>1</v>
      </c>
      <c r="AQ704" s="133">
        <v>1</v>
      </c>
      <c r="AR704" s="153">
        <v>0.0810595228934205</v>
      </c>
      <c r="AS704" s="137">
        <v>0</v>
      </c>
      <c r="AT704" s="137">
        <v>0</v>
      </c>
      <c r="AU704" s="137">
        <v>0.25</v>
      </c>
      <c r="AV704" s="137">
        <v>0.0569105691056911</v>
      </c>
      <c r="AW704" s="93"/>
      <c r="AX704" s="91"/>
    </row>
    <row r="705" ht="14.5" spans="1:50">
      <c r="A705" s="89"/>
      <c r="B705" s="93"/>
      <c r="C705" s="148" t="s">
        <v>664</v>
      </c>
      <c r="D705" s="126" t="s">
        <v>665</v>
      </c>
      <c r="E705" s="171" t="s">
        <v>728</v>
      </c>
      <c r="F705" s="171" t="s">
        <v>728</v>
      </c>
      <c r="G705" s="171" t="s">
        <v>728</v>
      </c>
      <c r="H705" s="171" t="s">
        <v>728</v>
      </c>
      <c r="I705" s="128">
        <v>0.9</v>
      </c>
      <c r="J705" s="129">
        <v>0.761904761904762</v>
      </c>
      <c r="K705" s="129">
        <v>0.789473684210526</v>
      </c>
      <c r="L705" s="130">
        <v>0.857142857142857</v>
      </c>
      <c r="M705" s="129">
        <v>0.810483870967742</v>
      </c>
      <c r="N705" s="131">
        <v>0.9</v>
      </c>
      <c r="O705" s="129">
        <v>0.970327552986513</v>
      </c>
      <c r="P705" s="129">
        <v>0.969594594594595</v>
      </c>
      <c r="Q705" s="129">
        <v>0.97491219267436</v>
      </c>
      <c r="R705" s="129">
        <v>0.96942538593482</v>
      </c>
      <c r="S705" s="131">
        <v>0.9</v>
      </c>
      <c r="T705" s="129">
        <v>0.906743737957611</v>
      </c>
      <c r="U705" s="129">
        <v>0.947072072072072</v>
      </c>
      <c r="V705" s="129">
        <v>0.949322629202208</v>
      </c>
      <c r="W705" s="129">
        <v>0.937178387650086</v>
      </c>
      <c r="X705" s="131">
        <v>0.92</v>
      </c>
      <c r="Y705" s="131">
        <v>0.947069943289225</v>
      </c>
      <c r="Z705" s="131">
        <v>0.923076923076923</v>
      </c>
      <c r="AA705" s="131">
        <v>0.946879150066401</v>
      </c>
      <c r="AB705" s="131">
        <v>0.945116935009989</v>
      </c>
      <c r="AC705" s="131">
        <v>0.92</v>
      </c>
      <c r="AD705" s="129">
        <v>1</v>
      </c>
      <c r="AE705" s="129">
        <v>0.990536277602524</v>
      </c>
      <c r="AF705" s="129">
        <v>0.980769230769231</v>
      </c>
      <c r="AG705" s="129">
        <v>0.982073910645339</v>
      </c>
      <c r="AH705" s="131">
        <v>0.92</v>
      </c>
      <c r="AI705" s="129">
        <v>0.966055297016151</v>
      </c>
      <c r="AJ705" s="129">
        <v>0.957230142566191</v>
      </c>
      <c r="AK705" s="129">
        <v>0.974508375819374</v>
      </c>
      <c r="AL705" s="129">
        <v>0.972448242279539</v>
      </c>
      <c r="AM705" s="128">
        <v>0.99</v>
      </c>
      <c r="AN705" s="133">
        <v>1</v>
      </c>
      <c r="AO705" s="133">
        <v>1</v>
      </c>
      <c r="AP705" s="133">
        <v>1</v>
      </c>
      <c r="AQ705" s="133">
        <v>1</v>
      </c>
      <c r="AR705" s="153">
        <v>0.0810595228934205</v>
      </c>
      <c r="AS705" s="137">
        <v>0.0625</v>
      </c>
      <c r="AT705" s="137">
        <v>0</v>
      </c>
      <c r="AU705" s="137">
        <v>0.0909090909090909</v>
      </c>
      <c r="AV705" s="137">
        <v>0.0165289256198347</v>
      </c>
      <c r="AW705" s="93"/>
      <c r="AX705" s="91"/>
    </row>
    <row r="706" ht="14.5" spans="1:50">
      <c r="A706" s="89"/>
      <c r="B706" s="93"/>
      <c r="C706" s="148" t="s">
        <v>664</v>
      </c>
      <c r="D706" s="126" t="s">
        <v>665</v>
      </c>
      <c r="E706" s="171" t="s">
        <v>729</v>
      </c>
      <c r="F706" s="171" t="s">
        <v>729</v>
      </c>
      <c r="G706" s="171" t="s">
        <v>729</v>
      </c>
      <c r="H706" s="171" t="s">
        <v>729</v>
      </c>
      <c r="I706" s="128">
        <v>0.9</v>
      </c>
      <c r="J706" s="129">
        <v>0.8125</v>
      </c>
      <c r="K706" s="129">
        <v>0.846153846153846</v>
      </c>
      <c r="L706" s="130">
        <v>0.866666666666667</v>
      </c>
      <c r="M706" s="129">
        <v>0.840909090909091</v>
      </c>
      <c r="N706" s="131">
        <v>0.9</v>
      </c>
      <c r="O706" s="129">
        <v>0.999413145539906</v>
      </c>
      <c r="P706" s="129">
        <v>0.998587570621469</v>
      </c>
      <c r="Q706" s="129">
        <v>1</v>
      </c>
      <c r="R706" s="129">
        <v>0.998139355832157</v>
      </c>
      <c r="S706" s="131">
        <v>0.9</v>
      </c>
      <c r="T706" s="129">
        <v>0.965962441314554</v>
      </c>
      <c r="U706" s="129">
        <v>0.974576271186441</v>
      </c>
      <c r="V706" s="129">
        <v>0.974016853932584</v>
      </c>
      <c r="W706" s="129">
        <v>0.974335942512511</v>
      </c>
      <c r="X706" s="131">
        <v>0.92</v>
      </c>
      <c r="Y706" s="131">
        <v>0.972267536704731</v>
      </c>
      <c r="Z706" s="131">
        <v>0.980555555555556</v>
      </c>
      <c r="AA706" s="131">
        <v>0.966592427616927</v>
      </c>
      <c r="AB706" s="131">
        <v>0.975600939815652</v>
      </c>
      <c r="AC706" s="131">
        <v>0.92</v>
      </c>
      <c r="AD706" s="129">
        <v>0.997371879106439</v>
      </c>
      <c r="AE706" s="129">
        <v>0.99889012208657</v>
      </c>
      <c r="AF706" s="129">
        <v>0.999084249084249</v>
      </c>
      <c r="AG706" s="129">
        <v>0.99760939611267</v>
      </c>
      <c r="AH706" s="131">
        <v>0.92</v>
      </c>
      <c r="AI706" s="129">
        <v>0.9831678895123</v>
      </c>
      <c r="AJ706" s="129">
        <v>0.98876404494382</v>
      </c>
      <c r="AK706" s="129">
        <v>0.989855846235985</v>
      </c>
      <c r="AL706" s="129">
        <v>0.989204545454546</v>
      </c>
      <c r="AM706" s="128">
        <v>0.99</v>
      </c>
      <c r="AN706" s="133">
        <v>1</v>
      </c>
      <c r="AO706" s="133">
        <v>1</v>
      </c>
      <c r="AP706" s="133">
        <v>1</v>
      </c>
      <c r="AQ706" s="133">
        <v>1</v>
      </c>
      <c r="AR706" s="153">
        <v>0.0810595228934205</v>
      </c>
      <c r="AS706" s="137">
        <v>0</v>
      </c>
      <c r="AT706" s="137">
        <v>0</v>
      </c>
      <c r="AU706" s="137">
        <v>0</v>
      </c>
      <c r="AV706" s="137">
        <v>0.0377358490566038</v>
      </c>
      <c r="AW706" s="93"/>
      <c r="AX706" s="91"/>
    </row>
    <row r="707" ht="14.5" spans="1:50">
      <c r="A707" s="89"/>
      <c r="B707" s="93"/>
      <c r="C707" s="148" t="s">
        <v>664</v>
      </c>
      <c r="D707" s="126" t="s">
        <v>665</v>
      </c>
      <c r="E707" s="171" t="s">
        <v>730</v>
      </c>
      <c r="F707" s="171" t="s">
        <v>730</v>
      </c>
      <c r="G707" s="171" t="s">
        <v>730</v>
      </c>
      <c r="H707" s="171" t="s">
        <v>730</v>
      </c>
      <c r="I707" s="128">
        <v>0.9</v>
      </c>
      <c r="J707" s="129">
        <v>0.8125</v>
      </c>
      <c r="K707" s="129">
        <v>0.75</v>
      </c>
      <c r="L707" s="130">
        <v>0.9375</v>
      </c>
      <c r="M707" s="129">
        <v>0.857142857142857</v>
      </c>
      <c r="N707" s="131">
        <v>0.9</v>
      </c>
      <c r="O707" s="129">
        <v>0.951091971701015</v>
      </c>
      <c r="P707" s="129">
        <v>0.967741935483871</v>
      </c>
      <c r="Q707" s="129">
        <v>0.962450592885375</v>
      </c>
      <c r="R707" s="129">
        <v>0.958412436866426</v>
      </c>
      <c r="S707" s="131">
        <v>0.9</v>
      </c>
      <c r="T707" s="129">
        <v>0.930482928329745</v>
      </c>
      <c r="U707" s="129">
        <v>0.945622119815668</v>
      </c>
      <c r="V707" s="129">
        <v>0.945454545454545</v>
      </c>
      <c r="W707" s="129">
        <v>0.935129132786474</v>
      </c>
      <c r="X707" s="131">
        <v>0.92</v>
      </c>
      <c r="Y707" s="131">
        <v>0.93432007400555</v>
      </c>
      <c r="Z707" s="131">
        <v>0.954063604240283</v>
      </c>
      <c r="AA707" s="131">
        <v>0.967857142857143</v>
      </c>
      <c r="AB707" s="131">
        <v>0.940676907705758</v>
      </c>
      <c r="AC707" s="131">
        <v>0.92</v>
      </c>
      <c r="AD707" s="129">
        <v>1</v>
      </c>
      <c r="AE707" s="129">
        <v>0.984293193717278</v>
      </c>
      <c r="AF707" s="129">
        <v>0.981132075471698</v>
      </c>
      <c r="AG707" s="129">
        <v>0.979202037351443</v>
      </c>
      <c r="AH707" s="131">
        <v>0.92</v>
      </c>
      <c r="AI707" s="129">
        <v>0.963766443572582</v>
      </c>
      <c r="AJ707" s="129">
        <v>0.971532404603271</v>
      </c>
      <c r="AK707" s="129">
        <v>0.976721629485936</v>
      </c>
      <c r="AL707" s="129">
        <v>0.970985868476689</v>
      </c>
      <c r="AM707" s="128">
        <v>0.99</v>
      </c>
      <c r="AN707" s="133">
        <v>1</v>
      </c>
      <c r="AO707" s="133">
        <v>1</v>
      </c>
      <c r="AP707" s="133">
        <v>1</v>
      </c>
      <c r="AQ707" s="133">
        <v>1</v>
      </c>
      <c r="AR707" s="153">
        <v>0.0810595228934205</v>
      </c>
      <c r="AS707" s="137">
        <v>0</v>
      </c>
      <c r="AT707" s="137">
        <v>0</v>
      </c>
      <c r="AU707" s="137">
        <v>0.25</v>
      </c>
      <c r="AV707" s="137">
        <v>0.0338983050847458</v>
      </c>
      <c r="AW707" s="93"/>
      <c r="AX707" s="91"/>
    </row>
    <row r="708" ht="14.5" spans="1:50">
      <c r="A708" s="89"/>
      <c r="B708" s="93"/>
      <c r="C708" s="148" t="s">
        <v>664</v>
      </c>
      <c r="D708" s="126" t="s">
        <v>665</v>
      </c>
      <c r="E708" s="171" t="s">
        <v>731</v>
      </c>
      <c r="F708" s="171" t="s">
        <v>731</v>
      </c>
      <c r="G708" s="171" t="s">
        <v>731</v>
      </c>
      <c r="H708" s="171" t="s">
        <v>731</v>
      </c>
      <c r="I708" s="128">
        <v>0.9</v>
      </c>
      <c r="J708" s="129">
        <v>0.861538461538462</v>
      </c>
      <c r="K708" s="129">
        <v>0.923076923076923</v>
      </c>
      <c r="L708" s="130">
        <v>0.916666666666667</v>
      </c>
      <c r="M708" s="129">
        <v>0.879888268156425</v>
      </c>
      <c r="N708" s="131">
        <v>0.9</v>
      </c>
      <c r="O708" s="129">
        <v>0.97643475472908</v>
      </c>
      <c r="P708" s="129">
        <v>0.965948275862069</v>
      </c>
      <c r="Q708" s="129">
        <v>0.97704475308642</v>
      </c>
      <c r="R708" s="129">
        <v>0.968980190230995</v>
      </c>
      <c r="S708" s="131">
        <v>0.9</v>
      </c>
      <c r="T708" s="129">
        <v>0.950785508175697</v>
      </c>
      <c r="U708" s="129">
        <v>0.949568965517241</v>
      </c>
      <c r="V708" s="129">
        <v>0.96141975308642</v>
      </c>
      <c r="W708" s="129">
        <v>0.939766144604162</v>
      </c>
      <c r="X708" s="131">
        <v>0.92</v>
      </c>
      <c r="Y708" s="131">
        <v>0.945999018163967</v>
      </c>
      <c r="Z708" s="131">
        <v>0.96856414613424</v>
      </c>
      <c r="AA708" s="131">
        <v>0.967309304274937</v>
      </c>
      <c r="AB708" s="131">
        <v>0.937535780166656</v>
      </c>
      <c r="AC708" s="131">
        <v>0.92</v>
      </c>
      <c r="AD708" s="129">
        <v>0.98494623655914</v>
      </c>
      <c r="AE708" s="129">
        <v>0.977777777777778</v>
      </c>
      <c r="AF708" s="129">
        <v>0.959183673469388</v>
      </c>
      <c r="AG708" s="129">
        <v>0.966980278632169</v>
      </c>
      <c r="AH708" s="131">
        <v>0.92</v>
      </c>
      <c r="AI708" s="129">
        <v>0.962927182707403</v>
      </c>
      <c r="AJ708" s="129">
        <v>0.968510638297872</v>
      </c>
      <c r="AK708" s="129">
        <v>0.974921630094044</v>
      </c>
      <c r="AL708" s="129">
        <v>0.961043667331038</v>
      </c>
      <c r="AM708" s="128">
        <v>0.99</v>
      </c>
      <c r="AN708" s="133">
        <v>1</v>
      </c>
      <c r="AO708" s="133">
        <v>1</v>
      </c>
      <c r="AP708" s="133">
        <v>1</v>
      </c>
      <c r="AQ708" s="133">
        <v>1</v>
      </c>
      <c r="AR708" s="153">
        <v>0.0810595228934205</v>
      </c>
      <c r="AS708" s="137">
        <v>0.0454545454545455</v>
      </c>
      <c r="AT708" s="137">
        <v>0.0303030303030303</v>
      </c>
      <c r="AU708" s="137">
        <v>0</v>
      </c>
      <c r="AV708" s="137">
        <v>0.0243055555555556</v>
      </c>
      <c r="AW708" s="93"/>
      <c r="AX708" s="91"/>
    </row>
    <row r="709" ht="14.5" spans="1:50">
      <c r="A709" s="89"/>
      <c r="B709" s="93"/>
      <c r="C709" s="148" t="s">
        <v>664</v>
      </c>
      <c r="D709" s="126" t="s">
        <v>665</v>
      </c>
      <c r="E709" s="171" t="s">
        <v>732</v>
      </c>
      <c r="F709" s="171" t="s">
        <v>732</v>
      </c>
      <c r="G709" s="171" t="s">
        <v>732</v>
      </c>
      <c r="H709" s="171" t="s">
        <v>732</v>
      </c>
      <c r="I709" s="128">
        <v>0.9</v>
      </c>
      <c r="J709" s="129">
        <v>0.80952380952381</v>
      </c>
      <c r="K709" s="129">
        <v>0.837837837837838</v>
      </c>
      <c r="L709" s="130">
        <v>0.829268292682927</v>
      </c>
      <c r="M709" s="129">
        <v>0.863354037267081</v>
      </c>
      <c r="N709" s="131">
        <v>0.9</v>
      </c>
      <c r="O709" s="129">
        <v>0.892154875329414</v>
      </c>
      <c r="P709" s="129">
        <v>0.893101632438125</v>
      </c>
      <c r="Q709" s="129">
        <v>0.914449142004476</v>
      </c>
      <c r="R709" s="129">
        <v>0.906272249144484</v>
      </c>
      <c r="S709" s="131">
        <v>0.9</v>
      </c>
      <c r="T709" s="129">
        <v>0.895195621325765</v>
      </c>
      <c r="U709" s="129">
        <v>0.925223802001053</v>
      </c>
      <c r="V709" s="129">
        <v>0.936582939567272</v>
      </c>
      <c r="W709" s="129">
        <v>0.927034289520222</v>
      </c>
      <c r="X709" s="131">
        <v>0.92</v>
      </c>
      <c r="Y709" s="131">
        <v>0.922377198302001</v>
      </c>
      <c r="Z709" s="131">
        <v>0.922107674684994</v>
      </c>
      <c r="AA709" s="131">
        <v>0.954741379310345</v>
      </c>
      <c r="AB709" s="131">
        <v>0.943460968572097</v>
      </c>
      <c r="AC709" s="131">
        <v>0.92</v>
      </c>
      <c r="AD709" s="129">
        <v>0.985163204747775</v>
      </c>
      <c r="AE709" s="129">
        <v>0.906394810009268</v>
      </c>
      <c r="AF709" s="129">
        <v>0.975955610357583</v>
      </c>
      <c r="AG709" s="129">
        <v>0.963854679802956</v>
      </c>
      <c r="AH709" s="131">
        <v>0.92</v>
      </c>
      <c r="AI709" s="129">
        <v>0.945305378304467</v>
      </c>
      <c r="AJ709" s="129">
        <v>0.954480286738351</v>
      </c>
      <c r="AK709" s="129">
        <v>0.971116946071501</v>
      </c>
      <c r="AL709" s="129">
        <v>0.961609358383552</v>
      </c>
      <c r="AM709" s="128">
        <v>0.99</v>
      </c>
      <c r="AN709" s="133">
        <v>1</v>
      </c>
      <c r="AO709" s="133">
        <v>1</v>
      </c>
      <c r="AP709" s="133">
        <v>1</v>
      </c>
      <c r="AQ709" s="133">
        <v>1</v>
      </c>
      <c r="AR709" s="153">
        <v>0.0810595228934205</v>
      </c>
      <c r="AS709" s="137">
        <v>0.0416666666666667</v>
      </c>
      <c r="AT709" s="137">
        <v>0.0909090909090909</v>
      </c>
      <c r="AU709" s="137">
        <v>0</v>
      </c>
      <c r="AV709" s="137">
        <v>0.0729613733905579</v>
      </c>
      <c r="AW709" s="93"/>
      <c r="AX709" s="91"/>
    </row>
    <row r="710" ht="14.5" spans="1:50">
      <c r="A710" s="89"/>
      <c r="B710" s="93"/>
      <c r="C710" s="148" t="s">
        <v>664</v>
      </c>
      <c r="D710" s="126" t="s">
        <v>665</v>
      </c>
      <c r="E710" s="171" t="s">
        <v>733</v>
      </c>
      <c r="F710" s="171" t="s">
        <v>733</v>
      </c>
      <c r="G710" s="171" t="s">
        <v>733</v>
      </c>
      <c r="H710" s="171" t="s">
        <v>733</v>
      </c>
      <c r="I710" s="128">
        <v>0.9</v>
      </c>
      <c r="J710" s="129">
        <v>0.936170212765957</v>
      </c>
      <c r="K710" s="129">
        <v>0.864864864864865</v>
      </c>
      <c r="L710" s="130">
        <v>0.955555555555556</v>
      </c>
      <c r="M710" s="129">
        <v>0.898686679174484</v>
      </c>
      <c r="N710" s="131">
        <v>0.9</v>
      </c>
      <c r="O710" s="129">
        <v>0.969461948618517</v>
      </c>
      <c r="P710" s="129">
        <v>0.966070609812013</v>
      </c>
      <c r="Q710" s="129">
        <v>0.968695652173913</v>
      </c>
      <c r="R710" s="129">
        <v>0.943952109865602</v>
      </c>
      <c r="S710" s="131">
        <v>0.9</v>
      </c>
      <c r="T710" s="129">
        <v>0.951688479560511</v>
      </c>
      <c r="U710" s="129">
        <v>0.962861072902338</v>
      </c>
      <c r="V710" s="129">
        <v>0.954975845410628</v>
      </c>
      <c r="W710" s="129">
        <v>0.949684058141127</v>
      </c>
      <c r="X710" s="131">
        <v>0.92</v>
      </c>
      <c r="Y710" s="131">
        <v>0.961386138613861</v>
      </c>
      <c r="Z710" s="131">
        <v>0.964316057774002</v>
      </c>
      <c r="AA710" s="131">
        <v>0.966519823788546</v>
      </c>
      <c r="AB710" s="131">
        <v>0.969556542447062</v>
      </c>
      <c r="AC710" s="131">
        <v>0.92</v>
      </c>
      <c r="AD710" s="129">
        <v>0.998708566508825</v>
      </c>
      <c r="AE710" s="129">
        <v>0.997651006711409</v>
      </c>
      <c r="AF710" s="129">
        <v>0.999286733238231</v>
      </c>
      <c r="AG710" s="129">
        <v>0.990936555891239</v>
      </c>
      <c r="AH710" s="131">
        <v>0.92</v>
      </c>
      <c r="AI710" s="129">
        <v>0.978319123020706</v>
      </c>
      <c r="AJ710" s="129">
        <v>0.977969633819589</v>
      </c>
      <c r="AK710" s="129">
        <v>0.978298748613971</v>
      </c>
      <c r="AL710" s="129">
        <v>0.98095180957809</v>
      </c>
      <c r="AM710" s="128">
        <v>0.99</v>
      </c>
      <c r="AN710" s="133">
        <v>1</v>
      </c>
      <c r="AO710" s="133">
        <v>1</v>
      </c>
      <c r="AP710" s="133">
        <v>1</v>
      </c>
      <c r="AQ710" s="133">
        <v>1</v>
      </c>
      <c r="AR710" s="153">
        <v>0.0810595228934205</v>
      </c>
      <c r="AS710" s="137">
        <v>0.0303030303030303</v>
      </c>
      <c r="AT710" s="137">
        <v>0</v>
      </c>
      <c r="AU710" s="137">
        <v>0</v>
      </c>
      <c r="AV710" s="137">
        <v>0.0289855072463768</v>
      </c>
      <c r="AW710" s="93"/>
      <c r="AX710" s="91"/>
    </row>
    <row r="711" ht="14.5" spans="1:50">
      <c r="A711" s="89"/>
      <c r="B711" s="93"/>
      <c r="C711" s="148" t="s">
        <v>664</v>
      </c>
      <c r="D711" s="126" t="s">
        <v>665</v>
      </c>
      <c r="E711" s="171" t="s">
        <v>734</v>
      </c>
      <c r="F711" s="171" t="s">
        <v>734</v>
      </c>
      <c r="G711" s="171" t="s">
        <v>734</v>
      </c>
      <c r="H711" s="171" t="s">
        <v>734</v>
      </c>
      <c r="I711" s="128">
        <v>0.9</v>
      </c>
      <c r="J711" s="129">
        <v>1</v>
      </c>
      <c r="K711" s="129">
        <v>0.958333333333333</v>
      </c>
      <c r="L711" s="130">
        <v>0.931034482758621</v>
      </c>
      <c r="M711" s="129">
        <v>0.953488372093023</v>
      </c>
      <c r="N711" s="131">
        <v>0.9</v>
      </c>
      <c r="O711" s="129">
        <v>0.929389312977099</v>
      </c>
      <c r="P711" s="129">
        <v>0.955382436260623</v>
      </c>
      <c r="Q711" s="129">
        <v>0.951364590622813</v>
      </c>
      <c r="R711" s="129">
        <v>0.928511543918483</v>
      </c>
      <c r="S711" s="131">
        <v>0.9</v>
      </c>
      <c r="T711" s="129">
        <v>0.918211559432934</v>
      </c>
      <c r="U711" s="129">
        <v>0.911473087818697</v>
      </c>
      <c r="V711" s="129">
        <v>0.916724982505248</v>
      </c>
      <c r="W711" s="129">
        <v>0.909293176834774</v>
      </c>
      <c r="X711" s="131">
        <v>0.92</v>
      </c>
      <c r="Y711" s="131">
        <v>0.945264986967854</v>
      </c>
      <c r="Z711" s="131">
        <v>0.946575342465753</v>
      </c>
      <c r="AA711" s="131">
        <v>0.934876989869754</v>
      </c>
      <c r="AB711" s="131">
        <v>0.946257830530828</v>
      </c>
      <c r="AC711" s="131">
        <v>0.92</v>
      </c>
      <c r="AD711" s="129">
        <v>0.99488926746167</v>
      </c>
      <c r="AE711" s="129">
        <v>0.99815157116451</v>
      </c>
      <c r="AF711" s="129">
        <v>0.998569384835479</v>
      </c>
      <c r="AG711" s="129">
        <v>0.987950138504155</v>
      </c>
      <c r="AH711" s="131">
        <v>0.92</v>
      </c>
      <c r="AI711" s="129">
        <v>0.958082589748911</v>
      </c>
      <c r="AJ711" s="129">
        <v>0.964052287581699</v>
      </c>
      <c r="AK711" s="129">
        <v>0.965653153153153</v>
      </c>
      <c r="AL711" s="129">
        <v>0.965127872775313</v>
      </c>
      <c r="AM711" s="128">
        <v>0.99</v>
      </c>
      <c r="AN711" s="133">
        <v>1</v>
      </c>
      <c r="AO711" s="133">
        <v>1</v>
      </c>
      <c r="AP711" s="133">
        <v>1</v>
      </c>
      <c r="AQ711" s="133">
        <v>1</v>
      </c>
      <c r="AR711" s="153">
        <v>0.0810595228934205</v>
      </c>
      <c r="AS711" s="137">
        <v>0</v>
      </c>
      <c r="AT711" s="137">
        <v>0</v>
      </c>
      <c r="AU711" s="137">
        <v>0.111111111111111</v>
      </c>
      <c r="AV711" s="137">
        <v>0.0359712230215827</v>
      </c>
      <c r="AW711" s="93"/>
      <c r="AX711" s="91"/>
    </row>
    <row r="712" ht="14.5" spans="1:50">
      <c r="A712" s="89"/>
      <c r="B712" s="93"/>
      <c r="C712" s="148" t="s">
        <v>664</v>
      </c>
      <c r="D712" s="126" t="s">
        <v>665</v>
      </c>
      <c r="E712" s="171" t="s">
        <v>735</v>
      </c>
      <c r="F712" s="171" t="s">
        <v>735</v>
      </c>
      <c r="G712" s="171" t="s">
        <v>735</v>
      </c>
      <c r="H712" s="171" t="s">
        <v>735</v>
      </c>
      <c r="I712" s="128">
        <v>0.9</v>
      </c>
      <c r="J712" s="129">
        <v>0.784313725490196</v>
      </c>
      <c r="K712" s="129">
        <v>0.833333333333333</v>
      </c>
      <c r="L712" s="130">
        <v>0.770833333333333</v>
      </c>
      <c r="M712" s="129">
        <v>0.731578947368421</v>
      </c>
      <c r="N712" s="131">
        <v>0.9</v>
      </c>
      <c r="O712" s="129">
        <v>0.960986066452304</v>
      </c>
      <c r="P712" s="129">
        <v>0.968414779499404</v>
      </c>
      <c r="Q712" s="129">
        <v>0.945554971067859</v>
      </c>
      <c r="R712" s="129">
        <v>0.951741034969188</v>
      </c>
      <c r="S712" s="131">
        <v>0.9</v>
      </c>
      <c r="T712" s="129">
        <v>0.906109324758842</v>
      </c>
      <c r="U712" s="129">
        <v>0.922526817640048</v>
      </c>
      <c r="V712" s="129">
        <v>0.907943187795897</v>
      </c>
      <c r="W712" s="129">
        <v>0.911624223525627</v>
      </c>
      <c r="X712" s="131">
        <v>0.92</v>
      </c>
      <c r="Y712" s="131">
        <v>0.959295261239368</v>
      </c>
      <c r="Z712" s="131">
        <v>0.968950749464668</v>
      </c>
      <c r="AA712" s="131">
        <v>0.969060773480663</v>
      </c>
      <c r="AB712" s="131">
        <v>0.964282854168335</v>
      </c>
      <c r="AC712" s="131">
        <v>0.92</v>
      </c>
      <c r="AD712" s="129">
        <v>0.997159090909091</v>
      </c>
      <c r="AE712" s="129">
        <v>0.991939546599496</v>
      </c>
      <c r="AF712" s="129">
        <v>0.991071428571429</v>
      </c>
      <c r="AG712" s="129">
        <v>0.993274680653075</v>
      </c>
      <c r="AH712" s="131">
        <v>0.92</v>
      </c>
      <c r="AI712" s="129">
        <v>0.973379813024877</v>
      </c>
      <c r="AJ712" s="129">
        <v>0.975766755017039</v>
      </c>
      <c r="AK712" s="129">
        <v>0.964566093783153</v>
      </c>
      <c r="AL712" s="129">
        <v>0.976734084943252</v>
      </c>
      <c r="AM712" s="128">
        <v>0.99</v>
      </c>
      <c r="AN712" s="133">
        <v>1</v>
      </c>
      <c r="AO712" s="133">
        <v>1</v>
      </c>
      <c r="AP712" s="133">
        <v>1</v>
      </c>
      <c r="AQ712" s="133">
        <v>1</v>
      </c>
      <c r="AR712" s="153">
        <v>0.0810595228934205</v>
      </c>
      <c r="AS712" s="137">
        <v>0</v>
      </c>
      <c r="AT712" s="137">
        <v>0</v>
      </c>
      <c r="AU712" s="137">
        <v>0</v>
      </c>
      <c r="AV712" s="137">
        <v>0.0166666666666667</v>
      </c>
      <c r="AW712" s="93"/>
      <c r="AX712" s="91"/>
    </row>
    <row r="713" ht="14.5" spans="1:50">
      <c r="A713" s="89"/>
      <c r="B713" s="93"/>
      <c r="C713" s="148" t="s">
        <v>664</v>
      </c>
      <c r="D713" s="126" t="s">
        <v>665</v>
      </c>
      <c r="E713" s="171" t="s">
        <v>736</v>
      </c>
      <c r="F713" s="171" t="s">
        <v>736</v>
      </c>
      <c r="G713" s="171" t="s">
        <v>736</v>
      </c>
      <c r="H713" s="171" t="s">
        <v>736</v>
      </c>
      <c r="I713" s="128">
        <v>0.9</v>
      </c>
      <c r="J713" s="129">
        <v>0.871794871794872</v>
      </c>
      <c r="K713" s="129">
        <v>0.928571428571429</v>
      </c>
      <c r="L713" s="130">
        <v>1</v>
      </c>
      <c r="M713" s="129">
        <v>0.90625</v>
      </c>
      <c r="N713" s="131">
        <v>0.9</v>
      </c>
      <c r="O713" s="129">
        <v>0.972228393690291</v>
      </c>
      <c r="P713" s="129">
        <v>0.940989847715736</v>
      </c>
      <c r="Q713" s="129">
        <v>0.965013774104683</v>
      </c>
      <c r="R713" s="129">
        <v>0.955846363893969</v>
      </c>
      <c r="S713" s="131">
        <v>0.9</v>
      </c>
      <c r="T713" s="129">
        <v>0.926238613641413</v>
      </c>
      <c r="U713" s="129">
        <v>0.944796954314721</v>
      </c>
      <c r="V713" s="129">
        <v>0.923415977961432</v>
      </c>
      <c r="W713" s="129">
        <v>0.92526855405858</v>
      </c>
      <c r="X713" s="131">
        <v>0.92</v>
      </c>
      <c r="Y713" s="131">
        <v>0.96027397260274</v>
      </c>
      <c r="Z713" s="131">
        <v>0.976415094339623</v>
      </c>
      <c r="AA713" s="131">
        <v>0.975661375661376</v>
      </c>
      <c r="AB713" s="131">
        <v>0.966613531703861</v>
      </c>
      <c r="AC713" s="131">
        <v>0.92</v>
      </c>
      <c r="AD713" s="129">
        <v>0.993852459016393</v>
      </c>
      <c r="AE713" s="129">
        <v>0.992337164750958</v>
      </c>
      <c r="AF713" s="129">
        <v>1</v>
      </c>
      <c r="AG713" s="129">
        <v>0.994192799070848</v>
      </c>
      <c r="AH713" s="131">
        <v>0.92</v>
      </c>
      <c r="AI713" s="129">
        <v>0.971816809260191</v>
      </c>
      <c r="AJ713" s="129">
        <v>0.96332921302019</v>
      </c>
      <c r="AK713" s="129">
        <v>0.974224552206204</v>
      </c>
      <c r="AL713" s="129">
        <v>0.972481454893515</v>
      </c>
      <c r="AM713" s="128">
        <v>0.99</v>
      </c>
      <c r="AN713" s="133">
        <v>1</v>
      </c>
      <c r="AO713" s="133">
        <v>1</v>
      </c>
      <c r="AP713" s="133">
        <v>1</v>
      </c>
      <c r="AQ713" s="133">
        <v>1</v>
      </c>
      <c r="AR713" s="153">
        <v>0.0810595228934205</v>
      </c>
      <c r="AS713" s="137">
        <v>0.0476190476190476</v>
      </c>
      <c r="AT713" s="137">
        <v>0</v>
      </c>
      <c r="AU713" s="137">
        <v>0</v>
      </c>
      <c r="AV713" s="137">
        <v>0.0333333333333333</v>
      </c>
      <c r="AW713" s="93"/>
      <c r="AX713" s="91"/>
    </row>
    <row r="714" ht="14.5" spans="1:50">
      <c r="A714" s="89"/>
      <c r="B714" s="93"/>
      <c r="C714" s="148" t="s">
        <v>664</v>
      </c>
      <c r="D714" s="126" t="s">
        <v>665</v>
      </c>
      <c r="E714" s="171" t="s">
        <v>737</v>
      </c>
      <c r="F714" s="171" t="s">
        <v>737</v>
      </c>
      <c r="G714" s="171" t="s">
        <v>737</v>
      </c>
      <c r="H714" s="171" t="s">
        <v>737</v>
      </c>
      <c r="I714" s="128">
        <v>0.9</v>
      </c>
      <c r="J714" s="129">
        <v>0.75</v>
      </c>
      <c r="K714" s="129">
        <v>0.785714285714286</v>
      </c>
      <c r="L714" s="130">
        <v>0.681818181818182</v>
      </c>
      <c r="M714" s="129">
        <v>0.687022900763359</v>
      </c>
      <c r="N714" s="131">
        <v>0.9</v>
      </c>
      <c r="O714" s="129">
        <v>0.943173431734317</v>
      </c>
      <c r="P714" s="129">
        <v>0.958863858961802</v>
      </c>
      <c r="Q714" s="129">
        <v>0.935616438356164</v>
      </c>
      <c r="R714" s="129">
        <v>0.933136550308008</v>
      </c>
      <c r="S714" s="131">
        <v>0.9</v>
      </c>
      <c r="T714" s="129">
        <v>0.869741697416974</v>
      </c>
      <c r="U714" s="129">
        <v>0.874632713026445</v>
      </c>
      <c r="V714" s="129">
        <v>0.879908675799087</v>
      </c>
      <c r="W714" s="129">
        <v>0.885438056125941</v>
      </c>
      <c r="X714" s="131">
        <v>0.92</v>
      </c>
      <c r="Y714" s="131">
        <v>0.918577981651376</v>
      </c>
      <c r="Z714" s="131">
        <v>0.855670103092783</v>
      </c>
      <c r="AA714" s="131">
        <v>0.935543278084715</v>
      </c>
      <c r="AB714" s="131">
        <v>0.903288201160542</v>
      </c>
      <c r="AC714" s="131">
        <v>0.92</v>
      </c>
      <c r="AD714" s="129">
        <v>0.988505747126437</v>
      </c>
      <c r="AE714" s="129">
        <v>1</v>
      </c>
      <c r="AF714" s="129">
        <v>1</v>
      </c>
      <c r="AG714" s="129">
        <v>0.982597886886265</v>
      </c>
      <c r="AH714" s="131">
        <v>0.92</v>
      </c>
      <c r="AI714" s="129">
        <v>0.943606923506421</v>
      </c>
      <c r="AJ714" s="129">
        <v>0.898416886543536</v>
      </c>
      <c r="AK714" s="129">
        <v>0.951353328456474</v>
      </c>
      <c r="AL714" s="129">
        <v>0.943500199176736</v>
      </c>
      <c r="AM714" s="128">
        <v>0.99</v>
      </c>
      <c r="AN714" s="133">
        <v>1</v>
      </c>
      <c r="AO714" s="133">
        <v>1</v>
      </c>
      <c r="AP714" s="133">
        <v>1</v>
      </c>
      <c r="AQ714" s="133">
        <v>1</v>
      </c>
      <c r="AR714" s="153">
        <v>0.0810595228934205</v>
      </c>
      <c r="AS714" s="137">
        <v>0</v>
      </c>
      <c r="AT714" s="137">
        <v>0</v>
      </c>
      <c r="AU714" s="137">
        <v>0.166666666666667</v>
      </c>
      <c r="AV714" s="137">
        <v>0.036144578313253</v>
      </c>
      <c r="AW714" s="93"/>
      <c r="AX714" s="91"/>
    </row>
    <row r="715" ht="14.5" spans="1:50">
      <c r="A715" s="89"/>
      <c r="B715" s="93"/>
      <c r="C715" s="148" t="s">
        <v>664</v>
      </c>
      <c r="D715" s="126" t="s">
        <v>665</v>
      </c>
      <c r="E715" s="171" t="s">
        <v>738</v>
      </c>
      <c r="F715" s="171" t="s">
        <v>738</v>
      </c>
      <c r="G715" s="171" t="s">
        <v>738</v>
      </c>
      <c r="H715" s="171" t="s">
        <v>738</v>
      </c>
      <c r="I715" s="128">
        <v>0.9</v>
      </c>
      <c r="J715" s="129">
        <v>0.933333333333333</v>
      </c>
      <c r="K715" s="129">
        <v>0.896551724137931</v>
      </c>
      <c r="L715" s="130">
        <v>0.928571428571429</v>
      </c>
      <c r="M715" s="129">
        <v>0.879656160458453</v>
      </c>
      <c r="N715" s="131">
        <v>0.9</v>
      </c>
      <c r="O715" s="129">
        <v>0.96808905380334</v>
      </c>
      <c r="P715" s="129">
        <v>0.976361767728674</v>
      </c>
      <c r="Q715" s="129">
        <v>0.968087584439786</v>
      </c>
      <c r="R715" s="129">
        <v>0.963252523431867</v>
      </c>
      <c r="S715" s="131">
        <v>0.9</v>
      </c>
      <c r="T715" s="129">
        <v>0.947866419294991</v>
      </c>
      <c r="U715" s="129">
        <v>0.951181911613566</v>
      </c>
      <c r="V715" s="129">
        <v>0.95154903331004</v>
      </c>
      <c r="W715" s="129">
        <v>0.940496575342466</v>
      </c>
      <c r="X715" s="131">
        <v>0.92</v>
      </c>
      <c r="Y715" s="131">
        <v>0.954176334106729</v>
      </c>
      <c r="Z715" s="131">
        <v>0.950146627565982</v>
      </c>
      <c r="AA715" s="131">
        <v>0.952235772357724</v>
      </c>
      <c r="AB715" s="131">
        <v>0.963637761377614</v>
      </c>
      <c r="AC715" s="131">
        <v>0.92</v>
      </c>
      <c r="AD715" s="129">
        <v>1</v>
      </c>
      <c r="AE715" s="129">
        <v>0.999050332383666</v>
      </c>
      <c r="AF715" s="129">
        <v>0.999349381912817</v>
      </c>
      <c r="AG715" s="129">
        <v>0.999038646414151</v>
      </c>
      <c r="AH715" s="131">
        <v>0.92</v>
      </c>
      <c r="AI715" s="129">
        <v>0.969777902727017</v>
      </c>
      <c r="AJ715" s="129">
        <v>0.965783294196578</v>
      </c>
      <c r="AK715" s="129">
        <v>0.97291153627581</v>
      </c>
      <c r="AL715" s="129">
        <v>0.974902903321316</v>
      </c>
      <c r="AM715" s="128">
        <v>0.99</v>
      </c>
      <c r="AN715" s="133">
        <v>1</v>
      </c>
      <c r="AO715" s="133">
        <v>1</v>
      </c>
      <c r="AP715" s="133">
        <v>1</v>
      </c>
      <c r="AQ715" s="133">
        <v>1</v>
      </c>
      <c r="AR715" s="153">
        <v>0.0810595228934205</v>
      </c>
      <c r="AS715" s="137">
        <v>0</v>
      </c>
      <c r="AT715" s="137">
        <v>0</v>
      </c>
      <c r="AU715" s="137">
        <v>0.0526315789473684</v>
      </c>
      <c r="AV715" s="137">
        <v>0.0540540540540541</v>
      </c>
      <c r="AW715" s="93"/>
      <c r="AX715" s="91"/>
    </row>
    <row r="716" ht="14.5" spans="1:50">
      <c r="A716" s="89"/>
      <c r="B716" s="93"/>
      <c r="C716" s="148" t="s">
        <v>664</v>
      </c>
      <c r="D716" s="126" t="s">
        <v>665</v>
      </c>
      <c r="E716" s="171" t="s">
        <v>739</v>
      </c>
      <c r="F716" s="171" t="s">
        <v>739</v>
      </c>
      <c r="G716" s="171" t="s">
        <v>739</v>
      </c>
      <c r="H716" s="171" t="s">
        <v>739</v>
      </c>
      <c r="I716" s="128">
        <v>0.9</v>
      </c>
      <c r="J716" s="129">
        <v>0.761904761904762</v>
      </c>
      <c r="K716" s="129">
        <v>0.875</v>
      </c>
      <c r="L716" s="130">
        <v>0.842105263157895</v>
      </c>
      <c r="M716" s="129">
        <v>0.807860262008734</v>
      </c>
      <c r="N716" s="131">
        <v>0.9</v>
      </c>
      <c r="O716" s="129">
        <v>0.94606542882405</v>
      </c>
      <c r="P716" s="129">
        <v>0.901028277634961</v>
      </c>
      <c r="Q716" s="129">
        <v>0.915531335149864</v>
      </c>
      <c r="R716" s="129">
        <v>0.925852202040308</v>
      </c>
      <c r="S716" s="131">
        <v>0.9</v>
      </c>
      <c r="T716" s="129">
        <v>0.902298850574713</v>
      </c>
      <c r="U716" s="129">
        <v>0.912596401028278</v>
      </c>
      <c r="V716" s="129">
        <v>0.912806539509537</v>
      </c>
      <c r="W716" s="129">
        <v>0.906494152774322</v>
      </c>
      <c r="X716" s="131">
        <v>0.92</v>
      </c>
      <c r="Y716" s="131">
        <v>0.874504623513871</v>
      </c>
      <c r="Z716" s="131">
        <v>0.908433734939759</v>
      </c>
      <c r="AA716" s="131">
        <v>0.903083700440529</v>
      </c>
      <c r="AB716" s="131">
        <v>0.883032128514056</v>
      </c>
      <c r="AC716" s="131">
        <v>0.92</v>
      </c>
      <c r="AD716" s="129">
        <v>0.9875</v>
      </c>
      <c r="AE716" s="129">
        <v>0.993174061433447</v>
      </c>
      <c r="AF716" s="129">
        <v>0.964912280701754</v>
      </c>
      <c r="AG716" s="129">
        <v>0.979690005344735</v>
      </c>
      <c r="AH716" s="131">
        <v>0.92</v>
      </c>
      <c r="AI716" s="129">
        <v>0.933818663136995</v>
      </c>
      <c r="AJ716" s="129">
        <v>0.937133277451802</v>
      </c>
      <c r="AK716" s="129">
        <v>0.946771378708551</v>
      </c>
      <c r="AL716" s="129">
        <v>0.93984818279405</v>
      </c>
      <c r="AM716" s="128">
        <v>0.99</v>
      </c>
      <c r="AN716" s="133">
        <v>1</v>
      </c>
      <c r="AO716" s="133">
        <v>1</v>
      </c>
      <c r="AP716" s="133">
        <v>1</v>
      </c>
      <c r="AQ716" s="133">
        <v>1</v>
      </c>
      <c r="AR716" s="153">
        <v>0.0810595228934205</v>
      </c>
      <c r="AS716" s="137">
        <v>0</v>
      </c>
      <c r="AT716" s="137">
        <v>0</v>
      </c>
      <c r="AU716" s="137">
        <v>0.125</v>
      </c>
      <c r="AV716" s="137">
        <v>0.0512820512820513</v>
      </c>
      <c r="AW716" s="93"/>
      <c r="AX716" s="91"/>
    </row>
    <row r="717" ht="14.5" spans="1:50">
      <c r="A717" s="89"/>
      <c r="B717" s="93"/>
      <c r="C717" s="148" t="s">
        <v>664</v>
      </c>
      <c r="D717" s="126" t="s">
        <v>665</v>
      </c>
      <c r="E717" s="171" t="s">
        <v>740</v>
      </c>
      <c r="F717" s="171" t="s">
        <v>740</v>
      </c>
      <c r="G717" s="171" t="s">
        <v>740</v>
      </c>
      <c r="H717" s="171" t="s">
        <v>740</v>
      </c>
      <c r="I717" s="128">
        <v>0.9</v>
      </c>
      <c r="J717" s="129">
        <v>0.647058823529412</v>
      </c>
      <c r="K717" s="129">
        <v>0.615384615384615</v>
      </c>
      <c r="L717" s="130">
        <v>0.714285714285714</v>
      </c>
      <c r="M717" s="129">
        <v>0.634961439588689</v>
      </c>
      <c r="N717" s="131">
        <v>0.9</v>
      </c>
      <c r="O717" s="129">
        <v>0.934388394329047</v>
      </c>
      <c r="P717" s="129">
        <v>0.874678111587983</v>
      </c>
      <c r="Q717" s="129">
        <v>0.861111111111111</v>
      </c>
      <c r="R717" s="129">
        <v>0.835046481747411</v>
      </c>
      <c r="S717" s="131">
        <v>0.9</v>
      </c>
      <c r="T717" s="129">
        <v>0.859215298384438</v>
      </c>
      <c r="U717" s="129">
        <v>0.795708154506438</v>
      </c>
      <c r="V717" s="129">
        <v>0.880672926447574</v>
      </c>
      <c r="W717" s="129">
        <v>0.822462398911647</v>
      </c>
      <c r="X717" s="131">
        <v>0.92</v>
      </c>
      <c r="Y717" s="131">
        <v>0.911613566289825</v>
      </c>
      <c r="Z717" s="131">
        <v>0.869346733668342</v>
      </c>
      <c r="AA717" s="131">
        <v>0.917525773195876</v>
      </c>
      <c r="AB717" s="131">
        <v>0.898597349118518</v>
      </c>
      <c r="AC717" s="131">
        <v>0.92</v>
      </c>
      <c r="AD717" s="129">
        <v>0.994708994708995</v>
      </c>
      <c r="AE717" s="129">
        <v>0.979166666666667</v>
      </c>
      <c r="AF717" s="129">
        <v>0.971731448763251</v>
      </c>
      <c r="AG717" s="129">
        <v>0.972741039878849</v>
      </c>
      <c r="AH717" s="131">
        <v>0.92</v>
      </c>
      <c r="AI717" s="129">
        <v>0.931103344982526</v>
      </c>
      <c r="AJ717" s="129">
        <v>0.910329171396141</v>
      </c>
      <c r="AK717" s="129">
        <v>0.945188017845762</v>
      </c>
      <c r="AL717" s="129">
        <v>0.930968024529128</v>
      </c>
      <c r="AM717" s="128">
        <v>0.99</v>
      </c>
      <c r="AN717" s="133">
        <v>1</v>
      </c>
      <c r="AO717" s="133">
        <v>1</v>
      </c>
      <c r="AP717" s="133">
        <v>1</v>
      </c>
      <c r="AQ717" s="133">
        <v>1</v>
      </c>
      <c r="AR717" s="153">
        <v>0.0810595228934205</v>
      </c>
      <c r="AS717" s="137">
        <v>0</v>
      </c>
      <c r="AT717" s="137">
        <v>0</v>
      </c>
      <c r="AU717" s="137">
        <v>0</v>
      </c>
      <c r="AV717" s="137">
        <v>0.0568181818181818</v>
      </c>
      <c r="AW717" s="93"/>
      <c r="AX717" s="91"/>
    </row>
    <row r="718" ht="14.5" spans="1:50">
      <c r="A718" s="89"/>
      <c r="B718" s="93"/>
      <c r="C718" s="148" t="s">
        <v>664</v>
      </c>
      <c r="D718" s="126" t="s">
        <v>665</v>
      </c>
      <c r="E718" s="171" t="s">
        <v>741</v>
      </c>
      <c r="F718" s="171" t="s">
        <v>741</v>
      </c>
      <c r="G718" s="171" t="s">
        <v>741</v>
      </c>
      <c r="H718" s="171" t="s">
        <v>741</v>
      </c>
      <c r="I718" s="128">
        <v>0.9</v>
      </c>
      <c r="J718" s="129">
        <v>0.945454545454545</v>
      </c>
      <c r="K718" s="129">
        <v>0.976190476190476</v>
      </c>
      <c r="L718" s="130">
        <v>0.918367346938776</v>
      </c>
      <c r="M718" s="129">
        <v>0.948160535117057</v>
      </c>
      <c r="N718" s="131">
        <v>0.9</v>
      </c>
      <c r="O718" s="129">
        <v>0.979042904290429</v>
      </c>
      <c r="P718" s="129">
        <v>0.964589235127479</v>
      </c>
      <c r="Q718" s="129">
        <v>0.972727272727273</v>
      </c>
      <c r="R718" s="129">
        <v>0.965958497085683</v>
      </c>
      <c r="S718" s="131">
        <v>0.9</v>
      </c>
      <c r="T718" s="129">
        <v>0.962706270627063</v>
      </c>
      <c r="U718" s="129">
        <v>0.962228517469311</v>
      </c>
      <c r="V718" s="129">
        <v>0.936363636363636</v>
      </c>
      <c r="W718" s="129">
        <v>0.953351939397391</v>
      </c>
      <c r="X718" s="131">
        <v>0.92</v>
      </c>
      <c r="Y718" s="131">
        <v>0.969650205761317</v>
      </c>
      <c r="Z718" s="131">
        <v>0.969858156028369</v>
      </c>
      <c r="AA718" s="131">
        <v>0.958601655933763</v>
      </c>
      <c r="AB718" s="131">
        <v>0.960514964496649</v>
      </c>
      <c r="AC718" s="131">
        <v>0.92</v>
      </c>
      <c r="AD718" s="129">
        <v>0.995395948434622</v>
      </c>
      <c r="AE718" s="129">
        <v>0.978957915831663</v>
      </c>
      <c r="AF718" s="129">
        <v>0.970781592403214</v>
      </c>
      <c r="AG718" s="129">
        <v>0.982492605324167</v>
      </c>
      <c r="AH718" s="131">
        <v>0.92</v>
      </c>
      <c r="AI718" s="129">
        <v>0.974016239850094</v>
      </c>
      <c r="AJ718" s="129">
        <v>0.974288337924702</v>
      </c>
      <c r="AK718" s="129">
        <v>0.972164948453608</v>
      </c>
      <c r="AL718" s="129">
        <v>0.973794100721548</v>
      </c>
      <c r="AM718" s="128">
        <v>0.99</v>
      </c>
      <c r="AN718" s="133">
        <v>1</v>
      </c>
      <c r="AO718" s="133">
        <v>1</v>
      </c>
      <c r="AP718" s="133">
        <v>1</v>
      </c>
      <c r="AQ718" s="133">
        <v>1</v>
      </c>
      <c r="AR718" s="153">
        <v>0.0810595228934205</v>
      </c>
      <c r="AS718" s="137">
        <v>0.05</v>
      </c>
      <c r="AT718" s="137">
        <v>0.0769230769230769</v>
      </c>
      <c r="AU718" s="137">
        <v>0.117647058823529</v>
      </c>
      <c r="AV718" s="137">
        <v>0.0418848167539267</v>
      </c>
      <c r="AW718" s="93"/>
      <c r="AX718" s="91"/>
    </row>
    <row r="719" ht="14.5" spans="1:50">
      <c r="A719" s="89"/>
      <c r="B719" s="93"/>
      <c r="C719" s="148" t="s">
        <v>664</v>
      </c>
      <c r="D719" s="126" t="s">
        <v>665</v>
      </c>
      <c r="E719" s="171" t="s">
        <v>742</v>
      </c>
      <c r="F719" s="171" t="s">
        <v>742</v>
      </c>
      <c r="G719" s="171" t="s">
        <v>742</v>
      </c>
      <c r="H719" s="171" t="s">
        <v>742</v>
      </c>
      <c r="I719" s="128">
        <v>0.9</v>
      </c>
      <c r="J719" s="129">
        <v>0.978723404255319</v>
      </c>
      <c r="K719" s="129">
        <v>0.975</v>
      </c>
      <c r="L719" s="130">
        <v>0.975609756097561</v>
      </c>
      <c r="M719" s="129">
        <v>0.972602739726027</v>
      </c>
      <c r="N719" s="131">
        <v>0.9</v>
      </c>
      <c r="O719" s="129">
        <v>0.948673711451369</v>
      </c>
      <c r="P719" s="129">
        <v>0.98311345646438</v>
      </c>
      <c r="Q719" s="129">
        <v>0.95789995047053</v>
      </c>
      <c r="R719" s="129">
        <v>0.964095576918225</v>
      </c>
      <c r="S719" s="131">
        <v>0.9</v>
      </c>
      <c r="T719" s="129">
        <v>0.904464093163683</v>
      </c>
      <c r="U719" s="129">
        <v>0.94353562005277</v>
      </c>
      <c r="V719" s="129">
        <v>0.921991084695394</v>
      </c>
      <c r="W719" s="129">
        <v>0.924633512476976</v>
      </c>
      <c r="X719" s="131">
        <v>0.92</v>
      </c>
      <c r="Y719" s="131">
        <v>0.920944558521561</v>
      </c>
      <c r="Z719" s="131">
        <v>0.916974169741697</v>
      </c>
      <c r="AA719" s="131">
        <v>0.92226148409894</v>
      </c>
      <c r="AB719" s="131">
        <v>0.924864526886203</v>
      </c>
      <c r="AC719" s="131">
        <v>0.92</v>
      </c>
      <c r="AD719" s="129">
        <v>0.996179560649475</v>
      </c>
      <c r="AE719" s="129">
        <v>0.998058252427184</v>
      </c>
      <c r="AF719" s="129">
        <v>0.997287522603978</v>
      </c>
      <c r="AG719" s="129">
        <v>0.997657531037714</v>
      </c>
      <c r="AH719" s="131">
        <v>0.92</v>
      </c>
      <c r="AI719" s="129">
        <v>0.959187310639815</v>
      </c>
      <c r="AJ719" s="129">
        <v>0.953340046995636</v>
      </c>
      <c r="AK719" s="129">
        <v>0.966985230234579</v>
      </c>
      <c r="AL719" s="129">
        <v>0.960736919077023</v>
      </c>
      <c r="AM719" s="128">
        <v>0.99</v>
      </c>
      <c r="AN719" s="133">
        <v>1</v>
      </c>
      <c r="AO719" s="133">
        <v>1</v>
      </c>
      <c r="AP719" s="133">
        <v>1</v>
      </c>
      <c r="AQ719" s="133">
        <v>1</v>
      </c>
      <c r="AR719" s="153">
        <v>0.0810595228934205</v>
      </c>
      <c r="AS719" s="137">
        <v>0</v>
      </c>
      <c r="AT719" s="137">
        <v>0</v>
      </c>
      <c r="AU719" s="137">
        <v>0</v>
      </c>
      <c r="AV719" s="137">
        <v>0.0174825174825175</v>
      </c>
      <c r="AW719" s="93"/>
      <c r="AX719" s="91"/>
    </row>
    <row r="720" ht="14.5" spans="1:50">
      <c r="A720" s="89"/>
      <c r="B720" s="93"/>
      <c r="C720" s="148" t="s">
        <v>664</v>
      </c>
      <c r="D720" s="126" t="s">
        <v>665</v>
      </c>
      <c r="E720" s="171" t="s">
        <v>743</v>
      </c>
      <c r="F720" s="171" t="s">
        <v>743</v>
      </c>
      <c r="G720" s="171" t="s">
        <v>743</v>
      </c>
      <c r="H720" s="171" t="s">
        <v>743</v>
      </c>
      <c r="I720" s="128">
        <v>0.9</v>
      </c>
      <c r="J720" s="129">
        <v>0.974025974025974</v>
      </c>
      <c r="K720" s="129">
        <v>0.939393939393939</v>
      </c>
      <c r="L720" s="130">
        <v>0.971428571428571</v>
      </c>
      <c r="M720" s="129">
        <v>0.978034682080925</v>
      </c>
      <c r="N720" s="131">
        <v>0.9</v>
      </c>
      <c r="O720" s="129">
        <v>0.967008327994875</v>
      </c>
      <c r="P720" s="129">
        <v>0.990547678621073</v>
      </c>
      <c r="Q720" s="129">
        <v>0.959888965995836</v>
      </c>
      <c r="R720" s="129">
        <v>0.978142736384495</v>
      </c>
      <c r="S720" s="131">
        <v>0.9</v>
      </c>
      <c r="T720" s="129">
        <v>0.931027119367927</v>
      </c>
      <c r="U720" s="129">
        <v>0.942730052821796</v>
      </c>
      <c r="V720" s="129">
        <v>0.911866759195003</v>
      </c>
      <c r="W720" s="129">
        <v>0.928175609494291</v>
      </c>
      <c r="X720" s="131">
        <v>0.92</v>
      </c>
      <c r="Y720" s="131">
        <v>0.938165230613279</v>
      </c>
      <c r="Z720" s="131">
        <v>0.943718592964824</v>
      </c>
      <c r="AA720" s="131">
        <v>0.943031536113937</v>
      </c>
      <c r="AB720" s="131">
        <v>0.946462302336877</v>
      </c>
      <c r="AC720" s="131">
        <v>0.92</v>
      </c>
      <c r="AD720" s="129">
        <v>0.981308411214953</v>
      </c>
      <c r="AE720" s="129">
        <v>0.991957104557641</v>
      </c>
      <c r="AF720" s="129">
        <v>0.97972972972973</v>
      </c>
      <c r="AG720" s="129">
        <v>0.980718245360328</v>
      </c>
      <c r="AH720" s="131">
        <v>0.92</v>
      </c>
      <c r="AI720" s="129">
        <v>0.967281065349678</v>
      </c>
      <c r="AJ720" s="129">
        <v>0.96348666547342</v>
      </c>
      <c r="AK720" s="129">
        <v>0.970081817071682</v>
      </c>
      <c r="AL720" s="129">
        <v>0.970472250577553</v>
      </c>
      <c r="AM720" s="128">
        <v>0.99</v>
      </c>
      <c r="AN720" s="133">
        <v>1</v>
      </c>
      <c r="AO720" s="133">
        <v>1</v>
      </c>
      <c r="AP720" s="133">
        <v>1</v>
      </c>
      <c r="AQ720" s="133">
        <v>1</v>
      </c>
      <c r="AR720" s="153">
        <v>0.0810595228934205</v>
      </c>
      <c r="AS720" s="137">
        <v>0.0246913580246914</v>
      </c>
      <c r="AT720" s="137">
        <v>0.0192307692307692</v>
      </c>
      <c r="AU720" s="137">
        <v>0</v>
      </c>
      <c r="AV720" s="137">
        <v>0.0344827586206897</v>
      </c>
      <c r="AW720" s="93"/>
      <c r="AX720" s="91"/>
    </row>
    <row r="721" ht="14.5" spans="1:50">
      <c r="A721" s="89"/>
      <c r="B721" s="93"/>
      <c r="C721" s="148" t="s">
        <v>664</v>
      </c>
      <c r="D721" s="126" t="s">
        <v>665</v>
      </c>
      <c r="E721" s="171" t="s">
        <v>744</v>
      </c>
      <c r="F721" s="171" t="s">
        <v>744</v>
      </c>
      <c r="G721" s="171" t="s">
        <v>744</v>
      </c>
      <c r="H721" s="171" t="s">
        <v>744</v>
      </c>
      <c r="I721" s="128">
        <v>0.9</v>
      </c>
      <c r="J721" s="129">
        <v>1</v>
      </c>
      <c r="K721" s="129">
        <v>0.975609756097561</v>
      </c>
      <c r="L721" s="130">
        <v>1</v>
      </c>
      <c r="M721" s="129">
        <v>0.948148148148148</v>
      </c>
      <c r="N721" s="131">
        <v>0.9</v>
      </c>
      <c r="O721" s="129">
        <v>0.947609692206942</v>
      </c>
      <c r="P721" s="129">
        <v>0.9524089306698</v>
      </c>
      <c r="Q721" s="129">
        <v>0.891550053821313</v>
      </c>
      <c r="R721" s="129">
        <v>0.906881659980068</v>
      </c>
      <c r="S721" s="131">
        <v>0.9</v>
      </c>
      <c r="T721" s="129">
        <v>0.794586334861384</v>
      </c>
      <c r="U721" s="129">
        <v>0.826086956521739</v>
      </c>
      <c r="V721" s="129">
        <v>0.792249730893434</v>
      </c>
      <c r="W721" s="129">
        <v>0.791786982853346</v>
      </c>
      <c r="X721" s="131">
        <v>0.92</v>
      </c>
      <c r="Y721" s="131">
        <v>0.918891170431211</v>
      </c>
      <c r="Z721" s="131">
        <v>0.879459980713597</v>
      </c>
      <c r="AA721" s="131">
        <v>0.933940774487471</v>
      </c>
      <c r="AB721" s="131">
        <v>0.913523360480069</v>
      </c>
      <c r="AC721" s="131">
        <v>0.92</v>
      </c>
      <c r="AD721" s="129">
        <v>0.997299729972997</v>
      </c>
      <c r="AE721" s="129">
        <v>0.994169096209913</v>
      </c>
      <c r="AF721" s="129">
        <v>0.997171145685997</v>
      </c>
      <c r="AG721" s="129">
        <v>0.990665975257427</v>
      </c>
      <c r="AH721" s="131">
        <v>0.92</v>
      </c>
      <c r="AI721" s="129">
        <v>0.954643628509719</v>
      </c>
      <c r="AJ721" s="129">
        <v>0.928441036874772</v>
      </c>
      <c r="AK721" s="129">
        <v>0.961251504211793</v>
      </c>
      <c r="AL721" s="129">
        <v>0.951970290901589</v>
      </c>
      <c r="AM721" s="128">
        <v>0.99</v>
      </c>
      <c r="AN721" s="133">
        <v>1</v>
      </c>
      <c r="AO721" s="133">
        <v>1</v>
      </c>
      <c r="AP721" s="133">
        <v>1</v>
      </c>
      <c r="AQ721" s="133">
        <v>1</v>
      </c>
      <c r="AR721" s="153">
        <v>0.0810595228934205</v>
      </c>
      <c r="AS721" s="137">
        <v>0.0714285714285714</v>
      </c>
      <c r="AT721" s="137">
        <v>0</v>
      </c>
      <c r="AU721" s="137">
        <v>0.027027027027027</v>
      </c>
      <c r="AV721" s="137">
        <v>0.0236220472440945</v>
      </c>
      <c r="AW721" s="93"/>
      <c r="AX721" s="91"/>
    </row>
    <row r="722" ht="14.5" spans="1:50">
      <c r="A722" s="89"/>
      <c r="B722" s="93"/>
      <c r="C722" s="148" t="s">
        <v>664</v>
      </c>
      <c r="D722" s="126" t="s">
        <v>665</v>
      </c>
      <c r="E722" s="171" t="s">
        <v>745</v>
      </c>
      <c r="F722" s="171" t="s">
        <v>745</v>
      </c>
      <c r="G722" s="171" t="s">
        <v>745</v>
      </c>
      <c r="H722" s="171" t="s">
        <v>745</v>
      </c>
      <c r="I722" s="128">
        <v>0.9</v>
      </c>
      <c r="J722" s="129">
        <v>0.975609756097561</v>
      </c>
      <c r="K722" s="129">
        <v>0.933333333333333</v>
      </c>
      <c r="L722" s="130">
        <v>0.942857142857143</v>
      </c>
      <c r="M722" s="129">
        <v>0.967136150234742</v>
      </c>
      <c r="N722" s="131">
        <v>0.9</v>
      </c>
      <c r="O722" s="129">
        <v>0.955330804888327</v>
      </c>
      <c r="P722" s="129">
        <v>0.969114219114219</v>
      </c>
      <c r="Q722" s="129">
        <v>0.931190223166844</v>
      </c>
      <c r="R722" s="129">
        <v>0.959853734625515</v>
      </c>
      <c r="S722" s="131">
        <v>0.9</v>
      </c>
      <c r="T722" s="129">
        <v>0.91677201854193</v>
      </c>
      <c r="U722" s="129">
        <v>0.940559440559441</v>
      </c>
      <c r="V722" s="129">
        <v>0.931455897980871</v>
      </c>
      <c r="W722" s="129">
        <v>0.928120285370906</v>
      </c>
      <c r="X722" s="131">
        <v>0.92</v>
      </c>
      <c r="Y722" s="131">
        <v>0.947318007662835</v>
      </c>
      <c r="Z722" s="131">
        <v>0.95</v>
      </c>
      <c r="AA722" s="131">
        <v>0.961616161616162</v>
      </c>
      <c r="AB722" s="131">
        <v>0.958005688472478</v>
      </c>
      <c r="AC722" s="131">
        <v>0.92</v>
      </c>
      <c r="AD722" s="129">
        <v>0.996923076923077</v>
      </c>
      <c r="AE722" s="129">
        <v>1</v>
      </c>
      <c r="AF722" s="129">
        <v>0.993055555555556</v>
      </c>
      <c r="AG722" s="129">
        <v>0.990293560606061</v>
      </c>
      <c r="AH722" s="131">
        <v>0.92</v>
      </c>
      <c r="AI722" s="129">
        <v>0.957865653600414</v>
      </c>
      <c r="AJ722" s="129">
        <v>0.96125730994152</v>
      </c>
      <c r="AK722" s="129">
        <v>0.970650387414886</v>
      </c>
      <c r="AL722" s="129">
        <v>0.967942190192699</v>
      </c>
      <c r="AM722" s="128">
        <v>0.99</v>
      </c>
      <c r="AN722" s="133">
        <v>1</v>
      </c>
      <c r="AO722" s="133">
        <v>1</v>
      </c>
      <c r="AP722" s="133">
        <v>1</v>
      </c>
      <c r="AQ722" s="133">
        <v>1</v>
      </c>
      <c r="AR722" s="153">
        <v>0.0810595228934205</v>
      </c>
      <c r="AS722" s="137">
        <v>0</v>
      </c>
      <c r="AT722" s="137">
        <v>0</v>
      </c>
      <c r="AU722" s="137">
        <v>0</v>
      </c>
      <c r="AV722" s="137">
        <v>0.0116279069767442</v>
      </c>
      <c r="AW722" s="93"/>
      <c r="AX722" s="91"/>
    </row>
    <row r="723" ht="14.5" spans="1:50">
      <c r="A723" s="89"/>
      <c r="B723" s="93"/>
      <c r="C723" s="148" t="s">
        <v>664</v>
      </c>
      <c r="D723" s="126" t="s">
        <v>665</v>
      </c>
      <c r="E723" s="171" t="s">
        <v>746</v>
      </c>
      <c r="F723" s="171" t="s">
        <v>746</v>
      </c>
      <c r="G723" s="171" t="s">
        <v>746</v>
      </c>
      <c r="H723" s="171" t="s">
        <v>746</v>
      </c>
      <c r="I723" s="128">
        <v>0.9</v>
      </c>
      <c r="J723" s="129">
        <v>1</v>
      </c>
      <c r="K723" s="129">
        <v>1</v>
      </c>
      <c r="L723" s="130">
        <v>1</v>
      </c>
      <c r="M723" s="129">
        <v>0.997319034852547</v>
      </c>
      <c r="N723" s="131">
        <v>0.9</v>
      </c>
      <c r="O723" s="129">
        <v>0.955700798838054</v>
      </c>
      <c r="P723" s="129">
        <v>0.979430379746835</v>
      </c>
      <c r="Q723" s="129">
        <v>0.959819993571199</v>
      </c>
      <c r="R723" s="129">
        <v>0.951860018900885</v>
      </c>
      <c r="S723" s="131">
        <v>0.9</v>
      </c>
      <c r="T723" s="129">
        <v>0.911885741951101</v>
      </c>
      <c r="U723" s="129">
        <v>0.941455696202532</v>
      </c>
      <c r="V723" s="129">
        <v>0.939247830279653</v>
      </c>
      <c r="W723" s="129">
        <v>0.931269509436124</v>
      </c>
      <c r="X723" s="131">
        <v>0.92</v>
      </c>
      <c r="Y723" s="131">
        <v>0.875</v>
      </c>
      <c r="Z723" s="131">
        <v>0.918367346938776</v>
      </c>
      <c r="AA723" s="131">
        <v>0.908256880733945</v>
      </c>
      <c r="AB723" s="131">
        <v>0.889290713952403</v>
      </c>
      <c r="AC723" s="131">
        <v>0.92</v>
      </c>
      <c r="AD723" s="129">
        <v>1</v>
      </c>
      <c r="AE723" s="129">
        <v>0.996884735202492</v>
      </c>
      <c r="AF723" s="129">
        <v>1</v>
      </c>
      <c r="AG723" s="129">
        <v>0.998568872987478</v>
      </c>
      <c r="AH723" s="131">
        <v>0.92</v>
      </c>
      <c r="AI723" s="129">
        <v>0.943824701195219</v>
      </c>
      <c r="AJ723" s="129">
        <v>0.954245973645681</v>
      </c>
      <c r="AK723" s="129">
        <v>0.9704475091472</v>
      </c>
      <c r="AL723" s="129">
        <v>0.955937421029658</v>
      </c>
      <c r="AM723" s="128">
        <v>0.99</v>
      </c>
      <c r="AN723" s="133">
        <v>1</v>
      </c>
      <c r="AO723" s="133">
        <v>1</v>
      </c>
      <c r="AP723" s="133">
        <v>1</v>
      </c>
      <c r="AQ723" s="133">
        <v>1</v>
      </c>
      <c r="AR723" s="153">
        <v>0.0810595228934205</v>
      </c>
      <c r="AS723" s="137">
        <v>0.00549450549450549</v>
      </c>
      <c r="AT723" s="137">
        <v>0</v>
      </c>
      <c r="AU723" s="137">
        <v>0.0769230769230769</v>
      </c>
      <c r="AV723" s="137">
        <v>0.0163636363636364</v>
      </c>
      <c r="AW723" s="93"/>
      <c r="AX723" s="91"/>
    </row>
    <row r="724" ht="14.5" spans="1:50">
      <c r="A724" s="89"/>
      <c r="B724" s="93"/>
      <c r="C724" s="148" t="s">
        <v>664</v>
      </c>
      <c r="D724" s="126" t="s">
        <v>665</v>
      </c>
      <c r="E724" s="171" t="s">
        <v>747</v>
      </c>
      <c r="F724" s="171" t="s">
        <v>747</v>
      </c>
      <c r="G724" s="171" t="s">
        <v>747</v>
      </c>
      <c r="H724" s="171" t="s">
        <v>747</v>
      </c>
      <c r="I724" s="128">
        <v>0.9</v>
      </c>
      <c r="J724" s="129">
        <v>0.96551724137931</v>
      </c>
      <c r="K724" s="129">
        <v>1</v>
      </c>
      <c r="L724" s="130">
        <v>0.961538461538462</v>
      </c>
      <c r="M724" s="129">
        <v>0.965460526315789</v>
      </c>
      <c r="N724" s="131">
        <v>0.9</v>
      </c>
      <c r="O724" s="129">
        <v>0.959680305379936</v>
      </c>
      <c r="P724" s="129">
        <v>0.934083601286174</v>
      </c>
      <c r="Q724" s="129">
        <v>0.963888413486223</v>
      </c>
      <c r="R724" s="129">
        <v>0.945454842557642</v>
      </c>
      <c r="S724" s="131">
        <v>0.9</v>
      </c>
      <c r="T724" s="129">
        <v>0.593940116903257</v>
      </c>
      <c r="U724" s="129">
        <v>0.782958199356913</v>
      </c>
      <c r="V724" s="129">
        <v>0.626561697758001</v>
      </c>
      <c r="W724" s="129">
        <v>0.707551023742994</v>
      </c>
      <c r="X724" s="131">
        <v>0.92</v>
      </c>
      <c r="Y724" s="131">
        <v>0.875606796116505</v>
      </c>
      <c r="Z724" s="131">
        <v>0.893984514592019</v>
      </c>
      <c r="AA724" s="131">
        <v>0.918755401901469</v>
      </c>
      <c r="AB724" s="131">
        <v>0.882927157667968</v>
      </c>
      <c r="AC724" s="131">
        <v>0.92</v>
      </c>
      <c r="AD724" s="129">
        <v>0.999066946582692</v>
      </c>
      <c r="AE724" s="129">
        <v>0.998411257376305</v>
      </c>
      <c r="AF724" s="129">
        <v>0.994765840220386</v>
      </c>
      <c r="AG724" s="129">
        <v>0.998115190836928</v>
      </c>
      <c r="AH724" s="131">
        <v>0.92</v>
      </c>
      <c r="AI724" s="129">
        <v>0.935200877280431</v>
      </c>
      <c r="AJ724" s="129">
        <v>0.930709534368071</v>
      </c>
      <c r="AK724" s="129">
        <v>0.953571428571429</v>
      </c>
      <c r="AL724" s="129">
        <v>0.937071028479764</v>
      </c>
      <c r="AM724" s="128">
        <v>0.99</v>
      </c>
      <c r="AN724" s="133">
        <v>1</v>
      </c>
      <c r="AO724" s="133">
        <v>1</v>
      </c>
      <c r="AP724" s="133">
        <v>1</v>
      </c>
      <c r="AQ724" s="133">
        <v>1</v>
      </c>
      <c r="AR724" s="153">
        <v>0.0810595228934205</v>
      </c>
      <c r="AS724" s="137">
        <v>0.0441176470588235</v>
      </c>
      <c r="AT724" s="137">
        <v>0.0192307692307692</v>
      </c>
      <c r="AU724" s="137">
        <v>0.0227272727272727</v>
      </c>
      <c r="AV724" s="137">
        <v>0.0325047801147228</v>
      </c>
      <c r="AW724" s="93"/>
      <c r="AX724" s="91"/>
    </row>
    <row r="725" ht="14.5" spans="1:50">
      <c r="A725" s="89"/>
      <c r="B725" s="93"/>
      <c r="C725" s="148" t="s">
        <v>664</v>
      </c>
      <c r="D725" s="126" t="s">
        <v>665</v>
      </c>
      <c r="E725" s="171" t="s">
        <v>748</v>
      </c>
      <c r="F725" s="171" t="s">
        <v>748</v>
      </c>
      <c r="G725" s="171" t="s">
        <v>748</v>
      </c>
      <c r="H725" s="171" t="s">
        <v>748</v>
      </c>
      <c r="I725" s="128">
        <v>0.9</v>
      </c>
      <c r="J725" s="129">
        <v>0.870967741935484</v>
      </c>
      <c r="K725" s="129">
        <v>0.827586206896552</v>
      </c>
      <c r="L725" s="130">
        <v>0.933333333333333</v>
      </c>
      <c r="M725" s="129">
        <v>0.931428571428571</v>
      </c>
      <c r="N725" s="131">
        <v>0.9</v>
      </c>
      <c r="O725" s="129">
        <v>0.93759250123335</v>
      </c>
      <c r="P725" s="129">
        <v>0.960127591706539</v>
      </c>
      <c r="Q725" s="129">
        <v>0.969597907813011</v>
      </c>
      <c r="R725" s="129">
        <v>0.952584928663218</v>
      </c>
      <c r="S725" s="131">
        <v>0.9</v>
      </c>
      <c r="T725" s="129">
        <v>0.89146521953626</v>
      </c>
      <c r="U725" s="129">
        <v>0.914407230196704</v>
      </c>
      <c r="V725" s="129">
        <v>0.898005884275907</v>
      </c>
      <c r="W725" s="129">
        <v>0.908596658868496</v>
      </c>
      <c r="X725" s="131">
        <v>0.92</v>
      </c>
      <c r="Y725" s="131">
        <v>0.926239419588875</v>
      </c>
      <c r="Z725" s="131">
        <v>0.915071770334928</v>
      </c>
      <c r="AA725" s="131">
        <v>0.944325481798715</v>
      </c>
      <c r="AB725" s="131">
        <v>0.920880587058039</v>
      </c>
      <c r="AC725" s="131">
        <v>0.92</v>
      </c>
      <c r="AD725" s="129">
        <v>0.975460122699387</v>
      </c>
      <c r="AE725" s="129">
        <v>1</v>
      </c>
      <c r="AF725" s="129">
        <v>0.942622950819672</v>
      </c>
      <c r="AG725" s="129">
        <v>0.976025572722429</v>
      </c>
      <c r="AH725" s="131">
        <v>0.92</v>
      </c>
      <c r="AI725" s="129">
        <v>0.929727514853514</v>
      </c>
      <c r="AJ725" s="129">
        <v>0.941111520058888</v>
      </c>
      <c r="AK725" s="129">
        <v>0.960862166761203</v>
      </c>
      <c r="AL725" s="129">
        <v>0.952091536083291</v>
      </c>
      <c r="AM725" s="128">
        <v>0.99</v>
      </c>
      <c r="AN725" s="133">
        <v>1</v>
      </c>
      <c r="AO725" s="133">
        <v>1</v>
      </c>
      <c r="AP725" s="133">
        <v>1</v>
      </c>
      <c r="AQ725" s="133">
        <v>1</v>
      </c>
      <c r="AR725" s="153">
        <v>0.0810595228934205</v>
      </c>
      <c r="AS725" s="137">
        <v>0.0588235294117647</v>
      </c>
      <c r="AT725" s="137">
        <v>0</v>
      </c>
      <c r="AU725" s="137">
        <v>0</v>
      </c>
      <c r="AV725" s="137">
        <v>0.0452488687782805</v>
      </c>
      <c r="AW725" s="93"/>
      <c r="AX725" s="91"/>
    </row>
    <row r="726" ht="14.5" spans="1:50">
      <c r="A726" s="89"/>
      <c r="B726" s="93"/>
      <c r="C726" s="148" t="s">
        <v>664</v>
      </c>
      <c r="D726" s="126" t="s">
        <v>665</v>
      </c>
      <c r="E726" s="171" t="s">
        <v>749</v>
      </c>
      <c r="F726" s="171" t="s">
        <v>749</v>
      </c>
      <c r="G726" s="171" t="s">
        <v>749</v>
      </c>
      <c r="H726" s="171" t="s">
        <v>749</v>
      </c>
      <c r="I726" s="128">
        <v>0.9</v>
      </c>
      <c r="J726" s="129">
        <v>1</v>
      </c>
      <c r="K726" s="129">
        <v>0.9375</v>
      </c>
      <c r="L726" s="130">
        <v>1</v>
      </c>
      <c r="M726" s="129">
        <v>0.979746835443038</v>
      </c>
      <c r="N726" s="131">
        <v>0.9</v>
      </c>
      <c r="O726" s="129">
        <v>0.963539247561542</v>
      </c>
      <c r="P726" s="129">
        <v>0.955056179775281</v>
      </c>
      <c r="Q726" s="129">
        <v>0.959498003422704</v>
      </c>
      <c r="R726" s="129">
        <v>0.951981898935724</v>
      </c>
      <c r="S726" s="131">
        <v>0.9</v>
      </c>
      <c r="T726" s="129">
        <v>0.825359962842545</v>
      </c>
      <c r="U726" s="129">
        <v>0.784644194756554</v>
      </c>
      <c r="V726" s="129">
        <v>0.842840844266971</v>
      </c>
      <c r="W726" s="129">
        <v>0.8470627671164</v>
      </c>
      <c r="X726" s="131">
        <v>0.92</v>
      </c>
      <c r="Y726" s="131">
        <v>0.883495145631068</v>
      </c>
      <c r="Z726" s="131">
        <v>0.891525423728814</v>
      </c>
      <c r="AA726" s="131">
        <v>0.859223300970874</v>
      </c>
      <c r="AB726" s="131">
        <v>0.905725155423587</v>
      </c>
      <c r="AC726" s="131">
        <v>0.92</v>
      </c>
      <c r="AD726" s="129">
        <v>0.977272727272727</v>
      </c>
      <c r="AE726" s="129">
        <v>0.988165680473373</v>
      </c>
      <c r="AF726" s="129">
        <v>0.926940639269406</v>
      </c>
      <c r="AG726" s="129">
        <v>0.963325183374083</v>
      </c>
      <c r="AH726" s="131">
        <v>0.92</v>
      </c>
      <c r="AI726" s="129">
        <v>0.933690043951844</v>
      </c>
      <c r="AJ726" s="129">
        <v>0.928025733815842</v>
      </c>
      <c r="AK726" s="129">
        <v>0.950740173557938</v>
      </c>
      <c r="AL726" s="129">
        <v>0.944928718653384</v>
      </c>
      <c r="AM726" s="128">
        <v>0.99</v>
      </c>
      <c r="AN726" s="133">
        <v>1</v>
      </c>
      <c r="AO726" s="133">
        <v>1</v>
      </c>
      <c r="AP726" s="133">
        <v>1</v>
      </c>
      <c r="AQ726" s="133">
        <v>1</v>
      </c>
      <c r="AR726" s="153">
        <v>0.0810595228934205</v>
      </c>
      <c r="AS726" s="137">
        <v>0.0714285714285714</v>
      </c>
      <c r="AT726" s="137">
        <v>0.05</v>
      </c>
      <c r="AU726" s="137">
        <v>0</v>
      </c>
      <c r="AV726" s="137">
        <v>0.0338983050847458</v>
      </c>
      <c r="AW726" s="93"/>
      <c r="AX726" s="91"/>
    </row>
    <row r="727" ht="14.5" spans="1:50">
      <c r="A727" s="89"/>
      <c r="B727" s="93"/>
      <c r="C727" s="148" t="s">
        <v>664</v>
      </c>
      <c r="D727" s="126" t="s">
        <v>665</v>
      </c>
      <c r="E727" s="171" t="s">
        <v>750</v>
      </c>
      <c r="F727" s="171" t="s">
        <v>750</v>
      </c>
      <c r="G727" s="171" t="s">
        <v>750</v>
      </c>
      <c r="H727" s="171" t="s">
        <v>750</v>
      </c>
      <c r="I727" s="128">
        <v>0.9</v>
      </c>
      <c r="J727" s="129">
        <v>1</v>
      </c>
      <c r="K727" s="129">
        <v>1</v>
      </c>
      <c r="L727" s="130">
        <v>1</v>
      </c>
      <c r="M727" s="129">
        <v>0.907103825136612</v>
      </c>
      <c r="N727" s="131">
        <v>0.9</v>
      </c>
      <c r="O727" s="129">
        <v>0.977727272727273</v>
      </c>
      <c r="P727" s="129">
        <v>0.969504447268107</v>
      </c>
      <c r="Q727" s="129">
        <v>0.983127109111361</v>
      </c>
      <c r="R727" s="129">
        <v>0.978613530853894</v>
      </c>
      <c r="S727" s="131">
        <v>0.9</v>
      </c>
      <c r="T727" s="129">
        <v>0.94</v>
      </c>
      <c r="U727" s="129">
        <v>0.935196950444727</v>
      </c>
      <c r="V727" s="129">
        <v>0.933070866141732</v>
      </c>
      <c r="W727" s="129">
        <v>0.944395180220124</v>
      </c>
      <c r="X727" s="131">
        <v>0.92</v>
      </c>
      <c r="Y727" s="131">
        <v>0.900881057268722</v>
      </c>
      <c r="Z727" s="131">
        <v>0.867579908675799</v>
      </c>
      <c r="AA727" s="131">
        <v>0.805825242718447</v>
      </c>
      <c r="AB727" s="131">
        <v>0.884224779959377</v>
      </c>
      <c r="AC727" s="131">
        <v>0.92</v>
      </c>
      <c r="AD727" s="129">
        <v>1</v>
      </c>
      <c r="AE727" s="129">
        <v>1</v>
      </c>
      <c r="AF727" s="129">
        <v>1</v>
      </c>
      <c r="AG727" s="129">
        <v>0.994468346650277</v>
      </c>
      <c r="AH727" s="131">
        <v>0.92</v>
      </c>
      <c r="AI727" s="129">
        <v>0.96646571213263</v>
      </c>
      <c r="AJ727" s="129">
        <v>0.925714285714286</v>
      </c>
      <c r="AK727" s="129">
        <v>0.960685483870968</v>
      </c>
      <c r="AL727" s="129">
        <v>0.962294526351466</v>
      </c>
      <c r="AM727" s="128">
        <v>0.99</v>
      </c>
      <c r="AN727" s="133">
        <v>1</v>
      </c>
      <c r="AO727" s="133">
        <v>1</v>
      </c>
      <c r="AP727" s="133">
        <v>1</v>
      </c>
      <c r="AQ727" s="133">
        <v>1</v>
      </c>
      <c r="AR727" s="153">
        <v>0.0810595228934205</v>
      </c>
      <c r="AS727" s="137">
        <v>0</v>
      </c>
      <c r="AT727" s="137">
        <v>0</v>
      </c>
      <c r="AU727" s="137">
        <v>0</v>
      </c>
      <c r="AV727" s="137">
        <v>0.0434782608695652</v>
      </c>
      <c r="AW727" s="93"/>
      <c r="AX727" s="91"/>
    </row>
    <row r="728" ht="14.5" spans="1:50">
      <c r="A728" s="89"/>
      <c r="B728" s="93"/>
      <c r="C728" s="148" t="s">
        <v>664</v>
      </c>
      <c r="D728" s="126" t="s">
        <v>665</v>
      </c>
      <c r="E728" s="171" t="s">
        <v>751</v>
      </c>
      <c r="F728" s="171" t="s">
        <v>751</v>
      </c>
      <c r="G728" s="171" t="s">
        <v>751</v>
      </c>
      <c r="H728" s="171" t="s">
        <v>751</v>
      </c>
      <c r="I728" s="128">
        <v>0.9</v>
      </c>
      <c r="J728" s="129">
        <v>0.944444444444444</v>
      </c>
      <c r="K728" s="129">
        <v>0.928571428571429</v>
      </c>
      <c r="L728" s="130">
        <v>1</v>
      </c>
      <c r="M728" s="129">
        <v>0.942307692307692</v>
      </c>
      <c r="N728" s="131">
        <v>0.9</v>
      </c>
      <c r="O728" s="129">
        <v>0.97590002975305</v>
      </c>
      <c r="P728" s="129">
        <v>0.981845688350983</v>
      </c>
      <c r="Q728" s="129">
        <v>0.97459165154265</v>
      </c>
      <c r="R728" s="129">
        <v>0.974710703105765</v>
      </c>
      <c r="S728" s="131">
        <v>0.9</v>
      </c>
      <c r="T728" s="129">
        <v>0.964593870871764</v>
      </c>
      <c r="U728" s="129">
        <v>0.96142208774584</v>
      </c>
      <c r="V728" s="129">
        <v>0.967332123411978</v>
      </c>
      <c r="W728" s="129">
        <v>0.968485104287573</v>
      </c>
      <c r="X728" s="131">
        <v>0.92</v>
      </c>
      <c r="Y728" s="131">
        <v>0.94572864321608</v>
      </c>
      <c r="Z728" s="131">
        <v>0.963865546218487</v>
      </c>
      <c r="AA728" s="131">
        <v>0.935483870967742</v>
      </c>
      <c r="AB728" s="131">
        <v>0.957856544794865</v>
      </c>
      <c r="AC728" s="131">
        <v>0.92</v>
      </c>
      <c r="AD728" s="129">
        <v>0.999639509733237</v>
      </c>
      <c r="AE728" s="129">
        <v>0.999295774647887</v>
      </c>
      <c r="AF728" s="129">
        <v>1</v>
      </c>
      <c r="AG728" s="129">
        <v>0.998901008324862</v>
      </c>
      <c r="AH728" s="131">
        <v>0.92</v>
      </c>
      <c r="AI728" s="129">
        <v>0.974747474747475</v>
      </c>
      <c r="AJ728" s="129">
        <v>0.972144846796657</v>
      </c>
      <c r="AK728" s="129">
        <v>0.979192546583851</v>
      </c>
      <c r="AL728" s="129">
        <v>0.979225684608121</v>
      </c>
      <c r="AM728" s="128">
        <v>0.99</v>
      </c>
      <c r="AN728" s="133">
        <v>1</v>
      </c>
      <c r="AO728" s="133">
        <v>1</v>
      </c>
      <c r="AP728" s="133">
        <v>1</v>
      </c>
      <c r="AQ728" s="133">
        <v>1</v>
      </c>
      <c r="AR728" s="153">
        <v>0.0810595228934205</v>
      </c>
      <c r="AS728" s="137">
        <v>0</v>
      </c>
      <c r="AT728" s="137">
        <v>0.142857142857143</v>
      </c>
      <c r="AU728" s="137">
        <v>0</v>
      </c>
      <c r="AV728" s="137">
        <v>0.0437956204379562</v>
      </c>
      <c r="AW728" s="93"/>
      <c r="AX728" s="91"/>
    </row>
    <row r="729" ht="14.5" spans="1:50">
      <c r="A729" s="89"/>
      <c r="B729" s="93"/>
      <c r="C729" s="148" t="s">
        <v>664</v>
      </c>
      <c r="D729" s="126" t="s">
        <v>665</v>
      </c>
      <c r="E729" s="171" t="s">
        <v>752</v>
      </c>
      <c r="F729" s="171" t="s">
        <v>752</v>
      </c>
      <c r="G729" s="171" t="s">
        <v>752</v>
      </c>
      <c r="H729" s="171" t="s">
        <v>752</v>
      </c>
      <c r="I729" s="128">
        <v>0.9</v>
      </c>
      <c r="J729" s="129">
        <v>0.986842105263158</v>
      </c>
      <c r="K729" s="129">
        <v>0.957746478873239</v>
      </c>
      <c r="L729" s="130">
        <v>0.986486486486487</v>
      </c>
      <c r="M729" s="129">
        <v>0.97025171624714</v>
      </c>
      <c r="N729" s="131">
        <v>0.9</v>
      </c>
      <c r="O729" s="129">
        <v>0.988960965062023</v>
      </c>
      <c r="P729" s="129">
        <v>0.994491875516387</v>
      </c>
      <c r="Q729" s="129">
        <v>0.988953327809997</v>
      </c>
      <c r="R729" s="129">
        <v>0.99225815018923</v>
      </c>
      <c r="S729" s="131">
        <v>0.9</v>
      </c>
      <c r="T729" s="129">
        <v>0.939911232502561</v>
      </c>
      <c r="U729" s="129">
        <v>0.956761222803635</v>
      </c>
      <c r="V729" s="129">
        <v>0.947804473902237</v>
      </c>
      <c r="W729" s="129">
        <v>0.948396520815351</v>
      </c>
      <c r="X729" s="131">
        <v>0.92</v>
      </c>
      <c r="Y729" s="131">
        <v>0.950863723608445</v>
      </c>
      <c r="Z729" s="131">
        <v>0.95746140651801</v>
      </c>
      <c r="AA729" s="131">
        <v>0.960302457466919</v>
      </c>
      <c r="AB729" s="131">
        <v>0.955838072934092</v>
      </c>
      <c r="AC729" s="131">
        <v>0.92</v>
      </c>
      <c r="AD729" s="129">
        <v>0.99918886034879</v>
      </c>
      <c r="AE729" s="129">
        <v>0.996731097214326</v>
      </c>
      <c r="AF729" s="129">
        <v>0.996993810786914</v>
      </c>
      <c r="AG729" s="129">
        <v>0.998373089783004</v>
      </c>
      <c r="AH729" s="131">
        <v>0.92</v>
      </c>
      <c r="AI729" s="129">
        <v>0.970250109697236</v>
      </c>
      <c r="AJ729" s="129">
        <v>0.97039072039072</v>
      </c>
      <c r="AK729" s="129">
        <v>0.98109344894027</v>
      </c>
      <c r="AL729" s="129">
        <v>0.973488886063818</v>
      </c>
      <c r="AM729" s="128">
        <v>0.99</v>
      </c>
      <c r="AN729" s="133">
        <v>1</v>
      </c>
      <c r="AO729" s="133">
        <v>1</v>
      </c>
      <c r="AP729" s="133">
        <v>1</v>
      </c>
      <c r="AQ729" s="133">
        <v>1</v>
      </c>
      <c r="AR729" s="153">
        <v>0.0810595228934205</v>
      </c>
      <c r="AS729" s="137">
        <v>0.0454545454545455</v>
      </c>
      <c r="AT729" s="137">
        <v>0.032258064516129</v>
      </c>
      <c r="AU729" s="137">
        <v>0.0909090909090909</v>
      </c>
      <c r="AV729" s="137">
        <v>0.0212765957446809</v>
      </c>
      <c r="AW729" s="93"/>
      <c r="AX729" s="91"/>
    </row>
    <row r="730" ht="14.5" spans="1:50">
      <c r="A730" s="89"/>
      <c r="B730" s="93"/>
      <c r="C730" s="148" t="s">
        <v>664</v>
      </c>
      <c r="D730" s="126" t="s">
        <v>665</v>
      </c>
      <c r="E730" s="171" t="s">
        <v>753</v>
      </c>
      <c r="F730" s="171" t="s">
        <v>753</v>
      </c>
      <c r="G730" s="171" t="s">
        <v>753</v>
      </c>
      <c r="H730" s="171" t="s">
        <v>753</v>
      </c>
      <c r="I730" s="128">
        <v>0.9</v>
      </c>
      <c r="J730" s="129">
        <v>0.957446808510638</v>
      </c>
      <c r="K730" s="129">
        <v>0.95</v>
      </c>
      <c r="L730" s="130">
        <v>1</v>
      </c>
      <c r="M730" s="129">
        <v>0.967611336032389</v>
      </c>
      <c r="N730" s="131">
        <v>0.9</v>
      </c>
      <c r="O730" s="129">
        <v>0.983684427922346</v>
      </c>
      <c r="P730" s="129">
        <v>0.985401459854015</v>
      </c>
      <c r="Q730" s="129">
        <v>0.984799401943683</v>
      </c>
      <c r="R730" s="129">
        <v>0.985217602723073</v>
      </c>
      <c r="S730" s="131">
        <v>0.9</v>
      </c>
      <c r="T730" s="129">
        <v>0.952085914911194</v>
      </c>
      <c r="U730" s="129">
        <v>0.954118873826903</v>
      </c>
      <c r="V730" s="129">
        <v>0.951158734114129</v>
      </c>
      <c r="W730" s="129">
        <v>0.957573547289083</v>
      </c>
      <c r="X730" s="131">
        <v>0.92</v>
      </c>
      <c r="Y730" s="131">
        <v>0.957648546144121</v>
      </c>
      <c r="Z730" s="131">
        <v>0.950716332378224</v>
      </c>
      <c r="AA730" s="131">
        <v>0.967013888888889</v>
      </c>
      <c r="AB730" s="131">
        <v>0.963522635783737</v>
      </c>
      <c r="AC730" s="131">
        <v>0.92</v>
      </c>
      <c r="AD730" s="129">
        <v>0.999420961204401</v>
      </c>
      <c r="AE730" s="129">
        <v>0.998742770932864</v>
      </c>
      <c r="AF730" s="129">
        <v>0.998708010335917</v>
      </c>
      <c r="AG730" s="129">
        <v>0.998703472336814</v>
      </c>
      <c r="AH730" s="131">
        <v>0.92</v>
      </c>
      <c r="AI730" s="129">
        <v>0.978365758754864</v>
      </c>
      <c r="AJ730" s="129">
        <v>0.96969696969697</v>
      </c>
      <c r="AK730" s="129">
        <v>0.984752777172729</v>
      </c>
      <c r="AL730" s="129">
        <v>0.982019725931745</v>
      </c>
      <c r="AM730" s="128">
        <v>0.99</v>
      </c>
      <c r="AN730" s="133">
        <v>1</v>
      </c>
      <c r="AO730" s="133">
        <v>1</v>
      </c>
      <c r="AP730" s="133">
        <v>1</v>
      </c>
      <c r="AQ730" s="133">
        <v>1</v>
      </c>
      <c r="AR730" s="153">
        <v>0.0810595228934205</v>
      </c>
      <c r="AS730" s="137">
        <v>0.0416666666666667</v>
      </c>
      <c r="AT730" s="137">
        <v>0</v>
      </c>
      <c r="AU730" s="137">
        <v>0.05</v>
      </c>
      <c r="AV730" s="137">
        <v>0.023696682464455</v>
      </c>
      <c r="AW730" s="93"/>
      <c r="AX730" s="91"/>
    </row>
    <row r="731" ht="14.5" spans="1:50">
      <c r="A731" s="89"/>
      <c r="B731" s="93"/>
      <c r="C731" s="148" t="s">
        <v>664</v>
      </c>
      <c r="D731" s="126" t="s">
        <v>665</v>
      </c>
      <c r="E731" s="171" t="s">
        <v>754</v>
      </c>
      <c r="F731" s="171" t="s">
        <v>754</v>
      </c>
      <c r="G731" s="171" t="s">
        <v>754</v>
      </c>
      <c r="H731" s="171" t="s">
        <v>754</v>
      </c>
      <c r="I731" s="128">
        <v>0.9</v>
      </c>
      <c r="J731" s="129">
        <v>0.942307692307692</v>
      </c>
      <c r="K731" s="129">
        <v>0.92</v>
      </c>
      <c r="L731" s="130">
        <v>0.877551020408163</v>
      </c>
      <c r="M731" s="129">
        <v>0.92991452991453</v>
      </c>
      <c r="N731" s="131">
        <v>0.9</v>
      </c>
      <c r="O731" s="129">
        <v>0.977181878747502</v>
      </c>
      <c r="P731" s="129">
        <v>0.974950298210736</v>
      </c>
      <c r="Q731" s="129">
        <v>0.968193140448362</v>
      </c>
      <c r="R731" s="129">
        <v>0.971378926612132</v>
      </c>
      <c r="S731" s="131">
        <v>0.9</v>
      </c>
      <c r="T731" s="129">
        <v>0.933710859427049</v>
      </c>
      <c r="U731" s="129">
        <v>0.930417495029821</v>
      </c>
      <c r="V731" s="129">
        <v>0.935428242958421</v>
      </c>
      <c r="W731" s="129">
        <v>0.929599187833115</v>
      </c>
      <c r="X731" s="131">
        <v>0.92</v>
      </c>
      <c r="Y731" s="131">
        <v>0.936932391523713</v>
      </c>
      <c r="Z731" s="131">
        <v>0.951581975071908</v>
      </c>
      <c r="AA731" s="131">
        <v>0.954545454545455</v>
      </c>
      <c r="AB731" s="131">
        <v>0.942816003291165</v>
      </c>
      <c r="AC731" s="131">
        <v>0.92</v>
      </c>
      <c r="AD731" s="129">
        <v>0.996159563924678</v>
      </c>
      <c r="AE731" s="129">
        <v>0.996684577569452</v>
      </c>
      <c r="AF731" s="129">
        <v>0.982056256062076</v>
      </c>
      <c r="AG731" s="129">
        <v>0.985706486132343</v>
      </c>
      <c r="AH731" s="131">
        <v>0.92</v>
      </c>
      <c r="AI731" s="129">
        <v>0.965327325071974</v>
      </c>
      <c r="AJ731" s="129">
        <v>0.96309963099631</v>
      </c>
      <c r="AK731" s="129">
        <v>0.971316177675791</v>
      </c>
      <c r="AL731" s="129">
        <v>0.964267526735698</v>
      </c>
      <c r="AM731" s="128">
        <v>0.99</v>
      </c>
      <c r="AN731" s="133">
        <v>1</v>
      </c>
      <c r="AO731" s="133">
        <v>1</v>
      </c>
      <c r="AP731" s="133">
        <v>1</v>
      </c>
      <c r="AQ731" s="133">
        <v>1</v>
      </c>
      <c r="AR731" s="153">
        <v>0.0810595228934205</v>
      </c>
      <c r="AS731" s="137">
        <v>0.0555555555555556</v>
      </c>
      <c r="AT731" s="137">
        <v>0.05</v>
      </c>
      <c r="AU731" s="137">
        <v>0</v>
      </c>
      <c r="AV731" s="137">
        <v>0.0538116591928251</v>
      </c>
      <c r="AW731" s="93"/>
      <c r="AX731" s="91"/>
    </row>
    <row r="732" ht="14.5" spans="1:50">
      <c r="A732" s="89"/>
      <c r="B732" s="93"/>
      <c r="C732" s="148" t="s">
        <v>664</v>
      </c>
      <c r="D732" s="126" t="s">
        <v>665</v>
      </c>
      <c r="E732" s="171" t="s">
        <v>755</v>
      </c>
      <c r="F732" s="171" t="s">
        <v>755</v>
      </c>
      <c r="G732" s="171" t="s">
        <v>755</v>
      </c>
      <c r="H732" s="171" t="s">
        <v>755</v>
      </c>
      <c r="I732" s="128">
        <v>0.9</v>
      </c>
      <c r="J732" s="129">
        <v>0.9</v>
      </c>
      <c r="K732" s="129">
        <v>0.9375</v>
      </c>
      <c r="L732" s="130">
        <v>0.941176470588235</v>
      </c>
      <c r="M732" s="129">
        <v>0.92093023255814</v>
      </c>
      <c r="N732" s="131">
        <v>0.9</v>
      </c>
      <c r="O732" s="129">
        <v>0.907675981605943</v>
      </c>
      <c r="P732" s="129">
        <v>0.958361774744027</v>
      </c>
      <c r="Q732" s="129">
        <v>0.953629032258065</v>
      </c>
      <c r="R732" s="129">
        <v>0.933860249302033</v>
      </c>
      <c r="S732" s="131">
        <v>0.9</v>
      </c>
      <c r="T732" s="129">
        <v>0.912981959674567</v>
      </c>
      <c r="U732" s="129">
        <v>0.916723549488055</v>
      </c>
      <c r="V732" s="129">
        <v>0.908467741935484</v>
      </c>
      <c r="W732" s="129">
        <v>0.919507687468051</v>
      </c>
      <c r="X732" s="131">
        <v>0.92</v>
      </c>
      <c r="Y732" s="131">
        <v>0.958415841584158</v>
      </c>
      <c r="Z732" s="131">
        <v>0.951338199513382</v>
      </c>
      <c r="AA732" s="131">
        <v>0.969858156028369</v>
      </c>
      <c r="AB732" s="131">
        <v>0.943491887905605</v>
      </c>
      <c r="AC732" s="131">
        <v>0.92</v>
      </c>
      <c r="AD732" s="129">
        <v>0.999894537017507</v>
      </c>
      <c r="AE732" s="129">
        <v>0.991662638956017</v>
      </c>
      <c r="AF732" s="129">
        <v>0.998225982532751</v>
      </c>
      <c r="AG732" s="129">
        <v>0.948860123393451</v>
      </c>
      <c r="AH732" s="131">
        <v>0.92</v>
      </c>
      <c r="AI732" s="129">
        <v>0.966640604639041</v>
      </c>
      <c r="AJ732" s="129">
        <v>0.964814814814815</v>
      </c>
      <c r="AK732" s="129">
        <v>0.971738416036806</v>
      </c>
      <c r="AL732" s="129">
        <v>0.96414397530592</v>
      </c>
      <c r="AM732" s="128">
        <v>0.99</v>
      </c>
      <c r="AN732" s="133">
        <v>1</v>
      </c>
      <c r="AO732" s="133">
        <v>1</v>
      </c>
      <c r="AP732" s="133">
        <v>1</v>
      </c>
      <c r="AQ732" s="133">
        <v>1</v>
      </c>
      <c r="AR732" s="153">
        <v>0.0810595228934205</v>
      </c>
      <c r="AS732" s="137">
        <v>0.166666666666667</v>
      </c>
      <c r="AT732" s="137">
        <v>0</v>
      </c>
      <c r="AU732" s="137">
        <v>0</v>
      </c>
      <c r="AV732" s="137">
        <v>0.0309278350515464</v>
      </c>
      <c r="AW732" s="93"/>
      <c r="AX732" s="91"/>
    </row>
    <row r="733" ht="14.5" spans="1:50">
      <c r="A733" s="89"/>
      <c r="B733" s="93"/>
      <c r="C733" s="148" t="s">
        <v>664</v>
      </c>
      <c r="D733" s="126" t="s">
        <v>665</v>
      </c>
      <c r="E733" s="171" t="s">
        <v>756</v>
      </c>
      <c r="F733" s="171" t="s">
        <v>756</v>
      </c>
      <c r="G733" s="171" t="s">
        <v>756</v>
      </c>
      <c r="H733" s="171" t="s">
        <v>756</v>
      </c>
      <c r="I733" s="128">
        <v>0.9</v>
      </c>
      <c r="J733" s="129">
        <v>0.967741935483871</v>
      </c>
      <c r="K733" s="129">
        <v>1</v>
      </c>
      <c r="L733" s="130">
        <v>1</v>
      </c>
      <c r="M733" s="129">
        <v>0.982352941176471</v>
      </c>
      <c r="N733" s="131">
        <v>0.9</v>
      </c>
      <c r="O733" s="129">
        <v>0.991430260047281</v>
      </c>
      <c r="P733" s="129">
        <v>0.986943164362519</v>
      </c>
      <c r="Q733" s="129">
        <v>0.989736070381232</v>
      </c>
      <c r="R733" s="129">
        <v>0.988604996815061</v>
      </c>
      <c r="S733" s="131">
        <v>0.9</v>
      </c>
      <c r="T733" s="129">
        <v>0.945921985815603</v>
      </c>
      <c r="U733" s="129">
        <v>0.953149001536098</v>
      </c>
      <c r="V733" s="129">
        <v>0.950146627565982</v>
      </c>
      <c r="W733" s="129">
        <v>0.949713355509944</v>
      </c>
      <c r="X733" s="131">
        <v>0.92</v>
      </c>
      <c r="Y733" s="131">
        <v>0.983005366726297</v>
      </c>
      <c r="Z733" s="131">
        <v>0.971351835273053</v>
      </c>
      <c r="AA733" s="131">
        <v>0.977319587628866</v>
      </c>
      <c r="AB733" s="131">
        <v>0.970095918751176</v>
      </c>
      <c r="AC733" s="131">
        <v>0.92</v>
      </c>
      <c r="AD733" s="129">
        <v>0.998480243161094</v>
      </c>
      <c r="AE733" s="129">
        <v>0.996545768566494</v>
      </c>
      <c r="AF733" s="129">
        <v>0.996011964107677</v>
      </c>
      <c r="AG733" s="129">
        <v>0.997355546740711</v>
      </c>
      <c r="AH733" s="131">
        <v>0.92</v>
      </c>
      <c r="AI733" s="129">
        <v>0.985784095957352</v>
      </c>
      <c r="AJ733" s="129">
        <v>0.979347377116894</v>
      </c>
      <c r="AK733" s="129">
        <v>0.984754200373366</v>
      </c>
      <c r="AL733" s="129">
        <v>0.982621661225224</v>
      </c>
      <c r="AM733" s="128">
        <v>0.99</v>
      </c>
      <c r="AN733" s="133">
        <v>1</v>
      </c>
      <c r="AO733" s="133">
        <v>1</v>
      </c>
      <c r="AP733" s="133">
        <v>1</v>
      </c>
      <c r="AQ733" s="133">
        <v>1</v>
      </c>
      <c r="AR733" s="153">
        <v>0.0810595228934205</v>
      </c>
      <c r="AS733" s="137">
        <v>0</v>
      </c>
      <c r="AT733" s="137">
        <v>0.0909090909090909</v>
      </c>
      <c r="AU733" s="137">
        <v>0</v>
      </c>
      <c r="AV733" s="137">
        <v>0.0413223140495868</v>
      </c>
      <c r="AW733" s="93"/>
      <c r="AX733" s="91"/>
    </row>
    <row r="734" ht="14.5" spans="1:50">
      <c r="A734" s="89"/>
      <c r="B734" s="93"/>
      <c r="C734" s="148" t="s">
        <v>664</v>
      </c>
      <c r="D734" s="126" t="s">
        <v>665</v>
      </c>
      <c r="E734" s="171" t="s">
        <v>757</v>
      </c>
      <c r="F734" s="171" t="s">
        <v>757</v>
      </c>
      <c r="G734" s="171" t="s">
        <v>757</v>
      </c>
      <c r="H734" s="171" t="s">
        <v>757</v>
      </c>
      <c r="I734" s="128">
        <v>0.9</v>
      </c>
      <c r="J734" s="129">
        <v>0.951219512195122</v>
      </c>
      <c r="K734" s="129">
        <v>0.971428571428571</v>
      </c>
      <c r="L734" s="130">
        <v>0.948717948717949</v>
      </c>
      <c r="M734" s="129">
        <v>0.961538461538462</v>
      </c>
      <c r="N734" s="131">
        <v>0.9</v>
      </c>
      <c r="O734" s="129">
        <v>0.970254957507082</v>
      </c>
      <c r="P734" s="129">
        <v>0.984585741811175</v>
      </c>
      <c r="Q734" s="129">
        <v>0.97750946969697</v>
      </c>
      <c r="R734" s="129">
        <v>0.974711526782461</v>
      </c>
      <c r="S734" s="131">
        <v>0.9</v>
      </c>
      <c r="T734" s="129">
        <v>0.929583164710644</v>
      </c>
      <c r="U734" s="129">
        <v>0.914258188824663</v>
      </c>
      <c r="V734" s="129">
        <v>0.922585227272727</v>
      </c>
      <c r="W734" s="129">
        <v>0.931300862383092</v>
      </c>
      <c r="X734" s="131">
        <v>0.92</v>
      </c>
      <c r="Y734" s="131">
        <v>0.94747209455023</v>
      </c>
      <c r="Z734" s="131">
        <v>0.940744920993228</v>
      </c>
      <c r="AA734" s="131">
        <v>0.940902021772939</v>
      </c>
      <c r="AB734" s="131">
        <v>0.952063224719829</v>
      </c>
      <c r="AC734" s="131">
        <v>0.92</v>
      </c>
      <c r="AD734" s="129">
        <v>0.999436143219622</v>
      </c>
      <c r="AE734" s="129">
        <v>0.999150622876557</v>
      </c>
      <c r="AF734" s="129">
        <v>0.999117698958885</v>
      </c>
      <c r="AG734" s="129">
        <v>0.999165056418331</v>
      </c>
      <c r="AH734" s="131">
        <v>0.92</v>
      </c>
      <c r="AI734" s="129">
        <v>0.972471388802969</v>
      </c>
      <c r="AJ734" s="129">
        <v>0.958701298701299</v>
      </c>
      <c r="AK734" s="129">
        <v>0.970835900595605</v>
      </c>
      <c r="AL734" s="129">
        <v>0.970637569080283</v>
      </c>
      <c r="AM734" s="128">
        <v>0.99</v>
      </c>
      <c r="AN734" s="133">
        <v>1</v>
      </c>
      <c r="AO734" s="133">
        <v>1</v>
      </c>
      <c r="AP734" s="133">
        <v>1</v>
      </c>
      <c r="AQ734" s="133">
        <v>1</v>
      </c>
      <c r="AR734" s="153">
        <v>0.0810595228934205</v>
      </c>
      <c r="AS734" s="137">
        <v>0</v>
      </c>
      <c r="AT734" s="137">
        <v>0.137931034482759</v>
      </c>
      <c r="AU734" s="137">
        <v>0.0789473684210526</v>
      </c>
      <c r="AV734" s="137">
        <v>0.0454545454545455</v>
      </c>
      <c r="AW734" s="93"/>
      <c r="AX734" s="91"/>
    </row>
    <row r="735" ht="14.5" spans="1:50">
      <c r="A735" s="89"/>
      <c r="B735" s="93"/>
      <c r="C735" s="148" t="s">
        <v>664</v>
      </c>
      <c r="D735" s="126" t="s">
        <v>665</v>
      </c>
      <c r="E735" s="171" t="s">
        <v>758</v>
      </c>
      <c r="F735" s="171" t="s">
        <v>758</v>
      </c>
      <c r="G735" s="171" t="s">
        <v>758</v>
      </c>
      <c r="H735" s="171" t="s">
        <v>758</v>
      </c>
      <c r="I735" s="128">
        <v>0.9</v>
      </c>
      <c r="J735" s="129">
        <v>0.974358974358974</v>
      </c>
      <c r="K735" s="129">
        <v>0.942857142857143</v>
      </c>
      <c r="L735" s="130">
        <v>0.921052631578947</v>
      </c>
      <c r="M735" s="129">
        <v>0.910138248847926</v>
      </c>
      <c r="N735" s="131">
        <v>0.9</v>
      </c>
      <c r="O735" s="129">
        <v>0.954434100930916</v>
      </c>
      <c r="P735" s="129">
        <v>0.964576074332172</v>
      </c>
      <c r="Q735" s="129">
        <v>0.960654796094199</v>
      </c>
      <c r="R735" s="129">
        <v>0.969423834917691</v>
      </c>
      <c r="S735" s="131">
        <v>0.9</v>
      </c>
      <c r="T735" s="129">
        <v>0.95124938755512</v>
      </c>
      <c r="U735" s="129">
        <v>0.966898954703833</v>
      </c>
      <c r="V735" s="129">
        <v>0.962090752441126</v>
      </c>
      <c r="W735" s="129">
        <v>0.954527011361002</v>
      </c>
      <c r="X735" s="131">
        <v>0.92</v>
      </c>
      <c r="Y735" s="131">
        <v>0.956381260096931</v>
      </c>
      <c r="Z735" s="131">
        <v>0.96900826446281</v>
      </c>
      <c r="AA735" s="131">
        <v>0.961038961038961</v>
      </c>
      <c r="AB735" s="131">
        <v>0.955477401975456</v>
      </c>
      <c r="AC735" s="131">
        <v>0.92</v>
      </c>
      <c r="AD735" s="129">
        <v>0.999795375485983</v>
      </c>
      <c r="AE735" s="129">
        <v>0.999428135722455</v>
      </c>
      <c r="AF735" s="129">
        <v>0.999297456793593</v>
      </c>
      <c r="AG735" s="129">
        <v>0.999232778321907</v>
      </c>
      <c r="AH735" s="131">
        <v>0.92</v>
      </c>
      <c r="AI735" s="129">
        <v>0.976696109753806</v>
      </c>
      <c r="AJ735" s="129">
        <v>0.979842519685039</v>
      </c>
      <c r="AK735" s="129">
        <v>0.983654549890217</v>
      </c>
      <c r="AL735" s="129">
        <v>0.977756892230576</v>
      </c>
      <c r="AM735" s="128">
        <v>0.99</v>
      </c>
      <c r="AN735" s="133">
        <v>1</v>
      </c>
      <c r="AO735" s="133">
        <v>1</v>
      </c>
      <c r="AP735" s="133">
        <v>1</v>
      </c>
      <c r="AQ735" s="133">
        <v>1</v>
      </c>
      <c r="AR735" s="153">
        <v>0.0810595228934205</v>
      </c>
      <c r="AS735" s="137">
        <v>0</v>
      </c>
      <c r="AT735" s="137">
        <v>0</v>
      </c>
      <c r="AU735" s="137">
        <v>-0.0769230769230769</v>
      </c>
      <c r="AV735" s="137">
        <v>0.0344827586206897</v>
      </c>
      <c r="AW735" s="93"/>
      <c r="AX735" s="91"/>
    </row>
    <row r="736" ht="14.5" spans="1:50">
      <c r="A736" s="89"/>
      <c r="B736" s="93"/>
      <c r="C736" s="148" t="s">
        <v>664</v>
      </c>
      <c r="D736" s="126" t="s">
        <v>665</v>
      </c>
      <c r="E736" s="171" t="s">
        <v>759</v>
      </c>
      <c r="F736" s="171" t="s">
        <v>759</v>
      </c>
      <c r="G736" s="171" t="s">
        <v>759</v>
      </c>
      <c r="H736" s="171" t="s">
        <v>759</v>
      </c>
      <c r="I736" s="128">
        <v>0.9</v>
      </c>
      <c r="J736" s="129">
        <v>1</v>
      </c>
      <c r="K736" s="129">
        <v>0.941176470588235</v>
      </c>
      <c r="L736" s="130">
        <v>0.9</v>
      </c>
      <c r="M736" s="129">
        <v>0.934497816593886</v>
      </c>
      <c r="N736" s="131">
        <v>0.9</v>
      </c>
      <c r="O736" s="129">
        <v>0.956155890168291</v>
      </c>
      <c r="P736" s="129">
        <v>0.966194111232279</v>
      </c>
      <c r="Q736" s="129">
        <v>0.964065708418891</v>
      </c>
      <c r="R736" s="129">
        <v>0.952430627999165</v>
      </c>
      <c r="S736" s="131">
        <v>0.9</v>
      </c>
      <c r="T736" s="129">
        <v>0.935783879539415</v>
      </c>
      <c r="U736" s="129">
        <v>0.9432933478735</v>
      </c>
      <c r="V736" s="129">
        <v>0.935318275154004</v>
      </c>
      <c r="W736" s="129">
        <v>0.919726684748592</v>
      </c>
      <c r="X736" s="131">
        <v>0.92</v>
      </c>
      <c r="Y736" s="131">
        <v>0.966712898751734</v>
      </c>
      <c r="Z736" s="131">
        <v>0.965295629820051</v>
      </c>
      <c r="AA736" s="131">
        <v>0.963235294117647</v>
      </c>
      <c r="AB736" s="131">
        <v>0.952248750694059</v>
      </c>
      <c r="AC736" s="131">
        <v>0.92</v>
      </c>
      <c r="AD736" s="129">
        <v>0.999179655455291</v>
      </c>
      <c r="AE736" s="129">
        <v>1</v>
      </c>
      <c r="AF736" s="129">
        <v>0.999562554680665</v>
      </c>
      <c r="AG736" s="129">
        <v>0.999029691441878</v>
      </c>
      <c r="AH736" s="131">
        <v>0.92</v>
      </c>
      <c r="AI736" s="129">
        <v>0.976502181940248</v>
      </c>
      <c r="AJ736" s="129">
        <v>0.975811209439528</v>
      </c>
      <c r="AK736" s="129">
        <v>0.982890589824403</v>
      </c>
      <c r="AL736" s="129">
        <v>0.972707630491642</v>
      </c>
      <c r="AM736" s="128">
        <v>0.99</v>
      </c>
      <c r="AN736" s="133">
        <v>1</v>
      </c>
      <c r="AO736" s="133">
        <v>1</v>
      </c>
      <c r="AP736" s="133">
        <v>1</v>
      </c>
      <c r="AQ736" s="133">
        <v>1</v>
      </c>
      <c r="AR736" s="153">
        <v>0.0810595228934205</v>
      </c>
      <c r="AS736" s="137">
        <v>0.4</v>
      </c>
      <c r="AT736" s="137">
        <v>0</v>
      </c>
      <c r="AU736" s="137">
        <v>0.125</v>
      </c>
      <c r="AV736" s="137">
        <v>0.0958904109589041</v>
      </c>
      <c r="AW736" s="93"/>
      <c r="AX736" s="91"/>
    </row>
    <row r="737" ht="14.5" spans="1:50">
      <c r="A737" s="89"/>
      <c r="B737" s="93"/>
      <c r="C737" s="148" t="s">
        <v>664</v>
      </c>
      <c r="D737" s="126" t="s">
        <v>665</v>
      </c>
      <c r="E737" s="171" t="s">
        <v>760</v>
      </c>
      <c r="F737" s="171" t="s">
        <v>760</v>
      </c>
      <c r="G737" s="171" t="s">
        <v>760</v>
      </c>
      <c r="H737" s="171" t="s">
        <v>760</v>
      </c>
      <c r="I737" s="128">
        <v>0.9</v>
      </c>
      <c r="J737" s="129">
        <v>1</v>
      </c>
      <c r="K737" s="129">
        <v>1</v>
      </c>
      <c r="L737" s="130">
        <v>0.947368421052632</v>
      </c>
      <c r="M737" s="129">
        <v>0.962025316455696</v>
      </c>
      <c r="N737" s="131">
        <v>0.9</v>
      </c>
      <c r="O737" s="129">
        <v>0.980740740740741</v>
      </c>
      <c r="P737" s="129">
        <v>0.974830590513069</v>
      </c>
      <c r="Q737" s="129">
        <v>0.979972054028878</v>
      </c>
      <c r="R737" s="129">
        <v>0.983160807136383</v>
      </c>
      <c r="S737" s="131">
        <v>0.9</v>
      </c>
      <c r="T737" s="129">
        <v>0.95037037037037</v>
      </c>
      <c r="U737" s="129">
        <v>0.933204259438529</v>
      </c>
      <c r="V737" s="129">
        <v>0.936190032603633</v>
      </c>
      <c r="W737" s="129">
        <v>0.950674998807423</v>
      </c>
      <c r="X737" s="131">
        <v>0.92</v>
      </c>
      <c r="Y737" s="131">
        <v>0.942748091603053</v>
      </c>
      <c r="Z737" s="131">
        <v>0.948892674616695</v>
      </c>
      <c r="AA737" s="131">
        <v>0.86241610738255</v>
      </c>
      <c r="AB737" s="131">
        <v>0.9376953125</v>
      </c>
      <c r="AC737" s="131">
        <v>0.92</v>
      </c>
      <c r="AD737" s="129">
        <v>0.998260869565217</v>
      </c>
      <c r="AE737" s="129">
        <v>1</v>
      </c>
      <c r="AF737" s="129">
        <v>0.989276139410188</v>
      </c>
      <c r="AG737" s="129">
        <v>0.986912468336617</v>
      </c>
      <c r="AH737" s="131">
        <v>0.92</v>
      </c>
      <c r="AI737" s="129">
        <v>0.973325062034739</v>
      </c>
      <c r="AJ737" s="129">
        <v>0.966666666666667</v>
      </c>
      <c r="AK737" s="129">
        <v>0.96319018404908</v>
      </c>
      <c r="AL737" s="129">
        <v>0.969906076289055</v>
      </c>
      <c r="AM737" s="128">
        <v>0.99</v>
      </c>
      <c r="AN737" s="133">
        <v>1</v>
      </c>
      <c r="AO737" s="133">
        <v>1</v>
      </c>
      <c r="AP737" s="133">
        <v>1</v>
      </c>
      <c r="AQ737" s="133">
        <v>1</v>
      </c>
      <c r="AR737" s="153">
        <v>0.0810595228934205</v>
      </c>
      <c r="AS737" s="137">
        <v>0</v>
      </c>
      <c r="AT737" s="137">
        <v>0</v>
      </c>
      <c r="AU737" s="137">
        <v>0</v>
      </c>
      <c r="AV737" s="137">
        <v>0.0273972602739726</v>
      </c>
      <c r="AW737" s="93"/>
      <c r="AX737" s="91"/>
    </row>
    <row r="738" ht="14.5" spans="1:50">
      <c r="A738" s="89"/>
      <c r="B738" s="93"/>
      <c r="C738" s="148" t="s">
        <v>664</v>
      </c>
      <c r="D738" s="126" t="s">
        <v>665</v>
      </c>
      <c r="E738" s="171" t="s">
        <v>761</v>
      </c>
      <c r="F738" s="171" t="s">
        <v>761</v>
      </c>
      <c r="G738" s="171" t="s">
        <v>761</v>
      </c>
      <c r="H738" s="171" t="s">
        <v>761</v>
      </c>
      <c r="I738" s="128">
        <v>0.9</v>
      </c>
      <c r="J738" s="129">
        <v>0.973684210526316</v>
      </c>
      <c r="K738" s="129">
        <v>1</v>
      </c>
      <c r="L738" s="130">
        <v>0.971428571428571</v>
      </c>
      <c r="M738" s="129">
        <v>0.969047619047619</v>
      </c>
      <c r="N738" s="131">
        <v>0.9</v>
      </c>
      <c r="O738" s="129">
        <v>0.962903225806452</v>
      </c>
      <c r="P738" s="129">
        <v>0.957028852056476</v>
      </c>
      <c r="Q738" s="129">
        <v>0.962337302686237</v>
      </c>
      <c r="R738" s="129">
        <v>0.945345880625967</v>
      </c>
      <c r="S738" s="131">
        <v>0.9</v>
      </c>
      <c r="T738" s="129">
        <v>0.929723502304147</v>
      </c>
      <c r="U738" s="129">
        <v>0.933087783916513</v>
      </c>
      <c r="V738" s="129">
        <v>0.927166989753531</v>
      </c>
      <c r="W738" s="129">
        <v>0.919395003800886</v>
      </c>
      <c r="X738" s="131">
        <v>0.92</v>
      </c>
      <c r="Y738" s="131">
        <v>0.878260869565217</v>
      </c>
      <c r="Z738" s="131">
        <v>0.903642773207991</v>
      </c>
      <c r="AA738" s="131">
        <v>0.777777777777778</v>
      </c>
      <c r="AB738" s="131">
        <v>0.896211433756806</v>
      </c>
      <c r="AC738" s="131">
        <v>0.92</v>
      </c>
      <c r="AD738" s="129">
        <v>0.992647058823529</v>
      </c>
      <c r="AE738" s="129">
        <v>1</v>
      </c>
      <c r="AF738" s="129">
        <v>0.991452991452991</v>
      </c>
      <c r="AG738" s="129">
        <v>0.98298020145884</v>
      </c>
      <c r="AH738" s="131">
        <v>0.92</v>
      </c>
      <c r="AI738" s="129">
        <v>0.952661596958175</v>
      </c>
      <c r="AJ738" s="129">
        <v>0.940322580645161</v>
      </c>
      <c r="AK738" s="129">
        <v>0.952612393681653</v>
      </c>
      <c r="AL738" s="129">
        <v>0.950503480722969</v>
      </c>
      <c r="AM738" s="128">
        <v>0.99</v>
      </c>
      <c r="AN738" s="133">
        <v>1</v>
      </c>
      <c r="AO738" s="133">
        <v>1</v>
      </c>
      <c r="AP738" s="133">
        <v>1</v>
      </c>
      <c r="AQ738" s="133">
        <v>1</v>
      </c>
      <c r="AR738" s="153">
        <v>0.0810595228934205</v>
      </c>
      <c r="AS738" s="137">
        <v>0.0833333333333333</v>
      </c>
      <c r="AT738" s="137">
        <v>0</v>
      </c>
      <c r="AU738" s="137">
        <v>0</v>
      </c>
      <c r="AV738" s="137">
        <v>0.0479041916167665</v>
      </c>
      <c r="AW738" s="93"/>
      <c r="AX738" s="91"/>
    </row>
    <row r="739" ht="14.5" spans="1:50">
      <c r="A739" s="89"/>
      <c r="B739" s="93"/>
      <c r="C739" s="148" t="s">
        <v>664</v>
      </c>
      <c r="D739" s="126" t="s">
        <v>665</v>
      </c>
      <c r="E739" s="171" t="s">
        <v>762</v>
      </c>
      <c r="F739" s="171" t="s">
        <v>762</v>
      </c>
      <c r="G739" s="171" t="s">
        <v>762</v>
      </c>
      <c r="H739" s="171" t="s">
        <v>762</v>
      </c>
      <c r="I739" s="128">
        <v>0.9</v>
      </c>
      <c r="J739" s="129">
        <v>0.952380952380952</v>
      </c>
      <c r="K739" s="129">
        <v>0.96078431372549</v>
      </c>
      <c r="L739" s="130">
        <v>1</v>
      </c>
      <c r="M739" s="129">
        <v>0.952777777777778</v>
      </c>
      <c r="N739" s="131">
        <v>0.9</v>
      </c>
      <c r="O739" s="129">
        <v>0.951895043731778</v>
      </c>
      <c r="P739" s="129">
        <v>0.954947707160097</v>
      </c>
      <c r="Q739" s="129">
        <v>0.964104423495286</v>
      </c>
      <c r="R739" s="129">
        <v>0.961914672216441</v>
      </c>
      <c r="S739" s="131">
        <v>0.9</v>
      </c>
      <c r="T739" s="129">
        <v>0.922886297376093</v>
      </c>
      <c r="U739" s="129">
        <v>0.913917940466613</v>
      </c>
      <c r="V739" s="129">
        <v>0.930384336475707</v>
      </c>
      <c r="W739" s="129">
        <v>0.925546305931322</v>
      </c>
      <c r="X739" s="131">
        <v>0.92</v>
      </c>
      <c r="Y739" s="131">
        <v>0.916483516483516</v>
      </c>
      <c r="Z739" s="131">
        <v>0.92831541218638</v>
      </c>
      <c r="AA739" s="131">
        <v>0.830708661417323</v>
      </c>
      <c r="AB739" s="131">
        <v>0.915679597275688</v>
      </c>
      <c r="AC739" s="131">
        <v>0.92</v>
      </c>
      <c r="AD739" s="129">
        <v>0.989939637826962</v>
      </c>
      <c r="AE739" s="129">
        <v>0.987603305785124</v>
      </c>
      <c r="AF739" s="129">
        <v>0.97027027027027</v>
      </c>
      <c r="AG739" s="129">
        <v>0.991324657991325</v>
      </c>
      <c r="AH739" s="131">
        <v>0.92</v>
      </c>
      <c r="AI739" s="129">
        <v>0.962553191489362</v>
      </c>
      <c r="AJ739" s="129">
        <v>0.953398558187436</v>
      </c>
      <c r="AK739" s="129">
        <v>0.959713375796178</v>
      </c>
      <c r="AL739" s="129">
        <v>0.962926020623191</v>
      </c>
      <c r="AM739" s="128">
        <v>0.99</v>
      </c>
      <c r="AN739" s="133">
        <v>1</v>
      </c>
      <c r="AO739" s="133">
        <v>1</v>
      </c>
      <c r="AP739" s="133">
        <v>1</v>
      </c>
      <c r="AQ739" s="133">
        <v>1</v>
      </c>
      <c r="AR739" s="153">
        <v>0.0810595228934205</v>
      </c>
      <c r="AS739" s="137">
        <v>0.0526315789473684</v>
      </c>
      <c r="AT739" s="137">
        <v>0</v>
      </c>
      <c r="AU739" s="137">
        <v>0.125</v>
      </c>
      <c r="AV739" s="137">
        <v>0.100529100529101</v>
      </c>
      <c r="AW739" s="93"/>
      <c r="AX739" s="91"/>
    </row>
    <row r="740" ht="14.5" spans="1:50">
      <c r="A740" s="89"/>
      <c r="B740" s="93"/>
      <c r="C740" s="148" t="s">
        <v>664</v>
      </c>
      <c r="D740" s="126" t="s">
        <v>665</v>
      </c>
      <c r="E740" s="171" t="s">
        <v>763</v>
      </c>
      <c r="F740" s="171" t="s">
        <v>763</v>
      </c>
      <c r="G740" s="171" t="s">
        <v>763</v>
      </c>
      <c r="H740" s="171" t="s">
        <v>763</v>
      </c>
      <c r="I740" s="128">
        <v>0.9</v>
      </c>
      <c r="J740" s="129">
        <v>1</v>
      </c>
      <c r="K740" s="129">
        <v>1</v>
      </c>
      <c r="L740" s="130">
        <v>1</v>
      </c>
      <c r="M740" s="129">
        <v>0.994318181818182</v>
      </c>
      <c r="N740" s="131">
        <v>0.9</v>
      </c>
      <c r="O740" s="129">
        <v>0.958671763019589</v>
      </c>
      <c r="P740" s="129">
        <v>0.985393258426966</v>
      </c>
      <c r="Q740" s="129">
        <v>0.971798561151079</v>
      </c>
      <c r="R740" s="129">
        <v>0.973275835889338</v>
      </c>
      <c r="S740" s="131">
        <v>0.9</v>
      </c>
      <c r="T740" s="129">
        <v>0.931438127090301</v>
      </c>
      <c r="U740" s="129">
        <v>0.948876404494382</v>
      </c>
      <c r="V740" s="129">
        <v>0.936690647482014</v>
      </c>
      <c r="W740" s="129">
        <v>0.943909623735917</v>
      </c>
      <c r="X740" s="131">
        <v>0.92</v>
      </c>
      <c r="Y740" s="131">
        <v>0.967621419676214</v>
      </c>
      <c r="Z740" s="131">
        <v>0.952981651376147</v>
      </c>
      <c r="AA740" s="131">
        <v>0.88659793814433</v>
      </c>
      <c r="AB740" s="131">
        <v>0.951148699823277</v>
      </c>
      <c r="AC740" s="131">
        <v>0.92</v>
      </c>
      <c r="AD740" s="129">
        <v>0.993963217745332</v>
      </c>
      <c r="AE740" s="129">
        <v>0.991653387965703</v>
      </c>
      <c r="AF740" s="129">
        <v>0.931619537275064</v>
      </c>
      <c r="AG740" s="129">
        <v>0.99188718701074</v>
      </c>
      <c r="AH740" s="131">
        <v>0.92</v>
      </c>
      <c r="AI740" s="129">
        <v>0.972745490981964</v>
      </c>
      <c r="AJ740" s="129">
        <v>0.973981900452489</v>
      </c>
      <c r="AK740" s="129">
        <v>0.971969696969697</v>
      </c>
      <c r="AL740" s="129">
        <v>0.97601448920652</v>
      </c>
      <c r="AM740" s="128">
        <v>0.99</v>
      </c>
      <c r="AN740" s="133">
        <v>1</v>
      </c>
      <c r="AO740" s="133">
        <v>1</v>
      </c>
      <c r="AP740" s="133">
        <v>1</v>
      </c>
      <c r="AQ740" s="133">
        <v>1</v>
      </c>
      <c r="AR740" s="153">
        <v>0.0810595228934205</v>
      </c>
      <c r="AS740" s="137">
        <v>0</v>
      </c>
      <c r="AT740" s="137">
        <v>0</v>
      </c>
      <c r="AU740" s="137">
        <v>0.0555555555555556</v>
      </c>
      <c r="AV740" s="137">
        <v>0.0633802816901408</v>
      </c>
      <c r="AW740" s="93"/>
      <c r="AX740" s="91"/>
    </row>
    <row r="741" ht="14.5" spans="1:50">
      <c r="A741" s="89"/>
      <c r="B741" s="93"/>
      <c r="C741" s="148" t="s">
        <v>664</v>
      </c>
      <c r="D741" s="126" t="s">
        <v>665</v>
      </c>
      <c r="E741" s="171" t="s">
        <v>764</v>
      </c>
      <c r="F741" s="171" t="s">
        <v>764</v>
      </c>
      <c r="G741" s="171" t="s">
        <v>764</v>
      </c>
      <c r="H741" s="171" t="s">
        <v>764</v>
      </c>
      <c r="I741" s="128">
        <v>0.9</v>
      </c>
      <c r="J741" s="129">
        <v>0.969230769230769</v>
      </c>
      <c r="K741" s="129">
        <v>0.966101694915254</v>
      </c>
      <c r="L741" s="130">
        <v>0.952380952380952</v>
      </c>
      <c r="M741" s="129">
        <v>0.963165075034106</v>
      </c>
      <c r="N741" s="131">
        <v>0.9</v>
      </c>
      <c r="O741" s="129">
        <v>0.982264034546576</v>
      </c>
      <c r="P741" s="129">
        <v>0.976112026359143</v>
      </c>
      <c r="Q741" s="129">
        <v>0.95754534928599</v>
      </c>
      <c r="R741" s="129">
        <v>0.973836112578284</v>
      </c>
      <c r="S741" s="131">
        <v>0.9</v>
      </c>
      <c r="T741" s="129">
        <v>0.940623072177668</v>
      </c>
      <c r="U741" s="129">
        <v>0.957166392092257</v>
      </c>
      <c r="V741" s="129">
        <v>0.961018911617136</v>
      </c>
      <c r="W741" s="129">
        <v>0.955557232324757</v>
      </c>
      <c r="X741" s="131">
        <v>0.92</v>
      </c>
      <c r="Y741" s="131">
        <v>0.941370767960363</v>
      </c>
      <c r="Z741" s="131">
        <v>0.902597402597403</v>
      </c>
      <c r="AA741" s="131">
        <v>0.800289435600579</v>
      </c>
      <c r="AB741" s="131">
        <v>0.916159789577511</v>
      </c>
      <c r="AC741" s="131">
        <v>0.92</v>
      </c>
      <c r="AD741" s="129">
        <v>0.954954954954955</v>
      </c>
      <c r="AE741" s="129">
        <v>0.944625407166124</v>
      </c>
      <c r="AF741" s="129">
        <v>0.968379446640316</v>
      </c>
      <c r="AG741" s="129">
        <v>0.962512926577042</v>
      </c>
      <c r="AH741" s="131">
        <v>0.92</v>
      </c>
      <c r="AI741" s="129">
        <v>0.968810916179337</v>
      </c>
      <c r="AJ741" s="129">
        <v>0.950586950586951</v>
      </c>
      <c r="AK741" s="129">
        <v>0.955744680851064</v>
      </c>
      <c r="AL741" s="129">
        <v>0.963265744347986</v>
      </c>
      <c r="AM741" s="128">
        <v>0.99</v>
      </c>
      <c r="AN741" s="133">
        <v>1</v>
      </c>
      <c r="AO741" s="133">
        <v>1</v>
      </c>
      <c r="AP741" s="133">
        <v>1</v>
      </c>
      <c r="AQ741" s="133">
        <v>1</v>
      </c>
      <c r="AR741" s="153">
        <v>0.0810595228934205</v>
      </c>
      <c r="AS741" s="137">
        <v>0.0833333333333333</v>
      </c>
      <c r="AT741" s="137">
        <v>0</v>
      </c>
      <c r="AU741" s="137">
        <v>0.19047619047619</v>
      </c>
      <c r="AV741" s="137">
        <v>0.0641025641025641</v>
      </c>
      <c r="AW741" s="93"/>
      <c r="AX741" s="91"/>
    </row>
    <row r="742" ht="14.5" spans="1:50">
      <c r="A742" s="89"/>
      <c r="B742" s="93"/>
      <c r="C742" s="148" t="s">
        <v>664</v>
      </c>
      <c r="D742" s="126" t="s">
        <v>665</v>
      </c>
      <c r="E742" s="171" t="s">
        <v>765</v>
      </c>
      <c r="F742" s="171" t="s">
        <v>765</v>
      </c>
      <c r="G742" s="171" t="s">
        <v>765</v>
      </c>
      <c r="H742" s="171" t="s">
        <v>765</v>
      </c>
      <c r="I742" s="128">
        <v>0.9</v>
      </c>
      <c r="J742" s="129">
        <v>0.948717948717949</v>
      </c>
      <c r="K742" s="129">
        <v>0.971428571428571</v>
      </c>
      <c r="L742" s="130">
        <v>0.95</v>
      </c>
      <c r="M742" s="129">
        <v>0.952069716775599</v>
      </c>
      <c r="N742" s="131">
        <v>0.9</v>
      </c>
      <c r="O742" s="129">
        <v>0.953727506426735</v>
      </c>
      <c r="P742" s="129">
        <v>0.976987447698745</v>
      </c>
      <c r="Q742" s="129">
        <v>0.990658266348034</v>
      </c>
      <c r="R742" s="129">
        <v>0.983698514092085</v>
      </c>
      <c r="S742" s="131">
        <v>0.9</v>
      </c>
      <c r="T742" s="129">
        <v>0.902142245072836</v>
      </c>
      <c r="U742" s="129">
        <v>0.936401673640167</v>
      </c>
      <c r="V742" s="129">
        <v>0.930480121659787</v>
      </c>
      <c r="W742" s="129">
        <v>0.938228358174783</v>
      </c>
      <c r="X742" s="131">
        <v>0.92</v>
      </c>
      <c r="Y742" s="131">
        <v>0.908485856905158</v>
      </c>
      <c r="Z742" s="131">
        <v>0.910969793322735</v>
      </c>
      <c r="AA742" s="131">
        <v>0.849726775956284</v>
      </c>
      <c r="AB742" s="131">
        <v>0.925491949910555</v>
      </c>
      <c r="AC742" s="131">
        <v>0.92</v>
      </c>
      <c r="AD742" s="129">
        <v>0.999210526315789</v>
      </c>
      <c r="AE742" s="129">
        <v>0.996808680389341</v>
      </c>
      <c r="AF742" s="129">
        <v>0.989717223650386</v>
      </c>
      <c r="AG742" s="129">
        <v>0.996345892958733</v>
      </c>
      <c r="AH742" s="131">
        <v>0.92</v>
      </c>
      <c r="AI742" s="129">
        <v>0.956521739130435</v>
      </c>
      <c r="AJ742" s="129">
        <v>0.953711311969323</v>
      </c>
      <c r="AK742" s="129">
        <v>0.958020989505247</v>
      </c>
      <c r="AL742" s="129">
        <v>0.966797266514806</v>
      </c>
      <c r="AM742" s="128">
        <v>0.99</v>
      </c>
      <c r="AN742" s="133">
        <v>1</v>
      </c>
      <c r="AO742" s="133">
        <v>1</v>
      </c>
      <c r="AP742" s="133">
        <v>1</v>
      </c>
      <c r="AQ742" s="133">
        <v>1</v>
      </c>
      <c r="AR742" s="153">
        <v>0.0810595228934205</v>
      </c>
      <c r="AS742" s="137">
        <v>0.0769230769230769</v>
      </c>
      <c r="AT742" s="137">
        <v>0.111111111111111</v>
      </c>
      <c r="AU742" s="137">
        <v>0.0588235294117647</v>
      </c>
      <c r="AV742" s="137">
        <v>0.0751445086705202</v>
      </c>
      <c r="AW742" s="93"/>
      <c r="AX742" s="91"/>
    </row>
    <row r="743" ht="14.5" spans="1:50">
      <c r="A743" s="89"/>
      <c r="B743" s="93"/>
      <c r="C743" s="148" t="s">
        <v>664</v>
      </c>
      <c r="D743" s="126" t="s">
        <v>665</v>
      </c>
      <c r="E743" s="171" t="s">
        <v>766</v>
      </c>
      <c r="F743" s="171" t="s">
        <v>766</v>
      </c>
      <c r="G743" s="171" t="s">
        <v>766</v>
      </c>
      <c r="H743" s="171" t="s">
        <v>766</v>
      </c>
      <c r="I743" s="128">
        <v>0.9</v>
      </c>
      <c r="J743" s="129">
        <v>0.972972972972973</v>
      </c>
      <c r="K743" s="129">
        <v>0.9</v>
      </c>
      <c r="L743" s="130">
        <v>0.914285714285714</v>
      </c>
      <c r="M743" s="129">
        <v>0.91219512195122</v>
      </c>
      <c r="N743" s="131">
        <v>0.9</v>
      </c>
      <c r="O743" s="129">
        <v>0.985981308411215</v>
      </c>
      <c r="P743" s="129">
        <v>0.985163204747775</v>
      </c>
      <c r="Q743" s="129">
        <v>0.976975554292212</v>
      </c>
      <c r="R743" s="129">
        <v>0.974170783345095</v>
      </c>
      <c r="S743" s="131">
        <v>0.9</v>
      </c>
      <c r="T743" s="129">
        <v>0.919893190921228</v>
      </c>
      <c r="U743" s="129">
        <v>0.943620178041543</v>
      </c>
      <c r="V743" s="129">
        <v>0.900227401932916</v>
      </c>
      <c r="W743" s="129">
        <v>0.918052223006351</v>
      </c>
      <c r="X743" s="131">
        <v>0.92</v>
      </c>
      <c r="Y743" s="131">
        <v>0.929642445213379</v>
      </c>
      <c r="Z743" s="131">
        <v>0.928327645051195</v>
      </c>
      <c r="AA743" s="131">
        <v>0.850102669404518</v>
      </c>
      <c r="AB743" s="131">
        <v>0.930888575458392</v>
      </c>
      <c r="AC743" s="131">
        <v>0.92</v>
      </c>
      <c r="AD743" s="129">
        <v>0.996959399034162</v>
      </c>
      <c r="AE743" s="129">
        <v>0.997515870825283</v>
      </c>
      <c r="AF743" s="129">
        <v>0.98050139275766</v>
      </c>
      <c r="AG743" s="129">
        <v>0.997023031570387</v>
      </c>
      <c r="AH743" s="131">
        <v>0.92</v>
      </c>
      <c r="AI743" s="129">
        <v>0.967170304047752</v>
      </c>
      <c r="AJ743" s="129">
        <v>0.959438377535101</v>
      </c>
      <c r="AK743" s="129">
        <v>0.954307116104869</v>
      </c>
      <c r="AL743" s="129">
        <v>0.963139931740614</v>
      </c>
      <c r="AM743" s="128">
        <v>0.99</v>
      </c>
      <c r="AN743" s="133">
        <v>1</v>
      </c>
      <c r="AO743" s="133">
        <v>1</v>
      </c>
      <c r="AP743" s="133">
        <v>1</v>
      </c>
      <c r="AQ743" s="133">
        <v>1</v>
      </c>
      <c r="AR743" s="153">
        <v>0.0810595228934205</v>
      </c>
      <c r="AS743" s="137">
        <v>0.105263157894737</v>
      </c>
      <c r="AT743" s="137">
        <v>0</v>
      </c>
      <c r="AU743" s="137">
        <v>0.142857142857143</v>
      </c>
      <c r="AV743" s="137">
        <v>0.0794701986754967</v>
      </c>
      <c r="AW743" s="93"/>
      <c r="AX743" s="91"/>
    </row>
    <row r="744" ht="14.5" spans="1:50">
      <c r="A744" s="89"/>
      <c r="B744" s="93"/>
      <c r="C744" s="148" t="s">
        <v>664</v>
      </c>
      <c r="D744" s="126" t="s">
        <v>665</v>
      </c>
      <c r="E744" s="171" t="s">
        <v>767</v>
      </c>
      <c r="F744" s="171" t="s">
        <v>767</v>
      </c>
      <c r="G744" s="171" t="s">
        <v>767</v>
      </c>
      <c r="H744" s="171" t="s">
        <v>767</v>
      </c>
      <c r="I744" s="128">
        <v>0.9</v>
      </c>
      <c r="J744" s="129">
        <v>1</v>
      </c>
      <c r="K744" s="129">
        <v>0.945945945945946</v>
      </c>
      <c r="L744" s="130">
        <v>0.925</v>
      </c>
      <c r="M744" s="129">
        <v>0.921161825726141</v>
      </c>
      <c r="N744" s="131">
        <v>0.9</v>
      </c>
      <c r="O744" s="129">
        <v>0.955193482688391</v>
      </c>
      <c r="P744" s="129">
        <v>0.948616600790514</v>
      </c>
      <c r="Q744" s="129">
        <v>0.895558809175207</v>
      </c>
      <c r="R744" s="129">
        <v>0.944278010784901</v>
      </c>
      <c r="S744" s="131">
        <v>0.9</v>
      </c>
      <c r="T744" s="129">
        <v>0.877189409368635</v>
      </c>
      <c r="U744" s="129">
        <v>0.919819311123659</v>
      </c>
      <c r="V744" s="129">
        <v>0.879209370424597</v>
      </c>
      <c r="W744" s="129">
        <v>0.912019173157579</v>
      </c>
      <c r="X744" s="131">
        <v>0.92</v>
      </c>
      <c r="Y744" s="131">
        <v>0.904663212435233</v>
      </c>
      <c r="Z744" s="131">
        <v>0.856164383561644</v>
      </c>
      <c r="AA744" s="131">
        <v>0.742173112338858</v>
      </c>
      <c r="AB744" s="131">
        <v>0.834916283168511</v>
      </c>
      <c r="AC744" s="131">
        <v>0.92</v>
      </c>
      <c r="AD744" s="129">
        <v>0.987676056338028</v>
      </c>
      <c r="AE744" s="129">
        <v>0.987588652482269</v>
      </c>
      <c r="AF744" s="129">
        <v>0.976271186440678</v>
      </c>
      <c r="AG744" s="129">
        <v>0.986690328305235</v>
      </c>
      <c r="AH744" s="131">
        <v>0.92</v>
      </c>
      <c r="AI744" s="129">
        <v>0.95268085106383</v>
      </c>
      <c r="AJ744" s="129">
        <v>0.922059349302824</v>
      </c>
      <c r="AK744" s="129">
        <v>0.932572167169324</v>
      </c>
      <c r="AL744" s="129">
        <v>0.939725869171832</v>
      </c>
      <c r="AM744" s="128">
        <v>0.99</v>
      </c>
      <c r="AN744" s="133">
        <v>1</v>
      </c>
      <c r="AO744" s="133">
        <v>1</v>
      </c>
      <c r="AP744" s="133">
        <v>1</v>
      </c>
      <c r="AQ744" s="133">
        <v>1</v>
      </c>
      <c r="AR744" s="153">
        <v>0.0810595228934205</v>
      </c>
      <c r="AS744" s="137">
        <v>0</v>
      </c>
      <c r="AT744" s="137">
        <v>0.0555555555555556</v>
      </c>
      <c r="AU744" s="137">
        <v>0.05</v>
      </c>
      <c r="AV744" s="137">
        <v>0.0240963855421687</v>
      </c>
      <c r="AW744" s="93"/>
      <c r="AX744" s="91"/>
    </row>
    <row r="745" ht="14.5" spans="1:50">
      <c r="A745" s="89"/>
      <c r="B745" s="93"/>
      <c r="C745" s="148" t="s">
        <v>664</v>
      </c>
      <c r="D745" s="126" t="s">
        <v>665</v>
      </c>
      <c r="E745" s="171" t="s">
        <v>768</v>
      </c>
      <c r="F745" s="171" t="s">
        <v>768</v>
      </c>
      <c r="G745" s="171" t="s">
        <v>768</v>
      </c>
      <c r="H745" s="171" t="s">
        <v>768</v>
      </c>
      <c r="I745" s="128">
        <v>0.9</v>
      </c>
      <c r="J745" s="129">
        <v>1</v>
      </c>
      <c r="K745" s="129">
        <v>1</v>
      </c>
      <c r="L745" s="130">
        <v>0.942857142857143</v>
      </c>
      <c r="M745" s="129">
        <v>0.97027027027027</v>
      </c>
      <c r="N745" s="131">
        <v>0.9</v>
      </c>
      <c r="O745" s="129">
        <v>0.960691823899371</v>
      </c>
      <c r="P745" s="129">
        <v>0.974862047823421</v>
      </c>
      <c r="Q745" s="129">
        <v>0.959958577839144</v>
      </c>
      <c r="R745" s="129">
        <v>0.966853952436482</v>
      </c>
      <c r="S745" s="131">
        <v>0.9</v>
      </c>
      <c r="T745" s="129">
        <v>0.933962264150943</v>
      </c>
      <c r="U745" s="129">
        <v>0.936848559166156</v>
      </c>
      <c r="V745" s="129">
        <v>0.922678633068692</v>
      </c>
      <c r="W745" s="129">
        <v>0.929891515601258</v>
      </c>
      <c r="X745" s="131">
        <v>0.92</v>
      </c>
      <c r="Y745" s="131">
        <v>0.935028248587571</v>
      </c>
      <c r="Z745" s="131">
        <v>0.95125</v>
      </c>
      <c r="AA745" s="131">
        <v>0.875</v>
      </c>
      <c r="AB745" s="131">
        <v>0.932748938501575</v>
      </c>
      <c r="AC745" s="131">
        <v>0.92</v>
      </c>
      <c r="AD745" s="129">
        <v>0.99922510654785</v>
      </c>
      <c r="AE745" s="129">
        <v>0.972070353888536</v>
      </c>
      <c r="AF745" s="129">
        <v>0.88157528879452</v>
      </c>
      <c r="AG745" s="129">
        <v>0.917839288657286</v>
      </c>
      <c r="AH745" s="131">
        <v>0.92</v>
      </c>
      <c r="AI745" s="129">
        <v>0.967352185089974</v>
      </c>
      <c r="AJ745" s="129">
        <v>0.963890028723841</v>
      </c>
      <c r="AK745" s="129">
        <v>0.958858858858859</v>
      </c>
      <c r="AL745" s="129">
        <v>0.964146334615493</v>
      </c>
      <c r="AM745" s="128">
        <v>0.99</v>
      </c>
      <c r="AN745" s="133">
        <v>1</v>
      </c>
      <c r="AO745" s="133">
        <v>1</v>
      </c>
      <c r="AP745" s="133">
        <v>1</v>
      </c>
      <c r="AQ745" s="133">
        <v>1</v>
      </c>
      <c r="AR745" s="153">
        <v>0.0810595228934205</v>
      </c>
      <c r="AS745" s="137">
        <v>0</v>
      </c>
      <c r="AT745" s="137">
        <v>0</v>
      </c>
      <c r="AU745" s="137">
        <v>0</v>
      </c>
      <c r="AV745" s="137">
        <v>0.0645161290322581</v>
      </c>
      <c r="AW745" s="93"/>
      <c r="AX745" s="91"/>
    </row>
    <row r="746" ht="14.5" spans="1:50">
      <c r="A746" s="89"/>
      <c r="B746" s="93"/>
      <c r="C746" s="148" t="s">
        <v>664</v>
      </c>
      <c r="D746" s="126" t="s">
        <v>665</v>
      </c>
      <c r="E746" s="171" t="s">
        <v>769</v>
      </c>
      <c r="F746" s="171" t="s">
        <v>769</v>
      </c>
      <c r="G746" s="171" t="s">
        <v>769</v>
      </c>
      <c r="H746" s="171" t="s">
        <v>769</v>
      </c>
      <c r="I746" s="128">
        <v>0.9</v>
      </c>
      <c r="J746" s="129">
        <v>0.96875</v>
      </c>
      <c r="K746" s="129">
        <v>1</v>
      </c>
      <c r="L746" s="130">
        <v>1</v>
      </c>
      <c r="M746" s="129">
        <v>0.988505747126437</v>
      </c>
      <c r="N746" s="131">
        <v>0.9</v>
      </c>
      <c r="O746" s="129">
        <v>0.970292044310171</v>
      </c>
      <c r="P746" s="129">
        <v>0.971978021978022</v>
      </c>
      <c r="Q746" s="129">
        <v>0.965787821720025</v>
      </c>
      <c r="R746" s="129">
        <v>0.973182603234417</v>
      </c>
      <c r="S746" s="131">
        <v>0.9</v>
      </c>
      <c r="T746" s="129">
        <v>0.940835850956697</v>
      </c>
      <c r="U746" s="129">
        <v>0.947802197802198</v>
      </c>
      <c r="V746" s="129">
        <v>0.932203389830508</v>
      </c>
      <c r="W746" s="129">
        <v>0.943382006594442</v>
      </c>
      <c r="X746" s="131">
        <v>0.92</v>
      </c>
      <c r="Y746" s="131">
        <v>0.953045685279188</v>
      </c>
      <c r="Z746" s="131">
        <v>0.948896631823461</v>
      </c>
      <c r="AA746" s="131">
        <v>0.892100192678227</v>
      </c>
      <c r="AB746" s="131">
        <v>0.95345326456158</v>
      </c>
      <c r="AC746" s="131">
        <v>0.92</v>
      </c>
      <c r="AD746" s="129">
        <v>0.990076680198466</v>
      </c>
      <c r="AE746" s="129">
        <v>0.996710093433346</v>
      </c>
      <c r="AF746" s="129">
        <v>0.989121676067687</v>
      </c>
      <c r="AG746" s="129">
        <v>0.944680320388184</v>
      </c>
      <c r="AH746" s="131">
        <v>0.92</v>
      </c>
      <c r="AI746" s="129">
        <v>0.974811083123426</v>
      </c>
      <c r="AJ746" s="129">
        <v>0.963528098250837</v>
      </c>
      <c r="AK746" s="129">
        <v>0.963062820167161</v>
      </c>
      <c r="AL746" s="129">
        <v>0.971722042241141</v>
      </c>
      <c r="AM746" s="128">
        <v>0.99</v>
      </c>
      <c r="AN746" s="133">
        <v>1</v>
      </c>
      <c r="AO746" s="133">
        <v>1</v>
      </c>
      <c r="AP746" s="133">
        <v>1</v>
      </c>
      <c r="AQ746" s="133">
        <v>1</v>
      </c>
      <c r="AR746" s="153">
        <v>0.0810595228934205</v>
      </c>
      <c r="AS746" s="137">
        <v>0.0714285714285714</v>
      </c>
      <c r="AT746" s="137">
        <v>0</v>
      </c>
      <c r="AU746" s="137">
        <v>0</v>
      </c>
      <c r="AV746" s="137">
        <v>0.0610687022900763</v>
      </c>
      <c r="AW746" s="93"/>
      <c r="AX746" s="91"/>
    </row>
    <row r="747" ht="14.5" spans="1:50">
      <c r="A747" s="89"/>
      <c r="B747" s="93"/>
      <c r="C747" s="148" t="s">
        <v>664</v>
      </c>
      <c r="D747" s="126" t="s">
        <v>665</v>
      </c>
      <c r="E747" s="171" t="s">
        <v>770</v>
      </c>
      <c r="F747" s="171" t="s">
        <v>770</v>
      </c>
      <c r="G747" s="171" t="s">
        <v>770</v>
      </c>
      <c r="H747" s="171" t="s">
        <v>770</v>
      </c>
      <c r="I747" s="128">
        <v>0.9</v>
      </c>
      <c r="J747" s="129">
        <v>0.957446808510638</v>
      </c>
      <c r="K747" s="129">
        <v>0.909090909090909</v>
      </c>
      <c r="L747" s="130">
        <v>1</v>
      </c>
      <c r="M747" s="129">
        <v>0.955789473684211</v>
      </c>
      <c r="N747" s="131">
        <v>0.9</v>
      </c>
      <c r="O747" s="129">
        <v>0.980815930063137</v>
      </c>
      <c r="P747" s="129">
        <v>0.990409207161125</v>
      </c>
      <c r="Q747" s="129">
        <v>0.986997278500151</v>
      </c>
      <c r="R747" s="129">
        <v>0.98472406714165</v>
      </c>
      <c r="S747" s="131">
        <v>0.9</v>
      </c>
      <c r="T747" s="129">
        <v>0.947547353084021</v>
      </c>
      <c r="U747" s="129">
        <v>0.947570332480818</v>
      </c>
      <c r="V747" s="129">
        <v>0.959782280012096</v>
      </c>
      <c r="W747" s="129">
        <v>0.960451636275812</v>
      </c>
      <c r="X747" s="131">
        <v>0.92</v>
      </c>
      <c r="Y747" s="131">
        <v>0.988015978695073</v>
      </c>
      <c r="Z747" s="131">
        <v>0.993464052287582</v>
      </c>
      <c r="AA747" s="131">
        <v>0.856481481481482</v>
      </c>
      <c r="AB747" s="131">
        <v>0.986444212721585</v>
      </c>
      <c r="AC747" s="131">
        <v>0.92</v>
      </c>
      <c r="AD747" s="129">
        <v>0.994781212364512</v>
      </c>
      <c r="AE747" s="129">
        <v>0.995203836930456</v>
      </c>
      <c r="AF747" s="129">
        <v>0.985380116959064</v>
      </c>
      <c r="AG747" s="129">
        <v>0.994758002951804</v>
      </c>
      <c r="AH747" s="131">
        <v>0.92</v>
      </c>
      <c r="AI747" s="129">
        <v>0.988090349075975</v>
      </c>
      <c r="AJ747" s="129">
        <v>0.993135993135993</v>
      </c>
      <c r="AK747" s="129">
        <v>0.979673709548007</v>
      </c>
      <c r="AL747" s="129">
        <v>0.992206837397378</v>
      </c>
      <c r="AM747" s="128">
        <v>0.99</v>
      </c>
      <c r="AN747" s="133">
        <v>1</v>
      </c>
      <c r="AO747" s="133">
        <v>1</v>
      </c>
      <c r="AP747" s="133">
        <v>1</v>
      </c>
      <c r="AQ747" s="133">
        <v>1</v>
      </c>
      <c r="AR747" s="153">
        <v>0.0810595228934205</v>
      </c>
      <c r="AS747" s="137">
        <v>0</v>
      </c>
      <c r="AT747" s="137">
        <v>0.2</v>
      </c>
      <c r="AU747" s="137">
        <v>0.0714285714285714</v>
      </c>
      <c r="AV747" s="137">
        <v>0.0137931034482759</v>
      </c>
      <c r="AW747" s="93"/>
      <c r="AX747" s="91"/>
    </row>
    <row r="748" ht="14.5" spans="1:50">
      <c r="A748" s="89"/>
      <c r="B748" s="93"/>
      <c r="C748" s="148" t="s">
        <v>664</v>
      </c>
      <c r="D748" s="126" t="s">
        <v>665</v>
      </c>
      <c r="E748" s="171" t="s">
        <v>771</v>
      </c>
      <c r="F748" s="171" t="s">
        <v>771</v>
      </c>
      <c r="G748" s="171" t="s">
        <v>771</v>
      </c>
      <c r="H748" s="171" t="s">
        <v>771</v>
      </c>
      <c r="I748" s="128">
        <v>0.9</v>
      </c>
      <c r="J748" s="129">
        <v>1</v>
      </c>
      <c r="K748" s="129">
        <v>1</v>
      </c>
      <c r="L748" s="130">
        <v>1</v>
      </c>
      <c r="M748" s="129">
        <v>0.984076433121019</v>
      </c>
      <c r="N748" s="131">
        <v>0.9</v>
      </c>
      <c r="O748" s="129">
        <v>0.977219430485762</v>
      </c>
      <c r="P748" s="129">
        <v>0.975455265241489</v>
      </c>
      <c r="Q748" s="129">
        <v>0.974512146555157</v>
      </c>
      <c r="R748" s="129">
        <v>0.978101016595009</v>
      </c>
      <c r="S748" s="131">
        <v>0.9</v>
      </c>
      <c r="T748" s="129">
        <v>0.946733668341709</v>
      </c>
      <c r="U748" s="129">
        <v>0.944576405384006</v>
      </c>
      <c r="V748" s="129">
        <v>0.949024293110315</v>
      </c>
      <c r="W748" s="129">
        <v>0.950938240848636</v>
      </c>
      <c r="X748" s="131">
        <v>0.92</v>
      </c>
      <c r="Y748" s="131">
        <v>0.917701863354037</v>
      </c>
      <c r="Z748" s="131">
        <v>0.905044510385757</v>
      </c>
      <c r="AA748" s="131">
        <v>0.774798927613941</v>
      </c>
      <c r="AB748" s="131">
        <v>0.895398821843655</v>
      </c>
      <c r="AC748" s="131">
        <v>0.92</v>
      </c>
      <c r="AD748" s="129">
        <v>0.995977011494253</v>
      </c>
      <c r="AE748" s="129">
        <v>0.994102592633804</v>
      </c>
      <c r="AF748" s="129">
        <v>0.919064058304565</v>
      </c>
      <c r="AG748" s="129">
        <v>0.98998299986923</v>
      </c>
      <c r="AH748" s="131">
        <v>0.92</v>
      </c>
      <c r="AI748" s="129">
        <v>0.968328284219223</v>
      </c>
      <c r="AJ748" s="129">
        <v>0.949922560660816</v>
      </c>
      <c r="AK748" s="129">
        <v>0.952512998266898</v>
      </c>
      <c r="AL748" s="129">
        <v>0.964493055778298</v>
      </c>
      <c r="AM748" s="128">
        <v>0.99</v>
      </c>
      <c r="AN748" s="133">
        <v>1</v>
      </c>
      <c r="AO748" s="133">
        <v>1</v>
      </c>
      <c r="AP748" s="133">
        <v>1</v>
      </c>
      <c r="AQ748" s="133">
        <v>1</v>
      </c>
      <c r="AR748" s="153">
        <v>0.0810595228934205</v>
      </c>
      <c r="AS748" s="137">
        <v>0</v>
      </c>
      <c r="AT748" s="137">
        <v>0</v>
      </c>
      <c r="AU748" s="137">
        <v>0.153846153846154</v>
      </c>
      <c r="AV748" s="137">
        <v>0.0465116279069767</v>
      </c>
      <c r="AW748" s="93"/>
      <c r="AX748" s="91"/>
    </row>
    <row r="749" ht="14.5" spans="1:50">
      <c r="A749" s="89"/>
      <c r="B749" s="93"/>
      <c r="C749" s="148" t="s">
        <v>664</v>
      </c>
      <c r="D749" s="126" t="s">
        <v>665</v>
      </c>
      <c r="E749" s="171" t="s">
        <v>772</v>
      </c>
      <c r="F749" s="171" t="s">
        <v>772</v>
      </c>
      <c r="G749" s="171" t="s">
        <v>772</v>
      </c>
      <c r="H749" s="171" t="s">
        <v>772</v>
      </c>
      <c r="I749" s="128">
        <v>0.9</v>
      </c>
      <c r="J749" s="129">
        <v>0.953488372093023</v>
      </c>
      <c r="K749" s="129">
        <v>1</v>
      </c>
      <c r="L749" s="130">
        <v>1</v>
      </c>
      <c r="M749" s="129">
        <v>0.987421383647799</v>
      </c>
      <c r="N749" s="131">
        <v>0.9</v>
      </c>
      <c r="O749" s="129">
        <v>0.936150666054203</v>
      </c>
      <c r="P749" s="129">
        <v>0.97962962962963</v>
      </c>
      <c r="Q749" s="129">
        <v>0.941001191895113</v>
      </c>
      <c r="R749" s="129">
        <v>0.957733588484899</v>
      </c>
      <c r="S749" s="131">
        <v>0.9</v>
      </c>
      <c r="T749" s="129">
        <v>0.92443729903537</v>
      </c>
      <c r="U749" s="129">
        <v>0.926543209876543</v>
      </c>
      <c r="V749" s="129">
        <v>0.943384982121573</v>
      </c>
      <c r="W749" s="129">
        <v>0.943201042793355</v>
      </c>
      <c r="X749" s="131">
        <v>0.92</v>
      </c>
      <c r="Y749" s="131">
        <v>0.903078677309008</v>
      </c>
      <c r="Z749" s="131">
        <v>0.897463002114165</v>
      </c>
      <c r="AA749" s="131">
        <v>0.895178197064989</v>
      </c>
      <c r="AB749" s="131">
        <v>0.922790264353092</v>
      </c>
      <c r="AC749" s="131">
        <v>0.92</v>
      </c>
      <c r="AD749" s="129">
        <v>0.99025974025974</v>
      </c>
      <c r="AE749" s="129">
        <v>0.990536277602524</v>
      </c>
      <c r="AF749" s="129">
        <v>0.995918367346939</v>
      </c>
      <c r="AG749" s="129">
        <v>0.99154334038055</v>
      </c>
      <c r="AH749" s="131">
        <v>0.92</v>
      </c>
      <c r="AI749" s="129">
        <v>0.965589753393233</v>
      </c>
      <c r="AJ749" s="129">
        <v>0.944660950896337</v>
      </c>
      <c r="AK749" s="129">
        <v>0.974693451604487</v>
      </c>
      <c r="AL749" s="129">
        <v>0.972113963176992</v>
      </c>
      <c r="AM749" s="128">
        <v>0.99</v>
      </c>
      <c r="AN749" s="133">
        <v>1</v>
      </c>
      <c r="AO749" s="133">
        <v>1</v>
      </c>
      <c r="AP749" s="133">
        <v>1</v>
      </c>
      <c r="AQ749" s="133">
        <v>1</v>
      </c>
      <c r="AR749" s="153">
        <v>0.0810595228934205</v>
      </c>
      <c r="AS749" s="137">
        <v>0</v>
      </c>
      <c r="AT749" s="137">
        <v>0</v>
      </c>
      <c r="AU749" s="137">
        <v>0.0625</v>
      </c>
      <c r="AV749" s="137">
        <v>0.0408163265306122</v>
      </c>
      <c r="AW749" s="93"/>
      <c r="AX749" s="91"/>
    </row>
    <row r="750" ht="14.5" spans="1:50">
      <c r="A750" s="89"/>
      <c r="B750" s="93"/>
      <c r="C750" s="148" t="s">
        <v>664</v>
      </c>
      <c r="D750" s="126" t="s">
        <v>665</v>
      </c>
      <c r="E750" s="171" t="s">
        <v>773</v>
      </c>
      <c r="F750" s="171" t="s">
        <v>773</v>
      </c>
      <c r="G750" s="171" t="s">
        <v>773</v>
      </c>
      <c r="H750" s="171" t="s">
        <v>773</v>
      </c>
      <c r="I750" s="128">
        <v>0.9</v>
      </c>
      <c r="J750" s="129">
        <v>1</v>
      </c>
      <c r="K750" s="129">
        <v>0.962962962962963</v>
      </c>
      <c r="L750" s="130">
        <v>1</v>
      </c>
      <c r="M750" s="129">
        <v>0.992753623188406</v>
      </c>
      <c r="N750" s="131">
        <v>0.9</v>
      </c>
      <c r="O750" s="129">
        <v>0.960137275607181</v>
      </c>
      <c r="P750" s="129">
        <v>0.977183833116037</v>
      </c>
      <c r="Q750" s="129">
        <v>0.980690091801203</v>
      </c>
      <c r="R750" s="129">
        <v>0.973022238425082</v>
      </c>
      <c r="S750" s="131">
        <v>0.9</v>
      </c>
      <c r="T750" s="129">
        <v>0.95987328405491</v>
      </c>
      <c r="U750" s="129">
        <v>0.945893089960887</v>
      </c>
      <c r="V750" s="129">
        <v>0.958847736625514</v>
      </c>
      <c r="W750" s="129">
        <v>0.958530805687204</v>
      </c>
      <c r="X750" s="131">
        <v>0.92</v>
      </c>
      <c r="Y750" s="131">
        <v>0.921739130434783</v>
      </c>
      <c r="Z750" s="131">
        <v>0.876168224299065</v>
      </c>
      <c r="AA750" s="131">
        <v>0.865296803652968</v>
      </c>
      <c r="AB750" s="131">
        <v>0.897228354181997</v>
      </c>
      <c r="AC750" s="131">
        <v>0.92</v>
      </c>
      <c r="AD750" s="129">
        <v>0.99880023995201</v>
      </c>
      <c r="AE750" s="129">
        <v>0.999080640924613</v>
      </c>
      <c r="AF750" s="129">
        <v>0.999806912531377</v>
      </c>
      <c r="AG750" s="129">
        <v>0.999255531401685</v>
      </c>
      <c r="AH750" s="131">
        <v>0.92</v>
      </c>
      <c r="AI750" s="129">
        <v>0.974091008055737</v>
      </c>
      <c r="AJ750" s="129">
        <v>0.939748953974895</v>
      </c>
      <c r="AK750" s="129">
        <v>0.97386711148179</v>
      </c>
      <c r="AL750" s="129">
        <v>0.96968664020842</v>
      </c>
      <c r="AM750" s="128">
        <v>0.99</v>
      </c>
      <c r="AN750" s="133">
        <v>1</v>
      </c>
      <c r="AO750" s="133">
        <v>1</v>
      </c>
      <c r="AP750" s="133">
        <v>1</v>
      </c>
      <c r="AQ750" s="133">
        <v>1</v>
      </c>
      <c r="AR750" s="153">
        <v>0.0810595228934205</v>
      </c>
      <c r="AS750" s="137">
        <v>0</v>
      </c>
      <c r="AT750" s="137">
        <v>0</v>
      </c>
      <c r="AU750" s="137">
        <v>0.333333333333333</v>
      </c>
      <c r="AV750" s="137">
        <v>0.09375</v>
      </c>
      <c r="AW750" s="93"/>
      <c r="AX750" s="91"/>
    </row>
    <row r="751" ht="14.5" spans="1:50">
      <c r="A751" s="89"/>
      <c r="B751" s="93"/>
      <c r="C751" s="148" t="s">
        <v>664</v>
      </c>
      <c r="D751" s="126" t="s">
        <v>665</v>
      </c>
      <c r="E751" s="171" t="s">
        <v>774</v>
      </c>
      <c r="F751" s="171" t="s">
        <v>774</v>
      </c>
      <c r="G751" s="171" t="s">
        <v>774</v>
      </c>
      <c r="H751" s="171" t="s">
        <v>774</v>
      </c>
      <c r="I751" s="128">
        <v>0.9</v>
      </c>
      <c r="J751" s="129">
        <v>1</v>
      </c>
      <c r="K751" s="129">
        <v>1</v>
      </c>
      <c r="L751" s="130">
        <v>1</v>
      </c>
      <c r="M751" s="129">
        <v>0.994285714285714</v>
      </c>
      <c r="N751" s="131">
        <v>0.9</v>
      </c>
      <c r="O751" s="129">
        <v>0.961707470182046</v>
      </c>
      <c r="P751" s="129">
        <v>0.961988304093567</v>
      </c>
      <c r="Q751" s="129">
        <v>0.967672413793103</v>
      </c>
      <c r="R751" s="129">
        <v>0.963670191931062</v>
      </c>
      <c r="S751" s="131">
        <v>0.9</v>
      </c>
      <c r="T751" s="129">
        <v>0.938480853735091</v>
      </c>
      <c r="U751" s="129">
        <v>0.935672514619883</v>
      </c>
      <c r="V751" s="129">
        <v>0.953304597701149</v>
      </c>
      <c r="W751" s="129">
        <v>0.951527614571093</v>
      </c>
      <c r="X751" s="131">
        <v>0.92</v>
      </c>
      <c r="Y751" s="131">
        <v>0.961111111111111</v>
      </c>
      <c r="Z751" s="131">
        <v>0.951677852348993</v>
      </c>
      <c r="AA751" s="131">
        <v>0.959375</v>
      </c>
      <c r="AB751" s="131">
        <v>0.946745562130177</v>
      </c>
      <c r="AC751" s="131">
        <v>0.92</v>
      </c>
      <c r="AD751" s="129">
        <v>1</v>
      </c>
      <c r="AE751" s="129">
        <v>1</v>
      </c>
      <c r="AF751" s="129">
        <v>1</v>
      </c>
      <c r="AG751" s="129">
        <v>0.995661605206074</v>
      </c>
      <c r="AH751" s="131">
        <v>0.92</v>
      </c>
      <c r="AI751" s="129">
        <v>0.977965307079231</v>
      </c>
      <c r="AJ751" s="129">
        <v>0.969238050165641</v>
      </c>
      <c r="AK751" s="129">
        <v>0.984536082474227</v>
      </c>
      <c r="AL751" s="129">
        <v>0.979004121413204</v>
      </c>
      <c r="AM751" s="128">
        <v>0.99</v>
      </c>
      <c r="AN751" s="133">
        <v>1</v>
      </c>
      <c r="AO751" s="133">
        <v>1</v>
      </c>
      <c r="AP751" s="133">
        <v>1</v>
      </c>
      <c r="AQ751" s="133">
        <v>1</v>
      </c>
      <c r="AR751" s="153">
        <v>0.0810595228934205</v>
      </c>
      <c r="AS751" s="137">
        <v>0</v>
      </c>
      <c r="AT751" s="137">
        <v>0</v>
      </c>
      <c r="AU751" s="137">
        <v>0</v>
      </c>
      <c r="AV751" s="137">
        <v>0.0714285714285714</v>
      </c>
      <c r="AW751" s="93"/>
      <c r="AX751" s="91"/>
    </row>
    <row r="752" ht="14.5" spans="1:50">
      <c r="A752" s="89"/>
      <c r="B752" s="93"/>
      <c r="C752" s="148" t="s">
        <v>664</v>
      </c>
      <c r="D752" s="126" t="s">
        <v>665</v>
      </c>
      <c r="E752" s="171" t="s">
        <v>775</v>
      </c>
      <c r="F752" s="171" t="s">
        <v>775</v>
      </c>
      <c r="G752" s="171" t="s">
        <v>775</v>
      </c>
      <c r="H752" s="171" t="s">
        <v>775</v>
      </c>
      <c r="I752" s="128">
        <v>0.9</v>
      </c>
      <c r="J752" s="129">
        <v>0.862068965517241</v>
      </c>
      <c r="K752" s="129">
        <v>1</v>
      </c>
      <c r="L752" s="130">
        <v>1</v>
      </c>
      <c r="M752" s="129">
        <v>0.958477508650519</v>
      </c>
      <c r="N752" s="131">
        <v>0.9</v>
      </c>
      <c r="O752" s="129">
        <v>0.956558773424191</v>
      </c>
      <c r="P752" s="129">
        <v>0.953047775947282</v>
      </c>
      <c r="Q752" s="129">
        <v>0.951378254211332</v>
      </c>
      <c r="R752" s="129">
        <v>0.949438990182328</v>
      </c>
      <c r="S752" s="131">
        <v>0.9</v>
      </c>
      <c r="T752" s="129">
        <v>0.939522998296422</v>
      </c>
      <c r="U752" s="129">
        <v>0.939868204283361</v>
      </c>
      <c r="V752" s="129">
        <v>0.931470137825421</v>
      </c>
      <c r="W752" s="129">
        <v>0.932994389901823</v>
      </c>
      <c r="X752" s="131">
        <v>0.92</v>
      </c>
      <c r="Y752" s="131">
        <v>0.94364161849711</v>
      </c>
      <c r="Z752" s="131">
        <v>0.934002869440459</v>
      </c>
      <c r="AA752" s="131">
        <v>0.952380952380952</v>
      </c>
      <c r="AB752" s="131">
        <v>0.946512309495897</v>
      </c>
      <c r="AC752" s="131">
        <v>0.92</v>
      </c>
      <c r="AD752" s="129">
        <v>0.995594713656388</v>
      </c>
      <c r="AE752" s="129">
        <v>0.996282527881041</v>
      </c>
      <c r="AF752" s="129">
        <v>0.99238578680203</v>
      </c>
      <c r="AG752" s="129">
        <v>0.991221826809015</v>
      </c>
      <c r="AH752" s="131">
        <v>0.92</v>
      </c>
      <c r="AI752" s="129">
        <v>0.97484575225439</v>
      </c>
      <c r="AJ752" s="129">
        <v>0.945974025974026</v>
      </c>
      <c r="AK752" s="129">
        <v>0.981481481481482</v>
      </c>
      <c r="AL752" s="129">
        <v>0.972285067873303</v>
      </c>
      <c r="AM752" s="128">
        <v>0.99</v>
      </c>
      <c r="AN752" s="133">
        <v>1</v>
      </c>
      <c r="AO752" s="133">
        <v>1</v>
      </c>
      <c r="AP752" s="133">
        <v>1</v>
      </c>
      <c r="AQ752" s="133">
        <v>1</v>
      </c>
      <c r="AR752" s="153">
        <v>0.0810595228934205</v>
      </c>
      <c r="AS752" s="137">
        <v>0</v>
      </c>
      <c r="AT752" s="137">
        <v>0.666666666666667</v>
      </c>
      <c r="AU752" s="137">
        <v>0</v>
      </c>
      <c r="AV752" s="137">
        <v>0.0980392156862745</v>
      </c>
      <c r="AW752" s="93"/>
      <c r="AX752" s="91"/>
    </row>
    <row r="753" ht="14.5" spans="1:50">
      <c r="A753" s="89"/>
      <c r="B753" s="93"/>
      <c r="C753" s="148" t="s">
        <v>664</v>
      </c>
      <c r="D753" s="126" t="s">
        <v>665</v>
      </c>
      <c r="E753" s="171" t="s">
        <v>776</v>
      </c>
      <c r="F753" s="171" t="s">
        <v>776</v>
      </c>
      <c r="G753" s="171" t="s">
        <v>776</v>
      </c>
      <c r="H753" s="171" t="s">
        <v>776</v>
      </c>
      <c r="I753" s="128">
        <v>0.9</v>
      </c>
      <c r="J753" s="129">
        <v>1</v>
      </c>
      <c r="K753" s="129">
        <v>1</v>
      </c>
      <c r="L753" s="130">
        <v>1</v>
      </c>
      <c r="M753" s="129">
        <v>0.991428571428571</v>
      </c>
      <c r="N753" s="131">
        <v>0.9</v>
      </c>
      <c r="O753" s="129">
        <v>0.963501391896072</v>
      </c>
      <c r="P753" s="129">
        <v>0.979320531757755</v>
      </c>
      <c r="Q753" s="129">
        <v>0.967504835589942</v>
      </c>
      <c r="R753" s="129">
        <v>0.960728759459169</v>
      </c>
      <c r="S753" s="131">
        <v>0.9</v>
      </c>
      <c r="T753" s="129">
        <v>0.884317970924838</v>
      </c>
      <c r="U753" s="129">
        <v>0.923190546528804</v>
      </c>
      <c r="V753" s="129">
        <v>0.914506769825919</v>
      </c>
      <c r="W753" s="129">
        <v>0.90990926370907</v>
      </c>
      <c r="X753" s="131">
        <v>0.92</v>
      </c>
      <c r="Y753" s="131">
        <v>0.898379970544919</v>
      </c>
      <c r="Z753" s="131">
        <v>0.945791726105564</v>
      </c>
      <c r="AA753" s="131">
        <v>0.911475409836066</v>
      </c>
      <c r="AB753" s="131">
        <v>0.919436201780415</v>
      </c>
      <c r="AC753" s="131">
        <v>0.92</v>
      </c>
      <c r="AD753" s="129">
        <v>0.999295774647887</v>
      </c>
      <c r="AE753" s="129">
        <v>0.999309074159374</v>
      </c>
      <c r="AF753" s="129">
        <v>0.997959562233352</v>
      </c>
      <c r="AG753" s="129">
        <v>0.999071557588751</v>
      </c>
      <c r="AH753" s="131">
        <v>0.92</v>
      </c>
      <c r="AI753" s="129">
        <v>0.947852760736196</v>
      </c>
      <c r="AJ753" s="129">
        <v>0.964007782101167</v>
      </c>
      <c r="AK753" s="129">
        <v>0.970944309927361</v>
      </c>
      <c r="AL753" s="129">
        <v>0.962859205776173</v>
      </c>
      <c r="AM753" s="128">
        <v>0.99</v>
      </c>
      <c r="AN753" s="133">
        <v>1</v>
      </c>
      <c r="AO753" s="133">
        <v>1</v>
      </c>
      <c r="AP753" s="133">
        <v>1</v>
      </c>
      <c r="AQ753" s="133">
        <v>1</v>
      </c>
      <c r="AR753" s="153">
        <v>0.0810595228934205</v>
      </c>
      <c r="AS753" s="137">
        <v>0.2</v>
      </c>
      <c r="AT753" s="137">
        <v>0.25</v>
      </c>
      <c r="AU753" s="137">
        <v>0.0833333333333333</v>
      </c>
      <c r="AV753" s="137">
        <v>0.075</v>
      </c>
      <c r="AW753" s="93"/>
      <c r="AX753" s="91"/>
    </row>
    <row r="754" ht="14.5" spans="1:50">
      <c r="A754" s="89"/>
      <c r="B754" s="93"/>
      <c r="C754" s="148" t="s">
        <v>664</v>
      </c>
      <c r="D754" s="126" t="s">
        <v>665</v>
      </c>
      <c r="E754" s="171" t="s">
        <v>777</v>
      </c>
      <c r="F754" s="171" t="s">
        <v>777</v>
      </c>
      <c r="G754" s="171" t="s">
        <v>777</v>
      </c>
      <c r="H754" s="171" t="s">
        <v>777</v>
      </c>
      <c r="I754" s="128">
        <v>0.9</v>
      </c>
      <c r="J754" s="129">
        <v>0.972222222222222</v>
      </c>
      <c r="K754" s="129">
        <v>0.967741935483871</v>
      </c>
      <c r="L754" s="130">
        <v>0.8125</v>
      </c>
      <c r="M754" s="129">
        <v>0.948849104859335</v>
      </c>
      <c r="N754" s="131">
        <v>0.9</v>
      </c>
      <c r="O754" s="129">
        <v>0.967663702506063</v>
      </c>
      <c r="P754" s="129">
        <v>0.949124726477024</v>
      </c>
      <c r="Q754" s="129">
        <v>0.96574014221073</v>
      </c>
      <c r="R754" s="129">
        <v>0.964029192027</v>
      </c>
      <c r="S754" s="131">
        <v>0.9</v>
      </c>
      <c r="T754" s="129">
        <v>0.922931824306117</v>
      </c>
      <c r="U754" s="129">
        <v>0.928336980306346</v>
      </c>
      <c r="V754" s="129">
        <v>0.923400129282482</v>
      </c>
      <c r="W754" s="129">
        <v>0.918135402544206</v>
      </c>
      <c r="X754" s="131">
        <v>0.92</v>
      </c>
      <c r="Y754" s="131">
        <v>0.916267942583732</v>
      </c>
      <c r="Z754" s="131">
        <v>0.942098914354644</v>
      </c>
      <c r="AA754" s="131">
        <v>0.957575757575758</v>
      </c>
      <c r="AB754" s="131">
        <v>0.935048599199543</v>
      </c>
      <c r="AC754" s="131">
        <v>0.92</v>
      </c>
      <c r="AD754" s="129">
        <v>0.999741802220501</v>
      </c>
      <c r="AE754" s="129">
        <v>0.999350332954361</v>
      </c>
      <c r="AF754" s="129">
        <v>0.999393709738537</v>
      </c>
      <c r="AG754" s="129">
        <v>0.997031554977228</v>
      </c>
      <c r="AH754" s="131">
        <v>0.92</v>
      </c>
      <c r="AI754" s="129">
        <v>0.961073235100066</v>
      </c>
      <c r="AJ754" s="129">
        <v>0.96615268898082</v>
      </c>
      <c r="AK754" s="129">
        <v>0.977728285077951</v>
      </c>
      <c r="AL754" s="129">
        <v>0.966791027589701</v>
      </c>
      <c r="AM754" s="128">
        <v>0.99</v>
      </c>
      <c r="AN754" s="133">
        <v>1</v>
      </c>
      <c r="AO754" s="133">
        <v>1</v>
      </c>
      <c r="AP754" s="133">
        <v>1</v>
      </c>
      <c r="AQ754" s="133">
        <v>1</v>
      </c>
      <c r="AR754" s="153">
        <v>0.0810595228934205</v>
      </c>
      <c r="AS754" s="137">
        <v>0</v>
      </c>
      <c r="AT754" s="137">
        <v>0.25</v>
      </c>
      <c r="AU754" s="137">
        <v>0</v>
      </c>
      <c r="AV754" s="137">
        <v>0.0670731707317073</v>
      </c>
      <c r="AW754" s="93"/>
      <c r="AX754" s="91"/>
    </row>
    <row r="755" ht="14.5" spans="1:50">
      <c r="A755" s="89"/>
      <c r="B755" s="93"/>
      <c r="C755" s="148" t="s">
        <v>664</v>
      </c>
      <c r="D755" s="126" t="s">
        <v>665</v>
      </c>
      <c r="E755" s="171" t="s">
        <v>778</v>
      </c>
      <c r="F755" s="171" t="s">
        <v>778</v>
      </c>
      <c r="G755" s="171" t="s">
        <v>778</v>
      </c>
      <c r="H755" s="171" t="s">
        <v>778</v>
      </c>
      <c r="I755" s="128">
        <v>0.9</v>
      </c>
      <c r="J755" s="129">
        <v>0.971428571428571</v>
      </c>
      <c r="K755" s="129">
        <v>0.928571428571429</v>
      </c>
      <c r="L755" s="130">
        <v>0.967741935483871</v>
      </c>
      <c r="M755" s="129">
        <v>0.957671957671958</v>
      </c>
      <c r="N755" s="131">
        <v>0.9</v>
      </c>
      <c r="O755" s="129">
        <v>0.969046543154089</v>
      </c>
      <c r="P755" s="129">
        <v>0.98098633392751</v>
      </c>
      <c r="Q755" s="129">
        <v>0.973799126637555</v>
      </c>
      <c r="R755" s="129">
        <v>0.974164786765496</v>
      </c>
      <c r="S755" s="131">
        <v>0.9</v>
      </c>
      <c r="T755" s="129">
        <v>0.939222774514234</v>
      </c>
      <c r="U755" s="129">
        <v>0.948306595365419</v>
      </c>
      <c r="V755" s="129">
        <v>0.944050218340611</v>
      </c>
      <c r="W755" s="129">
        <v>0.944408636803094</v>
      </c>
      <c r="X755" s="131">
        <v>0.92</v>
      </c>
      <c r="Y755" s="131">
        <v>0.921956295525494</v>
      </c>
      <c r="Z755" s="131">
        <v>0.933400605449041</v>
      </c>
      <c r="AA755" s="131">
        <v>0.926086956521739</v>
      </c>
      <c r="AB755" s="131">
        <v>0.930769230769231</v>
      </c>
      <c r="AC755" s="131">
        <v>0.92</v>
      </c>
      <c r="AD755" s="129">
        <v>0.99850411368736</v>
      </c>
      <c r="AE755" s="129">
        <v>0.997668997668998</v>
      </c>
      <c r="AF755" s="129">
        <v>0.998519615099926</v>
      </c>
      <c r="AG755" s="129">
        <v>0.998866983911172</v>
      </c>
      <c r="AH755" s="131">
        <v>0.92</v>
      </c>
      <c r="AI755" s="129">
        <v>0.970855763875998</v>
      </c>
      <c r="AJ755" s="129">
        <v>0.963350785340314</v>
      </c>
      <c r="AK755" s="129">
        <v>0.981818181818182</v>
      </c>
      <c r="AL755" s="129">
        <v>0.974211230523544</v>
      </c>
      <c r="AM755" s="128">
        <v>0.99</v>
      </c>
      <c r="AN755" s="133">
        <v>1</v>
      </c>
      <c r="AO755" s="133">
        <v>1</v>
      </c>
      <c r="AP755" s="133">
        <v>1</v>
      </c>
      <c r="AQ755" s="133">
        <v>1</v>
      </c>
      <c r="AR755" s="153">
        <v>0.0810595228934205</v>
      </c>
      <c r="AS755" s="137">
        <v>0</v>
      </c>
      <c r="AT755" s="137">
        <v>0</v>
      </c>
      <c r="AU755" s="137">
        <v>0</v>
      </c>
      <c r="AV755" s="137">
        <v>0.0754716981132075</v>
      </c>
      <c r="AW755" s="93"/>
      <c r="AX755" s="91"/>
    </row>
    <row r="756" ht="14.5" spans="1:50">
      <c r="A756" s="89"/>
      <c r="B756" s="93"/>
      <c r="C756" s="148" t="s">
        <v>664</v>
      </c>
      <c r="D756" s="126" t="s">
        <v>665</v>
      </c>
      <c r="E756" s="171" t="s">
        <v>779</v>
      </c>
      <c r="F756" s="171" t="s">
        <v>779</v>
      </c>
      <c r="G756" s="171" t="s">
        <v>779</v>
      </c>
      <c r="H756" s="171" t="s">
        <v>779</v>
      </c>
      <c r="I756" s="128">
        <v>0.9</v>
      </c>
      <c r="J756" s="129">
        <v>0.944444444444444</v>
      </c>
      <c r="K756" s="129">
        <v>0.96969696969697</v>
      </c>
      <c r="L756" s="130">
        <v>1</v>
      </c>
      <c r="M756" s="129">
        <v>0.964824120603015</v>
      </c>
      <c r="N756" s="131">
        <v>0.9</v>
      </c>
      <c r="O756" s="129">
        <v>0.944025834230355</v>
      </c>
      <c r="P756" s="129">
        <v>0.942330558858502</v>
      </c>
      <c r="Q756" s="129">
        <v>0.956776352481874</v>
      </c>
      <c r="R756" s="129">
        <v>0.949785702947246</v>
      </c>
      <c r="S756" s="131">
        <v>0.9</v>
      </c>
      <c r="T756" s="129">
        <v>0.926587728740581</v>
      </c>
      <c r="U756" s="129">
        <v>0.943519619500594</v>
      </c>
      <c r="V756" s="129">
        <v>0.954266592303402</v>
      </c>
      <c r="W756" s="129">
        <v>0.938700460341817</v>
      </c>
      <c r="X756" s="131">
        <v>0.92</v>
      </c>
      <c r="Y756" s="131">
        <v>0.905550146056475</v>
      </c>
      <c r="Z756" s="131">
        <v>0.879098360655738</v>
      </c>
      <c r="AA756" s="131">
        <v>0.804301075268817</v>
      </c>
      <c r="AB756" s="131">
        <v>0.875257843882315</v>
      </c>
      <c r="AC756" s="131">
        <v>0.92</v>
      </c>
      <c r="AD756" s="129">
        <v>0.999026290165531</v>
      </c>
      <c r="AE756" s="129">
        <v>0.999452054794521</v>
      </c>
      <c r="AF756" s="129">
        <v>1</v>
      </c>
      <c r="AG756" s="129">
        <v>0.997925180760767</v>
      </c>
      <c r="AH756" s="131">
        <v>0.92</v>
      </c>
      <c r="AI756" s="129">
        <v>0.963681241184767</v>
      </c>
      <c r="AJ756" s="129">
        <v>0.938675696012039</v>
      </c>
      <c r="AK756" s="129">
        <v>0.956060232041471</v>
      </c>
      <c r="AL756" s="129">
        <v>0.959754100104231</v>
      </c>
      <c r="AM756" s="128">
        <v>0.99</v>
      </c>
      <c r="AN756" s="133">
        <v>1</v>
      </c>
      <c r="AO756" s="133">
        <v>1</v>
      </c>
      <c r="AP756" s="133">
        <v>1</v>
      </c>
      <c r="AQ756" s="133">
        <v>1</v>
      </c>
      <c r="AR756" s="153">
        <v>0.0810595228934205</v>
      </c>
      <c r="AS756" s="137">
        <v>0</v>
      </c>
      <c r="AT756" s="137">
        <v>0</v>
      </c>
      <c r="AU756" s="137">
        <v>0</v>
      </c>
      <c r="AV756" s="137">
        <v>0.0184049079754601</v>
      </c>
      <c r="AW756" s="93"/>
      <c r="AX756" s="91"/>
    </row>
    <row r="757" ht="14.5" spans="1:50">
      <c r="A757" s="89"/>
      <c r="B757" s="93"/>
      <c r="C757" s="148" t="s">
        <v>664</v>
      </c>
      <c r="D757" s="126" t="s">
        <v>665</v>
      </c>
      <c r="E757" s="171" t="s">
        <v>780</v>
      </c>
      <c r="F757" s="171" t="s">
        <v>780</v>
      </c>
      <c r="G757" s="171" t="s">
        <v>780</v>
      </c>
      <c r="H757" s="171" t="s">
        <v>780</v>
      </c>
      <c r="I757" s="128">
        <v>0.9</v>
      </c>
      <c r="J757" s="129">
        <v>0.954545454545455</v>
      </c>
      <c r="K757" s="129">
        <v>1</v>
      </c>
      <c r="L757" s="130">
        <v>0.952380952380952</v>
      </c>
      <c r="M757" s="129">
        <v>0.986899563318777</v>
      </c>
      <c r="N757" s="131">
        <v>0.9</v>
      </c>
      <c r="O757" s="129">
        <v>0.907715582450832</v>
      </c>
      <c r="P757" s="129">
        <v>0.958</v>
      </c>
      <c r="Q757" s="129">
        <v>0.972275334608031</v>
      </c>
      <c r="R757" s="129">
        <v>0.947675694657829</v>
      </c>
      <c r="S757" s="131">
        <v>0.9</v>
      </c>
      <c r="T757" s="129">
        <v>0.930408472012103</v>
      </c>
      <c r="U757" s="129">
        <v>0.93</v>
      </c>
      <c r="V757" s="129">
        <v>0.951720841300191</v>
      </c>
      <c r="W757" s="129">
        <v>0.937886835520829</v>
      </c>
      <c r="X757" s="131">
        <v>0.92</v>
      </c>
      <c r="Y757" s="131">
        <v>0.901554404145078</v>
      </c>
      <c r="Z757" s="131">
        <v>0.923728813559322</v>
      </c>
      <c r="AA757" s="131">
        <v>0.9</v>
      </c>
      <c r="AB757" s="131">
        <v>0.920649233543733</v>
      </c>
      <c r="AC757" s="131">
        <v>0.92</v>
      </c>
      <c r="AD757" s="129">
        <v>1</v>
      </c>
      <c r="AE757" s="129">
        <v>1</v>
      </c>
      <c r="AF757" s="129">
        <v>1</v>
      </c>
      <c r="AG757" s="129">
        <v>0.996736947791165</v>
      </c>
      <c r="AH757" s="131">
        <v>0.92</v>
      </c>
      <c r="AI757" s="129">
        <v>0.966180577102079</v>
      </c>
      <c r="AJ757" s="129">
        <v>0.957914572864322</v>
      </c>
      <c r="AK757" s="129">
        <v>0.975230898404702</v>
      </c>
      <c r="AL757" s="129">
        <v>0.970703469697505</v>
      </c>
      <c r="AM757" s="128">
        <v>0.99</v>
      </c>
      <c r="AN757" s="133">
        <v>1</v>
      </c>
      <c r="AO757" s="133">
        <v>1</v>
      </c>
      <c r="AP757" s="133">
        <v>1</v>
      </c>
      <c r="AQ757" s="133">
        <v>1</v>
      </c>
      <c r="AR757" s="153">
        <v>0.0810595228934205</v>
      </c>
      <c r="AS757" s="137">
        <v>0</v>
      </c>
      <c r="AT757" s="137">
        <v>0</v>
      </c>
      <c r="AU757" s="137">
        <v>0</v>
      </c>
      <c r="AV757" s="137">
        <v>0.0789473684210526</v>
      </c>
      <c r="AW757" s="93"/>
      <c r="AX757" s="91"/>
    </row>
    <row r="758" ht="14.5" spans="1:50">
      <c r="A758" s="89"/>
      <c r="B758" s="93"/>
      <c r="C758" s="148" t="s">
        <v>664</v>
      </c>
      <c r="D758" s="126" t="s">
        <v>665</v>
      </c>
      <c r="E758" s="171" t="s">
        <v>781</v>
      </c>
      <c r="F758" s="171" t="s">
        <v>781</v>
      </c>
      <c r="G758" s="171" t="s">
        <v>781</v>
      </c>
      <c r="H758" s="171" t="s">
        <v>781</v>
      </c>
      <c r="I758" s="128">
        <v>0.9</v>
      </c>
      <c r="J758" s="129">
        <v>0.916666666666667</v>
      </c>
      <c r="K758" s="129">
        <v>0.833333333333333</v>
      </c>
      <c r="L758" s="130">
        <v>1</v>
      </c>
      <c r="M758" s="129">
        <v>0.859259259259259</v>
      </c>
      <c r="N758" s="131">
        <v>0.9</v>
      </c>
      <c r="O758" s="129">
        <v>0.96144578313253</v>
      </c>
      <c r="P758" s="129">
        <v>0.976311336717428</v>
      </c>
      <c r="Q758" s="129">
        <v>0.966777408637874</v>
      </c>
      <c r="R758" s="129">
        <v>0.958771029144617</v>
      </c>
      <c r="S758" s="131">
        <v>0.9</v>
      </c>
      <c r="T758" s="129">
        <v>0.965461847389558</v>
      </c>
      <c r="U758" s="129">
        <v>0.969543147208122</v>
      </c>
      <c r="V758" s="129">
        <v>0.966777408637874</v>
      </c>
      <c r="W758" s="129">
        <v>0.951662585893689</v>
      </c>
      <c r="X758" s="131">
        <v>0.92</v>
      </c>
      <c r="Y758" s="131">
        <v>0.954233409610984</v>
      </c>
      <c r="Z758" s="131">
        <v>0.966555183946488</v>
      </c>
      <c r="AA758" s="131">
        <v>0.926470588235294</v>
      </c>
      <c r="AB758" s="131">
        <v>0.921875</v>
      </c>
      <c r="AC758" s="131">
        <v>0.92</v>
      </c>
      <c r="AD758" s="129">
        <v>0.978378378378378</v>
      </c>
      <c r="AE758" s="129">
        <v>1</v>
      </c>
      <c r="AF758" s="129">
        <v>1</v>
      </c>
      <c r="AG758" s="129">
        <v>0.984650112866817</v>
      </c>
      <c r="AH758" s="131">
        <v>0.92</v>
      </c>
      <c r="AI758" s="129">
        <v>0.978002378121284</v>
      </c>
      <c r="AJ758" s="129">
        <v>0.974157303370787</v>
      </c>
      <c r="AK758" s="129">
        <v>0.984328358208955</v>
      </c>
      <c r="AL758" s="129">
        <v>0.975121858580743</v>
      </c>
      <c r="AM758" s="128">
        <v>0.99</v>
      </c>
      <c r="AN758" s="133">
        <v>1</v>
      </c>
      <c r="AO758" s="133">
        <v>1</v>
      </c>
      <c r="AP758" s="133">
        <v>1</v>
      </c>
      <c r="AQ758" s="133">
        <v>1</v>
      </c>
      <c r="AR758" s="153">
        <v>0.0810595228934205</v>
      </c>
      <c r="AS758" s="137">
        <v>0</v>
      </c>
      <c r="AT758" s="137">
        <v>0</v>
      </c>
      <c r="AU758" s="137">
        <v>0</v>
      </c>
      <c r="AV758" s="137">
        <v>0.0273972602739726</v>
      </c>
      <c r="AW758" s="93"/>
      <c r="AX758" s="91"/>
    </row>
    <row r="759" ht="14.5" spans="1:50">
      <c r="A759" s="89"/>
      <c r="B759" s="93"/>
      <c r="C759" s="148" t="s">
        <v>664</v>
      </c>
      <c r="D759" s="126" t="s">
        <v>665</v>
      </c>
      <c r="E759" s="171" t="s">
        <v>782</v>
      </c>
      <c r="F759" s="171" t="s">
        <v>782</v>
      </c>
      <c r="G759" s="171" t="s">
        <v>782</v>
      </c>
      <c r="H759" s="171" t="s">
        <v>782</v>
      </c>
      <c r="I759" s="128">
        <v>0.9</v>
      </c>
      <c r="J759" s="129">
        <v>1</v>
      </c>
      <c r="K759" s="129">
        <v>1</v>
      </c>
      <c r="L759" s="130">
        <v>1</v>
      </c>
      <c r="M759" s="129">
        <v>1</v>
      </c>
      <c r="N759" s="131">
        <v>0.9</v>
      </c>
      <c r="O759" s="129">
        <v>0.988195615514334</v>
      </c>
      <c r="P759" s="129">
        <v>0.993093922651934</v>
      </c>
      <c r="Q759" s="129">
        <v>1</v>
      </c>
      <c r="R759" s="129">
        <v>0.989129709903301</v>
      </c>
      <c r="S759" s="131">
        <v>0.9</v>
      </c>
      <c r="T759" s="129">
        <v>0.956717256885891</v>
      </c>
      <c r="U759" s="129">
        <v>0.955801104972376</v>
      </c>
      <c r="V759" s="129">
        <v>0.961918194640338</v>
      </c>
      <c r="W759" s="129">
        <v>0.958186062020674</v>
      </c>
      <c r="X759" s="131">
        <v>0.92</v>
      </c>
      <c r="Y759" s="131">
        <v>0.962566844919786</v>
      </c>
      <c r="Z759" s="131">
        <v>0.941538461538462</v>
      </c>
      <c r="AA759" s="131">
        <v>0.952127659574468</v>
      </c>
      <c r="AB759" s="131">
        <v>0.954154727793696</v>
      </c>
      <c r="AC759" s="131">
        <v>0.92</v>
      </c>
      <c r="AD759" s="129">
        <v>0.998165137614679</v>
      </c>
      <c r="AE759" s="129">
        <v>0.998220640569395</v>
      </c>
      <c r="AF759" s="129">
        <v>1</v>
      </c>
      <c r="AG759" s="129">
        <v>0.999194198227236</v>
      </c>
      <c r="AH759" s="131">
        <v>0.92</v>
      </c>
      <c r="AI759" s="129">
        <v>0.980492336274965</v>
      </c>
      <c r="AJ759" s="129">
        <v>0.974261201143947</v>
      </c>
      <c r="AK759" s="129">
        <v>0.988799004355943</v>
      </c>
      <c r="AL759" s="129">
        <v>0.982528263103803</v>
      </c>
      <c r="AM759" s="128">
        <v>0.99</v>
      </c>
      <c r="AN759" s="133">
        <v>1</v>
      </c>
      <c r="AO759" s="133">
        <v>1</v>
      </c>
      <c r="AP759" s="133">
        <v>1</v>
      </c>
      <c r="AQ759" s="133">
        <v>1</v>
      </c>
      <c r="AR759" s="153">
        <v>0.0810595228934205</v>
      </c>
      <c r="AS759" s="137">
        <v>0</v>
      </c>
      <c r="AT759" s="137">
        <v>0.2</v>
      </c>
      <c r="AU759" s="137">
        <v>0.111111111111111</v>
      </c>
      <c r="AV759" s="137">
        <v>0.0350877192982456</v>
      </c>
      <c r="AW759" s="93"/>
      <c r="AX759" s="91"/>
    </row>
    <row r="760" ht="14.5" spans="1:50">
      <c r="A760" s="89"/>
      <c r="B760" s="93"/>
      <c r="C760" s="148" t="s">
        <v>664</v>
      </c>
      <c r="D760" s="126" t="s">
        <v>665</v>
      </c>
      <c r="E760" s="171" t="s">
        <v>783</v>
      </c>
      <c r="F760" s="171" t="s">
        <v>783</v>
      </c>
      <c r="G760" s="171" t="s">
        <v>783</v>
      </c>
      <c r="H760" s="171" t="s">
        <v>783</v>
      </c>
      <c r="I760" s="128">
        <v>0.9</v>
      </c>
      <c r="J760" s="129">
        <v>0.810810810810811</v>
      </c>
      <c r="K760" s="129">
        <v>0.862068965517241</v>
      </c>
      <c r="L760" s="130">
        <v>0.888888888888889</v>
      </c>
      <c r="M760" s="129">
        <v>0.832116788321168</v>
      </c>
      <c r="N760" s="131">
        <v>0.9</v>
      </c>
      <c r="O760" s="129">
        <v>0.89379356123465</v>
      </c>
      <c r="P760" s="129">
        <v>0.933380581148122</v>
      </c>
      <c r="Q760" s="129">
        <v>0.943030763387771</v>
      </c>
      <c r="R760" s="129">
        <v>0.90042872454448</v>
      </c>
      <c r="S760" s="131">
        <v>0.9</v>
      </c>
      <c r="T760" s="129">
        <v>0.887819449054099</v>
      </c>
      <c r="U760" s="129">
        <v>0.913536498936924</v>
      </c>
      <c r="V760" s="129">
        <v>0.90315229775921</v>
      </c>
      <c r="W760" s="129">
        <v>0.896820292961772</v>
      </c>
      <c r="X760" s="131">
        <v>0.92</v>
      </c>
      <c r="Y760" s="131">
        <v>0.88265306122449</v>
      </c>
      <c r="Z760" s="131">
        <v>0.863429438543247</v>
      </c>
      <c r="AA760" s="131">
        <v>0.860119047619048</v>
      </c>
      <c r="AB760" s="131">
        <v>0.899892522647014</v>
      </c>
      <c r="AC760" s="131">
        <v>0.92</v>
      </c>
      <c r="AD760" s="129">
        <v>0.98046486388713</v>
      </c>
      <c r="AE760" s="129">
        <v>0.980059450086698</v>
      </c>
      <c r="AF760" s="129">
        <v>0.977762572699282</v>
      </c>
      <c r="AG760" s="129">
        <v>0.982355148003961</v>
      </c>
      <c r="AH760" s="131">
        <v>0.92</v>
      </c>
      <c r="AI760" s="129">
        <v>0.942793668425437</v>
      </c>
      <c r="AJ760" s="129">
        <v>0.934331240946403</v>
      </c>
      <c r="AK760" s="129">
        <v>0.949511948838775</v>
      </c>
      <c r="AL760" s="129">
        <v>0.943311511499913</v>
      </c>
      <c r="AM760" s="128">
        <v>0.99</v>
      </c>
      <c r="AN760" s="133">
        <v>1</v>
      </c>
      <c r="AO760" s="133">
        <v>1</v>
      </c>
      <c r="AP760" s="133">
        <v>1</v>
      </c>
      <c r="AQ760" s="133">
        <v>1</v>
      </c>
      <c r="AR760" s="153">
        <v>0.0810595228934205</v>
      </c>
      <c r="AS760" s="137">
        <v>0.09375</v>
      </c>
      <c r="AT760" s="137">
        <v>0</v>
      </c>
      <c r="AU760" s="137">
        <v>0.0476190476190476</v>
      </c>
      <c r="AV760" s="137">
        <v>0.0368852459016393</v>
      </c>
      <c r="AW760" s="93"/>
      <c r="AX760" s="91"/>
    </row>
    <row r="761" ht="14.5" spans="1:50">
      <c r="A761" s="89"/>
      <c r="B761" s="93"/>
      <c r="C761" s="148" t="s">
        <v>664</v>
      </c>
      <c r="D761" s="126" t="s">
        <v>665</v>
      </c>
      <c r="E761" s="171" t="s">
        <v>784</v>
      </c>
      <c r="F761" s="171" t="s">
        <v>784</v>
      </c>
      <c r="G761" s="171" t="s">
        <v>784</v>
      </c>
      <c r="H761" s="171" t="s">
        <v>784</v>
      </c>
      <c r="I761" s="128">
        <v>0.9</v>
      </c>
      <c r="J761" s="129">
        <v>0.966666666666667</v>
      </c>
      <c r="K761" s="129">
        <v>1</v>
      </c>
      <c r="L761" s="130">
        <v>1</v>
      </c>
      <c r="M761" s="129">
        <v>0.958944281524927</v>
      </c>
      <c r="N761" s="131">
        <v>0.9</v>
      </c>
      <c r="O761" s="129">
        <v>0.91802094618996</v>
      </c>
      <c r="P761" s="129">
        <v>0.979805534779357</v>
      </c>
      <c r="Q761" s="129">
        <v>0.980761358984855</v>
      </c>
      <c r="R761" s="129">
        <v>0.962899361022364</v>
      </c>
      <c r="S761" s="131">
        <v>0.9</v>
      </c>
      <c r="T761" s="129">
        <v>0.873961719032142</v>
      </c>
      <c r="U761" s="129">
        <v>0.944652206432311</v>
      </c>
      <c r="V761" s="129">
        <v>0.932460090053213</v>
      </c>
      <c r="W761" s="129">
        <v>0.919808306709265</v>
      </c>
      <c r="X761" s="131">
        <v>0.92</v>
      </c>
      <c r="Y761" s="131">
        <v>0.847985347985348</v>
      </c>
      <c r="Z761" s="131">
        <v>0.943273905996759</v>
      </c>
      <c r="AA761" s="131">
        <v>0.927215189873418</v>
      </c>
      <c r="AB761" s="131">
        <v>0.932921598902042</v>
      </c>
      <c r="AC761" s="131">
        <v>0.92</v>
      </c>
      <c r="AD761" s="129">
        <v>0.998543897216274</v>
      </c>
      <c r="AE761" s="129">
        <v>0.997622334713913</v>
      </c>
      <c r="AF761" s="129">
        <v>0.997980061249756</v>
      </c>
      <c r="AG761" s="129">
        <v>0.996526911378917</v>
      </c>
      <c r="AH761" s="131">
        <v>0.92</v>
      </c>
      <c r="AI761" s="129">
        <v>0.92189384800965</v>
      </c>
      <c r="AJ761" s="129">
        <v>0.962659846547315</v>
      </c>
      <c r="AK761" s="129">
        <v>0.977890540050743</v>
      </c>
      <c r="AL761" s="129">
        <v>0.966773535412416</v>
      </c>
      <c r="AM761" s="128">
        <v>0.99</v>
      </c>
      <c r="AN761" s="133">
        <v>1</v>
      </c>
      <c r="AO761" s="133">
        <v>1</v>
      </c>
      <c r="AP761" s="133">
        <v>1</v>
      </c>
      <c r="AQ761" s="133">
        <v>1</v>
      </c>
      <c r="AR761" s="153">
        <v>0.0810595228934205</v>
      </c>
      <c r="AS761" s="137">
        <v>0</v>
      </c>
      <c r="AT761" s="137">
        <v>0</v>
      </c>
      <c r="AU761" s="137">
        <v>0</v>
      </c>
      <c r="AV761" s="137">
        <v>0.010752688172043</v>
      </c>
      <c r="AW761" s="93"/>
      <c r="AX761" s="91"/>
    </row>
    <row r="762" ht="14.5" spans="1:50">
      <c r="A762" s="89"/>
      <c r="B762" s="93"/>
      <c r="C762" s="148" t="s">
        <v>664</v>
      </c>
      <c r="D762" s="126" t="s">
        <v>665</v>
      </c>
      <c r="E762" s="171" t="s">
        <v>785</v>
      </c>
      <c r="F762" s="171" t="s">
        <v>785</v>
      </c>
      <c r="G762" s="171" t="s">
        <v>785</v>
      </c>
      <c r="H762" s="171" t="s">
        <v>785</v>
      </c>
      <c r="I762" s="128">
        <v>0.9</v>
      </c>
      <c r="J762" s="129">
        <v>0.977272727272727</v>
      </c>
      <c r="K762" s="129">
        <v>0.941176470588235</v>
      </c>
      <c r="L762" s="130">
        <v>0.975</v>
      </c>
      <c r="M762" s="129">
        <v>0.97071129707113</v>
      </c>
      <c r="N762" s="131">
        <v>0.9</v>
      </c>
      <c r="O762" s="129">
        <v>0.866110373601365</v>
      </c>
      <c r="P762" s="129">
        <v>0.950375448906301</v>
      </c>
      <c r="Q762" s="129">
        <v>0.919324181626188</v>
      </c>
      <c r="R762" s="129">
        <v>0.936002350077637</v>
      </c>
      <c r="S762" s="131">
        <v>0.9</v>
      </c>
      <c r="T762" s="129">
        <v>0.960174473734117</v>
      </c>
      <c r="U762" s="129">
        <v>0.981390793339863</v>
      </c>
      <c r="V762" s="129">
        <v>0.974656810982049</v>
      </c>
      <c r="W762" s="129">
        <v>0.969532922069747</v>
      </c>
      <c r="X762" s="131">
        <v>0.92</v>
      </c>
      <c r="Y762" s="131">
        <v>0.954428202923474</v>
      </c>
      <c r="Z762" s="131">
        <v>0.975182481751825</v>
      </c>
      <c r="AA762" s="131">
        <v>0.976439790575916</v>
      </c>
      <c r="AB762" s="131">
        <v>0.9754917265064</v>
      </c>
      <c r="AC762" s="131">
        <v>0.92</v>
      </c>
      <c r="AD762" s="129">
        <v>0.990783687729655</v>
      </c>
      <c r="AE762" s="129">
        <v>0.957321738481348</v>
      </c>
      <c r="AF762" s="129">
        <v>0.86851950828434</v>
      </c>
      <c r="AG762" s="129">
        <v>0.961530143705631</v>
      </c>
      <c r="AH762" s="131">
        <v>0.92</v>
      </c>
      <c r="AI762" s="129">
        <v>0.983998757185024</v>
      </c>
      <c r="AJ762" s="129">
        <v>0.986931050022533</v>
      </c>
      <c r="AK762" s="129">
        <v>0.990725586470267</v>
      </c>
      <c r="AL762" s="129">
        <v>0.986344850388494</v>
      </c>
      <c r="AM762" s="128">
        <v>0.99</v>
      </c>
      <c r="AN762" s="133">
        <v>1</v>
      </c>
      <c r="AO762" s="133">
        <v>1</v>
      </c>
      <c r="AP762" s="133">
        <v>1</v>
      </c>
      <c r="AQ762" s="133">
        <v>1</v>
      </c>
      <c r="AR762" s="153">
        <v>0.0810595228934205</v>
      </c>
      <c r="AS762" s="137">
        <v>0</v>
      </c>
      <c r="AT762" s="137">
        <v>0</v>
      </c>
      <c r="AU762" s="137">
        <v>-0.0714285714285714</v>
      </c>
      <c r="AV762" s="137">
        <v>0.00763358778625954</v>
      </c>
      <c r="AW762" s="93"/>
      <c r="AX762" s="91"/>
    </row>
    <row r="763" ht="14.5" spans="1:50">
      <c r="A763" s="89"/>
      <c r="B763" s="93"/>
      <c r="C763" s="148" t="s">
        <v>664</v>
      </c>
      <c r="D763" s="126" t="s">
        <v>665</v>
      </c>
      <c r="E763" s="171" t="s">
        <v>786</v>
      </c>
      <c r="F763" s="171" t="s">
        <v>786</v>
      </c>
      <c r="G763" s="171" t="s">
        <v>786</v>
      </c>
      <c r="H763" s="171" t="s">
        <v>786</v>
      </c>
      <c r="I763" s="128">
        <v>0.9</v>
      </c>
      <c r="J763" s="129">
        <v>1</v>
      </c>
      <c r="K763" s="129">
        <v>0.923076923076923</v>
      </c>
      <c r="L763" s="130">
        <v>1</v>
      </c>
      <c r="M763" s="129">
        <v>0.958974358974359</v>
      </c>
      <c r="N763" s="131">
        <v>0.9</v>
      </c>
      <c r="O763" s="129">
        <v>0.977554918815664</v>
      </c>
      <c r="P763" s="129">
        <v>0.969905417024935</v>
      </c>
      <c r="Q763" s="129">
        <v>0.978583196046129</v>
      </c>
      <c r="R763" s="129">
        <v>0.972106444373196</v>
      </c>
      <c r="S763" s="131">
        <v>0.9</v>
      </c>
      <c r="T763" s="129">
        <v>0.97468958930277</v>
      </c>
      <c r="U763" s="129">
        <v>0.961306964746346</v>
      </c>
      <c r="V763" s="129">
        <v>0.973091707852828</v>
      </c>
      <c r="W763" s="129">
        <v>0.966388799829005</v>
      </c>
      <c r="X763" s="131">
        <v>0.92</v>
      </c>
      <c r="Y763" s="131">
        <v>0.954887218045113</v>
      </c>
      <c r="Z763" s="131">
        <v>0.973770491803279</v>
      </c>
      <c r="AA763" s="131">
        <v>0.975438596491228</v>
      </c>
      <c r="AB763" s="131">
        <v>0.974455445544554</v>
      </c>
      <c r="AC763" s="131">
        <v>0.92</v>
      </c>
      <c r="AD763" s="129">
        <v>0.999064779599726</v>
      </c>
      <c r="AE763" s="129">
        <v>0.996980704816719</v>
      </c>
      <c r="AF763" s="129">
        <v>0.996602047484208</v>
      </c>
      <c r="AG763" s="129">
        <v>0.996971476744697</v>
      </c>
      <c r="AH763" s="131">
        <v>0.92</v>
      </c>
      <c r="AI763" s="129">
        <v>0.985158443642198</v>
      </c>
      <c r="AJ763" s="129">
        <v>0.982535211267606</v>
      </c>
      <c r="AK763" s="129">
        <v>0.98766018035121</v>
      </c>
      <c r="AL763" s="129">
        <v>0.986246635262449</v>
      </c>
      <c r="AM763" s="128">
        <v>0.99</v>
      </c>
      <c r="AN763" s="133">
        <v>1</v>
      </c>
      <c r="AO763" s="133">
        <v>1</v>
      </c>
      <c r="AP763" s="133">
        <v>1</v>
      </c>
      <c r="AQ763" s="133">
        <v>1</v>
      </c>
      <c r="AR763" s="153">
        <v>0.0810595228934205</v>
      </c>
      <c r="AS763" s="137">
        <v>0.666666666666667</v>
      </c>
      <c r="AT763" s="137">
        <v>0.5</v>
      </c>
      <c r="AU763" s="137">
        <v>0.333333333333333</v>
      </c>
      <c r="AV763" s="137">
        <v>0.194444444444444</v>
      </c>
      <c r="AW763" s="93"/>
      <c r="AX763" s="91"/>
    </row>
    <row r="764" ht="14.5" spans="1:50">
      <c r="A764" s="89"/>
      <c r="B764" s="93"/>
      <c r="C764" s="148" t="s">
        <v>664</v>
      </c>
      <c r="D764" s="126" t="s">
        <v>665</v>
      </c>
      <c r="E764" s="171" t="s">
        <v>787</v>
      </c>
      <c r="F764" s="171" t="s">
        <v>787</v>
      </c>
      <c r="G764" s="171" t="s">
        <v>787</v>
      </c>
      <c r="H764" s="171" t="s">
        <v>787</v>
      </c>
      <c r="I764" s="128">
        <v>0.9</v>
      </c>
      <c r="J764" s="129">
        <v>1</v>
      </c>
      <c r="K764" s="129">
        <v>1</v>
      </c>
      <c r="L764" s="130">
        <v>0.975</v>
      </c>
      <c r="M764" s="129">
        <v>0.98394495412844</v>
      </c>
      <c r="N764" s="131">
        <v>0.9</v>
      </c>
      <c r="O764" s="129">
        <v>0.975633215774287</v>
      </c>
      <c r="P764" s="129">
        <v>0.98586017282011</v>
      </c>
      <c r="Q764" s="129">
        <v>0.975128017556694</v>
      </c>
      <c r="R764" s="129">
        <v>0.970892186661899</v>
      </c>
      <c r="S764" s="131">
        <v>0.9</v>
      </c>
      <c r="T764" s="129">
        <v>0.930105803142033</v>
      </c>
      <c r="U764" s="129">
        <v>0.906520031421838</v>
      </c>
      <c r="V764" s="129">
        <v>0.939283101682516</v>
      </c>
      <c r="W764" s="129">
        <v>0.933345252994815</v>
      </c>
      <c r="X764" s="131">
        <v>0.92</v>
      </c>
      <c r="Y764" s="131">
        <v>0.923076923076923</v>
      </c>
      <c r="Z764" s="131">
        <v>0.962406015037594</v>
      </c>
      <c r="AA764" s="131">
        <v>0.918088737201365</v>
      </c>
      <c r="AB764" s="131">
        <v>0.945056808546719</v>
      </c>
      <c r="AC764" s="131">
        <v>0.92</v>
      </c>
      <c r="AD764" s="129">
        <v>0.993966557490088</v>
      </c>
      <c r="AE764" s="129">
        <v>0.998798237414875</v>
      </c>
      <c r="AF764" s="129">
        <v>0.99978457561396</v>
      </c>
      <c r="AG764" s="129">
        <v>0.997164367441267</v>
      </c>
      <c r="AH764" s="131">
        <v>0.92</v>
      </c>
      <c r="AI764" s="129">
        <v>0.973910704679935</v>
      </c>
      <c r="AJ764" s="129">
        <v>0.972680412371134</v>
      </c>
      <c r="AK764" s="129">
        <v>0.980184940554822</v>
      </c>
      <c r="AL764" s="129">
        <v>0.975592480004722</v>
      </c>
      <c r="AM764" s="128">
        <v>0.99</v>
      </c>
      <c r="AN764" s="133">
        <v>1</v>
      </c>
      <c r="AO764" s="133">
        <v>1</v>
      </c>
      <c r="AP764" s="133">
        <v>1</v>
      </c>
      <c r="AQ764" s="133">
        <v>1</v>
      </c>
      <c r="AR764" s="153">
        <v>0.0810595228934205</v>
      </c>
      <c r="AS764" s="137">
        <v>0</v>
      </c>
      <c r="AT764" s="137">
        <v>0.0555555555555556</v>
      </c>
      <c r="AU764" s="137">
        <v>0</v>
      </c>
      <c r="AV764" s="137">
        <v>0.0606060606060606</v>
      </c>
      <c r="AW764" s="93"/>
      <c r="AX764" s="91"/>
    </row>
    <row r="765" ht="14.5" spans="1:50">
      <c r="A765" s="89"/>
      <c r="B765" s="93"/>
      <c r="C765" s="148" t="s">
        <v>664</v>
      </c>
      <c r="D765" s="126" t="s">
        <v>665</v>
      </c>
      <c r="E765" s="171" t="s">
        <v>788</v>
      </c>
      <c r="F765" s="171" t="s">
        <v>788</v>
      </c>
      <c r="G765" s="171" t="s">
        <v>788</v>
      </c>
      <c r="H765" s="171" t="s">
        <v>788</v>
      </c>
      <c r="I765" s="128">
        <v>0.9</v>
      </c>
      <c r="J765" s="129">
        <v>0.967741935483871</v>
      </c>
      <c r="K765" s="129">
        <v>0.92</v>
      </c>
      <c r="L765" s="130">
        <v>0.923076923076923</v>
      </c>
      <c r="M765" s="129">
        <v>0.942771084337349</v>
      </c>
      <c r="N765" s="131">
        <v>0.9</v>
      </c>
      <c r="O765" s="129">
        <v>0.875637504903884</v>
      </c>
      <c r="P765" s="129">
        <v>0.971264367816092</v>
      </c>
      <c r="Q765" s="129">
        <v>0.89344262295082</v>
      </c>
      <c r="R765" s="129">
        <v>0.90883065404096</v>
      </c>
      <c r="S765" s="131">
        <v>0.9</v>
      </c>
      <c r="T765" s="129">
        <v>0.901137701059239</v>
      </c>
      <c r="U765" s="129">
        <v>0.921455938697318</v>
      </c>
      <c r="V765" s="129">
        <v>0.90549662487946</v>
      </c>
      <c r="W765" s="129">
        <v>0.903941863025765</v>
      </c>
      <c r="X765" s="131">
        <v>0.92</v>
      </c>
      <c r="Y765" s="131">
        <v>0.908665105386417</v>
      </c>
      <c r="Z765" s="131">
        <v>0.955375253549696</v>
      </c>
      <c r="AA765" s="131">
        <v>0.93046357615894</v>
      </c>
      <c r="AB765" s="131">
        <v>0.927199191102123</v>
      </c>
      <c r="AC765" s="131">
        <v>0.92</v>
      </c>
      <c r="AD765" s="129">
        <v>0.99968597896059</v>
      </c>
      <c r="AE765" s="129">
        <v>0.995746038498352</v>
      </c>
      <c r="AF765" s="129">
        <v>0.997179693795326</v>
      </c>
      <c r="AG765" s="129">
        <v>0.998278584556444</v>
      </c>
      <c r="AH765" s="131">
        <v>0.92</v>
      </c>
      <c r="AI765" s="129">
        <v>0.955645161290323</v>
      </c>
      <c r="AJ765" s="129">
        <v>0.95380611581002</v>
      </c>
      <c r="AK765" s="129">
        <v>0.965488215488216</v>
      </c>
      <c r="AL765" s="129">
        <v>0.959460436858093</v>
      </c>
      <c r="AM765" s="128">
        <v>0.99</v>
      </c>
      <c r="AN765" s="133">
        <v>1</v>
      </c>
      <c r="AO765" s="133">
        <v>1</v>
      </c>
      <c r="AP765" s="133">
        <v>1</v>
      </c>
      <c r="AQ765" s="133">
        <v>1</v>
      </c>
      <c r="AR765" s="153">
        <v>0.0810595228934205</v>
      </c>
      <c r="AS765" s="137">
        <v>0.166666666666667</v>
      </c>
      <c r="AT765" s="137">
        <v>0</v>
      </c>
      <c r="AU765" s="137">
        <v>0.0666666666666667</v>
      </c>
      <c r="AV765" s="137">
        <v>0.102564102564103</v>
      </c>
      <c r="AW765" s="93"/>
      <c r="AX765" s="91"/>
    </row>
    <row r="766" ht="14.5" spans="1:50">
      <c r="A766" s="89"/>
      <c r="B766" s="93"/>
      <c r="C766" s="148" t="s">
        <v>664</v>
      </c>
      <c r="D766" s="126" t="s">
        <v>665</v>
      </c>
      <c r="E766" s="171" t="s">
        <v>789</v>
      </c>
      <c r="F766" s="171" t="s">
        <v>789</v>
      </c>
      <c r="G766" s="171" t="s">
        <v>789</v>
      </c>
      <c r="H766" s="171" t="s">
        <v>789</v>
      </c>
      <c r="I766" s="128">
        <v>0.9</v>
      </c>
      <c r="J766" s="129">
        <v>0.976744186046512</v>
      </c>
      <c r="K766" s="129">
        <v>1</v>
      </c>
      <c r="L766" s="130">
        <v>1</v>
      </c>
      <c r="M766" s="129">
        <v>0.988636363636364</v>
      </c>
      <c r="N766" s="131">
        <v>0.9</v>
      </c>
      <c r="O766" s="129">
        <v>0.97410071942446</v>
      </c>
      <c r="P766" s="129">
        <v>0.977175463623395</v>
      </c>
      <c r="Q766" s="129">
        <v>0.937469937469937</v>
      </c>
      <c r="R766" s="129">
        <v>0.968643326039387</v>
      </c>
      <c r="S766" s="131">
        <v>0.9</v>
      </c>
      <c r="T766" s="129">
        <v>0.943473792394656</v>
      </c>
      <c r="U766" s="129">
        <v>0.963266761768902</v>
      </c>
      <c r="V766" s="129">
        <v>0.954785954785955</v>
      </c>
      <c r="W766" s="129">
        <v>0.951881838074398</v>
      </c>
      <c r="X766" s="131">
        <v>0.92</v>
      </c>
      <c r="Y766" s="131">
        <v>0.93804347826087</v>
      </c>
      <c r="Z766" s="131">
        <v>0.975019516003123</v>
      </c>
      <c r="AA766" s="131">
        <v>0.977044476327116</v>
      </c>
      <c r="AB766" s="131">
        <v>0.974107653352936</v>
      </c>
      <c r="AC766" s="131">
        <v>0.92</v>
      </c>
      <c r="AD766" s="129">
        <v>0.919646555294767</v>
      </c>
      <c r="AE766" s="129">
        <v>0.995499707773232</v>
      </c>
      <c r="AF766" s="129">
        <v>0.998891709270316</v>
      </c>
      <c r="AG766" s="129">
        <v>0.987999028349805</v>
      </c>
      <c r="AH766" s="131">
        <v>0.92</v>
      </c>
      <c r="AI766" s="129">
        <v>0.973898012100259</v>
      </c>
      <c r="AJ766" s="129">
        <v>0.97921760391198</v>
      </c>
      <c r="AK766" s="129">
        <v>0.978999382334775</v>
      </c>
      <c r="AL766" s="129">
        <v>0.980245678202961</v>
      </c>
      <c r="AM766" s="128">
        <v>0.99</v>
      </c>
      <c r="AN766" s="133">
        <v>1</v>
      </c>
      <c r="AO766" s="133">
        <v>1</v>
      </c>
      <c r="AP766" s="133">
        <v>1</v>
      </c>
      <c r="AQ766" s="133">
        <v>1</v>
      </c>
      <c r="AR766" s="153">
        <v>0.0810595228934205</v>
      </c>
      <c r="AS766" s="137">
        <v>0</v>
      </c>
      <c r="AT766" s="137">
        <v>0</v>
      </c>
      <c r="AU766" s="137">
        <v>0.0588235294117647</v>
      </c>
      <c r="AV766" s="137">
        <v>0.0479041916167665</v>
      </c>
      <c r="AW766" s="93"/>
      <c r="AX766" s="91"/>
    </row>
    <row r="767" ht="14.5" spans="1:50">
      <c r="A767" s="89"/>
      <c r="B767" s="93"/>
      <c r="C767" s="148" t="s">
        <v>664</v>
      </c>
      <c r="D767" s="126" t="s">
        <v>665</v>
      </c>
      <c r="E767" s="171" t="s">
        <v>790</v>
      </c>
      <c r="F767" s="171" t="s">
        <v>790</v>
      </c>
      <c r="G767" s="171" t="s">
        <v>790</v>
      </c>
      <c r="H767" s="171" t="s">
        <v>790</v>
      </c>
      <c r="I767" s="128">
        <v>0.9</v>
      </c>
      <c r="J767" s="129" t="s">
        <v>33</v>
      </c>
      <c r="K767" s="129" t="s">
        <v>33</v>
      </c>
      <c r="L767" s="130" t="s">
        <v>33</v>
      </c>
      <c r="M767" s="129" t="s">
        <v>33</v>
      </c>
      <c r="N767" s="131">
        <v>0.9</v>
      </c>
      <c r="O767" s="129" t="s">
        <v>33</v>
      </c>
      <c r="P767" s="129" t="s">
        <v>33</v>
      </c>
      <c r="Q767" s="129" t="s">
        <v>33</v>
      </c>
      <c r="R767" s="129" t="s">
        <v>33</v>
      </c>
      <c r="S767" s="131">
        <v>0.9</v>
      </c>
      <c r="T767" s="129" t="s">
        <v>33</v>
      </c>
      <c r="U767" s="129" t="s">
        <v>33</v>
      </c>
      <c r="V767" s="129" t="s">
        <v>33</v>
      </c>
      <c r="W767" s="129" t="s">
        <v>33</v>
      </c>
      <c r="X767" s="131">
        <v>0.92</v>
      </c>
      <c r="Y767" s="131" t="s">
        <v>33</v>
      </c>
      <c r="Z767" s="131" t="s">
        <v>33</v>
      </c>
      <c r="AA767" s="131" t="s">
        <v>33</v>
      </c>
      <c r="AB767" s="131" t="s">
        <v>33</v>
      </c>
      <c r="AC767" s="131">
        <v>0.92</v>
      </c>
      <c r="AD767" s="129" t="s">
        <v>33</v>
      </c>
      <c r="AE767" s="129" t="s">
        <v>33</v>
      </c>
      <c r="AF767" s="129" t="s">
        <v>33</v>
      </c>
      <c r="AG767" s="129" t="s">
        <v>33</v>
      </c>
      <c r="AH767" s="131">
        <v>0.92</v>
      </c>
      <c r="AI767" s="129" t="s">
        <v>33</v>
      </c>
      <c r="AJ767" s="129" t="s">
        <v>33</v>
      </c>
      <c r="AK767" s="129" t="s">
        <v>33</v>
      </c>
      <c r="AL767" s="129" t="s">
        <v>33</v>
      </c>
      <c r="AM767" s="128">
        <v>0.99</v>
      </c>
      <c r="AN767" s="133" t="s">
        <v>33</v>
      </c>
      <c r="AO767" s="133" t="s">
        <v>33</v>
      </c>
      <c r="AP767" s="133" t="s">
        <v>33</v>
      </c>
      <c r="AQ767" s="133" t="s">
        <v>33</v>
      </c>
      <c r="AR767" s="153">
        <v>0.0810595228934205</v>
      </c>
      <c r="AS767" s="137" t="s">
        <v>33</v>
      </c>
      <c r="AT767" s="137" t="s">
        <v>33</v>
      </c>
      <c r="AU767" s="137" t="s">
        <v>33</v>
      </c>
      <c r="AV767" s="137" t="s">
        <v>33</v>
      </c>
      <c r="AW767" s="93"/>
      <c r="AX767" s="91"/>
    </row>
    <row r="768" ht="14.5" spans="1:50">
      <c r="A768" s="89"/>
      <c r="B768" s="93"/>
      <c r="C768" s="148" t="s">
        <v>664</v>
      </c>
      <c r="D768" s="126" t="s">
        <v>665</v>
      </c>
      <c r="E768" s="171" t="s">
        <v>791</v>
      </c>
      <c r="F768" s="171" t="s">
        <v>791</v>
      </c>
      <c r="G768" s="171" t="s">
        <v>791</v>
      </c>
      <c r="H768" s="171" t="s">
        <v>791</v>
      </c>
      <c r="I768" s="128">
        <v>0.9</v>
      </c>
      <c r="J768" s="129">
        <v>0.857142857142857</v>
      </c>
      <c r="K768" s="129">
        <v>0.933333333333333</v>
      </c>
      <c r="L768" s="130">
        <v>0.952380952380952</v>
      </c>
      <c r="M768" s="129">
        <v>0.929515418502203</v>
      </c>
      <c r="N768" s="131">
        <v>0.9</v>
      </c>
      <c r="O768" s="129">
        <v>0.962962962962963</v>
      </c>
      <c r="P768" s="129">
        <v>0.978056426332288</v>
      </c>
      <c r="Q768" s="129">
        <v>0.951484431571325</v>
      </c>
      <c r="R768" s="129">
        <v>0.969056554085193</v>
      </c>
      <c r="S768" s="131">
        <v>0.9</v>
      </c>
      <c r="T768" s="129">
        <v>0.936247723132969</v>
      </c>
      <c r="U768" s="129">
        <v>0.95141065830721</v>
      </c>
      <c r="V768" s="129">
        <v>0.942070963070239</v>
      </c>
      <c r="W768" s="129">
        <v>0.950819672131147</v>
      </c>
      <c r="X768" s="131">
        <v>0.92</v>
      </c>
      <c r="Y768" s="131">
        <v>0.93125</v>
      </c>
      <c r="Z768" s="131">
        <v>0.954954954954955</v>
      </c>
      <c r="AA768" s="131">
        <v>0.949720670391061</v>
      </c>
      <c r="AB768" s="131">
        <v>0.960024412572475</v>
      </c>
      <c r="AC768" s="131">
        <v>0.92</v>
      </c>
      <c r="AD768" s="129">
        <v>0.990314769975787</v>
      </c>
      <c r="AE768" s="129">
        <v>0.999583766909469</v>
      </c>
      <c r="AF768" s="129">
        <v>0.998323353293413</v>
      </c>
      <c r="AG768" s="129">
        <v>0.997958054235606</v>
      </c>
      <c r="AH768" s="131">
        <v>0.92</v>
      </c>
      <c r="AI768" s="129">
        <v>0.966954753431622</v>
      </c>
      <c r="AJ768" s="129">
        <v>0.972222222222222</v>
      </c>
      <c r="AK768" s="129">
        <v>0.976923076923077</v>
      </c>
      <c r="AL768" s="129">
        <v>0.981339247079187</v>
      </c>
      <c r="AM768" s="128">
        <v>0.99</v>
      </c>
      <c r="AN768" s="133">
        <v>1</v>
      </c>
      <c r="AO768" s="133">
        <v>1</v>
      </c>
      <c r="AP768" s="133">
        <v>1</v>
      </c>
      <c r="AQ768" s="133">
        <v>1</v>
      </c>
      <c r="AR768" s="153">
        <v>0.0810595228934205</v>
      </c>
      <c r="AS768" s="137">
        <v>0.0714285714285714</v>
      </c>
      <c r="AT768" s="137">
        <v>-0.1</v>
      </c>
      <c r="AU768" s="137">
        <v>0.0625</v>
      </c>
      <c r="AV768" s="137">
        <v>-0.00884955752212389</v>
      </c>
      <c r="AW768" s="93"/>
      <c r="AX768" s="91"/>
    </row>
    <row r="769" ht="14.5" spans="1:50">
      <c r="A769" s="89"/>
      <c r="B769" s="93"/>
      <c r="C769" s="148" t="s">
        <v>664</v>
      </c>
      <c r="D769" s="126" t="s">
        <v>665</v>
      </c>
      <c r="E769" s="171" t="s">
        <v>792</v>
      </c>
      <c r="F769" s="171" t="s">
        <v>792</v>
      </c>
      <c r="G769" s="171" t="s">
        <v>792</v>
      </c>
      <c r="H769" s="171" t="s">
        <v>792</v>
      </c>
      <c r="I769" s="128">
        <v>0.9</v>
      </c>
      <c r="J769" s="129">
        <v>0.473684210526316</v>
      </c>
      <c r="K769" s="129">
        <v>0.470588235294118</v>
      </c>
      <c r="L769" s="130">
        <v>0.631578947368421</v>
      </c>
      <c r="M769" s="129">
        <v>0.474654377880184</v>
      </c>
      <c r="N769" s="131">
        <v>0.9</v>
      </c>
      <c r="O769" s="129">
        <v>0.894811320754717</v>
      </c>
      <c r="P769" s="129">
        <v>0.963702359346643</v>
      </c>
      <c r="Q769" s="129">
        <v>0.950920245398773</v>
      </c>
      <c r="R769" s="129">
        <v>0.947495209416918</v>
      </c>
      <c r="S769" s="131">
        <v>0.9</v>
      </c>
      <c r="T769" s="129">
        <v>0.915566037735849</v>
      </c>
      <c r="U769" s="129">
        <v>0.915607985480944</v>
      </c>
      <c r="V769" s="129">
        <v>0.917177914110429</v>
      </c>
      <c r="W769" s="129">
        <v>0.913550506433069</v>
      </c>
      <c r="X769" s="131">
        <v>0.92</v>
      </c>
      <c r="Y769" s="131">
        <v>0.897435897435897</v>
      </c>
      <c r="Z769" s="131">
        <v>0.881548974943052</v>
      </c>
      <c r="AA769" s="131">
        <v>0.935</v>
      </c>
      <c r="AB769" s="131">
        <v>0.899130074565037</v>
      </c>
      <c r="AC769" s="131">
        <v>0.92</v>
      </c>
      <c r="AD769" s="129">
        <v>0.998726114649682</v>
      </c>
      <c r="AE769" s="129">
        <v>0.995833333333333</v>
      </c>
      <c r="AF769" s="129">
        <v>0.998181818181818</v>
      </c>
      <c r="AG769" s="129">
        <v>0.996244798538516</v>
      </c>
      <c r="AH769" s="131">
        <v>0.92</v>
      </c>
      <c r="AI769" s="129">
        <v>0.939094023601066</v>
      </c>
      <c r="AJ769" s="129">
        <v>0.922777417261519</v>
      </c>
      <c r="AK769" s="129">
        <v>0.953694581280788</v>
      </c>
      <c r="AL769" s="129">
        <v>0.94070804120142</v>
      </c>
      <c r="AM769" s="128">
        <v>0.99</v>
      </c>
      <c r="AN769" s="133">
        <v>1</v>
      </c>
      <c r="AO769" s="133">
        <v>1</v>
      </c>
      <c r="AP769" s="133">
        <v>1</v>
      </c>
      <c r="AQ769" s="133">
        <v>1</v>
      </c>
      <c r="AR769" s="153">
        <v>0.0810595228934205</v>
      </c>
      <c r="AS769" s="137">
        <v>0.0909090909090909</v>
      </c>
      <c r="AT769" s="137">
        <v>0</v>
      </c>
      <c r="AU769" s="137">
        <v>0.0909090909090909</v>
      </c>
      <c r="AV769" s="137">
        <v>0.0504201680672269</v>
      </c>
      <c r="AW769" s="93"/>
      <c r="AX769" s="91"/>
    </row>
    <row r="770" ht="14.5" spans="1:50">
      <c r="A770" s="89"/>
      <c r="B770" s="93"/>
      <c r="C770" s="148" t="s">
        <v>664</v>
      </c>
      <c r="D770" s="126" t="s">
        <v>665</v>
      </c>
      <c r="E770" s="171" t="s">
        <v>793</v>
      </c>
      <c r="F770" s="171" t="s">
        <v>793</v>
      </c>
      <c r="G770" s="171" t="s">
        <v>793</v>
      </c>
      <c r="H770" s="171" t="s">
        <v>793</v>
      </c>
      <c r="I770" s="128">
        <v>0.9</v>
      </c>
      <c r="J770" s="129">
        <v>0.933333333333333</v>
      </c>
      <c r="K770" s="129">
        <v>1</v>
      </c>
      <c r="L770" s="130">
        <v>0.8</v>
      </c>
      <c r="M770" s="129">
        <v>0.852272727272727</v>
      </c>
      <c r="N770" s="131">
        <v>0.9</v>
      </c>
      <c r="O770" s="129">
        <v>0.898046688899476</v>
      </c>
      <c r="P770" s="129">
        <v>0.906605922551253</v>
      </c>
      <c r="Q770" s="129">
        <v>0.948514851485148</v>
      </c>
      <c r="R770" s="129">
        <v>0.896786646985353</v>
      </c>
      <c r="S770" s="131">
        <v>0.9</v>
      </c>
      <c r="T770" s="129">
        <v>0.744640304907099</v>
      </c>
      <c r="U770" s="129">
        <v>0.804859529233106</v>
      </c>
      <c r="V770" s="129">
        <v>0.829042904290429</v>
      </c>
      <c r="W770" s="129">
        <v>0.810491654365845</v>
      </c>
      <c r="X770" s="131">
        <v>0.92</v>
      </c>
      <c r="Y770" s="131">
        <v>0.868995633187773</v>
      </c>
      <c r="Z770" s="131">
        <v>0.898058252427185</v>
      </c>
      <c r="AA770" s="131">
        <v>1</v>
      </c>
      <c r="AB770" s="131">
        <v>0.851820961912705</v>
      </c>
      <c r="AC770" s="131">
        <v>0.92</v>
      </c>
      <c r="AD770" s="129">
        <v>0.988059701492537</v>
      </c>
      <c r="AE770" s="129">
        <v>0.998805970149254</v>
      </c>
      <c r="AF770" s="129">
        <v>1</v>
      </c>
      <c r="AG770" s="129">
        <v>0.995748198889807</v>
      </c>
      <c r="AH770" s="131">
        <v>0.92</v>
      </c>
      <c r="AI770" s="129">
        <v>0.929213922565507</v>
      </c>
      <c r="AJ770" s="129">
        <v>0.941006362058994</v>
      </c>
      <c r="AK770" s="129">
        <v>0.938035596572182</v>
      </c>
      <c r="AL770" s="129">
        <v>0.914529511597209</v>
      </c>
      <c r="AM770" s="128">
        <v>0.99</v>
      </c>
      <c r="AN770" s="133">
        <v>1</v>
      </c>
      <c r="AO770" s="133">
        <v>1</v>
      </c>
      <c r="AP770" s="133">
        <v>1</v>
      </c>
      <c r="AQ770" s="133">
        <v>1</v>
      </c>
      <c r="AR770" s="153">
        <v>0.0810595228934205</v>
      </c>
      <c r="AS770" s="137">
        <v>0.3</v>
      </c>
      <c r="AT770" s="137">
        <v>0</v>
      </c>
      <c r="AU770" s="137">
        <v>0</v>
      </c>
      <c r="AV770" s="137">
        <v>0.0695652173913043</v>
      </c>
      <c r="AW770" s="93"/>
      <c r="AX770" s="91"/>
    </row>
    <row r="771" ht="14.5" spans="1:50">
      <c r="A771" s="89"/>
      <c r="B771" s="93"/>
      <c r="C771" s="148" t="s">
        <v>664</v>
      </c>
      <c r="D771" s="126" t="s">
        <v>665</v>
      </c>
      <c r="E771" s="171" t="s">
        <v>794</v>
      </c>
      <c r="F771" s="171" t="s">
        <v>794</v>
      </c>
      <c r="G771" s="171" t="s">
        <v>794</v>
      </c>
      <c r="H771" s="171" t="s">
        <v>794</v>
      </c>
      <c r="I771" s="128">
        <v>0.9</v>
      </c>
      <c r="J771" s="129">
        <v>0.804878048780488</v>
      </c>
      <c r="K771" s="129">
        <v>0.828571428571429</v>
      </c>
      <c r="L771" s="130">
        <v>0.815789473684211</v>
      </c>
      <c r="M771" s="129">
        <v>0.766146993318486</v>
      </c>
      <c r="N771" s="131">
        <v>0.9</v>
      </c>
      <c r="O771" s="129">
        <v>0.937973811164714</v>
      </c>
      <c r="P771" s="129">
        <v>0.959244532803181</v>
      </c>
      <c r="Q771" s="129">
        <v>0.935697712959894</v>
      </c>
      <c r="R771" s="129">
        <v>0.946651257794023</v>
      </c>
      <c r="S771" s="131">
        <v>0.9</v>
      </c>
      <c r="T771" s="129">
        <v>0.902136457615438</v>
      </c>
      <c r="U771" s="129">
        <v>0.926441351888668</v>
      </c>
      <c r="V771" s="129">
        <v>0.922770964534306</v>
      </c>
      <c r="W771" s="129">
        <v>0.910234358202537</v>
      </c>
      <c r="X771" s="131">
        <v>0.92</v>
      </c>
      <c r="Y771" s="131">
        <v>0.902892561983471</v>
      </c>
      <c r="Z771" s="131">
        <v>0.91260162601626</v>
      </c>
      <c r="AA771" s="131">
        <v>0.897435897435897</v>
      </c>
      <c r="AB771" s="131">
        <v>0.903861955628595</v>
      </c>
      <c r="AC771" s="131">
        <v>0.92</v>
      </c>
      <c r="AD771" s="129">
        <v>0.974567650050865</v>
      </c>
      <c r="AE771" s="129">
        <v>0.995890410958904</v>
      </c>
      <c r="AF771" s="129">
        <v>0.995230524642289</v>
      </c>
      <c r="AG771" s="129">
        <v>0.992446573323508</v>
      </c>
      <c r="AH771" s="131">
        <v>0.92</v>
      </c>
      <c r="AI771" s="129">
        <v>0.936853974816764</v>
      </c>
      <c r="AJ771" s="129">
        <v>0.943629086057372</v>
      </c>
      <c r="AK771" s="129">
        <v>0.945585785674625</v>
      </c>
      <c r="AL771" s="129">
        <v>0.94655704008222</v>
      </c>
      <c r="AM771" s="128">
        <v>0.99</v>
      </c>
      <c r="AN771" s="133">
        <v>1</v>
      </c>
      <c r="AO771" s="133">
        <v>1</v>
      </c>
      <c r="AP771" s="133">
        <v>1</v>
      </c>
      <c r="AQ771" s="133">
        <v>1</v>
      </c>
      <c r="AR771" s="153">
        <v>0.0810595228934205</v>
      </c>
      <c r="AS771" s="137">
        <v>0</v>
      </c>
      <c r="AT771" s="137">
        <v>0</v>
      </c>
      <c r="AU771" s="137">
        <v>0.130434782608696</v>
      </c>
      <c r="AV771" s="137">
        <v>0.0296610169491525</v>
      </c>
      <c r="AW771" s="93"/>
      <c r="AX771" s="91"/>
    </row>
    <row r="772" ht="14.5" spans="1:50">
      <c r="A772" s="89"/>
      <c r="B772" s="93"/>
      <c r="C772" s="148" t="s">
        <v>664</v>
      </c>
      <c r="D772" s="126" t="s">
        <v>665</v>
      </c>
      <c r="E772" s="171" t="s">
        <v>795</v>
      </c>
      <c r="F772" s="171" t="s">
        <v>795</v>
      </c>
      <c r="G772" s="171" t="s">
        <v>795</v>
      </c>
      <c r="H772" s="171" t="s">
        <v>795</v>
      </c>
      <c r="I772" s="128">
        <v>0.9</v>
      </c>
      <c r="J772" s="129">
        <v>0.882352941176471</v>
      </c>
      <c r="K772" s="129">
        <v>0.833333333333333</v>
      </c>
      <c r="L772" s="130">
        <v>0.882352941176471</v>
      </c>
      <c r="M772" s="129">
        <v>0.819121447028424</v>
      </c>
      <c r="N772" s="131">
        <v>0.9</v>
      </c>
      <c r="O772" s="129">
        <v>0.956951530612245</v>
      </c>
      <c r="P772" s="129">
        <v>0.950830564784053</v>
      </c>
      <c r="Q772" s="129">
        <v>0.952445652173913</v>
      </c>
      <c r="R772" s="129">
        <v>0.954741784037559</v>
      </c>
      <c r="S772" s="131">
        <v>0.9</v>
      </c>
      <c r="T772" s="129">
        <v>0.912946428571429</v>
      </c>
      <c r="U772" s="129">
        <v>0.919601328903655</v>
      </c>
      <c r="V772" s="129">
        <v>0.920289855072464</v>
      </c>
      <c r="W772" s="129">
        <v>0.915380281690141</v>
      </c>
      <c r="X772" s="131">
        <v>0.92</v>
      </c>
      <c r="Y772" s="131">
        <v>0.909340659340659</v>
      </c>
      <c r="Z772" s="131">
        <v>0.875862068965517</v>
      </c>
      <c r="AA772" s="131">
        <v>0.908496732026144</v>
      </c>
      <c r="AB772" s="131">
        <v>0.882899628252788</v>
      </c>
      <c r="AC772" s="131">
        <v>0.92</v>
      </c>
      <c r="AD772" s="129">
        <v>0.997832683138275</v>
      </c>
      <c r="AE772" s="129">
        <v>0.994004282655246</v>
      </c>
      <c r="AF772" s="129">
        <v>0.999389499389499</v>
      </c>
      <c r="AG772" s="129">
        <v>0.997145806765045</v>
      </c>
      <c r="AH772" s="131">
        <v>0.92</v>
      </c>
      <c r="AI772" s="129">
        <v>0.94824016563147</v>
      </c>
      <c r="AJ772" s="129">
        <v>0.933183856502242</v>
      </c>
      <c r="AK772" s="129">
        <v>0.95313085864267</v>
      </c>
      <c r="AL772" s="129">
        <v>0.94028785535863</v>
      </c>
      <c r="AM772" s="128">
        <v>0.99</v>
      </c>
      <c r="AN772" s="133">
        <v>1</v>
      </c>
      <c r="AO772" s="133">
        <v>1</v>
      </c>
      <c r="AP772" s="133">
        <v>1</v>
      </c>
      <c r="AQ772" s="133">
        <v>1</v>
      </c>
      <c r="AR772" s="153">
        <v>0.0810595228934205</v>
      </c>
      <c r="AS772" s="137">
        <v>0</v>
      </c>
      <c r="AT772" s="137">
        <v>0</v>
      </c>
      <c r="AU772" s="137">
        <v>-0.0555555555555556</v>
      </c>
      <c r="AV772" s="137">
        <v>0.0343347639484979</v>
      </c>
      <c r="AW772" s="93"/>
      <c r="AX772" s="91"/>
    </row>
    <row r="773" ht="14.5" spans="1:50">
      <c r="A773" s="89"/>
      <c r="B773" s="93"/>
      <c r="C773" s="148" t="s">
        <v>664</v>
      </c>
      <c r="D773" s="126" t="s">
        <v>665</v>
      </c>
      <c r="E773" s="171" t="s">
        <v>796</v>
      </c>
      <c r="F773" s="171" t="s">
        <v>796</v>
      </c>
      <c r="G773" s="171" t="s">
        <v>796</v>
      </c>
      <c r="H773" s="171" t="s">
        <v>796</v>
      </c>
      <c r="I773" s="128">
        <v>0.9</v>
      </c>
      <c r="J773" s="129">
        <v>0.806451612903226</v>
      </c>
      <c r="K773" s="129">
        <v>0.75</v>
      </c>
      <c r="L773" s="130">
        <v>0.875</v>
      </c>
      <c r="M773" s="129">
        <v>0.796791443850267</v>
      </c>
      <c r="N773" s="131">
        <v>0.9</v>
      </c>
      <c r="O773" s="129">
        <v>0.933149032420206</v>
      </c>
      <c r="P773" s="129">
        <v>0.967289719626168</v>
      </c>
      <c r="Q773" s="129">
        <v>0.8976183111661</v>
      </c>
      <c r="R773" s="129">
        <v>0.929147805550089</v>
      </c>
      <c r="S773" s="131">
        <v>0.9</v>
      </c>
      <c r="T773" s="129">
        <v>0.842925358130183</v>
      </c>
      <c r="U773" s="129">
        <v>0.899792315680166</v>
      </c>
      <c r="V773" s="129">
        <v>0.857098669965976</v>
      </c>
      <c r="W773" s="129">
        <v>0.845334158067872</v>
      </c>
      <c r="X773" s="131">
        <v>0.92</v>
      </c>
      <c r="Y773" s="131">
        <v>0.85929648241206</v>
      </c>
      <c r="Z773" s="131">
        <v>0.869714285714286</v>
      </c>
      <c r="AA773" s="131">
        <v>0.847902097902098</v>
      </c>
      <c r="AB773" s="131">
        <v>0.84205104727023</v>
      </c>
      <c r="AC773" s="131">
        <v>0.92</v>
      </c>
      <c r="AD773" s="129">
        <v>0.996742671009772</v>
      </c>
      <c r="AE773" s="129">
        <v>0.989150090415913</v>
      </c>
      <c r="AF773" s="129">
        <v>0.99846331156358</v>
      </c>
      <c r="AG773" s="129">
        <v>0.994924848721452</v>
      </c>
      <c r="AH773" s="131">
        <v>0.92</v>
      </c>
      <c r="AI773" s="129">
        <v>0.913952553277041</v>
      </c>
      <c r="AJ773" s="129">
        <v>0.922884684041414</v>
      </c>
      <c r="AK773" s="129">
        <v>0.91957950065703</v>
      </c>
      <c r="AL773" s="129">
        <v>0.913766644098398</v>
      </c>
      <c r="AM773" s="128">
        <v>0.99</v>
      </c>
      <c r="AN773" s="133">
        <v>1</v>
      </c>
      <c r="AO773" s="133">
        <v>1</v>
      </c>
      <c r="AP773" s="133">
        <v>1</v>
      </c>
      <c r="AQ773" s="133">
        <v>1</v>
      </c>
      <c r="AR773" s="153">
        <v>0.0810595228934205</v>
      </c>
      <c r="AS773" s="137">
        <v>0</v>
      </c>
      <c r="AT773" s="137">
        <v>0.0476190476190476</v>
      </c>
      <c r="AU773" s="137">
        <v>0.0789473684210526</v>
      </c>
      <c r="AV773" s="137">
        <v>0.0514705882352941</v>
      </c>
      <c r="AW773" s="93"/>
      <c r="AX773" s="91"/>
    </row>
    <row r="774" ht="14.5" spans="1:50">
      <c r="A774" s="89"/>
      <c r="B774" s="93"/>
      <c r="C774" s="148" t="s">
        <v>664</v>
      </c>
      <c r="D774" s="126" t="s">
        <v>665</v>
      </c>
      <c r="E774" s="171" t="s">
        <v>797</v>
      </c>
      <c r="F774" s="171" t="s">
        <v>797</v>
      </c>
      <c r="G774" s="171" t="s">
        <v>797</v>
      </c>
      <c r="H774" s="171" t="s">
        <v>797</v>
      </c>
      <c r="I774" s="128">
        <v>0.9</v>
      </c>
      <c r="J774" s="129">
        <v>0.580645161290323</v>
      </c>
      <c r="K774" s="129">
        <v>0.769230769230769</v>
      </c>
      <c r="L774" s="130">
        <v>0.7</v>
      </c>
      <c r="M774" s="129">
        <v>0.701754385964912</v>
      </c>
      <c r="N774" s="131">
        <v>0.9</v>
      </c>
      <c r="O774" s="129">
        <v>0.921573805122789</v>
      </c>
      <c r="P774" s="129">
        <v>0.918570591681312</v>
      </c>
      <c r="Q774" s="129">
        <v>0.928356210244392</v>
      </c>
      <c r="R774" s="129">
        <v>0.924349240780911</v>
      </c>
      <c r="S774" s="131">
        <v>0.9</v>
      </c>
      <c r="T774" s="129">
        <v>0.852389754423026</v>
      </c>
      <c r="U774" s="129">
        <v>0.893380199179848</v>
      </c>
      <c r="V774" s="129">
        <v>0.876799464345497</v>
      </c>
      <c r="W774" s="129">
        <v>0.871234032296939</v>
      </c>
      <c r="X774" s="131">
        <v>0.92</v>
      </c>
      <c r="Y774" s="131">
        <v>0.797674418604651</v>
      </c>
      <c r="Z774" s="131">
        <v>0.871043376318875</v>
      </c>
      <c r="AA774" s="131">
        <v>0.855421686746988</v>
      </c>
      <c r="AB774" s="131">
        <v>0.84674282936315</v>
      </c>
      <c r="AC774" s="131">
        <v>0.92</v>
      </c>
      <c r="AD774" s="129">
        <v>1</v>
      </c>
      <c r="AE774" s="129">
        <v>0.994784876140808</v>
      </c>
      <c r="AF774" s="129">
        <v>0.998076923076923</v>
      </c>
      <c r="AG774" s="129">
        <v>0.996763754045307</v>
      </c>
      <c r="AH774" s="131">
        <v>0.92</v>
      </c>
      <c r="AI774" s="129">
        <v>0.91672046481601</v>
      </c>
      <c r="AJ774" s="129">
        <v>0.912924638812964</v>
      </c>
      <c r="AK774" s="129">
        <v>0.937902097902098</v>
      </c>
      <c r="AL774" s="129">
        <v>0.926101122239652</v>
      </c>
      <c r="AM774" s="128">
        <v>0.99</v>
      </c>
      <c r="AN774" s="133">
        <v>1</v>
      </c>
      <c r="AO774" s="133">
        <v>1</v>
      </c>
      <c r="AP774" s="133">
        <v>1</v>
      </c>
      <c r="AQ774" s="133">
        <v>1</v>
      </c>
      <c r="AR774" s="153">
        <v>0.0810595228934205</v>
      </c>
      <c r="AS774" s="137">
        <v>0</v>
      </c>
      <c r="AT774" s="137">
        <v>0.05</v>
      </c>
      <c r="AU774" s="137">
        <v>0.0416666666666667</v>
      </c>
      <c r="AV774" s="137">
        <v>0.0434782608695652</v>
      </c>
      <c r="AW774" s="93"/>
      <c r="AX774" s="91"/>
    </row>
    <row r="775" ht="14.5" spans="1:50">
      <c r="A775" s="89"/>
      <c r="B775" s="93"/>
      <c r="C775" s="148" t="s">
        <v>664</v>
      </c>
      <c r="D775" s="126" t="s">
        <v>665</v>
      </c>
      <c r="E775" s="171" t="s">
        <v>798</v>
      </c>
      <c r="F775" s="171" t="s">
        <v>798</v>
      </c>
      <c r="G775" s="171" t="s">
        <v>798</v>
      </c>
      <c r="H775" s="171" t="s">
        <v>798</v>
      </c>
      <c r="I775" s="128">
        <v>0.9</v>
      </c>
      <c r="J775" s="129">
        <v>0.892857142857143</v>
      </c>
      <c r="K775" s="129">
        <v>1</v>
      </c>
      <c r="L775" s="130">
        <v>0.923076923076923</v>
      </c>
      <c r="M775" s="129">
        <v>0.935810810810811</v>
      </c>
      <c r="N775" s="131">
        <v>0.9</v>
      </c>
      <c r="O775" s="129">
        <v>0.936130823819809</v>
      </c>
      <c r="P775" s="129">
        <v>0.989354624085163</v>
      </c>
      <c r="Q775" s="129">
        <v>0.950674536256324</v>
      </c>
      <c r="R775" s="129">
        <v>0.977128201524787</v>
      </c>
      <c r="S775" s="131">
        <v>0.9</v>
      </c>
      <c r="T775" s="129">
        <v>0.912989817957421</v>
      </c>
      <c r="U775" s="129">
        <v>0.970725216234198</v>
      </c>
      <c r="V775" s="129">
        <v>0.942664418212479</v>
      </c>
      <c r="W775" s="129">
        <v>0.94751080349928</v>
      </c>
      <c r="X775" s="131">
        <v>0.92</v>
      </c>
      <c r="Y775" s="131">
        <v>0.944979367262723</v>
      </c>
      <c r="Z775" s="131">
        <v>0.947454844006568</v>
      </c>
      <c r="AA775" s="131">
        <v>0.967032967032967</v>
      </c>
      <c r="AB775" s="131">
        <v>0.940459110473458</v>
      </c>
      <c r="AC775" s="131">
        <v>0.92</v>
      </c>
      <c r="AD775" s="129">
        <v>0.995344196873961</v>
      </c>
      <c r="AE775" s="129">
        <v>0.989531840651352</v>
      </c>
      <c r="AF775" s="129">
        <v>0.998693024015684</v>
      </c>
      <c r="AG775" s="129">
        <v>0.995951615673381</v>
      </c>
      <c r="AH775" s="131">
        <v>0.92</v>
      </c>
      <c r="AI775" s="129">
        <v>0.960715185091916</v>
      </c>
      <c r="AJ775" s="129">
        <v>0.972550875532418</v>
      </c>
      <c r="AK775" s="129">
        <v>0.984931506849315</v>
      </c>
      <c r="AL775" s="129">
        <v>0.966291500944966</v>
      </c>
      <c r="AM775" s="128">
        <v>0.99</v>
      </c>
      <c r="AN775" s="133">
        <v>1</v>
      </c>
      <c r="AO775" s="133">
        <v>1</v>
      </c>
      <c r="AP775" s="133">
        <v>1</v>
      </c>
      <c r="AQ775" s="133">
        <v>1</v>
      </c>
      <c r="AR775" s="153">
        <v>0.0810595228934205</v>
      </c>
      <c r="AS775" s="137">
        <v>0.0416666666666667</v>
      </c>
      <c r="AT775" s="137">
        <v>0.130434782608696</v>
      </c>
      <c r="AU775" s="137">
        <v>0.117647058823529</v>
      </c>
      <c r="AV775" s="137">
        <v>0.0682926829268293</v>
      </c>
      <c r="AW775" s="93"/>
      <c r="AX775" s="91"/>
    </row>
    <row r="776" ht="14.5" spans="1:50">
      <c r="A776" s="89"/>
      <c r="B776" s="93"/>
      <c r="C776" s="148" t="s">
        <v>664</v>
      </c>
      <c r="D776" s="126" t="s">
        <v>665</v>
      </c>
      <c r="E776" s="171" t="s">
        <v>799</v>
      </c>
      <c r="F776" s="171" t="s">
        <v>799</v>
      </c>
      <c r="G776" s="171" t="s">
        <v>799</v>
      </c>
      <c r="H776" s="171" t="s">
        <v>799</v>
      </c>
      <c r="I776" s="128">
        <v>0.9</v>
      </c>
      <c r="J776" s="129">
        <v>0.941176470588235</v>
      </c>
      <c r="K776" s="129">
        <v>1</v>
      </c>
      <c r="L776" s="130">
        <v>1</v>
      </c>
      <c r="M776" s="129">
        <v>0.96978021978022</v>
      </c>
      <c r="N776" s="131">
        <v>0.9</v>
      </c>
      <c r="O776" s="129">
        <v>0.96242774566474</v>
      </c>
      <c r="P776" s="129">
        <v>0.980350504514073</v>
      </c>
      <c r="Q776" s="129">
        <v>0.984870848708487</v>
      </c>
      <c r="R776" s="129">
        <v>0.976668671076368</v>
      </c>
      <c r="S776" s="131">
        <v>0.9</v>
      </c>
      <c r="T776" s="129">
        <v>0.956384655806621</v>
      </c>
      <c r="U776" s="129">
        <v>0.957514604354753</v>
      </c>
      <c r="V776" s="129">
        <v>0.958671586715867</v>
      </c>
      <c r="W776" s="129">
        <v>0.947354179194227</v>
      </c>
      <c r="X776" s="131">
        <v>0.92</v>
      </c>
      <c r="Y776" s="131">
        <v>0.969732246798603</v>
      </c>
      <c r="Z776" s="131">
        <v>0.976158940397351</v>
      </c>
      <c r="AA776" s="131">
        <v>0.951310861423221</v>
      </c>
      <c r="AB776" s="131">
        <v>0.95765590876001</v>
      </c>
      <c r="AC776" s="131">
        <v>0.92</v>
      </c>
      <c r="AD776" s="129">
        <v>0.999083409715857</v>
      </c>
      <c r="AE776" s="129">
        <v>1</v>
      </c>
      <c r="AF776" s="129">
        <v>0.997860962566845</v>
      </c>
      <c r="AG776" s="129">
        <v>0.99784690771401</v>
      </c>
      <c r="AH776" s="131">
        <v>0.92</v>
      </c>
      <c r="AI776" s="129">
        <v>0.976639519931419</v>
      </c>
      <c r="AJ776" s="129">
        <v>0.983712121212121</v>
      </c>
      <c r="AK776" s="129">
        <v>0.976887519260401</v>
      </c>
      <c r="AL776" s="129">
        <v>0.974536256323777</v>
      </c>
      <c r="AM776" s="128">
        <v>0.99</v>
      </c>
      <c r="AN776" s="133">
        <v>1</v>
      </c>
      <c r="AO776" s="133">
        <v>1</v>
      </c>
      <c r="AP776" s="133">
        <v>1</v>
      </c>
      <c r="AQ776" s="133">
        <v>1</v>
      </c>
      <c r="AR776" s="153">
        <v>0.0810595228934205</v>
      </c>
      <c r="AS776" s="137">
        <v>0.0294117647058824</v>
      </c>
      <c r="AT776" s="137">
        <v>0</v>
      </c>
      <c r="AU776" s="137">
        <v>0.0588235294117647</v>
      </c>
      <c r="AV776" s="137">
        <v>0.0176211453744493</v>
      </c>
      <c r="AW776" s="93"/>
      <c r="AX776" s="91"/>
    </row>
    <row r="777" ht="14.5" spans="1:50">
      <c r="A777" s="89"/>
      <c r="B777" s="93"/>
      <c r="C777" s="148" t="s">
        <v>664</v>
      </c>
      <c r="D777" s="126" t="s">
        <v>665</v>
      </c>
      <c r="E777" s="171" t="s">
        <v>800</v>
      </c>
      <c r="F777" s="171" t="s">
        <v>800</v>
      </c>
      <c r="G777" s="171" t="s">
        <v>800</v>
      </c>
      <c r="H777" s="171" t="s">
        <v>800</v>
      </c>
      <c r="I777" s="128">
        <v>0.9</v>
      </c>
      <c r="J777" s="129">
        <v>0.409090909090909</v>
      </c>
      <c r="K777" s="129">
        <v>0.470588235294118</v>
      </c>
      <c r="L777" s="130">
        <v>0.5</v>
      </c>
      <c r="M777" s="129">
        <v>0.464435146443515</v>
      </c>
      <c r="N777" s="131">
        <v>0.9</v>
      </c>
      <c r="O777" s="129">
        <v>0.747851002865329</v>
      </c>
      <c r="P777" s="129">
        <v>0.893097643097643</v>
      </c>
      <c r="Q777" s="129">
        <v>0.905997693194925</v>
      </c>
      <c r="R777" s="129">
        <v>0.840596817602342</v>
      </c>
      <c r="S777" s="131">
        <v>0.9</v>
      </c>
      <c r="T777" s="129">
        <v>0.743757674989767</v>
      </c>
      <c r="U777" s="129">
        <v>0.767676767676768</v>
      </c>
      <c r="V777" s="129">
        <v>0.747404844290657</v>
      </c>
      <c r="W777" s="129">
        <v>0.734831672883517</v>
      </c>
      <c r="X777" s="131">
        <v>0.92</v>
      </c>
      <c r="Y777" s="131">
        <v>0.848076923076923</v>
      </c>
      <c r="Z777" s="131">
        <v>0.885906040268456</v>
      </c>
      <c r="AA777" s="131">
        <v>0.899705014749263</v>
      </c>
      <c r="AB777" s="131">
        <v>0.824706561477776</v>
      </c>
      <c r="AC777" s="131">
        <v>0.92</v>
      </c>
      <c r="AD777" s="129">
        <v>0.991186839012926</v>
      </c>
      <c r="AE777" s="129">
        <v>0.99509288468279</v>
      </c>
      <c r="AF777" s="129">
        <v>0.987327188940092</v>
      </c>
      <c r="AG777" s="129">
        <v>0.9751347262929</v>
      </c>
      <c r="AH777" s="131">
        <v>0.92</v>
      </c>
      <c r="AI777" s="129">
        <v>0.907650825749916</v>
      </c>
      <c r="AJ777" s="129">
        <v>0.885085574572127</v>
      </c>
      <c r="AK777" s="129">
        <v>0.91321118611379</v>
      </c>
      <c r="AL777" s="129">
        <v>0.884323832625834</v>
      </c>
      <c r="AM777" s="128">
        <v>0.99</v>
      </c>
      <c r="AN777" s="133">
        <v>1</v>
      </c>
      <c r="AO777" s="133">
        <v>1</v>
      </c>
      <c r="AP777" s="133">
        <v>1</v>
      </c>
      <c r="AQ777" s="133">
        <v>1</v>
      </c>
      <c r="AR777" s="153">
        <v>0.0810595228934205</v>
      </c>
      <c r="AS777" s="137">
        <v>0.05</v>
      </c>
      <c r="AT777" s="137">
        <v>0.0909090909090909</v>
      </c>
      <c r="AU777" s="137">
        <v>-0.0454545454545455</v>
      </c>
      <c r="AV777" s="137">
        <v>0.0253164556962025</v>
      </c>
      <c r="AW777" s="93"/>
      <c r="AX777" s="91"/>
    </row>
    <row r="778" ht="14.5" spans="1:50">
      <c r="A778" s="89"/>
      <c r="B778" s="93"/>
      <c r="C778" s="148" t="s">
        <v>664</v>
      </c>
      <c r="D778" s="126" t="s">
        <v>665</v>
      </c>
      <c r="E778" s="171" t="s">
        <v>801</v>
      </c>
      <c r="F778" s="171" t="s">
        <v>801</v>
      </c>
      <c r="G778" s="171" t="s">
        <v>801</v>
      </c>
      <c r="H778" s="171" t="s">
        <v>801</v>
      </c>
      <c r="I778" s="128">
        <v>0.9</v>
      </c>
      <c r="J778" s="129">
        <v>0.838709677419355</v>
      </c>
      <c r="K778" s="129">
        <v>0.9</v>
      </c>
      <c r="L778" s="130">
        <v>0.9</v>
      </c>
      <c r="M778" s="129">
        <v>0.885558583106267</v>
      </c>
      <c r="N778" s="131">
        <v>0.9</v>
      </c>
      <c r="O778" s="129">
        <v>0.920223243598162</v>
      </c>
      <c r="P778" s="129">
        <v>0.939174511223751</v>
      </c>
      <c r="Q778" s="129">
        <v>0.964224137931034</v>
      </c>
      <c r="R778" s="129">
        <v>0.957861590716105</v>
      </c>
      <c r="S778" s="131">
        <v>0.9</v>
      </c>
      <c r="T778" s="129">
        <v>0.917268548916612</v>
      </c>
      <c r="U778" s="129">
        <v>0.931933381607531</v>
      </c>
      <c r="V778" s="129">
        <v>0.92801724137931</v>
      </c>
      <c r="W778" s="129">
        <v>0.926231248230965</v>
      </c>
      <c r="X778" s="131">
        <v>0.92</v>
      </c>
      <c r="Y778" s="131">
        <v>0.881491344873502</v>
      </c>
      <c r="Z778" s="131">
        <v>0.915951972555746</v>
      </c>
      <c r="AA778" s="131">
        <v>0.92</v>
      </c>
      <c r="AB778" s="131">
        <v>0.909024103468548</v>
      </c>
      <c r="AC778" s="131">
        <v>0.92</v>
      </c>
      <c r="AD778" s="129">
        <v>0.998336106489185</v>
      </c>
      <c r="AE778" s="129">
        <v>0.995515695067265</v>
      </c>
      <c r="AF778" s="129">
        <v>0.984952120383037</v>
      </c>
      <c r="AG778" s="129">
        <v>0.991609081934847</v>
      </c>
      <c r="AH778" s="131">
        <v>0.92</v>
      </c>
      <c r="AI778" s="129">
        <v>0.938635765077693</v>
      </c>
      <c r="AJ778" s="129">
        <v>0.940458015267176</v>
      </c>
      <c r="AK778" s="129">
        <v>0.951912568306011</v>
      </c>
      <c r="AL778" s="129">
        <v>0.949446852189781</v>
      </c>
      <c r="AM778" s="128">
        <v>0.99</v>
      </c>
      <c r="AN778" s="133">
        <v>1</v>
      </c>
      <c r="AO778" s="133">
        <v>1</v>
      </c>
      <c r="AP778" s="133">
        <v>1</v>
      </c>
      <c r="AQ778" s="133">
        <v>1</v>
      </c>
      <c r="AR778" s="153">
        <v>0.0810595228934205</v>
      </c>
      <c r="AS778" s="137">
        <v>0</v>
      </c>
      <c r="AT778" s="137">
        <v>0</v>
      </c>
      <c r="AU778" s="137">
        <v>0.111111111111111</v>
      </c>
      <c r="AV778" s="137">
        <v>0.0368550368550369</v>
      </c>
      <c r="AW778" s="93"/>
      <c r="AX778" s="91"/>
    </row>
    <row r="779" ht="14.5" spans="1:50">
      <c r="A779" s="89"/>
      <c r="B779" s="93"/>
      <c r="C779" s="148" t="s">
        <v>664</v>
      </c>
      <c r="D779" s="126" t="s">
        <v>665</v>
      </c>
      <c r="E779" s="171" t="s">
        <v>802</v>
      </c>
      <c r="F779" s="171" t="s">
        <v>802</v>
      </c>
      <c r="G779" s="171" t="s">
        <v>802</v>
      </c>
      <c r="H779" s="171" t="s">
        <v>802</v>
      </c>
      <c r="I779" s="128">
        <v>0.9</v>
      </c>
      <c r="J779" s="129">
        <v>0.5</v>
      </c>
      <c r="K779" s="129">
        <v>0.652173913043478</v>
      </c>
      <c r="L779" s="130">
        <v>0.608695652173913</v>
      </c>
      <c r="M779" s="129">
        <v>0.587591240875912</v>
      </c>
      <c r="N779" s="131">
        <v>0.9</v>
      </c>
      <c r="O779" s="129">
        <v>0.916859122401848</v>
      </c>
      <c r="P779" s="129">
        <v>0.959568733153639</v>
      </c>
      <c r="Q779" s="129">
        <v>0.887755102040816</v>
      </c>
      <c r="R779" s="129">
        <v>0.916266300617708</v>
      </c>
      <c r="S779" s="131">
        <v>0.9</v>
      </c>
      <c r="T779" s="129">
        <v>0.862586605080831</v>
      </c>
      <c r="U779" s="129">
        <v>0.889487870619946</v>
      </c>
      <c r="V779" s="129">
        <v>0.877551020408163</v>
      </c>
      <c r="W779" s="129">
        <v>0.878860672614962</v>
      </c>
      <c r="X779" s="131">
        <v>0.92</v>
      </c>
      <c r="Y779" s="131">
        <v>0.914721295855169</v>
      </c>
      <c r="Z779" s="131">
        <v>0.94331983805668</v>
      </c>
      <c r="AA779" s="131">
        <v>0.956896551724138</v>
      </c>
      <c r="AB779" s="131">
        <v>0.933503978632241</v>
      </c>
      <c r="AC779" s="131">
        <v>0.92</v>
      </c>
      <c r="AD779" s="129">
        <v>0.996207332490518</v>
      </c>
      <c r="AE779" s="129">
        <v>0.988866396761134</v>
      </c>
      <c r="AF779" s="129">
        <v>0.99623352165725</v>
      </c>
      <c r="AG779" s="129">
        <v>0.977947932618683</v>
      </c>
      <c r="AH779" s="131">
        <v>0.92</v>
      </c>
      <c r="AI779" s="129">
        <v>0.922428330522766</v>
      </c>
      <c r="AJ779" s="129">
        <v>0.945205479452055</v>
      </c>
      <c r="AK779" s="129">
        <v>0.955339805825243</v>
      </c>
      <c r="AL779" s="129">
        <v>0.936297627067894</v>
      </c>
      <c r="AM779" s="128">
        <v>0.99</v>
      </c>
      <c r="AN779" s="133">
        <v>1</v>
      </c>
      <c r="AO779" s="133">
        <v>1</v>
      </c>
      <c r="AP779" s="133">
        <v>1</v>
      </c>
      <c r="AQ779" s="133">
        <v>1</v>
      </c>
      <c r="AR779" s="153">
        <v>0.0810595228934205</v>
      </c>
      <c r="AS779" s="137">
        <v>0.214285714285714</v>
      </c>
      <c r="AT779" s="137">
        <v>0.111111111111111</v>
      </c>
      <c r="AU779" s="137">
        <v>0.0588235294117647</v>
      </c>
      <c r="AV779" s="137">
        <v>0.0588235294117647</v>
      </c>
      <c r="AW779" s="93"/>
      <c r="AX779" s="91"/>
    </row>
    <row r="780" ht="14.5" spans="1:50">
      <c r="A780" s="89"/>
      <c r="B780" s="93"/>
      <c r="C780" s="148" t="s">
        <v>664</v>
      </c>
      <c r="D780" s="126" t="s">
        <v>665</v>
      </c>
      <c r="E780" s="171" t="s">
        <v>803</v>
      </c>
      <c r="F780" s="171" t="s">
        <v>803</v>
      </c>
      <c r="G780" s="171" t="s">
        <v>803</v>
      </c>
      <c r="H780" s="171" t="s">
        <v>803</v>
      </c>
      <c r="I780" s="128">
        <v>0.9</v>
      </c>
      <c r="J780" s="129">
        <v>0.615384615384615</v>
      </c>
      <c r="K780" s="129">
        <v>0.7</v>
      </c>
      <c r="L780" s="130">
        <v>0.769230769230769</v>
      </c>
      <c r="M780" s="129">
        <v>0.693877551020408</v>
      </c>
      <c r="N780" s="131">
        <v>0.9</v>
      </c>
      <c r="O780" s="129">
        <v>0.957803081044876</v>
      </c>
      <c r="P780" s="129">
        <v>0.892156862745098</v>
      </c>
      <c r="Q780" s="129">
        <v>0.971375807940905</v>
      </c>
      <c r="R780" s="129">
        <v>0.940375280736072</v>
      </c>
      <c r="S780" s="131">
        <v>0.9</v>
      </c>
      <c r="T780" s="129">
        <v>0.827193569993302</v>
      </c>
      <c r="U780" s="129">
        <v>0.823529411764706</v>
      </c>
      <c r="V780" s="129">
        <v>0.826408125577101</v>
      </c>
      <c r="W780" s="129">
        <v>0.820836050134029</v>
      </c>
      <c r="X780" s="131">
        <v>0.92</v>
      </c>
      <c r="Y780" s="131">
        <v>0.92022792022792</v>
      </c>
      <c r="Z780" s="131">
        <v>0.919093851132686</v>
      </c>
      <c r="AA780" s="131">
        <v>0.93298969072165</v>
      </c>
      <c r="AB780" s="131">
        <v>0.904252155813262</v>
      </c>
      <c r="AC780" s="131">
        <v>0.92</v>
      </c>
      <c r="AD780" s="129">
        <v>0.997663551401869</v>
      </c>
      <c r="AE780" s="129">
        <v>1</v>
      </c>
      <c r="AF780" s="129">
        <v>0.996134020618557</v>
      </c>
      <c r="AG780" s="129">
        <v>0.998210023866348</v>
      </c>
      <c r="AH780" s="131">
        <v>0.92</v>
      </c>
      <c r="AI780" s="129">
        <v>0.953904555314534</v>
      </c>
      <c r="AJ780" s="129">
        <v>0.927663734115347</v>
      </c>
      <c r="AK780" s="129">
        <v>0.938136256851997</v>
      </c>
      <c r="AL780" s="129">
        <v>0.939130941286114</v>
      </c>
      <c r="AM780" s="128">
        <v>0.99</v>
      </c>
      <c r="AN780" s="133">
        <v>1</v>
      </c>
      <c r="AO780" s="133">
        <v>1</v>
      </c>
      <c r="AP780" s="133">
        <v>1</v>
      </c>
      <c r="AQ780" s="133">
        <v>1</v>
      </c>
      <c r="AR780" s="153">
        <v>0.0810595228934205</v>
      </c>
      <c r="AS780" s="137">
        <v>0</v>
      </c>
      <c r="AT780" s="137">
        <v>0.133333333333333</v>
      </c>
      <c r="AU780" s="137">
        <v>0.0526315789473684</v>
      </c>
      <c r="AV780" s="137">
        <v>0.0211267605633803</v>
      </c>
      <c r="AW780" s="93"/>
      <c r="AX780" s="91"/>
    </row>
    <row r="781" ht="14.5" spans="1:50">
      <c r="A781" s="89"/>
      <c r="B781" s="93"/>
      <c r="C781" s="148" t="s">
        <v>664</v>
      </c>
      <c r="D781" s="126" t="s">
        <v>665</v>
      </c>
      <c r="E781" s="171" t="s">
        <v>804</v>
      </c>
      <c r="F781" s="171" t="s">
        <v>804</v>
      </c>
      <c r="G781" s="171" t="s">
        <v>804</v>
      </c>
      <c r="H781" s="171" t="s">
        <v>804</v>
      </c>
      <c r="I781" s="128">
        <v>0.9</v>
      </c>
      <c r="J781" s="129">
        <v>0.894736842105263</v>
      </c>
      <c r="K781" s="129">
        <v>0.84</v>
      </c>
      <c r="L781" s="130">
        <v>0.884615384615385</v>
      </c>
      <c r="M781" s="129">
        <v>0.892575039494471</v>
      </c>
      <c r="N781" s="131">
        <v>0.9</v>
      </c>
      <c r="O781" s="129">
        <v>0.932225623087014</v>
      </c>
      <c r="P781" s="129">
        <v>0.947286821705426</v>
      </c>
      <c r="Q781" s="129">
        <v>0.929752834045716</v>
      </c>
      <c r="R781" s="129">
        <v>0.94906290285261</v>
      </c>
      <c r="S781" s="131">
        <v>0.9</v>
      </c>
      <c r="T781" s="129">
        <v>0.895204780644221</v>
      </c>
      <c r="U781" s="129">
        <v>0.893410852713178</v>
      </c>
      <c r="V781" s="129">
        <v>0.913398996469058</v>
      </c>
      <c r="W781" s="129">
        <v>0.909595742570985</v>
      </c>
      <c r="X781" s="131">
        <v>0.92</v>
      </c>
      <c r="Y781" s="131">
        <v>0.925414364640884</v>
      </c>
      <c r="Z781" s="131">
        <v>0.915742793791574</v>
      </c>
      <c r="AA781" s="131">
        <v>0.87811955890888</v>
      </c>
      <c r="AB781" s="131">
        <v>0.917093776401014</v>
      </c>
      <c r="AC781" s="131">
        <v>0.92</v>
      </c>
      <c r="AD781" s="129">
        <v>0.992196878751501</v>
      </c>
      <c r="AE781" s="129">
        <v>0.995672868887927</v>
      </c>
      <c r="AF781" s="129">
        <v>0.994866529774127</v>
      </c>
      <c r="AG781" s="129">
        <v>0.991427974074848</v>
      </c>
      <c r="AH781" s="131">
        <v>0.92</v>
      </c>
      <c r="AI781" s="129">
        <v>0.951637892872953</v>
      </c>
      <c r="AJ781" s="129">
        <v>0.939309294057897</v>
      </c>
      <c r="AK781" s="129">
        <v>0.933530073074761</v>
      </c>
      <c r="AL781" s="129">
        <v>0.946702419715252</v>
      </c>
      <c r="AM781" s="128">
        <v>0.99</v>
      </c>
      <c r="AN781" s="133">
        <v>1</v>
      </c>
      <c r="AO781" s="133">
        <v>1</v>
      </c>
      <c r="AP781" s="133">
        <v>1</v>
      </c>
      <c r="AQ781" s="133">
        <v>1</v>
      </c>
      <c r="AR781" s="153">
        <v>0.0810595228934205</v>
      </c>
      <c r="AS781" s="137">
        <v>0.0967741935483871</v>
      </c>
      <c r="AT781" s="137">
        <v>0.0689655172413793</v>
      </c>
      <c r="AU781" s="137">
        <v>0</v>
      </c>
      <c r="AV781" s="137">
        <v>0.0553935860058309</v>
      </c>
      <c r="AW781" s="93"/>
      <c r="AX781" s="91"/>
    </row>
    <row r="782" ht="14.5" spans="1:50">
      <c r="A782" s="89"/>
      <c r="B782" s="93"/>
      <c r="C782" s="148" t="s">
        <v>664</v>
      </c>
      <c r="D782" s="126" t="s">
        <v>665</v>
      </c>
      <c r="E782" s="171" t="s">
        <v>805</v>
      </c>
      <c r="F782" s="171" t="s">
        <v>805</v>
      </c>
      <c r="G782" s="171" t="s">
        <v>805</v>
      </c>
      <c r="H782" s="171" t="s">
        <v>805</v>
      </c>
      <c r="I782" s="128">
        <v>0.9</v>
      </c>
      <c r="J782" s="129">
        <v>0.857142857142857</v>
      </c>
      <c r="K782" s="129">
        <v>0.875</v>
      </c>
      <c r="L782" s="130">
        <v>0.928571428571429</v>
      </c>
      <c r="M782" s="129">
        <v>0.856741573033708</v>
      </c>
      <c r="N782" s="131">
        <v>0.9</v>
      </c>
      <c r="O782" s="129">
        <v>0.955049786628734</v>
      </c>
      <c r="P782" s="129">
        <v>0.949260042283298</v>
      </c>
      <c r="Q782" s="129">
        <v>0.953700328107911</v>
      </c>
      <c r="R782" s="129">
        <v>0.952638394302363</v>
      </c>
      <c r="S782" s="131">
        <v>0.9</v>
      </c>
      <c r="T782" s="129">
        <v>0.919203413940256</v>
      </c>
      <c r="U782" s="129">
        <v>0.914023960535588</v>
      </c>
      <c r="V782" s="129">
        <v>0.922712358731316</v>
      </c>
      <c r="W782" s="129">
        <v>0.926254451278731</v>
      </c>
      <c r="X782" s="131">
        <v>0.92</v>
      </c>
      <c r="Y782" s="131">
        <v>0.908056872037915</v>
      </c>
      <c r="Z782" s="131">
        <v>0.917888563049853</v>
      </c>
      <c r="AA782" s="131">
        <v>0.915104740904079</v>
      </c>
      <c r="AB782" s="131">
        <v>0.92274236007783</v>
      </c>
      <c r="AC782" s="131">
        <v>0.92</v>
      </c>
      <c r="AD782" s="129">
        <v>0.996288895232658</v>
      </c>
      <c r="AE782" s="129">
        <v>0.993428258488499</v>
      </c>
      <c r="AF782" s="129">
        <v>0.995149253731343</v>
      </c>
      <c r="AG782" s="129">
        <v>0.993677295067796</v>
      </c>
      <c r="AH782" s="131">
        <v>0.92</v>
      </c>
      <c r="AI782" s="129">
        <v>0.938963027783855</v>
      </c>
      <c r="AJ782" s="129">
        <v>0.945791726105564</v>
      </c>
      <c r="AK782" s="129">
        <v>0.94661921708185</v>
      </c>
      <c r="AL782" s="129">
        <v>0.949273720514563</v>
      </c>
      <c r="AM782" s="128">
        <v>0.99</v>
      </c>
      <c r="AN782" s="133">
        <v>1</v>
      </c>
      <c r="AO782" s="133">
        <v>1</v>
      </c>
      <c r="AP782" s="133">
        <v>1</v>
      </c>
      <c r="AQ782" s="133">
        <v>1</v>
      </c>
      <c r="AR782" s="153">
        <v>0.0810595228934205</v>
      </c>
      <c r="AS782" s="137">
        <v>0.0555555555555556</v>
      </c>
      <c r="AT782" s="137">
        <v>0</v>
      </c>
      <c r="AU782" s="137">
        <v>0.0588235294117647</v>
      </c>
      <c r="AV782" s="137">
        <v>0.04375</v>
      </c>
      <c r="AW782" s="93"/>
      <c r="AX782" s="91"/>
    </row>
    <row r="783" ht="14.5" spans="1:50">
      <c r="A783" s="89"/>
      <c r="B783" s="93"/>
      <c r="C783" s="148" t="s">
        <v>664</v>
      </c>
      <c r="D783" s="126" t="s">
        <v>665</v>
      </c>
      <c r="E783" s="171" t="s">
        <v>806</v>
      </c>
      <c r="F783" s="171" t="s">
        <v>806</v>
      </c>
      <c r="G783" s="171" t="s">
        <v>806</v>
      </c>
      <c r="H783" s="171" t="s">
        <v>806</v>
      </c>
      <c r="I783" s="128">
        <v>0.9</v>
      </c>
      <c r="J783" s="129">
        <v>0.75</v>
      </c>
      <c r="K783" s="129">
        <v>0.888888888888889</v>
      </c>
      <c r="L783" s="130">
        <v>0.956521739130435</v>
      </c>
      <c r="M783" s="129">
        <v>0.784905660377359</v>
      </c>
      <c r="N783" s="131">
        <v>0.9</v>
      </c>
      <c r="O783" s="129">
        <v>0.918720117690327</v>
      </c>
      <c r="P783" s="129">
        <v>0.872458410351202</v>
      </c>
      <c r="Q783" s="129">
        <v>0.907231208372978</v>
      </c>
      <c r="R783" s="129">
        <v>0.91087496786357</v>
      </c>
      <c r="S783" s="131">
        <v>0.9</v>
      </c>
      <c r="T783" s="129">
        <v>0.904008826774549</v>
      </c>
      <c r="U783" s="129">
        <v>0.926062846580407</v>
      </c>
      <c r="V783" s="129">
        <v>0.915318744053283</v>
      </c>
      <c r="W783" s="129">
        <v>0.922186991173194</v>
      </c>
      <c r="X783" s="131">
        <v>0.92</v>
      </c>
      <c r="Y783" s="131">
        <v>0.926801801801802</v>
      </c>
      <c r="Z783" s="131">
        <v>0.938931297709924</v>
      </c>
      <c r="AA783" s="131">
        <v>0.941813261163735</v>
      </c>
      <c r="AB783" s="131">
        <v>0.941767068273092</v>
      </c>
      <c r="AC783" s="131">
        <v>0.92</v>
      </c>
      <c r="AD783" s="129">
        <v>0.990049751243781</v>
      </c>
      <c r="AE783" s="129">
        <v>0.991449814126394</v>
      </c>
      <c r="AF783" s="129">
        <v>0.992234169653525</v>
      </c>
      <c r="AG783" s="129">
        <v>0.969715808170515</v>
      </c>
      <c r="AH783" s="131">
        <v>0.92</v>
      </c>
      <c r="AI783" s="129">
        <v>0.962326869806094</v>
      </c>
      <c r="AJ783" s="129">
        <v>0.956467661691542</v>
      </c>
      <c r="AK783" s="129">
        <v>0.960239268121042</v>
      </c>
      <c r="AL783" s="129">
        <v>0.965692251919718</v>
      </c>
      <c r="AM783" s="128">
        <v>0.99</v>
      </c>
      <c r="AN783" s="133">
        <v>1</v>
      </c>
      <c r="AO783" s="133">
        <v>1</v>
      </c>
      <c r="AP783" s="133">
        <v>1</v>
      </c>
      <c r="AQ783" s="133">
        <v>1</v>
      </c>
      <c r="AR783" s="153">
        <v>0.0810595228934205</v>
      </c>
      <c r="AS783" s="137">
        <v>0.0769230769230769</v>
      </c>
      <c r="AT783" s="137">
        <v>0.166666666666667</v>
      </c>
      <c r="AU783" s="137">
        <v>0.0833333333333333</v>
      </c>
      <c r="AV783" s="137">
        <v>0.0978260869565217</v>
      </c>
      <c r="AW783" s="93"/>
      <c r="AX783" s="91"/>
    </row>
    <row r="784" ht="14.5" spans="1:50">
      <c r="A784" s="89"/>
      <c r="B784" s="93"/>
      <c r="C784" s="148" t="s">
        <v>664</v>
      </c>
      <c r="D784" s="126" t="s">
        <v>665</v>
      </c>
      <c r="E784" s="171" t="s">
        <v>807</v>
      </c>
      <c r="F784" s="171" t="s">
        <v>807</v>
      </c>
      <c r="G784" s="171" t="s">
        <v>807</v>
      </c>
      <c r="H784" s="171" t="s">
        <v>807</v>
      </c>
      <c r="I784" s="128">
        <v>0.9</v>
      </c>
      <c r="J784" s="129">
        <v>0.854166666666667</v>
      </c>
      <c r="K784" s="129">
        <v>0.823529411764706</v>
      </c>
      <c r="L784" s="130">
        <v>0.857142857142857</v>
      </c>
      <c r="M784" s="129">
        <v>0.852589641434263</v>
      </c>
      <c r="N784" s="131">
        <v>0.9</v>
      </c>
      <c r="O784" s="129">
        <v>0.92796697626419</v>
      </c>
      <c r="P784" s="129">
        <v>0.963251670378619</v>
      </c>
      <c r="Q784" s="129">
        <v>0.942702702702703</v>
      </c>
      <c r="R784" s="129">
        <v>0.939899550876515</v>
      </c>
      <c r="S784" s="131">
        <v>0.9</v>
      </c>
      <c r="T784" s="129">
        <v>0.906914344685243</v>
      </c>
      <c r="U784" s="129">
        <v>0.927060133630289</v>
      </c>
      <c r="V784" s="129">
        <v>0.914324324324324</v>
      </c>
      <c r="W784" s="129">
        <v>0.917298498092432</v>
      </c>
      <c r="X784" s="131">
        <v>0.92</v>
      </c>
      <c r="Y784" s="131">
        <v>0.920551543007223</v>
      </c>
      <c r="Z784" s="131">
        <v>0.936507936507937</v>
      </c>
      <c r="AA784" s="131">
        <v>0.918367346938776</v>
      </c>
      <c r="AB784" s="131">
        <v>0.927161997563946</v>
      </c>
      <c r="AC784" s="131">
        <v>0.92</v>
      </c>
      <c r="AD784" s="129">
        <v>0.997977755308392</v>
      </c>
      <c r="AE784" s="129">
        <v>1</v>
      </c>
      <c r="AF784" s="129">
        <v>0.997936016511868</v>
      </c>
      <c r="AG784" s="129">
        <v>0.998776197032278</v>
      </c>
      <c r="AH784" s="131">
        <v>0.92</v>
      </c>
      <c r="AI784" s="129">
        <v>0.947550251256281</v>
      </c>
      <c r="AJ784" s="129">
        <v>0.961581499440507</v>
      </c>
      <c r="AK784" s="129">
        <v>0.957350830428542</v>
      </c>
      <c r="AL784" s="129">
        <v>0.960272291038947</v>
      </c>
      <c r="AM784" s="128">
        <v>0.99</v>
      </c>
      <c r="AN784" s="133">
        <v>1</v>
      </c>
      <c r="AO784" s="133">
        <v>1</v>
      </c>
      <c r="AP784" s="133">
        <v>1</v>
      </c>
      <c r="AQ784" s="133">
        <v>1</v>
      </c>
      <c r="AR784" s="153">
        <v>0.0810595228934205</v>
      </c>
      <c r="AS784" s="137">
        <v>0</v>
      </c>
      <c r="AT784" s="137">
        <v>0.0588235294117647</v>
      </c>
      <c r="AU784" s="137">
        <v>0</v>
      </c>
      <c r="AV784" s="137">
        <v>0.0348258706467662</v>
      </c>
      <c r="AW784" s="93"/>
      <c r="AX784" s="91"/>
    </row>
    <row r="785" ht="14.5" spans="1:50">
      <c r="A785" s="89"/>
      <c r="B785" s="93"/>
      <c r="C785" s="148" t="s">
        <v>664</v>
      </c>
      <c r="D785" s="126" t="s">
        <v>665</v>
      </c>
      <c r="E785" s="171" t="s">
        <v>808</v>
      </c>
      <c r="F785" s="171" t="s">
        <v>808</v>
      </c>
      <c r="G785" s="171" t="s">
        <v>808</v>
      </c>
      <c r="H785" s="171" t="s">
        <v>808</v>
      </c>
      <c r="I785" s="128">
        <v>0.9</v>
      </c>
      <c r="J785" s="129">
        <v>0.703703703703704</v>
      </c>
      <c r="K785" s="129">
        <v>0.7</v>
      </c>
      <c r="L785" s="130">
        <v>0.739130434782609</v>
      </c>
      <c r="M785" s="129">
        <v>0.760714285714286</v>
      </c>
      <c r="N785" s="131">
        <v>0.9</v>
      </c>
      <c r="O785" s="129">
        <v>0.938426078366809</v>
      </c>
      <c r="P785" s="129">
        <v>0.957998212689902</v>
      </c>
      <c r="Q785" s="129">
        <v>0.96393301846286</v>
      </c>
      <c r="R785" s="129">
        <v>0.949841365765221</v>
      </c>
      <c r="S785" s="131">
        <v>0.9</v>
      </c>
      <c r="T785" s="129">
        <v>0.913401382943694</v>
      </c>
      <c r="U785" s="129">
        <v>0.924932975871314</v>
      </c>
      <c r="V785" s="129">
        <v>0.912838127951911</v>
      </c>
      <c r="W785" s="129">
        <v>0.908785315002266</v>
      </c>
      <c r="X785" s="131">
        <v>0.92</v>
      </c>
      <c r="Y785" s="131">
        <v>0.892307692307692</v>
      </c>
      <c r="Z785" s="131">
        <v>0.93542757417103</v>
      </c>
      <c r="AA785" s="131">
        <v>0.923504867872045</v>
      </c>
      <c r="AB785" s="131">
        <v>0.903791954906482</v>
      </c>
      <c r="AC785" s="131">
        <v>0.92</v>
      </c>
      <c r="AD785" s="129">
        <v>0.973705834018077</v>
      </c>
      <c r="AE785" s="129">
        <v>0.964306275187104</v>
      </c>
      <c r="AF785" s="129">
        <v>0.975770925110132</v>
      </c>
      <c r="AG785" s="129">
        <v>0.984791106767652</v>
      </c>
      <c r="AH785" s="131">
        <v>0.92</v>
      </c>
      <c r="AI785" s="129">
        <v>0.941995947315096</v>
      </c>
      <c r="AJ785" s="129">
        <v>0.954491725768322</v>
      </c>
      <c r="AK785" s="129">
        <v>0.963969865705863</v>
      </c>
      <c r="AL785" s="129">
        <v>0.950224398204814</v>
      </c>
      <c r="AM785" s="128">
        <v>0.99</v>
      </c>
      <c r="AN785" s="133">
        <v>1</v>
      </c>
      <c r="AO785" s="133">
        <v>1</v>
      </c>
      <c r="AP785" s="133">
        <v>1</v>
      </c>
      <c r="AQ785" s="133">
        <v>1</v>
      </c>
      <c r="AR785" s="153">
        <v>0.0810595228934205</v>
      </c>
      <c r="AS785" s="137">
        <v>0</v>
      </c>
      <c r="AT785" s="137">
        <v>0.1</v>
      </c>
      <c r="AU785" s="137">
        <v>0</v>
      </c>
      <c r="AV785" s="137">
        <v>0.05</v>
      </c>
      <c r="AW785" s="93"/>
      <c r="AX785" s="91"/>
    </row>
    <row r="786" ht="14.5" spans="1:50">
      <c r="A786" s="89"/>
      <c r="B786" s="93"/>
      <c r="C786" s="148" t="s">
        <v>664</v>
      </c>
      <c r="D786" s="126" t="s">
        <v>665</v>
      </c>
      <c r="E786" s="171" t="s">
        <v>809</v>
      </c>
      <c r="F786" s="171" t="s">
        <v>809</v>
      </c>
      <c r="G786" s="171" t="s">
        <v>809</v>
      </c>
      <c r="H786" s="171" t="s">
        <v>809</v>
      </c>
      <c r="I786" s="128">
        <v>0.9</v>
      </c>
      <c r="J786" s="129">
        <v>0.911764705882353</v>
      </c>
      <c r="K786" s="129">
        <v>0.851851851851852</v>
      </c>
      <c r="L786" s="130">
        <v>0.9375</v>
      </c>
      <c r="M786" s="129">
        <v>0.924528301886792</v>
      </c>
      <c r="N786" s="131">
        <v>0.9</v>
      </c>
      <c r="O786" s="129">
        <v>0.949348414064421</v>
      </c>
      <c r="P786" s="129">
        <v>0.938501291989664</v>
      </c>
      <c r="Q786" s="129">
        <v>0.95042492917847</v>
      </c>
      <c r="R786" s="129">
        <v>0.947361463620981</v>
      </c>
      <c r="S786" s="131">
        <v>0.9</v>
      </c>
      <c r="T786" s="129">
        <v>0.920334398819769</v>
      </c>
      <c r="U786" s="129">
        <v>0.929198966408269</v>
      </c>
      <c r="V786" s="129">
        <v>0.915014164305949</v>
      </c>
      <c r="W786" s="129">
        <v>0.924148688663283</v>
      </c>
      <c r="X786" s="131">
        <v>0.92</v>
      </c>
      <c r="Y786" s="131">
        <v>0.938875305623472</v>
      </c>
      <c r="Z786" s="131">
        <v>0.921472392638037</v>
      </c>
      <c r="AA786" s="131">
        <v>0.930755395683453</v>
      </c>
      <c r="AB786" s="131">
        <v>0.923128406157376</v>
      </c>
      <c r="AC786" s="131">
        <v>0.92</v>
      </c>
      <c r="AD786" s="129">
        <v>0.997202797202797</v>
      </c>
      <c r="AE786" s="129">
        <v>0.996240601503759</v>
      </c>
      <c r="AF786" s="129">
        <v>1</v>
      </c>
      <c r="AG786" s="129">
        <v>0.993625673150896</v>
      </c>
      <c r="AH786" s="131">
        <v>0.92</v>
      </c>
      <c r="AI786" s="129">
        <v>0.964514911287278</v>
      </c>
      <c r="AJ786" s="129">
        <v>0.959302325581395</v>
      </c>
      <c r="AK786" s="129">
        <v>0.962994836488812</v>
      </c>
      <c r="AL786" s="129">
        <v>0.960310237849018</v>
      </c>
      <c r="AM786" s="128">
        <v>0.99</v>
      </c>
      <c r="AN786" s="133">
        <v>1</v>
      </c>
      <c r="AO786" s="133">
        <v>1</v>
      </c>
      <c r="AP786" s="133">
        <v>1</v>
      </c>
      <c r="AQ786" s="133">
        <v>1</v>
      </c>
      <c r="AR786" s="153">
        <v>0.0810595228934205</v>
      </c>
      <c r="AS786" s="137">
        <v>0</v>
      </c>
      <c r="AT786" s="137">
        <v>0.0833333333333333</v>
      </c>
      <c r="AU786" s="137">
        <v>0.157894736842105</v>
      </c>
      <c r="AV786" s="137">
        <v>0.0476190476190476</v>
      </c>
      <c r="AW786" s="93"/>
      <c r="AX786" s="91"/>
    </row>
    <row r="787" ht="14.5" spans="1:50">
      <c r="A787" s="89"/>
      <c r="B787" s="93"/>
      <c r="C787" s="148" t="s">
        <v>664</v>
      </c>
      <c r="D787" s="126" t="s">
        <v>665</v>
      </c>
      <c r="E787" s="171" t="s">
        <v>810</v>
      </c>
      <c r="F787" s="171" t="s">
        <v>810</v>
      </c>
      <c r="G787" s="171" t="s">
        <v>810</v>
      </c>
      <c r="H787" s="171" t="s">
        <v>810</v>
      </c>
      <c r="I787" s="128">
        <v>0.9</v>
      </c>
      <c r="J787" s="129">
        <v>0.757575757575758</v>
      </c>
      <c r="K787" s="129">
        <v>0.758620689655172</v>
      </c>
      <c r="L787" s="130">
        <v>0.766666666666667</v>
      </c>
      <c r="M787" s="129">
        <v>0.795013850415512</v>
      </c>
      <c r="N787" s="131">
        <v>0.9</v>
      </c>
      <c r="O787" s="129">
        <v>0.945814220183486</v>
      </c>
      <c r="P787" s="129">
        <v>0.948660714285714</v>
      </c>
      <c r="Q787" s="129">
        <v>0.957853025936599</v>
      </c>
      <c r="R787" s="129">
        <v>0.950105836105231</v>
      </c>
      <c r="S787" s="131">
        <v>0.9</v>
      </c>
      <c r="T787" s="129">
        <v>0.933772935779816</v>
      </c>
      <c r="U787" s="129">
        <v>0.944196428571429</v>
      </c>
      <c r="V787" s="129">
        <v>0.937319884726225</v>
      </c>
      <c r="W787" s="129">
        <v>0.93525518260928</v>
      </c>
      <c r="X787" s="131">
        <v>0.92</v>
      </c>
      <c r="Y787" s="131">
        <v>0.934900542495479</v>
      </c>
      <c r="Z787" s="131">
        <v>0.9375</v>
      </c>
      <c r="AA787" s="131">
        <v>0.914819136522754</v>
      </c>
      <c r="AB787" s="131">
        <v>0.940298507462687</v>
      </c>
      <c r="AC787" s="131">
        <v>0.92</v>
      </c>
      <c r="AD787" s="129">
        <v>0.992063492063492</v>
      </c>
      <c r="AE787" s="129">
        <v>0.999015748031496</v>
      </c>
      <c r="AF787" s="129">
        <v>0.980886185925282</v>
      </c>
      <c r="AG787" s="129">
        <v>0.993353103589324</v>
      </c>
      <c r="AH787" s="131">
        <v>0.92</v>
      </c>
      <c r="AI787" s="129">
        <v>0.955009780482504</v>
      </c>
      <c r="AJ787" s="129">
        <v>0.960457360647928</v>
      </c>
      <c r="AK787" s="129">
        <v>0.951635064578181</v>
      </c>
      <c r="AL787" s="129">
        <v>0.957395166287957</v>
      </c>
      <c r="AM787" s="128">
        <v>0.99</v>
      </c>
      <c r="AN787" s="133">
        <v>1</v>
      </c>
      <c r="AO787" s="133">
        <v>1</v>
      </c>
      <c r="AP787" s="133">
        <v>1</v>
      </c>
      <c r="AQ787" s="133">
        <v>1</v>
      </c>
      <c r="AR787" s="153">
        <v>0.0810595228934205</v>
      </c>
      <c r="AS787" s="137">
        <v>0</v>
      </c>
      <c r="AT787" s="137">
        <v>0.0909090909090909</v>
      </c>
      <c r="AU787" s="137">
        <v>0.0714285714285714</v>
      </c>
      <c r="AV787" s="137">
        <v>0.0529411764705882</v>
      </c>
      <c r="AW787" s="93"/>
      <c r="AX787" s="91"/>
    </row>
    <row r="788" ht="14.5" spans="1:50">
      <c r="A788" s="89"/>
      <c r="B788" s="93"/>
      <c r="C788" s="148" t="s">
        <v>664</v>
      </c>
      <c r="D788" s="126" t="s">
        <v>665</v>
      </c>
      <c r="E788" s="171" t="s">
        <v>811</v>
      </c>
      <c r="F788" s="171" t="s">
        <v>811</v>
      </c>
      <c r="G788" s="171" t="s">
        <v>811</v>
      </c>
      <c r="H788" s="171" t="s">
        <v>811</v>
      </c>
      <c r="I788" s="128">
        <v>0.9</v>
      </c>
      <c r="J788" s="129">
        <v>0.935483870967742</v>
      </c>
      <c r="K788" s="129">
        <v>0.928571428571429</v>
      </c>
      <c r="L788" s="130">
        <v>0.935483870967742</v>
      </c>
      <c r="M788" s="129">
        <v>0.932960893854749</v>
      </c>
      <c r="N788" s="131">
        <v>0.9</v>
      </c>
      <c r="O788" s="129">
        <v>0.893777249306381</v>
      </c>
      <c r="P788" s="129">
        <v>0.940152339499456</v>
      </c>
      <c r="Q788" s="129">
        <v>0.953185328185328</v>
      </c>
      <c r="R788" s="129">
        <v>0.933606409794743</v>
      </c>
      <c r="S788" s="131">
        <v>0.9</v>
      </c>
      <c r="T788" s="129">
        <v>0.850971066191042</v>
      </c>
      <c r="U788" s="129">
        <v>0.880304678998912</v>
      </c>
      <c r="V788" s="129">
        <v>0.890926640926641</v>
      </c>
      <c r="W788" s="129">
        <v>0.879231184731725</v>
      </c>
      <c r="X788" s="131">
        <v>0.92</v>
      </c>
      <c r="Y788" s="131">
        <v>0.898470097357441</v>
      </c>
      <c r="Z788" s="131">
        <v>0.9375</v>
      </c>
      <c r="AA788" s="131">
        <v>0.916279069767442</v>
      </c>
      <c r="AB788" s="131">
        <v>0.915153412648716</v>
      </c>
      <c r="AC788" s="131">
        <v>0.92</v>
      </c>
      <c r="AD788" s="129">
        <v>0.994663820704376</v>
      </c>
      <c r="AE788" s="129">
        <v>0.994354838709677</v>
      </c>
      <c r="AF788" s="129">
        <v>0.99009900990099</v>
      </c>
      <c r="AG788" s="129">
        <v>0.994087282965744</v>
      </c>
      <c r="AH788" s="131">
        <v>0.92</v>
      </c>
      <c r="AI788" s="129">
        <v>0.95012315270936</v>
      </c>
      <c r="AJ788" s="129">
        <v>0.95146324054247</v>
      </c>
      <c r="AK788" s="129">
        <v>0.955995599559956</v>
      </c>
      <c r="AL788" s="129">
        <v>0.955602094240838</v>
      </c>
      <c r="AM788" s="128">
        <v>0.99</v>
      </c>
      <c r="AN788" s="133">
        <v>1</v>
      </c>
      <c r="AO788" s="133">
        <v>1</v>
      </c>
      <c r="AP788" s="133">
        <v>1</v>
      </c>
      <c r="AQ788" s="133">
        <v>1</v>
      </c>
      <c r="AR788" s="153">
        <v>0.0810595228934205</v>
      </c>
      <c r="AS788" s="137">
        <v>0</v>
      </c>
      <c r="AT788" s="137">
        <v>0.111111111111111</v>
      </c>
      <c r="AU788" s="137">
        <v>0.0769230769230769</v>
      </c>
      <c r="AV788" s="137">
        <v>0.0571428571428571</v>
      </c>
      <c r="AW788" s="93"/>
      <c r="AX788" s="91"/>
    </row>
    <row r="789" ht="14.5" spans="1:50">
      <c r="A789" s="89"/>
      <c r="B789" s="93"/>
      <c r="C789" s="148" t="s">
        <v>664</v>
      </c>
      <c r="D789" s="126" t="s">
        <v>665</v>
      </c>
      <c r="E789" s="171" t="s">
        <v>812</v>
      </c>
      <c r="F789" s="171" t="s">
        <v>812</v>
      </c>
      <c r="G789" s="171" t="s">
        <v>812</v>
      </c>
      <c r="H789" s="171" t="s">
        <v>812</v>
      </c>
      <c r="I789" s="128">
        <v>0.9</v>
      </c>
      <c r="J789" s="129">
        <v>0.914285714285714</v>
      </c>
      <c r="K789" s="129">
        <v>0.866666666666667</v>
      </c>
      <c r="L789" s="130">
        <v>0.916666666666667</v>
      </c>
      <c r="M789" s="129">
        <v>0.8875</v>
      </c>
      <c r="N789" s="131">
        <v>0.9</v>
      </c>
      <c r="O789" s="129">
        <v>0.948663853727145</v>
      </c>
      <c r="P789" s="129">
        <v>0.953446191051995</v>
      </c>
      <c r="Q789" s="129">
        <v>0.962282635317169</v>
      </c>
      <c r="R789" s="129">
        <v>0.949126637554585</v>
      </c>
      <c r="S789" s="131">
        <v>0.9</v>
      </c>
      <c r="T789" s="129">
        <v>0.93483356774496</v>
      </c>
      <c r="U789" s="129">
        <v>0.942563482466747</v>
      </c>
      <c r="V789" s="129">
        <v>0.937545922116091</v>
      </c>
      <c r="W789" s="129">
        <v>0.93924672489083</v>
      </c>
      <c r="X789" s="131">
        <v>0.92</v>
      </c>
      <c r="Y789" s="131">
        <v>0.927091963545982</v>
      </c>
      <c r="Z789" s="131">
        <v>0.911022576361222</v>
      </c>
      <c r="AA789" s="131">
        <v>0.948405253283302</v>
      </c>
      <c r="AB789" s="131">
        <v>0.940197660346914</v>
      </c>
      <c r="AC789" s="131">
        <v>0.92</v>
      </c>
      <c r="AD789" s="129">
        <v>1</v>
      </c>
      <c r="AE789" s="129">
        <v>0.996258185219832</v>
      </c>
      <c r="AF789" s="129">
        <v>0.99184339314845</v>
      </c>
      <c r="AG789" s="129">
        <v>0.996030894657799</v>
      </c>
      <c r="AH789" s="131">
        <v>0.92</v>
      </c>
      <c r="AI789" s="129">
        <v>0.968036529680365</v>
      </c>
      <c r="AJ789" s="129">
        <v>0.955980066445183</v>
      </c>
      <c r="AK789" s="129">
        <v>0.981744027966595</v>
      </c>
      <c r="AL789" s="129">
        <v>0.972475685424136</v>
      </c>
      <c r="AM789" s="128">
        <v>0.99</v>
      </c>
      <c r="AN789" s="133">
        <v>1</v>
      </c>
      <c r="AO789" s="133">
        <v>1</v>
      </c>
      <c r="AP789" s="133">
        <v>1</v>
      </c>
      <c r="AQ789" s="133">
        <v>1</v>
      </c>
      <c r="AR789" s="153">
        <v>0.0810595228934205</v>
      </c>
      <c r="AS789" s="137">
        <v>0</v>
      </c>
      <c r="AT789" s="137">
        <v>0</v>
      </c>
      <c r="AU789" s="137">
        <v>0</v>
      </c>
      <c r="AV789" s="137">
        <v>0.010752688172043</v>
      </c>
      <c r="AW789" s="93"/>
      <c r="AX789" s="91"/>
    </row>
    <row r="790" ht="14.5" spans="1:50">
      <c r="A790" s="89"/>
      <c r="B790" s="93"/>
      <c r="C790" s="148" t="s">
        <v>664</v>
      </c>
      <c r="D790" s="126" t="s">
        <v>665</v>
      </c>
      <c r="E790" s="171" t="s">
        <v>813</v>
      </c>
      <c r="F790" s="171" t="s">
        <v>813</v>
      </c>
      <c r="G790" s="171" t="s">
        <v>813</v>
      </c>
      <c r="H790" s="171" t="s">
        <v>813</v>
      </c>
      <c r="I790" s="128">
        <v>0.9</v>
      </c>
      <c r="J790" s="129">
        <v>0.648648648648649</v>
      </c>
      <c r="K790" s="129">
        <v>0.785714285714286</v>
      </c>
      <c r="L790" s="130">
        <v>0.75</v>
      </c>
      <c r="M790" s="129">
        <v>0.739690721649485</v>
      </c>
      <c r="N790" s="131">
        <v>0.9</v>
      </c>
      <c r="O790" s="129">
        <v>0.948288419519301</v>
      </c>
      <c r="P790" s="129">
        <v>0.958819492107069</v>
      </c>
      <c r="Q790" s="129">
        <v>0.934843313682904</v>
      </c>
      <c r="R790" s="129">
        <v>0.940391608391608</v>
      </c>
      <c r="S790" s="131">
        <v>0.9</v>
      </c>
      <c r="T790" s="129">
        <v>0.893663510560816</v>
      </c>
      <c r="U790" s="129">
        <v>0.916952642415923</v>
      </c>
      <c r="V790" s="129">
        <v>0.866273658082532</v>
      </c>
      <c r="W790" s="129">
        <v>0.901874125874126</v>
      </c>
      <c r="X790" s="131">
        <v>0.92</v>
      </c>
      <c r="Y790" s="131">
        <v>0.897911832946636</v>
      </c>
      <c r="Z790" s="131">
        <v>0.923954372623574</v>
      </c>
      <c r="AA790" s="131">
        <v>0.879432624113475</v>
      </c>
      <c r="AB790" s="131">
        <v>0.909885101129997</v>
      </c>
      <c r="AC790" s="131">
        <v>0.92</v>
      </c>
      <c r="AD790" s="129">
        <v>0.99290780141844</v>
      </c>
      <c r="AE790" s="129">
        <v>0.993084370677732</v>
      </c>
      <c r="AF790" s="129">
        <v>0.984984984984985</v>
      </c>
      <c r="AG790" s="129">
        <v>0.974443101364186</v>
      </c>
      <c r="AH790" s="131">
        <v>0.92</v>
      </c>
      <c r="AI790" s="129">
        <v>0.939763488543976</v>
      </c>
      <c r="AJ790" s="129">
        <v>0.953271028037383</v>
      </c>
      <c r="AK790" s="129">
        <v>0.948304481859142</v>
      </c>
      <c r="AL790" s="129">
        <v>0.950852947527532</v>
      </c>
      <c r="AM790" s="128">
        <v>0.99</v>
      </c>
      <c r="AN790" s="133">
        <v>1</v>
      </c>
      <c r="AO790" s="133">
        <v>1</v>
      </c>
      <c r="AP790" s="133" t="s">
        <v>33</v>
      </c>
      <c r="AQ790" s="133">
        <v>1</v>
      </c>
      <c r="AR790" s="153">
        <v>0.0810595228934205</v>
      </c>
      <c r="AS790" s="137">
        <v>0</v>
      </c>
      <c r="AT790" s="137">
        <v>0</v>
      </c>
      <c r="AU790" s="137">
        <v>0</v>
      </c>
      <c r="AV790" s="137">
        <v>0.0301204819277108</v>
      </c>
      <c r="AW790" s="93"/>
      <c r="AX790" s="91"/>
    </row>
    <row r="791" ht="14.5" spans="1:50">
      <c r="A791" s="89"/>
      <c r="B791" s="93"/>
      <c r="C791" s="148" t="s">
        <v>664</v>
      </c>
      <c r="D791" s="126" t="s">
        <v>665</v>
      </c>
      <c r="E791" s="171" t="s">
        <v>814</v>
      </c>
      <c r="F791" s="171" t="s">
        <v>814</v>
      </c>
      <c r="G791" s="171" t="s">
        <v>814</v>
      </c>
      <c r="H791" s="171" t="s">
        <v>814</v>
      </c>
      <c r="I791" s="128">
        <v>0.9</v>
      </c>
      <c r="J791" s="129">
        <v>0.772727272727273</v>
      </c>
      <c r="K791" s="129">
        <v>0.842105263157895</v>
      </c>
      <c r="L791" s="130">
        <v>0.75</v>
      </c>
      <c r="M791" s="129">
        <v>0.728744939271255</v>
      </c>
      <c r="N791" s="131">
        <v>0.9</v>
      </c>
      <c r="O791" s="129">
        <v>0.940789473684211</v>
      </c>
      <c r="P791" s="129">
        <v>0.924689440993789</v>
      </c>
      <c r="Q791" s="129">
        <v>0.942946990116801</v>
      </c>
      <c r="R791" s="129">
        <v>0.934418125643666</v>
      </c>
      <c r="S791" s="131">
        <v>0.9</v>
      </c>
      <c r="T791" s="129">
        <v>0.91578947368421</v>
      </c>
      <c r="U791" s="129">
        <v>0.947204968944099</v>
      </c>
      <c r="V791" s="129">
        <v>0.945642407906559</v>
      </c>
      <c r="W791" s="129">
        <v>0.933017507723996</v>
      </c>
      <c r="X791" s="131">
        <v>0.92</v>
      </c>
      <c r="Y791" s="131">
        <v>0.935093509350935</v>
      </c>
      <c r="Z791" s="131">
        <v>0.939736346516008</v>
      </c>
      <c r="AA791" s="131">
        <v>0.94743935309973</v>
      </c>
      <c r="AB791" s="131">
        <v>0.933323915807317</v>
      </c>
      <c r="AC791" s="131">
        <v>0.92</v>
      </c>
      <c r="AD791" s="129">
        <v>0.99554565701559</v>
      </c>
      <c r="AE791" s="129">
        <v>1</v>
      </c>
      <c r="AF791" s="129">
        <v>0.990476190476191</v>
      </c>
      <c r="AG791" s="129">
        <v>0.998192615543506</v>
      </c>
      <c r="AH791" s="131">
        <v>0.92</v>
      </c>
      <c r="AI791" s="129">
        <v>0.973164556962025</v>
      </c>
      <c r="AJ791" s="129">
        <v>0.963736263736264</v>
      </c>
      <c r="AK791" s="129">
        <v>0.973400673400673</v>
      </c>
      <c r="AL791" s="129">
        <v>0.965690963586506</v>
      </c>
      <c r="AM791" s="128">
        <v>0.99</v>
      </c>
      <c r="AN791" s="133">
        <v>1</v>
      </c>
      <c r="AO791" s="133">
        <v>1</v>
      </c>
      <c r="AP791" s="133">
        <v>1</v>
      </c>
      <c r="AQ791" s="133">
        <v>1</v>
      </c>
      <c r="AR791" s="153">
        <v>0.0810595228934205</v>
      </c>
      <c r="AS791" s="137">
        <v>0</v>
      </c>
      <c r="AT791" s="137">
        <v>0.166666666666667</v>
      </c>
      <c r="AU791" s="137">
        <v>0.25</v>
      </c>
      <c r="AV791" s="137">
        <v>0.0123456790123457</v>
      </c>
      <c r="AW791" s="93"/>
      <c r="AX791" s="91"/>
    </row>
    <row r="792" ht="14.5" spans="1:50">
      <c r="A792" s="89"/>
      <c r="B792" s="93"/>
      <c r="C792" s="148" t="s">
        <v>664</v>
      </c>
      <c r="D792" s="126" t="s">
        <v>665</v>
      </c>
      <c r="E792" s="171" t="s">
        <v>815</v>
      </c>
      <c r="F792" s="171" t="s">
        <v>815</v>
      </c>
      <c r="G792" s="171" t="s">
        <v>815</v>
      </c>
      <c r="H792" s="171" t="s">
        <v>815</v>
      </c>
      <c r="I792" s="128">
        <v>0.9</v>
      </c>
      <c r="J792" s="129">
        <v>0.904761904761905</v>
      </c>
      <c r="K792" s="129">
        <v>0.875</v>
      </c>
      <c r="L792" s="130">
        <v>0.909090909090909</v>
      </c>
      <c r="M792" s="129">
        <v>0.867768595041322</v>
      </c>
      <c r="N792" s="131">
        <v>0.9</v>
      </c>
      <c r="O792" s="129">
        <v>0.952202826267664</v>
      </c>
      <c r="P792" s="129">
        <v>0.959183673469388</v>
      </c>
      <c r="Q792" s="129">
        <v>0.952453211937279</v>
      </c>
      <c r="R792" s="129">
        <v>0.954598262001022</v>
      </c>
      <c r="S792" s="131">
        <v>0.9</v>
      </c>
      <c r="T792" s="129">
        <v>0.923940149625935</v>
      </c>
      <c r="U792" s="129">
        <v>0.935174069627851</v>
      </c>
      <c r="V792" s="129">
        <v>0.948406676783004</v>
      </c>
      <c r="W792" s="129">
        <v>0.938287095125238</v>
      </c>
      <c r="X792" s="131">
        <v>0.92</v>
      </c>
      <c r="Y792" s="131">
        <v>0.922222222222222</v>
      </c>
      <c r="Z792" s="131">
        <v>0.910064239828694</v>
      </c>
      <c r="AA792" s="131">
        <v>0.923875432525952</v>
      </c>
      <c r="AB792" s="131">
        <v>0.90659509202454</v>
      </c>
      <c r="AC792" s="131">
        <v>0.92</v>
      </c>
      <c r="AD792" s="129">
        <v>0.99625468164794</v>
      </c>
      <c r="AE792" s="129">
        <v>0.996858638743455</v>
      </c>
      <c r="AF792" s="129">
        <v>1</v>
      </c>
      <c r="AG792" s="129">
        <v>0.996909244169711</v>
      </c>
      <c r="AH792" s="131">
        <v>0.92</v>
      </c>
      <c r="AI792" s="129">
        <v>0.946828358208955</v>
      </c>
      <c r="AJ792" s="129">
        <v>0.946923076923077</v>
      </c>
      <c r="AK792" s="129">
        <v>0.959686888454012</v>
      </c>
      <c r="AL792" s="129">
        <v>0.953800085555397</v>
      </c>
      <c r="AM792" s="128">
        <v>0.99</v>
      </c>
      <c r="AN792" s="133">
        <v>1</v>
      </c>
      <c r="AO792" s="133">
        <v>1</v>
      </c>
      <c r="AP792" s="133">
        <v>1</v>
      </c>
      <c r="AQ792" s="133">
        <v>1</v>
      </c>
      <c r="AR792" s="153">
        <v>0.0810595228934205</v>
      </c>
      <c r="AS792" s="137">
        <v>0</v>
      </c>
      <c r="AT792" s="137">
        <v>0</v>
      </c>
      <c r="AU792" s="137">
        <v>0</v>
      </c>
      <c r="AV792" s="137">
        <v>0.0404040404040404</v>
      </c>
      <c r="AW792" s="93"/>
      <c r="AX792" s="91"/>
    </row>
    <row r="793" ht="14.5" spans="1:50">
      <c r="A793" s="89"/>
      <c r="B793" s="93"/>
      <c r="C793" s="148" t="s">
        <v>664</v>
      </c>
      <c r="D793" s="126" t="s">
        <v>665</v>
      </c>
      <c r="E793" s="171" t="s">
        <v>816</v>
      </c>
      <c r="F793" s="171" t="s">
        <v>816</v>
      </c>
      <c r="G793" s="171" t="s">
        <v>816</v>
      </c>
      <c r="H793" s="171" t="s">
        <v>816</v>
      </c>
      <c r="I793" s="128">
        <v>0.9</v>
      </c>
      <c r="J793" s="129">
        <v>0.88</v>
      </c>
      <c r="K793" s="129">
        <v>0.941176470588235</v>
      </c>
      <c r="L793" s="130">
        <v>0.958333333333333</v>
      </c>
      <c r="M793" s="129">
        <v>0.908088235294118</v>
      </c>
      <c r="N793" s="131">
        <v>0.9</v>
      </c>
      <c r="O793" s="129">
        <v>0.947429906542056</v>
      </c>
      <c r="P793" s="129">
        <v>0.930924548352816</v>
      </c>
      <c r="Q793" s="129">
        <v>0.936094069529652</v>
      </c>
      <c r="R793" s="129">
        <v>0.936530703720305</v>
      </c>
      <c r="S793" s="131">
        <v>0.9</v>
      </c>
      <c r="T793" s="129">
        <v>0.912772585669782</v>
      </c>
      <c r="U793" s="129">
        <v>0.912858660998937</v>
      </c>
      <c r="V793" s="129">
        <v>0.923824130879346</v>
      </c>
      <c r="W793" s="129">
        <v>0.917256835499776</v>
      </c>
      <c r="X793" s="131">
        <v>0.92</v>
      </c>
      <c r="Y793" s="131">
        <v>0.88953488372093</v>
      </c>
      <c r="Z793" s="131">
        <v>0.918803418803419</v>
      </c>
      <c r="AA793" s="131">
        <v>0.902668759811617</v>
      </c>
      <c r="AB793" s="131">
        <v>0.908157099697885</v>
      </c>
      <c r="AC793" s="131">
        <v>0.92</v>
      </c>
      <c r="AD793" s="129">
        <v>0.987108655616943</v>
      </c>
      <c r="AE793" s="129">
        <v>0.993766233766234</v>
      </c>
      <c r="AF793" s="129">
        <v>0.997326203208556</v>
      </c>
      <c r="AG793" s="129">
        <v>0.993255363421109</v>
      </c>
      <c r="AH793" s="131">
        <v>0.92</v>
      </c>
      <c r="AI793" s="129">
        <v>0.936734693877551</v>
      </c>
      <c r="AJ793" s="129">
        <v>0.939801699716714</v>
      </c>
      <c r="AK793" s="129">
        <v>0.938195777351248</v>
      </c>
      <c r="AL793" s="129">
        <v>0.942833471416736</v>
      </c>
      <c r="AM793" s="128">
        <v>0.99</v>
      </c>
      <c r="AN793" s="133">
        <v>1</v>
      </c>
      <c r="AO793" s="133">
        <v>1</v>
      </c>
      <c r="AP793" s="133">
        <v>1</v>
      </c>
      <c r="AQ793" s="133">
        <v>1</v>
      </c>
      <c r="AR793" s="153">
        <v>0.0810595228934205</v>
      </c>
      <c r="AS793" s="137">
        <v>0.0666666666666667</v>
      </c>
      <c r="AT793" s="137">
        <v>0</v>
      </c>
      <c r="AU793" s="137">
        <v>0</v>
      </c>
      <c r="AV793" s="137">
        <v>0.0296610169491525</v>
      </c>
      <c r="AW793" s="93"/>
      <c r="AX793" s="91"/>
    </row>
    <row r="794" ht="14.5" spans="1:50">
      <c r="A794" s="89"/>
      <c r="B794" s="93"/>
      <c r="C794" s="148" t="s">
        <v>664</v>
      </c>
      <c r="D794" s="126" t="s">
        <v>665</v>
      </c>
      <c r="E794" s="171" t="s">
        <v>817</v>
      </c>
      <c r="F794" s="171" t="s">
        <v>817</v>
      </c>
      <c r="G794" s="171" t="s">
        <v>817</v>
      </c>
      <c r="H794" s="171" t="s">
        <v>817</v>
      </c>
      <c r="I794" s="128">
        <v>0.9</v>
      </c>
      <c r="J794" s="129">
        <v>0.8125</v>
      </c>
      <c r="K794" s="129">
        <v>0.714285714285714</v>
      </c>
      <c r="L794" s="130">
        <v>0.862068965517241</v>
      </c>
      <c r="M794" s="129">
        <v>0.794285714285714</v>
      </c>
      <c r="N794" s="131">
        <v>0.9</v>
      </c>
      <c r="O794" s="129">
        <v>0.950390189520624</v>
      </c>
      <c r="P794" s="129">
        <v>0.943410852713178</v>
      </c>
      <c r="Q794" s="129">
        <v>0.954854890720172</v>
      </c>
      <c r="R794" s="129">
        <v>0.953956695450445</v>
      </c>
      <c r="S794" s="131">
        <v>0.9</v>
      </c>
      <c r="T794" s="129">
        <v>0.912207357859532</v>
      </c>
      <c r="U794" s="129">
        <v>0.882945736434109</v>
      </c>
      <c r="V794" s="129">
        <v>0.907560014331781</v>
      </c>
      <c r="W794" s="129">
        <v>0.918352880525841</v>
      </c>
      <c r="X794" s="131">
        <v>0.92</v>
      </c>
      <c r="Y794" s="131">
        <v>0.927046263345196</v>
      </c>
      <c r="Z794" s="131">
        <v>0.888423988842399</v>
      </c>
      <c r="AA794" s="131">
        <v>0.916114790286976</v>
      </c>
      <c r="AB794" s="131">
        <v>0.904423034814977</v>
      </c>
      <c r="AC794" s="131">
        <v>0.92</v>
      </c>
      <c r="AD794" s="129">
        <v>0.995680345572354</v>
      </c>
      <c r="AE794" s="129">
        <v>0.993914807302231</v>
      </c>
      <c r="AF794" s="129">
        <v>0.993670886075949</v>
      </c>
      <c r="AG794" s="129">
        <v>0.994875687986335</v>
      </c>
      <c r="AH794" s="131">
        <v>0.92</v>
      </c>
      <c r="AI794" s="129">
        <v>0.956521739130435</v>
      </c>
      <c r="AJ794" s="129">
        <v>0.944195316392626</v>
      </c>
      <c r="AK794" s="129">
        <v>0.964054054054054</v>
      </c>
      <c r="AL794" s="129">
        <v>0.959411706151702</v>
      </c>
      <c r="AM794" s="128">
        <v>0.99</v>
      </c>
      <c r="AN794" s="133">
        <v>1</v>
      </c>
      <c r="AO794" s="133">
        <v>1</v>
      </c>
      <c r="AP794" s="133">
        <v>1</v>
      </c>
      <c r="AQ794" s="133">
        <v>1</v>
      </c>
      <c r="AR794" s="153">
        <v>0.0810595228934205</v>
      </c>
      <c r="AS794" s="137">
        <v>0</v>
      </c>
      <c r="AT794" s="137">
        <v>0.181818181818182</v>
      </c>
      <c r="AU794" s="137">
        <v>0.0476190476190476</v>
      </c>
      <c r="AV794" s="137">
        <v>0.0792682926829268</v>
      </c>
      <c r="AW794" s="93"/>
      <c r="AX794" s="91"/>
    </row>
    <row r="795" ht="14.5" spans="1:50">
      <c r="A795" s="89"/>
      <c r="B795" s="93"/>
      <c r="C795" s="148" t="s">
        <v>664</v>
      </c>
      <c r="D795" s="126" t="s">
        <v>665</v>
      </c>
      <c r="E795" s="171" t="s">
        <v>818</v>
      </c>
      <c r="F795" s="171" t="s">
        <v>818</v>
      </c>
      <c r="G795" s="171" t="s">
        <v>818</v>
      </c>
      <c r="H795" s="171" t="s">
        <v>818</v>
      </c>
      <c r="I795" s="128">
        <v>0.9</v>
      </c>
      <c r="J795" s="129">
        <v>0.826086956521739</v>
      </c>
      <c r="K795" s="129">
        <v>0.9</v>
      </c>
      <c r="L795" s="130">
        <v>0.956521739130435</v>
      </c>
      <c r="M795" s="129">
        <v>0.871698113207547</v>
      </c>
      <c r="N795" s="131">
        <v>0.9</v>
      </c>
      <c r="O795" s="129">
        <v>0.89190251572327</v>
      </c>
      <c r="P795" s="129">
        <v>0.938025210084034</v>
      </c>
      <c r="Q795" s="129">
        <v>0.939317953861585</v>
      </c>
      <c r="R795" s="129">
        <v>0.920035738217556</v>
      </c>
      <c r="S795" s="131">
        <v>0.9</v>
      </c>
      <c r="T795" s="129">
        <v>0.889544025157233</v>
      </c>
      <c r="U795" s="129">
        <v>0.920168067226891</v>
      </c>
      <c r="V795" s="129">
        <v>0.922768304914744</v>
      </c>
      <c r="W795" s="129">
        <v>0.912173330355149</v>
      </c>
      <c r="X795" s="131">
        <v>0.92</v>
      </c>
      <c r="Y795" s="131">
        <v>0.858974358974359</v>
      </c>
      <c r="Z795" s="131">
        <v>0.877593360995851</v>
      </c>
      <c r="AA795" s="131">
        <v>0.887262079062958</v>
      </c>
      <c r="AB795" s="131">
        <v>0.889105349917578</v>
      </c>
      <c r="AC795" s="131">
        <v>0.92</v>
      </c>
      <c r="AD795" s="129">
        <v>0.996422182468694</v>
      </c>
      <c r="AE795" s="129">
        <v>0.998927038626609</v>
      </c>
      <c r="AF795" s="129">
        <v>1</v>
      </c>
      <c r="AG795" s="129">
        <v>0.994148482262587</v>
      </c>
      <c r="AH795" s="131">
        <v>0.92</v>
      </c>
      <c r="AI795" s="129">
        <v>0.931407942238267</v>
      </c>
      <c r="AJ795" s="129">
        <v>0.941463414634146</v>
      </c>
      <c r="AK795" s="129">
        <v>0.951510630361805</v>
      </c>
      <c r="AL795" s="129">
        <v>0.947241711377081</v>
      </c>
      <c r="AM795" s="128">
        <v>0.99</v>
      </c>
      <c r="AN795" s="133">
        <v>1</v>
      </c>
      <c r="AO795" s="133">
        <v>1</v>
      </c>
      <c r="AP795" s="133">
        <v>1</v>
      </c>
      <c r="AQ795" s="133">
        <v>1</v>
      </c>
      <c r="AR795" s="153">
        <v>0.0810595228934205</v>
      </c>
      <c r="AS795" s="137">
        <v>0</v>
      </c>
      <c r="AT795" s="137">
        <v>0</v>
      </c>
      <c r="AU795" s="137">
        <v>0</v>
      </c>
      <c r="AV795" s="137">
        <v>0.036036036036036</v>
      </c>
      <c r="AW795" s="93"/>
      <c r="AX795" s="91"/>
    </row>
    <row r="796" ht="14.5" spans="1:50">
      <c r="A796" s="89"/>
      <c r="B796" s="93"/>
      <c r="C796" s="148" t="s">
        <v>664</v>
      </c>
      <c r="D796" s="126" t="s">
        <v>665</v>
      </c>
      <c r="E796" s="171" t="s">
        <v>819</v>
      </c>
      <c r="F796" s="171" t="s">
        <v>819</v>
      </c>
      <c r="G796" s="171" t="s">
        <v>819</v>
      </c>
      <c r="H796" s="171" t="s">
        <v>819</v>
      </c>
      <c r="I796" s="128">
        <v>0.9</v>
      </c>
      <c r="J796" s="129">
        <v>0.857142857142857</v>
      </c>
      <c r="K796" s="129">
        <v>0.842105263157895</v>
      </c>
      <c r="L796" s="130">
        <v>0.80952380952381</v>
      </c>
      <c r="M796" s="129">
        <v>0.762295081967213</v>
      </c>
      <c r="N796" s="131">
        <v>0.9</v>
      </c>
      <c r="O796" s="129">
        <v>0.923786602486964</v>
      </c>
      <c r="P796" s="129">
        <v>0.933774834437086</v>
      </c>
      <c r="Q796" s="129">
        <v>0.927927927927928</v>
      </c>
      <c r="R796" s="129">
        <v>0.925482608108716</v>
      </c>
      <c r="S796" s="131">
        <v>0.9</v>
      </c>
      <c r="T796" s="129">
        <v>0.919775371038909</v>
      </c>
      <c r="U796" s="129">
        <v>0.93755912961211</v>
      </c>
      <c r="V796" s="129">
        <v>0.918918918918919</v>
      </c>
      <c r="W796" s="129">
        <v>0.921702740404086</v>
      </c>
      <c r="X796" s="131">
        <v>0.92</v>
      </c>
      <c r="Y796" s="131">
        <v>0.907761529808774</v>
      </c>
      <c r="Z796" s="131">
        <v>0.912313432835821</v>
      </c>
      <c r="AA796" s="131">
        <v>0.929392446633826</v>
      </c>
      <c r="AB796" s="131">
        <v>0.915955962164677</v>
      </c>
      <c r="AC796" s="131">
        <v>0.92</v>
      </c>
      <c r="AD796" s="129">
        <v>0.996782841823056</v>
      </c>
      <c r="AE796" s="129">
        <v>0.995190380761523</v>
      </c>
      <c r="AF796" s="129">
        <v>0.992878942014242</v>
      </c>
      <c r="AG796" s="129">
        <v>0.994142729956422</v>
      </c>
      <c r="AH796" s="131">
        <v>0.92</v>
      </c>
      <c r="AI796" s="129">
        <v>0.958628841607565</v>
      </c>
      <c r="AJ796" s="129">
        <v>0.951693851944793</v>
      </c>
      <c r="AK796" s="129">
        <v>0.96678445229682</v>
      </c>
      <c r="AL796" s="129">
        <v>0.960086450308502</v>
      </c>
      <c r="AM796" s="128">
        <v>0.99</v>
      </c>
      <c r="AN796" s="133">
        <v>1</v>
      </c>
      <c r="AO796" s="133">
        <v>1</v>
      </c>
      <c r="AP796" s="133">
        <v>1</v>
      </c>
      <c r="AQ796" s="133">
        <v>1</v>
      </c>
      <c r="AR796" s="153">
        <v>0.0810595228934205</v>
      </c>
      <c r="AS796" s="137">
        <v>0</v>
      </c>
      <c r="AT796" s="137">
        <v>0.333333333333333</v>
      </c>
      <c r="AU796" s="137">
        <v>0</v>
      </c>
      <c r="AV796" s="137">
        <v>0.0476190476190476</v>
      </c>
      <c r="AW796" s="93"/>
      <c r="AX796" s="91"/>
    </row>
    <row r="797" ht="14.5" spans="1:50">
      <c r="A797" s="89"/>
      <c r="B797" s="93"/>
      <c r="C797" s="148" t="s">
        <v>664</v>
      </c>
      <c r="D797" s="126" t="s">
        <v>665</v>
      </c>
      <c r="E797" s="171" t="s">
        <v>820</v>
      </c>
      <c r="F797" s="171" t="s">
        <v>820</v>
      </c>
      <c r="G797" s="171" t="s">
        <v>820</v>
      </c>
      <c r="H797" s="171" t="s">
        <v>820</v>
      </c>
      <c r="I797" s="128">
        <v>0.9</v>
      </c>
      <c r="J797" s="129">
        <v>0.9375</v>
      </c>
      <c r="K797" s="129">
        <v>0.727272727272727</v>
      </c>
      <c r="L797" s="130">
        <v>0.923076923076923</v>
      </c>
      <c r="M797" s="129">
        <v>0.871165644171779</v>
      </c>
      <c r="N797" s="131">
        <v>0.9</v>
      </c>
      <c r="O797" s="129">
        <v>0.947735191637631</v>
      </c>
      <c r="P797" s="129">
        <v>0.9632</v>
      </c>
      <c r="Q797" s="129">
        <v>0.957400722021661</v>
      </c>
      <c r="R797" s="129">
        <v>0.94262876297299</v>
      </c>
      <c r="S797" s="131">
        <v>0.9</v>
      </c>
      <c r="T797" s="129">
        <v>0.929152148664344</v>
      </c>
      <c r="U797" s="129">
        <v>0.9408</v>
      </c>
      <c r="V797" s="129">
        <v>0.915523465703971</v>
      </c>
      <c r="W797" s="129">
        <v>0.924901695352285</v>
      </c>
      <c r="X797" s="131">
        <v>0.92</v>
      </c>
      <c r="Y797" s="131">
        <v>0.888495575221239</v>
      </c>
      <c r="Z797" s="131">
        <v>0.917682926829268</v>
      </c>
      <c r="AA797" s="131">
        <v>0.909952606635071</v>
      </c>
      <c r="AB797" s="131">
        <v>0.920701910262106</v>
      </c>
      <c r="AC797" s="131">
        <v>0.92</v>
      </c>
      <c r="AD797" s="129">
        <v>0.994011976047904</v>
      </c>
      <c r="AE797" s="129">
        <v>1</v>
      </c>
      <c r="AF797" s="129">
        <v>1</v>
      </c>
      <c r="AG797" s="129">
        <v>0.996797671033479</v>
      </c>
      <c r="AH797" s="131">
        <v>0.92</v>
      </c>
      <c r="AI797" s="129">
        <v>0.944905990380411</v>
      </c>
      <c r="AJ797" s="129">
        <v>0.950733752620545</v>
      </c>
      <c r="AK797" s="129">
        <v>0.960176991150443</v>
      </c>
      <c r="AL797" s="129">
        <v>0.957657162830179</v>
      </c>
      <c r="AM797" s="128">
        <v>0.99</v>
      </c>
      <c r="AN797" s="133">
        <v>1</v>
      </c>
      <c r="AO797" s="133">
        <v>1</v>
      </c>
      <c r="AP797" s="133">
        <v>1</v>
      </c>
      <c r="AQ797" s="133">
        <v>1</v>
      </c>
      <c r="AR797" s="153">
        <v>0.0810595228934205</v>
      </c>
      <c r="AS797" s="137">
        <v>0.2</v>
      </c>
      <c r="AT797" s="137">
        <v>0</v>
      </c>
      <c r="AU797" s="137">
        <v>0</v>
      </c>
      <c r="AV797" s="137">
        <v>0.121212121212121</v>
      </c>
      <c r="AW797" s="93"/>
      <c r="AX797" s="91"/>
    </row>
    <row r="798" ht="14.5" spans="1:50">
      <c r="A798" s="89"/>
      <c r="B798" s="93"/>
      <c r="C798" s="148" t="s">
        <v>664</v>
      </c>
      <c r="D798" s="126" t="s">
        <v>665</v>
      </c>
      <c r="E798" s="171" t="s">
        <v>821</v>
      </c>
      <c r="F798" s="171" t="s">
        <v>821</v>
      </c>
      <c r="G798" s="171" t="s">
        <v>821</v>
      </c>
      <c r="H798" s="171" t="s">
        <v>821</v>
      </c>
      <c r="I798" s="128">
        <v>0.9</v>
      </c>
      <c r="J798" s="129">
        <v>0.8</v>
      </c>
      <c r="K798" s="129">
        <v>0.833333333333333</v>
      </c>
      <c r="L798" s="130">
        <v>0.894736842105263</v>
      </c>
      <c r="M798" s="129">
        <v>0.877934272300469</v>
      </c>
      <c r="N798" s="131">
        <v>0.9</v>
      </c>
      <c r="O798" s="129">
        <v>0.952044422009086</v>
      </c>
      <c r="P798" s="129">
        <v>0.93619972260749</v>
      </c>
      <c r="Q798" s="129">
        <v>0.957609451007644</v>
      </c>
      <c r="R798" s="129">
        <v>0.954798761609907</v>
      </c>
      <c r="S798" s="131">
        <v>0.9</v>
      </c>
      <c r="T798" s="129">
        <v>0.932357395254922</v>
      </c>
      <c r="U798" s="129">
        <v>0.922330097087379</v>
      </c>
      <c r="V798" s="129">
        <v>0.94232105628909</v>
      </c>
      <c r="W798" s="129">
        <v>0.94359133126935</v>
      </c>
      <c r="X798" s="131">
        <v>0.92</v>
      </c>
      <c r="Y798" s="131">
        <v>0.91449814126394</v>
      </c>
      <c r="Z798" s="131">
        <v>0.940594059405941</v>
      </c>
      <c r="AA798" s="131">
        <v>0.944567627494457</v>
      </c>
      <c r="AB798" s="131">
        <v>0.946626814688301</v>
      </c>
      <c r="AC798" s="131">
        <v>0.92</v>
      </c>
      <c r="AD798" s="129">
        <v>0.995582738702005</v>
      </c>
      <c r="AE798" s="129">
        <v>0.999239543726236</v>
      </c>
      <c r="AF798" s="129">
        <v>1</v>
      </c>
      <c r="AG798" s="129">
        <v>0.995339362325998</v>
      </c>
      <c r="AH798" s="131">
        <v>0.92</v>
      </c>
      <c r="AI798" s="129">
        <v>0.954346963080588</v>
      </c>
      <c r="AJ798" s="129">
        <v>0.9521484375</v>
      </c>
      <c r="AK798" s="129">
        <v>0.965153115100317</v>
      </c>
      <c r="AL798" s="129">
        <v>0.965902551314023</v>
      </c>
      <c r="AM798" s="128">
        <v>0.99</v>
      </c>
      <c r="AN798" s="133">
        <v>1</v>
      </c>
      <c r="AO798" s="133">
        <v>1</v>
      </c>
      <c r="AP798" s="133">
        <v>1</v>
      </c>
      <c r="AQ798" s="133">
        <v>1</v>
      </c>
      <c r="AR798" s="153">
        <v>0.0810595228934205</v>
      </c>
      <c r="AS798" s="137">
        <v>0</v>
      </c>
      <c r="AT798" s="137">
        <v>0</v>
      </c>
      <c r="AU798" s="137">
        <v>0</v>
      </c>
      <c r="AV798" s="137">
        <v>0.0317460317460317</v>
      </c>
      <c r="AW798" s="93"/>
      <c r="AX798" s="91"/>
    </row>
    <row r="799" ht="14.5" spans="1:50">
      <c r="A799" s="89"/>
      <c r="B799" s="93"/>
      <c r="C799" s="148" t="s">
        <v>664</v>
      </c>
      <c r="D799" s="126" t="s">
        <v>665</v>
      </c>
      <c r="E799" s="171" t="s">
        <v>822</v>
      </c>
      <c r="F799" s="171" t="s">
        <v>822</v>
      </c>
      <c r="G799" s="171" t="s">
        <v>822</v>
      </c>
      <c r="H799" s="171" t="s">
        <v>822</v>
      </c>
      <c r="I799" s="128">
        <v>0.9</v>
      </c>
      <c r="J799" s="129">
        <v>0.845070422535211</v>
      </c>
      <c r="K799" s="129">
        <v>0.764705882352941</v>
      </c>
      <c r="L799" s="130">
        <v>0.852459016393443</v>
      </c>
      <c r="M799" s="129">
        <v>0.841313269493844</v>
      </c>
      <c r="N799" s="131">
        <v>0.9</v>
      </c>
      <c r="O799" s="129">
        <v>0.904722354057902</v>
      </c>
      <c r="P799" s="129">
        <v>0.918219134827913</v>
      </c>
      <c r="Q799" s="129">
        <v>0.950228917442032</v>
      </c>
      <c r="R799" s="129">
        <v>0.922074061491422</v>
      </c>
      <c r="S799" s="131">
        <v>0.9</v>
      </c>
      <c r="T799" s="129">
        <v>0.899145704793545</v>
      </c>
      <c r="U799" s="129">
        <v>0.937164508999053</v>
      </c>
      <c r="V799" s="129">
        <v>0.923201890415005</v>
      </c>
      <c r="W799" s="129">
        <v>0.911386671196421</v>
      </c>
      <c r="X799" s="131">
        <v>0.92</v>
      </c>
      <c r="Y799" s="131">
        <v>0.929713648196355</v>
      </c>
      <c r="Z799" s="131">
        <v>0.93445475638051</v>
      </c>
      <c r="AA799" s="131">
        <v>0.9367850692354</v>
      </c>
      <c r="AB799" s="131">
        <v>0.936748659145552</v>
      </c>
      <c r="AC799" s="131">
        <v>0.92</v>
      </c>
      <c r="AD799" s="129">
        <v>0.988654781199352</v>
      </c>
      <c r="AE799" s="129">
        <v>0.993579454253612</v>
      </c>
      <c r="AF799" s="129">
        <v>0.951986754966887</v>
      </c>
      <c r="AG799" s="129">
        <v>0.976944359053182</v>
      </c>
      <c r="AH799" s="131">
        <v>0.92</v>
      </c>
      <c r="AI799" s="129">
        <v>0.940996582119086</v>
      </c>
      <c r="AJ799" s="129">
        <v>0.958495195256594</v>
      </c>
      <c r="AK799" s="129">
        <v>0.962049335863378</v>
      </c>
      <c r="AL799" s="129">
        <v>0.957681762519371</v>
      </c>
      <c r="AM799" s="128">
        <v>0.99</v>
      </c>
      <c r="AN799" s="133">
        <v>1</v>
      </c>
      <c r="AO799" s="133">
        <v>1</v>
      </c>
      <c r="AP799" s="133">
        <v>1</v>
      </c>
      <c r="AQ799" s="133">
        <v>1</v>
      </c>
      <c r="AR799" s="153">
        <v>0.0810595228934205</v>
      </c>
      <c r="AS799" s="137">
        <v>0.0434782608695652</v>
      </c>
      <c r="AT799" s="137">
        <v>0</v>
      </c>
      <c r="AU799" s="137">
        <v>0</v>
      </c>
      <c r="AV799" s="137">
        <v>0.0281329923273657</v>
      </c>
      <c r="AW799" s="93"/>
      <c r="AX799" s="91"/>
    </row>
    <row r="800" ht="14.5" spans="1:50">
      <c r="A800" s="89"/>
      <c r="B800" s="93"/>
      <c r="C800" s="148" t="s">
        <v>664</v>
      </c>
      <c r="D800" s="126" t="s">
        <v>665</v>
      </c>
      <c r="E800" s="171" t="s">
        <v>823</v>
      </c>
      <c r="F800" s="171" t="s">
        <v>823</v>
      </c>
      <c r="G800" s="171" t="s">
        <v>823</v>
      </c>
      <c r="H800" s="171" t="s">
        <v>823</v>
      </c>
      <c r="I800" s="128">
        <v>0.9</v>
      </c>
      <c r="J800" s="129">
        <v>0.869565217391304</v>
      </c>
      <c r="K800" s="129">
        <v>0.941176470588235</v>
      </c>
      <c r="L800" s="130">
        <v>0.842105263157895</v>
      </c>
      <c r="M800" s="129">
        <v>0.88936170212766</v>
      </c>
      <c r="N800" s="131">
        <v>0.9</v>
      </c>
      <c r="O800" s="129">
        <v>0.886085928261726</v>
      </c>
      <c r="P800" s="129">
        <v>0.964781216648879</v>
      </c>
      <c r="Q800" s="129">
        <v>0.879318978467702</v>
      </c>
      <c r="R800" s="129">
        <v>0.919931303379131</v>
      </c>
      <c r="S800" s="131">
        <v>0.9</v>
      </c>
      <c r="T800" s="129">
        <v>0.90894757587702</v>
      </c>
      <c r="U800" s="129">
        <v>0.917822838847385</v>
      </c>
      <c r="V800" s="129">
        <v>0.916875312969454</v>
      </c>
      <c r="W800" s="129">
        <v>0.908466394355737</v>
      </c>
      <c r="X800" s="131">
        <v>0.92</v>
      </c>
      <c r="Y800" s="131">
        <v>0.936046511627907</v>
      </c>
      <c r="Z800" s="131">
        <v>0.944230769230769</v>
      </c>
      <c r="AA800" s="131">
        <v>0.938297872340425</v>
      </c>
      <c r="AB800" s="131">
        <v>0.928311057108141</v>
      </c>
      <c r="AC800" s="131">
        <v>0.92</v>
      </c>
      <c r="AD800" s="129">
        <v>0.995762711864407</v>
      </c>
      <c r="AE800" s="129">
        <v>1</v>
      </c>
      <c r="AF800" s="129">
        <v>1</v>
      </c>
      <c r="AG800" s="129">
        <v>0.992670490758445</v>
      </c>
      <c r="AH800" s="131">
        <v>0.92</v>
      </c>
      <c r="AI800" s="129">
        <v>0.967029732116573</v>
      </c>
      <c r="AJ800" s="129">
        <v>0.955418381344307</v>
      </c>
      <c r="AK800" s="129">
        <v>0.962707742197</v>
      </c>
      <c r="AL800" s="129">
        <v>0.957946749137962</v>
      </c>
      <c r="AM800" s="128">
        <v>0.99</v>
      </c>
      <c r="AN800" s="133">
        <v>1</v>
      </c>
      <c r="AO800" s="133">
        <v>1</v>
      </c>
      <c r="AP800" s="133">
        <v>1</v>
      </c>
      <c r="AQ800" s="133">
        <v>1</v>
      </c>
      <c r="AR800" s="153">
        <v>0.0810595228934205</v>
      </c>
      <c r="AS800" s="137">
        <v>0</v>
      </c>
      <c r="AT800" s="137">
        <v>0</v>
      </c>
      <c r="AU800" s="137">
        <v>0</v>
      </c>
      <c r="AV800" s="137">
        <v>0.0348837209302326</v>
      </c>
      <c r="AW800" s="93"/>
      <c r="AX800" s="91"/>
    </row>
    <row r="801" ht="14.5" spans="1:50">
      <c r="A801" s="89"/>
      <c r="B801" s="93"/>
      <c r="C801" s="148" t="s">
        <v>664</v>
      </c>
      <c r="D801" s="126" t="s">
        <v>665</v>
      </c>
      <c r="E801" s="171" t="s">
        <v>824</v>
      </c>
      <c r="F801" s="171" t="s">
        <v>824</v>
      </c>
      <c r="G801" s="171" t="s">
        <v>824</v>
      </c>
      <c r="H801" s="171" t="s">
        <v>824</v>
      </c>
      <c r="I801" s="128">
        <v>0.9</v>
      </c>
      <c r="J801" s="129">
        <v>1</v>
      </c>
      <c r="K801" s="129">
        <v>0.923076923076923</v>
      </c>
      <c r="L801" s="130">
        <v>1</v>
      </c>
      <c r="M801" s="129">
        <v>0.951690821256039</v>
      </c>
      <c r="N801" s="131">
        <v>0.9</v>
      </c>
      <c r="O801" s="129">
        <v>0.91154873164219</v>
      </c>
      <c r="P801" s="129">
        <v>0.887884267631103</v>
      </c>
      <c r="Q801" s="129">
        <v>0.924809006835545</v>
      </c>
      <c r="R801" s="129">
        <v>0.915469015608098</v>
      </c>
      <c r="S801" s="131">
        <v>0.9</v>
      </c>
      <c r="T801" s="129">
        <v>0.90954606141522</v>
      </c>
      <c r="U801" s="129">
        <v>0.886075949367089</v>
      </c>
      <c r="V801" s="129">
        <v>0.899075190993164</v>
      </c>
      <c r="W801" s="129">
        <v>0.913807757688147</v>
      </c>
      <c r="X801" s="131">
        <v>0.92</v>
      </c>
      <c r="Y801" s="131">
        <v>0.883014623172103</v>
      </c>
      <c r="Z801" s="131">
        <v>0.861538461538462</v>
      </c>
      <c r="AA801" s="131">
        <v>0.901172529313233</v>
      </c>
      <c r="AB801" s="131">
        <v>0.894561893365244</v>
      </c>
      <c r="AC801" s="131">
        <v>0.92</v>
      </c>
      <c r="AD801" s="129">
        <v>0.999122036874451</v>
      </c>
      <c r="AE801" s="129">
        <v>0.990743801652893</v>
      </c>
      <c r="AF801" s="129">
        <v>0.92102615694165</v>
      </c>
      <c r="AG801" s="129">
        <v>0.957587539943242</v>
      </c>
      <c r="AH801" s="131">
        <v>0.92</v>
      </c>
      <c r="AI801" s="129">
        <v>0.935649935649936</v>
      </c>
      <c r="AJ801" s="129">
        <v>0.913660555884092</v>
      </c>
      <c r="AK801" s="129">
        <v>0.940012970168612</v>
      </c>
      <c r="AL801" s="129">
        <v>0.943963839913791</v>
      </c>
      <c r="AM801" s="128">
        <v>0.99</v>
      </c>
      <c r="AN801" s="133">
        <v>1</v>
      </c>
      <c r="AO801" s="133">
        <v>1</v>
      </c>
      <c r="AP801" s="133">
        <v>1</v>
      </c>
      <c r="AQ801" s="133">
        <v>1</v>
      </c>
      <c r="AR801" s="153">
        <v>0.0810595228934205</v>
      </c>
      <c r="AS801" s="137">
        <v>0.125</v>
      </c>
      <c r="AT801" s="137">
        <v>0</v>
      </c>
      <c r="AU801" s="137">
        <v>0</v>
      </c>
      <c r="AV801" s="137">
        <v>0.05</v>
      </c>
      <c r="AW801" s="93"/>
      <c r="AX801" s="91"/>
    </row>
    <row r="802" ht="14.5" spans="1:50">
      <c r="A802" s="89"/>
      <c r="B802" s="93"/>
      <c r="C802" s="148" t="s">
        <v>664</v>
      </c>
      <c r="D802" s="126" t="s">
        <v>665</v>
      </c>
      <c r="E802" s="171" t="s">
        <v>825</v>
      </c>
      <c r="F802" s="171" t="s">
        <v>825</v>
      </c>
      <c r="G802" s="171" t="s">
        <v>825</v>
      </c>
      <c r="H802" s="171" t="s">
        <v>825</v>
      </c>
      <c r="I802" s="128">
        <v>0.9</v>
      </c>
      <c r="J802" s="129">
        <v>0.923076923076923</v>
      </c>
      <c r="K802" s="129">
        <v>0.888888888888889</v>
      </c>
      <c r="L802" s="130">
        <v>0.833333333333333</v>
      </c>
      <c r="M802" s="129">
        <v>0.851851851851852</v>
      </c>
      <c r="N802" s="131">
        <v>0.9</v>
      </c>
      <c r="O802" s="129">
        <v>0.912655403251514</v>
      </c>
      <c r="P802" s="129">
        <v>0.931985294117647</v>
      </c>
      <c r="Q802" s="129">
        <v>0.813465346534653</v>
      </c>
      <c r="R802" s="129">
        <v>0.902432514869605</v>
      </c>
      <c r="S802" s="131">
        <v>0.9</v>
      </c>
      <c r="T802" s="129">
        <v>0.868345553076187</v>
      </c>
      <c r="U802" s="129">
        <v>0.875</v>
      </c>
      <c r="V802" s="129">
        <v>0.885148514851485</v>
      </c>
      <c r="W802" s="129">
        <v>0.866440445325606</v>
      </c>
      <c r="X802" s="131">
        <v>0.92</v>
      </c>
      <c r="Y802" s="131">
        <v>0.915577889447236</v>
      </c>
      <c r="Z802" s="131">
        <v>0.911003236245955</v>
      </c>
      <c r="AA802" s="131">
        <v>0.91747572815534</v>
      </c>
      <c r="AB802" s="131">
        <v>0.913721018624097</v>
      </c>
      <c r="AC802" s="131">
        <v>0.92</v>
      </c>
      <c r="AD802" s="129">
        <v>0.997245179063361</v>
      </c>
      <c r="AE802" s="129">
        <v>0.970074812967581</v>
      </c>
      <c r="AF802" s="129">
        <v>0.981424148606811</v>
      </c>
      <c r="AG802" s="129">
        <v>0.981879477454699</v>
      </c>
      <c r="AH802" s="131">
        <v>0.92</v>
      </c>
      <c r="AI802" s="129">
        <v>0.931318016928658</v>
      </c>
      <c r="AJ802" s="129">
        <v>0.919156414762742</v>
      </c>
      <c r="AK802" s="129">
        <v>0.94181240063593</v>
      </c>
      <c r="AL802" s="129">
        <v>0.932948620305818</v>
      </c>
      <c r="AM802" s="128">
        <v>0.99</v>
      </c>
      <c r="AN802" s="133">
        <v>1</v>
      </c>
      <c r="AO802" s="133">
        <v>1</v>
      </c>
      <c r="AP802" s="133">
        <v>1</v>
      </c>
      <c r="AQ802" s="133">
        <v>1</v>
      </c>
      <c r="AR802" s="153">
        <v>0.0810595228934205</v>
      </c>
      <c r="AS802" s="137">
        <v>0</v>
      </c>
      <c r="AT802" s="137">
        <v>0</v>
      </c>
      <c r="AU802" s="137">
        <v>0.142857142857143</v>
      </c>
      <c r="AV802" s="137">
        <v>0.0307692307692308</v>
      </c>
      <c r="AW802" s="93"/>
      <c r="AX802" s="91"/>
    </row>
    <row r="803" ht="14.5" spans="1:50">
      <c r="A803" s="89"/>
      <c r="B803" s="93"/>
      <c r="C803" s="148" t="s">
        <v>664</v>
      </c>
      <c r="D803" s="126" t="s">
        <v>665</v>
      </c>
      <c r="E803" s="171" t="s">
        <v>826</v>
      </c>
      <c r="F803" s="171" t="s">
        <v>826</v>
      </c>
      <c r="G803" s="171" t="s">
        <v>826</v>
      </c>
      <c r="H803" s="171" t="s">
        <v>826</v>
      </c>
      <c r="I803" s="128">
        <v>0.9</v>
      </c>
      <c r="J803" s="129">
        <v>0.928571428571429</v>
      </c>
      <c r="K803" s="129">
        <v>0.947368421052632</v>
      </c>
      <c r="L803" s="130">
        <v>0.92</v>
      </c>
      <c r="M803" s="129">
        <v>0.940983606557377</v>
      </c>
      <c r="N803" s="131">
        <v>0.9</v>
      </c>
      <c r="O803" s="129">
        <v>0.943541488451668</v>
      </c>
      <c r="P803" s="129">
        <v>0.930364372469636</v>
      </c>
      <c r="Q803" s="129">
        <v>0.945013661202186</v>
      </c>
      <c r="R803" s="129">
        <v>0.94497653789291</v>
      </c>
      <c r="S803" s="131">
        <v>0.9</v>
      </c>
      <c r="T803" s="129">
        <v>0.918733960650128</v>
      </c>
      <c r="U803" s="129">
        <v>0.938461538461538</v>
      </c>
      <c r="V803" s="129">
        <v>0.925887978142076</v>
      </c>
      <c r="W803" s="129">
        <v>0.933406183711513</v>
      </c>
      <c r="X803" s="131">
        <v>0.92</v>
      </c>
      <c r="Y803" s="131">
        <v>0.932574430823117</v>
      </c>
      <c r="Z803" s="131">
        <v>0.916786226685796</v>
      </c>
      <c r="AA803" s="131">
        <v>0.932664756446991</v>
      </c>
      <c r="AB803" s="131">
        <v>0.921301266910028</v>
      </c>
      <c r="AC803" s="131">
        <v>0.92</v>
      </c>
      <c r="AD803" s="129">
        <v>0.999634903249361</v>
      </c>
      <c r="AE803" s="129">
        <v>0.991271347248577</v>
      </c>
      <c r="AF803" s="129">
        <v>0.994153756211634</v>
      </c>
      <c r="AG803" s="129">
        <v>0.991728017205724</v>
      </c>
      <c r="AH803" s="131">
        <v>0.92</v>
      </c>
      <c r="AI803" s="129">
        <v>0.960215053763441</v>
      </c>
      <c r="AJ803" s="129">
        <v>0.954451345755694</v>
      </c>
      <c r="AK803" s="129">
        <v>0.968844775296388</v>
      </c>
      <c r="AL803" s="129">
        <v>0.963056379821958</v>
      </c>
      <c r="AM803" s="128">
        <v>0.99</v>
      </c>
      <c r="AN803" s="133">
        <v>1</v>
      </c>
      <c r="AO803" s="133">
        <v>1</v>
      </c>
      <c r="AP803" s="133">
        <v>1</v>
      </c>
      <c r="AQ803" s="133">
        <v>1</v>
      </c>
      <c r="AR803" s="153">
        <v>0.0810595228934205</v>
      </c>
      <c r="AS803" s="137">
        <v>0.0833333333333333</v>
      </c>
      <c r="AT803" s="137">
        <v>0</v>
      </c>
      <c r="AU803" s="137">
        <v>0.125</v>
      </c>
      <c r="AV803" s="137">
        <v>0.0420168067226891</v>
      </c>
      <c r="AW803" s="93"/>
      <c r="AX803" s="91"/>
    </row>
    <row r="804" ht="14.5" spans="1:50">
      <c r="A804" s="89"/>
      <c r="B804" s="93"/>
      <c r="C804" s="148" t="s">
        <v>664</v>
      </c>
      <c r="D804" s="126" t="s">
        <v>665</v>
      </c>
      <c r="E804" s="171" t="s">
        <v>827</v>
      </c>
      <c r="F804" s="171" t="s">
        <v>827</v>
      </c>
      <c r="G804" s="171" t="s">
        <v>827</v>
      </c>
      <c r="H804" s="171" t="s">
        <v>827</v>
      </c>
      <c r="I804" s="128">
        <v>0.9</v>
      </c>
      <c r="J804" s="129">
        <v>0.818181818181818</v>
      </c>
      <c r="K804" s="129">
        <v>0.611111111111111</v>
      </c>
      <c r="L804" s="130">
        <v>0.75</v>
      </c>
      <c r="M804" s="129">
        <v>0.674897119341564</v>
      </c>
      <c r="N804" s="131">
        <v>0.9</v>
      </c>
      <c r="O804" s="129">
        <v>0.869546621043627</v>
      </c>
      <c r="P804" s="129">
        <v>0.905952380952381</v>
      </c>
      <c r="Q804" s="129">
        <v>0.928192771084337</v>
      </c>
      <c r="R804" s="129">
        <v>0.894544756050711</v>
      </c>
      <c r="S804" s="131">
        <v>0.9</v>
      </c>
      <c r="T804" s="129">
        <v>0.901197604790419</v>
      </c>
      <c r="U804" s="129">
        <v>0.845238095238095</v>
      </c>
      <c r="V804" s="129">
        <v>0.910843373493976</v>
      </c>
      <c r="W804" s="129">
        <v>0.893248175182482</v>
      </c>
      <c r="X804" s="131">
        <v>0.92</v>
      </c>
      <c r="Y804" s="131">
        <v>0.910171730515192</v>
      </c>
      <c r="Z804" s="131">
        <v>0.91358024691358</v>
      </c>
      <c r="AA804" s="131">
        <v>0.892057026476578</v>
      </c>
      <c r="AB804" s="131">
        <v>0.882725587144623</v>
      </c>
      <c r="AC804" s="131">
        <v>0.92</v>
      </c>
      <c r="AD804" s="129">
        <v>1</v>
      </c>
      <c r="AE804" s="129">
        <v>0.961538461538462</v>
      </c>
      <c r="AF804" s="129">
        <v>0.941176470588235</v>
      </c>
      <c r="AG804" s="129">
        <v>0.975679542203147</v>
      </c>
      <c r="AH804" s="131">
        <v>0.92</v>
      </c>
      <c r="AI804" s="129">
        <v>0.94313408723748</v>
      </c>
      <c r="AJ804" s="129">
        <v>0.916289592760181</v>
      </c>
      <c r="AK804" s="129">
        <v>0.93335931410756</v>
      </c>
      <c r="AL804" s="129">
        <v>0.928422286530642</v>
      </c>
      <c r="AM804" s="128">
        <v>0.99</v>
      </c>
      <c r="AN804" s="133">
        <v>1</v>
      </c>
      <c r="AO804" s="133">
        <v>1</v>
      </c>
      <c r="AP804" s="133">
        <v>1</v>
      </c>
      <c r="AQ804" s="133">
        <v>1</v>
      </c>
      <c r="AR804" s="153">
        <v>0.0810595228934205</v>
      </c>
      <c r="AS804" s="137">
        <v>0.142857142857143</v>
      </c>
      <c r="AT804" s="137">
        <v>0</v>
      </c>
      <c r="AU804" s="137">
        <v>0</v>
      </c>
      <c r="AV804" s="137">
        <v>0.0666666666666667</v>
      </c>
      <c r="AW804" s="93"/>
      <c r="AX804" s="91"/>
    </row>
    <row r="805" ht="14.5" spans="1:50">
      <c r="A805" s="89"/>
      <c r="B805" s="93"/>
      <c r="C805" s="148" t="s">
        <v>664</v>
      </c>
      <c r="D805" s="126" t="s">
        <v>665</v>
      </c>
      <c r="E805" s="171" t="s">
        <v>828</v>
      </c>
      <c r="F805" s="171" t="s">
        <v>828</v>
      </c>
      <c r="G805" s="171" t="s">
        <v>828</v>
      </c>
      <c r="H805" s="171" t="s">
        <v>828</v>
      </c>
      <c r="I805" s="128">
        <v>0.9</v>
      </c>
      <c r="J805" s="129">
        <v>0.9</v>
      </c>
      <c r="K805" s="129">
        <v>0.888888888888889</v>
      </c>
      <c r="L805" s="130">
        <v>0.888888888888889</v>
      </c>
      <c r="M805" s="129">
        <v>0.853211009174312</v>
      </c>
      <c r="N805" s="131">
        <v>0.9</v>
      </c>
      <c r="O805" s="129">
        <v>0.925361766945925</v>
      </c>
      <c r="P805" s="129">
        <v>0.967413441955194</v>
      </c>
      <c r="Q805" s="129">
        <v>0.975024015369837</v>
      </c>
      <c r="R805" s="129">
        <v>0.963684354236825</v>
      </c>
      <c r="S805" s="131">
        <v>0.9</v>
      </c>
      <c r="T805" s="129">
        <v>0.898705255140899</v>
      </c>
      <c r="U805" s="129">
        <v>0.942973523421589</v>
      </c>
      <c r="V805" s="129">
        <v>0.935638808837656</v>
      </c>
      <c r="W805" s="129">
        <v>0.921543642486575</v>
      </c>
      <c r="X805" s="131">
        <v>0.92</v>
      </c>
      <c r="Y805" s="131">
        <v>0.951807228915663</v>
      </c>
      <c r="Z805" s="131">
        <v>0.942238267148014</v>
      </c>
      <c r="AA805" s="131">
        <v>0.936974789915966</v>
      </c>
      <c r="AB805" s="131">
        <v>0.939634146341463</v>
      </c>
      <c r="AC805" s="131">
        <v>0.92</v>
      </c>
      <c r="AD805" s="129">
        <v>1</v>
      </c>
      <c r="AE805" s="129">
        <v>0.849009900990099</v>
      </c>
      <c r="AF805" s="129">
        <v>0.974719101123595</v>
      </c>
      <c r="AG805" s="129">
        <v>0.975308641975309</v>
      </c>
      <c r="AH805" s="131">
        <v>0.92</v>
      </c>
      <c r="AI805" s="129">
        <v>0.95775462962963</v>
      </c>
      <c r="AJ805" s="129">
        <v>0.971354166666667</v>
      </c>
      <c r="AK805" s="129">
        <v>0.971875</v>
      </c>
      <c r="AL805" s="129">
        <v>0.966225211968327</v>
      </c>
      <c r="AM805" s="128">
        <v>0.99</v>
      </c>
      <c r="AN805" s="133">
        <v>1</v>
      </c>
      <c r="AO805" s="133">
        <v>1</v>
      </c>
      <c r="AP805" s="133">
        <v>1</v>
      </c>
      <c r="AQ805" s="133">
        <v>1</v>
      </c>
      <c r="AR805" s="153">
        <v>0.0810595228934205</v>
      </c>
      <c r="AS805" s="137">
        <v>0</v>
      </c>
      <c r="AT805" s="137" t="s">
        <v>33</v>
      </c>
      <c r="AU805" s="137">
        <v>0</v>
      </c>
      <c r="AV805" s="137">
        <v>0.0333333333333333</v>
      </c>
      <c r="AW805" s="93"/>
      <c r="AX805" s="91"/>
    </row>
    <row r="806" ht="14.5" spans="1:50">
      <c r="A806" s="89"/>
      <c r="B806" s="93"/>
      <c r="C806" s="148" t="s">
        <v>664</v>
      </c>
      <c r="D806" s="126" t="s">
        <v>665</v>
      </c>
      <c r="E806" s="171" t="s">
        <v>829</v>
      </c>
      <c r="F806" s="171" t="s">
        <v>829</v>
      </c>
      <c r="G806" s="171" t="s">
        <v>829</v>
      </c>
      <c r="H806" s="171" t="s">
        <v>829</v>
      </c>
      <c r="I806" s="128">
        <v>0.9</v>
      </c>
      <c r="J806" s="129">
        <v>0.826086956521739</v>
      </c>
      <c r="K806" s="129">
        <v>0.857142857142857</v>
      </c>
      <c r="L806" s="130">
        <v>0.842105263157895</v>
      </c>
      <c r="M806" s="129">
        <v>0.801652892561983</v>
      </c>
      <c r="N806" s="131">
        <v>0.9</v>
      </c>
      <c r="O806" s="129">
        <v>0.941730165844913</v>
      </c>
      <c r="P806" s="129">
        <v>0.955294117647059</v>
      </c>
      <c r="Q806" s="129">
        <v>0.964592274678112</v>
      </c>
      <c r="R806" s="129">
        <v>0.954952237305179</v>
      </c>
      <c r="S806" s="131">
        <v>0.9</v>
      </c>
      <c r="T806" s="129">
        <v>0.885253249663828</v>
      </c>
      <c r="U806" s="129">
        <v>0.908235294117647</v>
      </c>
      <c r="V806" s="129">
        <v>0.917918454935622</v>
      </c>
      <c r="W806" s="129">
        <v>0.914580191050779</v>
      </c>
      <c r="X806" s="131">
        <v>0.92</v>
      </c>
      <c r="Y806" s="131">
        <v>0.891816920943135</v>
      </c>
      <c r="Z806" s="131">
        <v>0.861344537815126</v>
      </c>
      <c r="AA806" s="131">
        <v>0.893095768374165</v>
      </c>
      <c r="AB806" s="131">
        <v>0.896586012595293</v>
      </c>
      <c r="AC806" s="131">
        <v>0.92</v>
      </c>
      <c r="AD806" s="129">
        <v>0.983333333333333</v>
      </c>
      <c r="AE806" s="129">
        <v>1</v>
      </c>
      <c r="AF806" s="129">
        <v>1</v>
      </c>
      <c r="AG806" s="129">
        <v>0.97997138769671</v>
      </c>
      <c r="AH806" s="131">
        <v>0.92</v>
      </c>
      <c r="AI806" s="129">
        <v>0.921747967479675</v>
      </c>
      <c r="AJ806" s="129">
        <v>0.912518853695324</v>
      </c>
      <c r="AK806" s="129">
        <v>0.946389969736273</v>
      </c>
      <c r="AL806" s="129">
        <v>0.941929513380119</v>
      </c>
      <c r="AM806" s="128">
        <v>0.99</v>
      </c>
      <c r="AN806" s="133">
        <v>1</v>
      </c>
      <c r="AO806" s="133">
        <v>1</v>
      </c>
      <c r="AP806" s="133">
        <v>1</v>
      </c>
      <c r="AQ806" s="133">
        <v>1</v>
      </c>
      <c r="AR806" s="153">
        <v>0.0810595228934205</v>
      </c>
      <c r="AS806" s="137">
        <v>0.0625</v>
      </c>
      <c r="AT806" s="137">
        <v>0</v>
      </c>
      <c r="AU806" s="137">
        <v>0.111111111111111</v>
      </c>
      <c r="AV806" s="137">
        <v>0.0297029702970297</v>
      </c>
      <c r="AW806" s="93"/>
      <c r="AX806" s="91"/>
    </row>
    <row r="807" ht="14.5" spans="1:50">
      <c r="A807" s="89"/>
      <c r="B807" s="93"/>
      <c r="C807" s="148" t="s">
        <v>664</v>
      </c>
      <c r="D807" s="126" t="s">
        <v>665</v>
      </c>
      <c r="E807" s="171" t="s">
        <v>830</v>
      </c>
      <c r="F807" s="171" t="s">
        <v>830</v>
      </c>
      <c r="G807" s="171" t="s">
        <v>830</v>
      </c>
      <c r="H807" s="171" t="s">
        <v>830</v>
      </c>
      <c r="I807" s="128">
        <v>0.9</v>
      </c>
      <c r="J807" s="129">
        <v>1</v>
      </c>
      <c r="K807" s="129">
        <v>1</v>
      </c>
      <c r="L807" s="130">
        <v>1</v>
      </c>
      <c r="M807" s="129">
        <v>0.973214285714286</v>
      </c>
      <c r="N807" s="131">
        <v>0.9</v>
      </c>
      <c r="O807" s="129">
        <v>0.853023909985935</v>
      </c>
      <c r="P807" s="129">
        <v>0.926640926640927</v>
      </c>
      <c r="Q807" s="129">
        <v>0.953488372093023</v>
      </c>
      <c r="R807" s="129">
        <v>0.944823469213713</v>
      </c>
      <c r="S807" s="131">
        <v>0.9</v>
      </c>
      <c r="T807" s="129">
        <v>0.938115330520394</v>
      </c>
      <c r="U807" s="129">
        <v>0.930501930501931</v>
      </c>
      <c r="V807" s="129">
        <v>0.950697674418605</v>
      </c>
      <c r="W807" s="129">
        <v>0.951645915060549</v>
      </c>
      <c r="X807" s="131">
        <v>0.92</v>
      </c>
      <c r="Y807" s="131">
        <v>0.974</v>
      </c>
      <c r="Z807" s="131">
        <v>0.976271186440678</v>
      </c>
      <c r="AA807" s="131">
        <v>0.961089494163424</v>
      </c>
      <c r="AB807" s="131">
        <v>0.971127151582454</v>
      </c>
      <c r="AC807" s="131">
        <v>0.92</v>
      </c>
      <c r="AD807" s="129">
        <v>0.990384615384615</v>
      </c>
      <c r="AE807" s="129">
        <v>0.924731182795699</v>
      </c>
      <c r="AF807" s="129">
        <v>0.764150943396226</v>
      </c>
      <c r="AG807" s="129">
        <v>0.949954504094631</v>
      </c>
      <c r="AH807" s="131">
        <v>0.92</v>
      </c>
      <c r="AI807" s="129">
        <v>0.973985431841831</v>
      </c>
      <c r="AJ807" s="129">
        <v>0.969249692496925</v>
      </c>
      <c r="AK807" s="129">
        <v>0.969219219219219</v>
      </c>
      <c r="AL807" s="129">
        <v>0.976847322767886</v>
      </c>
      <c r="AM807" s="128">
        <v>0.99</v>
      </c>
      <c r="AN807" s="133">
        <v>1</v>
      </c>
      <c r="AO807" s="133">
        <v>1</v>
      </c>
      <c r="AP807" s="133">
        <v>1</v>
      </c>
      <c r="AQ807" s="133">
        <v>1</v>
      </c>
      <c r="AR807" s="153">
        <v>0.0810595228934205</v>
      </c>
      <c r="AS807" s="137">
        <v>0</v>
      </c>
      <c r="AT807" s="137">
        <v>0</v>
      </c>
      <c r="AU807" s="137">
        <v>0</v>
      </c>
      <c r="AV807" s="137">
        <v>0.0204081632653061</v>
      </c>
      <c r="AW807" s="93"/>
      <c r="AX807" s="91"/>
    </row>
    <row r="808" ht="14.5" spans="1:50">
      <c r="A808" s="89"/>
      <c r="B808" s="93"/>
      <c r="C808" s="148" t="s">
        <v>664</v>
      </c>
      <c r="D808" s="126" t="s">
        <v>665</v>
      </c>
      <c r="E808" s="171" t="s">
        <v>831</v>
      </c>
      <c r="F808" s="171" t="s">
        <v>831</v>
      </c>
      <c r="G808" s="171" t="s">
        <v>831</v>
      </c>
      <c r="H808" s="171" t="s">
        <v>831</v>
      </c>
      <c r="I808" s="128">
        <v>0.9</v>
      </c>
      <c r="J808" s="129">
        <v>0.983870967741935</v>
      </c>
      <c r="K808" s="129">
        <v>0.955555555555556</v>
      </c>
      <c r="L808" s="130">
        <v>0.927272727272727</v>
      </c>
      <c r="M808" s="129">
        <v>0.955423476968796</v>
      </c>
      <c r="N808" s="131">
        <v>0.9</v>
      </c>
      <c r="O808" s="129">
        <v>0.952722063037249</v>
      </c>
      <c r="P808" s="129">
        <v>0.972549019607843</v>
      </c>
      <c r="Q808" s="129">
        <v>0.961958997722096</v>
      </c>
      <c r="R808" s="129">
        <v>0.967360412363855</v>
      </c>
      <c r="S808" s="131">
        <v>0.9</v>
      </c>
      <c r="T808" s="129">
        <v>0.940624005093919</v>
      </c>
      <c r="U808" s="129">
        <v>0.945751633986928</v>
      </c>
      <c r="V808" s="129">
        <v>0.955353075170843</v>
      </c>
      <c r="W808" s="129">
        <v>0.948666348920546</v>
      </c>
      <c r="X808" s="131">
        <v>0.92</v>
      </c>
      <c r="Y808" s="131">
        <v>0.952316991269308</v>
      </c>
      <c r="Z808" s="131">
        <v>0.946732954545455</v>
      </c>
      <c r="AA808" s="131">
        <v>0.965401785714286</v>
      </c>
      <c r="AB808" s="131">
        <v>0.951690458302029</v>
      </c>
      <c r="AC808" s="131">
        <v>0.92</v>
      </c>
      <c r="AD808" s="129">
        <v>1</v>
      </c>
      <c r="AE808" s="129">
        <v>0.998998998998999</v>
      </c>
      <c r="AF808" s="129">
        <v>0.999624765478424</v>
      </c>
      <c r="AG808" s="129">
        <v>0.999335522201376</v>
      </c>
      <c r="AH808" s="131">
        <v>0.92</v>
      </c>
      <c r="AI808" s="129">
        <v>0.972079258878024</v>
      </c>
      <c r="AJ808" s="129">
        <v>0.96598030438675</v>
      </c>
      <c r="AK808" s="129">
        <v>0.978055240257283</v>
      </c>
      <c r="AL808" s="129">
        <v>0.975944771596821</v>
      </c>
      <c r="AM808" s="128">
        <v>0.99</v>
      </c>
      <c r="AN808" s="133">
        <v>1</v>
      </c>
      <c r="AO808" s="133">
        <v>1</v>
      </c>
      <c r="AP808" s="133">
        <v>1</v>
      </c>
      <c r="AQ808" s="133">
        <v>1</v>
      </c>
      <c r="AR808" s="153">
        <v>0.0810595228934205</v>
      </c>
      <c r="AS808" s="137">
        <v>0.0410958904109589</v>
      </c>
      <c r="AT808" s="137">
        <v>0.0961538461538462</v>
      </c>
      <c r="AU808" s="137">
        <v>0.0714285714285714</v>
      </c>
      <c r="AV808" s="137">
        <v>0.0229357798165138</v>
      </c>
      <c r="AW808" s="93"/>
      <c r="AX808" s="91"/>
    </row>
    <row r="809" ht="14.5" spans="1:50">
      <c r="A809" s="89"/>
      <c r="B809" s="93"/>
      <c r="C809" s="148" t="s">
        <v>664</v>
      </c>
      <c r="D809" s="126" t="s">
        <v>665</v>
      </c>
      <c r="E809" s="171" t="s">
        <v>832</v>
      </c>
      <c r="F809" s="171" t="s">
        <v>832</v>
      </c>
      <c r="G809" s="171" t="s">
        <v>832</v>
      </c>
      <c r="H809" s="171" t="s">
        <v>832</v>
      </c>
      <c r="I809" s="128">
        <v>0.9</v>
      </c>
      <c r="J809" s="129">
        <v>0.896551724137931</v>
      </c>
      <c r="K809" s="129">
        <v>1</v>
      </c>
      <c r="L809" s="130">
        <v>1</v>
      </c>
      <c r="M809" s="129">
        <v>0.961414790996785</v>
      </c>
      <c r="N809" s="131">
        <v>0.9</v>
      </c>
      <c r="O809" s="129">
        <v>0.985256173977147</v>
      </c>
      <c r="P809" s="129">
        <v>0.982378854625551</v>
      </c>
      <c r="Q809" s="129">
        <v>0.979549029889879</v>
      </c>
      <c r="R809" s="129">
        <v>0.979243234213164</v>
      </c>
      <c r="S809" s="131">
        <v>0.9</v>
      </c>
      <c r="T809" s="129">
        <v>0.936601548101732</v>
      </c>
      <c r="U809" s="129">
        <v>0.93215859030837</v>
      </c>
      <c r="V809" s="129">
        <v>0.954378605138962</v>
      </c>
      <c r="W809" s="129">
        <v>0.924031072502506</v>
      </c>
      <c r="X809" s="131">
        <v>0.92</v>
      </c>
      <c r="Y809" s="131">
        <v>0.926315789473684</v>
      </c>
      <c r="Z809" s="131">
        <v>0.923333333333333</v>
      </c>
      <c r="AA809" s="131">
        <v>0.943850267379679</v>
      </c>
      <c r="AB809" s="131">
        <v>0.935887031326083</v>
      </c>
      <c r="AC809" s="131">
        <v>0.92</v>
      </c>
      <c r="AD809" s="129">
        <v>1</v>
      </c>
      <c r="AE809" s="129">
        <v>0.998685939553219</v>
      </c>
      <c r="AF809" s="129">
        <v>1</v>
      </c>
      <c r="AG809" s="129">
        <v>0.999294568174947</v>
      </c>
      <c r="AH809" s="131">
        <v>0.92</v>
      </c>
      <c r="AI809" s="129">
        <v>0.964971063052086</v>
      </c>
      <c r="AJ809" s="129">
        <v>0.952161383285303</v>
      </c>
      <c r="AK809" s="129">
        <v>0.971090670170828</v>
      </c>
      <c r="AL809" s="129">
        <v>0.9605433591285</v>
      </c>
      <c r="AM809" s="128">
        <v>0.99</v>
      </c>
      <c r="AN809" s="133">
        <v>1</v>
      </c>
      <c r="AO809" s="133">
        <v>1</v>
      </c>
      <c r="AP809" s="133">
        <v>1</v>
      </c>
      <c r="AQ809" s="133">
        <v>1</v>
      </c>
      <c r="AR809" s="153">
        <v>0.0810595228934205</v>
      </c>
      <c r="AS809" s="137">
        <v>0.0540540540540541</v>
      </c>
      <c r="AT809" s="137">
        <v>0.0833333333333333</v>
      </c>
      <c r="AU809" s="137">
        <v>0</v>
      </c>
      <c r="AV809" s="137">
        <v>0.0290322580645161</v>
      </c>
      <c r="AW809" s="93"/>
      <c r="AX809" s="91"/>
    </row>
    <row r="810" ht="14.5" spans="1:50">
      <c r="A810" s="89"/>
      <c r="B810" s="93"/>
      <c r="C810" s="148" t="s">
        <v>664</v>
      </c>
      <c r="D810" s="126" t="s">
        <v>665</v>
      </c>
      <c r="E810" s="171" t="s">
        <v>833</v>
      </c>
      <c r="F810" s="171" t="s">
        <v>833</v>
      </c>
      <c r="G810" s="171" t="s">
        <v>833</v>
      </c>
      <c r="H810" s="171" t="s">
        <v>833</v>
      </c>
      <c r="I810" s="128">
        <v>0.9</v>
      </c>
      <c r="J810" s="129">
        <v>0.967741935483871</v>
      </c>
      <c r="K810" s="129">
        <v>1</v>
      </c>
      <c r="L810" s="130">
        <v>0.925925925925926</v>
      </c>
      <c r="M810" s="129">
        <v>0.969879518072289</v>
      </c>
      <c r="N810" s="131">
        <v>0.9</v>
      </c>
      <c r="O810" s="129">
        <v>0.9648871372268</v>
      </c>
      <c r="P810" s="129">
        <v>0.962595419847328</v>
      </c>
      <c r="Q810" s="129">
        <v>0.95831336847149</v>
      </c>
      <c r="R810" s="129">
        <v>0.954648616364722</v>
      </c>
      <c r="S810" s="131">
        <v>0.9</v>
      </c>
      <c r="T810" s="129">
        <v>0.93335721963454</v>
      </c>
      <c r="U810" s="129">
        <v>0.916793893129771</v>
      </c>
      <c r="V810" s="129">
        <v>0.922855773838045</v>
      </c>
      <c r="W810" s="129">
        <v>0.9219589886522</v>
      </c>
      <c r="X810" s="131">
        <v>0.92</v>
      </c>
      <c r="Y810" s="131">
        <v>0.929553264604811</v>
      </c>
      <c r="Z810" s="131">
        <v>0.937728937728938</v>
      </c>
      <c r="AA810" s="131">
        <v>0.930622009569378</v>
      </c>
      <c r="AB810" s="131">
        <v>0.93484555984556</v>
      </c>
      <c r="AC810" s="131">
        <v>0.92</v>
      </c>
      <c r="AD810" s="129">
        <v>0.99581589958159</v>
      </c>
      <c r="AE810" s="129">
        <v>0.992277992277992</v>
      </c>
      <c r="AF810" s="129">
        <v>0.989795918367347</v>
      </c>
      <c r="AG810" s="129">
        <v>0.989044697633655</v>
      </c>
      <c r="AH810" s="131">
        <v>0.92</v>
      </c>
      <c r="AI810" s="129">
        <v>0.95849392232434</v>
      </c>
      <c r="AJ810" s="129">
        <v>0.950457727517501</v>
      </c>
      <c r="AK810" s="129">
        <v>0.966467065868263</v>
      </c>
      <c r="AL810" s="129">
        <v>0.963648549452654</v>
      </c>
      <c r="AM810" s="128">
        <v>0.99</v>
      </c>
      <c r="AN810" s="133">
        <v>1</v>
      </c>
      <c r="AO810" s="133">
        <v>1</v>
      </c>
      <c r="AP810" s="133">
        <v>1</v>
      </c>
      <c r="AQ810" s="133">
        <v>1</v>
      </c>
      <c r="AR810" s="153">
        <v>0.0810595228934205</v>
      </c>
      <c r="AS810" s="137">
        <v>0.0303030303030303</v>
      </c>
      <c r="AT810" s="137">
        <v>0.037037037037037</v>
      </c>
      <c r="AU810" s="137">
        <v>0.0555555555555556</v>
      </c>
      <c r="AV810" s="137">
        <v>0.0419847328244275</v>
      </c>
      <c r="AW810" s="93"/>
      <c r="AX810" s="91"/>
    </row>
    <row r="811" ht="14.5" spans="1:50">
      <c r="A811" s="89"/>
      <c r="B811" s="93"/>
      <c r="C811" s="148" t="s">
        <v>664</v>
      </c>
      <c r="D811" s="126" t="s">
        <v>665</v>
      </c>
      <c r="E811" s="171" t="s">
        <v>834</v>
      </c>
      <c r="F811" s="171" t="s">
        <v>834</v>
      </c>
      <c r="G811" s="171" t="s">
        <v>834</v>
      </c>
      <c r="H811" s="171" t="s">
        <v>834</v>
      </c>
      <c r="I811" s="128">
        <v>0.9</v>
      </c>
      <c r="J811" s="129">
        <v>0.980392156862745</v>
      </c>
      <c r="K811" s="129">
        <v>0.957446808510638</v>
      </c>
      <c r="L811" s="130">
        <v>0.9375</v>
      </c>
      <c r="M811" s="129">
        <v>0.975395430579965</v>
      </c>
      <c r="N811" s="131">
        <v>0.9</v>
      </c>
      <c r="O811" s="129">
        <v>0.962090541037909</v>
      </c>
      <c r="P811" s="129">
        <v>0.978428351309707</v>
      </c>
      <c r="Q811" s="129">
        <v>0.975912234676842</v>
      </c>
      <c r="R811" s="129">
        <v>0.970654154709788</v>
      </c>
      <c r="S811" s="131">
        <v>0.9</v>
      </c>
      <c r="T811" s="129">
        <v>0.945344129554656</v>
      </c>
      <c r="U811" s="129">
        <v>0.956086286594761</v>
      </c>
      <c r="V811" s="129">
        <v>0.95635583114715</v>
      </c>
      <c r="W811" s="129">
        <v>0.953499088833497</v>
      </c>
      <c r="X811" s="131">
        <v>0.92</v>
      </c>
      <c r="Y811" s="131">
        <v>0.963121783876501</v>
      </c>
      <c r="Z811" s="131">
        <v>0.961928934010152</v>
      </c>
      <c r="AA811" s="131">
        <v>0.976138828633406</v>
      </c>
      <c r="AB811" s="131">
        <v>0.965897858319605</v>
      </c>
      <c r="AC811" s="131">
        <v>0.92</v>
      </c>
      <c r="AD811" s="129">
        <v>1</v>
      </c>
      <c r="AE811" s="129">
        <v>0.998964445978599</v>
      </c>
      <c r="AF811" s="129">
        <v>0.999772675608093</v>
      </c>
      <c r="AG811" s="129">
        <v>0.99899042265819</v>
      </c>
      <c r="AH811" s="131">
        <v>0.92</v>
      </c>
      <c r="AI811" s="129">
        <v>0.973030303030303</v>
      </c>
      <c r="AJ811" s="129">
        <v>0.972736897829539</v>
      </c>
      <c r="AK811" s="129">
        <v>0.986901270772239</v>
      </c>
      <c r="AL811" s="129">
        <v>0.980629216485205</v>
      </c>
      <c r="AM811" s="128">
        <v>0.99</v>
      </c>
      <c r="AN811" s="133">
        <v>1</v>
      </c>
      <c r="AO811" s="133">
        <v>1</v>
      </c>
      <c r="AP811" s="133">
        <v>1</v>
      </c>
      <c r="AQ811" s="133">
        <v>1</v>
      </c>
      <c r="AR811" s="153">
        <v>0.0810595228934205</v>
      </c>
      <c r="AS811" s="137">
        <v>0.0416666666666667</v>
      </c>
      <c r="AT811" s="137">
        <v>0.03125</v>
      </c>
      <c r="AU811" s="137">
        <v>0.0384615384615385</v>
      </c>
      <c r="AV811" s="137">
        <v>0.00278551532033426</v>
      </c>
      <c r="AW811" s="93"/>
      <c r="AX811" s="91"/>
    </row>
    <row r="812" ht="14.5" spans="1:50">
      <c r="A812" s="89"/>
      <c r="B812" s="93"/>
      <c r="C812" s="148" t="s">
        <v>664</v>
      </c>
      <c r="D812" s="126" t="s">
        <v>665</v>
      </c>
      <c r="E812" s="171" t="s">
        <v>835</v>
      </c>
      <c r="F812" s="171" t="s">
        <v>835</v>
      </c>
      <c r="G812" s="171" t="s">
        <v>835</v>
      </c>
      <c r="H812" s="171" t="s">
        <v>835</v>
      </c>
      <c r="I812" s="128">
        <v>0.9</v>
      </c>
      <c r="J812" s="129">
        <v>1</v>
      </c>
      <c r="K812" s="129">
        <v>0.974358974358974</v>
      </c>
      <c r="L812" s="130">
        <v>1</v>
      </c>
      <c r="M812" s="129">
        <v>0.998058252427184</v>
      </c>
      <c r="N812" s="131">
        <v>0.9</v>
      </c>
      <c r="O812" s="129">
        <v>0.981248457932396</v>
      </c>
      <c r="P812" s="129">
        <v>0.986984815618221</v>
      </c>
      <c r="Q812" s="129">
        <v>0.9851150202977</v>
      </c>
      <c r="R812" s="129">
        <v>0.979560834138931</v>
      </c>
      <c r="S812" s="131">
        <v>0.9</v>
      </c>
      <c r="T812" s="129">
        <v>0.912410560078954</v>
      </c>
      <c r="U812" s="129">
        <v>0.927331887201735</v>
      </c>
      <c r="V812" s="129">
        <v>0.948240866035183</v>
      </c>
      <c r="W812" s="129">
        <v>0.939621599226626</v>
      </c>
      <c r="X812" s="131">
        <v>0.92</v>
      </c>
      <c r="Y812" s="131">
        <v>0.920314253647587</v>
      </c>
      <c r="Z812" s="131">
        <v>0.912302070645554</v>
      </c>
      <c r="AA812" s="131">
        <v>0.944630872483222</v>
      </c>
      <c r="AB812" s="131">
        <v>0.934731934731935</v>
      </c>
      <c r="AC812" s="131">
        <v>0.92</v>
      </c>
      <c r="AD812" s="129">
        <v>0.997352162400706</v>
      </c>
      <c r="AE812" s="129">
        <v>0.997735849056604</v>
      </c>
      <c r="AF812" s="129">
        <v>0.996045197740113</v>
      </c>
      <c r="AG812" s="129">
        <v>0.996118834238939</v>
      </c>
      <c r="AH812" s="131">
        <v>0.92</v>
      </c>
      <c r="AI812" s="129">
        <v>0.944186046511628</v>
      </c>
      <c r="AJ812" s="129">
        <v>0.940007499062617</v>
      </c>
      <c r="AK812" s="129">
        <v>0.967669384312623</v>
      </c>
      <c r="AL812" s="129">
        <v>0.962287508013352</v>
      </c>
      <c r="AM812" s="128">
        <v>0.99</v>
      </c>
      <c r="AN812" s="133">
        <v>1</v>
      </c>
      <c r="AO812" s="133">
        <v>1</v>
      </c>
      <c r="AP812" s="133">
        <v>1</v>
      </c>
      <c r="AQ812" s="133">
        <v>1</v>
      </c>
      <c r="AR812" s="153">
        <v>0.0810595228934205</v>
      </c>
      <c r="AS812" s="137">
        <v>0.0232558139534884</v>
      </c>
      <c r="AT812" s="137">
        <v>0.032258064516129</v>
      </c>
      <c r="AU812" s="137">
        <v>0</v>
      </c>
      <c r="AV812" s="137">
        <v>0.0301369863013699</v>
      </c>
      <c r="AW812" s="93"/>
      <c r="AX812" s="91"/>
    </row>
    <row r="813" ht="14.5" spans="1:50">
      <c r="A813" s="89"/>
      <c r="B813" s="93"/>
      <c r="C813" s="148" t="s">
        <v>664</v>
      </c>
      <c r="D813" s="126" t="s">
        <v>665</v>
      </c>
      <c r="E813" s="171" t="s">
        <v>836</v>
      </c>
      <c r="F813" s="171" t="s">
        <v>836</v>
      </c>
      <c r="G813" s="171" t="s">
        <v>836</v>
      </c>
      <c r="H813" s="171" t="s">
        <v>836</v>
      </c>
      <c r="I813" s="128">
        <v>0.9</v>
      </c>
      <c r="J813" s="129">
        <v>0.947368421052632</v>
      </c>
      <c r="K813" s="129">
        <v>0.966666666666667</v>
      </c>
      <c r="L813" s="130">
        <v>0.942857142857143</v>
      </c>
      <c r="M813" s="129">
        <v>0.909975669099757</v>
      </c>
      <c r="N813" s="131">
        <v>0.9</v>
      </c>
      <c r="O813" s="129">
        <v>0.945306725794531</v>
      </c>
      <c r="P813" s="129">
        <v>0.963125228185469</v>
      </c>
      <c r="Q813" s="129">
        <v>0.964180085441998</v>
      </c>
      <c r="R813" s="129">
        <v>0.948274932614555</v>
      </c>
      <c r="S813" s="131">
        <v>0.9</v>
      </c>
      <c r="T813" s="129">
        <v>0.928307464892831</v>
      </c>
      <c r="U813" s="129">
        <v>0.939393939393939</v>
      </c>
      <c r="V813" s="129">
        <v>0.940190601380217</v>
      </c>
      <c r="W813" s="129">
        <v>0.910458221024259</v>
      </c>
      <c r="X813" s="131">
        <v>0.92</v>
      </c>
      <c r="Y813" s="131">
        <v>0.948689956331878</v>
      </c>
      <c r="Z813" s="131">
        <v>0.940082644628099</v>
      </c>
      <c r="AA813" s="131">
        <v>1</v>
      </c>
      <c r="AB813" s="131">
        <v>0.939053641517662</v>
      </c>
      <c r="AC813" s="131">
        <v>0.92</v>
      </c>
      <c r="AD813" s="129">
        <v>0.961259231443234</v>
      </c>
      <c r="AE813" s="129">
        <v>0.977081162988919</v>
      </c>
      <c r="AF813" s="129">
        <v>0.994898276612953</v>
      </c>
      <c r="AG813" s="129">
        <v>0.99065312075744</v>
      </c>
      <c r="AH813" s="131">
        <v>0.92</v>
      </c>
      <c r="AI813" s="129">
        <v>0.962055812085926</v>
      </c>
      <c r="AJ813" s="129">
        <v>0.955316285329744</v>
      </c>
      <c r="AK813" s="129">
        <v>0.97195666029318</v>
      </c>
      <c r="AL813" s="129">
        <v>0.955161401691697</v>
      </c>
      <c r="AM813" s="128">
        <v>0.99</v>
      </c>
      <c r="AN813" s="133">
        <v>1</v>
      </c>
      <c r="AO813" s="133">
        <v>1</v>
      </c>
      <c r="AP813" s="133">
        <v>1</v>
      </c>
      <c r="AQ813" s="133">
        <v>1</v>
      </c>
      <c r="AR813" s="153">
        <v>0.0810595228934205</v>
      </c>
      <c r="AS813" s="137">
        <v>0.0444444444444444</v>
      </c>
      <c r="AT813" s="137">
        <v>0</v>
      </c>
      <c r="AU813" s="137">
        <v>0</v>
      </c>
      <c r="AV813" s="137">
        <v>0.0248618784530387</v>
      </c>
      <c r="AW813" s="93"/>
      <c r="AX813" s="91"/>
    </row>
    <row r="814" ht="14.5" spans="1:50">
      <c r="A814" s="89"/>
      <c r="B814" s="93"/>
      <c r="C814" s="148" t="s">
        <v>664</v>
      </c>
      <c r="D814" s="126" t="s">
        <v>665</v>
      </c>
      <c r="E814" s="171" t="s">
        <v>837</v>
      </c>
      <c r="F814" s="171" t="s">
        <v>837</v>
      </c>
      <c r="G814" s="171" t="s">
        <v>837</v>
      </c>
      <c r="H814" s="171" t="s">
        <v>837</v>
      </c>
      <c r="I814" s="128">
        <v>0.9</v>
      </c>
      <c r="J814" s="129">
        <v>0.925925925925926</v>
      </c>
      <c r="K814" s="129">
        <v>0.869565217391304</v>
      </c>
      <c r="L814" s="130">
        <v>0.92</v>
      </c>
      <c r="M814" s="129">
        <v>0.892255892255892</v>
      </c>
      <c r="N814" s="131">
        <v>0.9</v>
      </c>
      <c r="O814" s="129">
        <v>0.962845849802372</v>
      </c>
      <c r="P814" s="129">
        <v>0.983636363636364</v>
      </c>
      <c r="Q814" s="129">
        <v>0.976598173515982</v>
      </c>
      <c r="R814" s="129">
        <v>0.976908274534958</v>
      </c>
      <c r="S814" s="131">
        <v>0.9</v>
      </c>
      <c r="T814" s="129">
        <v>0.943873517786561</v>
      </c>
      <c r="U814" s="129">
        <v>0.919090909090909</v>
      </c>
      <c r="V814" s="129">
        <v>0.935502283105023</v>
      </c>
      <c r="W814" s="129">
        <v>0.936726839549162</v>
      </c>
      <c r="X814" s="131">
        <v>0.92</v>
      </c>
      <c r="Y814" s="131">
        <v>0.93298969072165</v>
      </c>
      <c r="Z814" s="131">
        <v>0.962886597938144</v>
      </c>
      <c r="AA814" s="131">
        <v>0.966573816155989</v>
      </c>
      <c r="AB814" s="131">
        <v>0.951267056530214</v>
      </c>
      <c r="AC814" s="131">
        <v>0.92</v>
      </c>
      <c r="AD814" s="129">
        <v>0.991735537190083</v>
      </c>
      <c r="AE814" s="129">
        <v>0.995253164556962</v>
      </c>
      <c r="AF814" s="129">
        <v>0.997856377277599</v>
      </c>
      <c r="AG814" s="129">
        <v>0.995955825167211</v>
      </c>
      <c r="AH814" s="131">
        <v>0.92</v>
      </c>
      <c r="AI814" s="129">
        <v>0.96660244059088</v>
      </c>
      <c r="AJ814" s="129">
        <v>0.960277427490542</v>
      </c>
      <c r="AK814" s="129">
        <v>0.968735196589294</v>
      </c>
      <c r="AL814" s="129">
        <v>0.966432995808761</v>
      </c>
      <c r="AM814" s="128">
        <v>0.99</v>
      </c>
      <c r="AN814" s="133">
        <v>1</v>
      </c>
      <c r="AO814" s="133">
        <v>1</v>
      </c>
      <c r="AP814" s="133">
        <v>1</v>
      </c>
      <c r="AQ814" s="133">
        <v>1</v>
      </c>
      <c r="AR814" s="153">
        <v>0.0810595228934205</v>
      </c>
      <c r="AS814" s="137">
        <v>0</v>
      </c>
      <c r="AT814" s="137">
        <v>0</v>
      </c>
      <c r="AU814" s="137">
        <v>0</v>
      </c>
      <c r="AV814" s="137">
        <v>0.0244897959183673</v>
      </c>
      <c r="AW814" s="93"/>
      <c r="AX814" s="91"/>
    </row>
    <row r="815" ht="14.5" spans="1:50">
      <c r="A815" s="89"/>
      <c r="B815" s="93"/>
      <c r="C815" s="148" t="s">
        <v>664</v>
      </c>
      <c r="D815" s="126" t="s">
        <v>665</v>
      </c>
      <c r="E815" s="171" t="s">
        <v>838</v>
      </c>
      <c r="F815" s="171" t="s">
        <v>838</v>
      </c>
      <c r="G815" s="171" t="s">
        <v>838</v>
      </c>
      <c r="H815" s="171" t="s">
        <v>838</v>
      </c>
      <c r="I815" s="128">
        <v>0.9</v>
      </c>
      <c r="J815" s="129">
        <v>0.923076923076923</v>
      </c>
      <c r="K815" s="129">
        <v>1</v>
      </c>
      <c r="L815" s="130">
        <v>0.916666666666667</v>
      </c>
      <c r="M815" s="129">
        <v>0.924137931034483</v>
      </c>
      <c r="N815" s="131">
        <v>0.9</v>
      </c>
      <c r="O815" s="129">
        <v>0.970310391363023</v>
      </c>
      <c r="P815" s="129">
        <v>0.884016973125884</v>
      </c>
      <c r="Q815" s="129">
        <v>0.946976744186046</v>
      </c>
      <c r="R815" s="129">
        <v>0.93968886504713</v>
      </c>
      <c r="S815" s="131">
        <v>0.9</v>
      </c>
      <c r="T815" s="129">
        <v>0.943994601889339</v>
      </c>
      <c r="U815" s="129">
        <v>0.930693069306931</v>
      </c>
      <c r="V815" s="129">
        <v>0.912558139534884</v>
      </c>
      <c r="W815" s="129">
        <v>0.92313587248065</v>
      </c>
      <c r="X815" s="131">
        <v>0.92</v>
      </c>
      <c r="Y815" s="131">
        <v>0.916955017301038</v>
      </c>
      <c r="Z815" s="131">
        <v>0.909407665505226</v>
      </c>
      <c r="AA815" s="131">
        <v>0.949074074074074</v>
      </c>
      <c r="AB815" s="131">
        <v>0.924933862433862</v>
      </c>
      <c r="AC815" s="131">
        <v>0.92</v>
      </c>
      <c r="AD815" s="129">
        <v>0.998706338939198</v>
      </c>
      <c r="AE815" s="129">
        <v>0.99479843953186</v>
      </c>
      <c r="AF815" s="129">
        <v>0.997204100652377</v>
      </c>
      <c r="AG815" s="129">
        <v>0.997410493132177</v>
      </c>
      <c r="AH815" s="131">
        <v>0.92</v>
      </c>
      <c r="AI815" s="129">
        <v>0.958011049723757</v>
      </c>
      <c r="AJ815" s="129">
        <v>0.930583501006036</v>
      </c>
      <c r="AK815" s="129">
        <v>0.965143299767622</v>
      </c>
      <c r="AL815" s="129">
        <v>0.951615904720551</v>
      </c>
      <c r="AM815" s="128">
        <v>0.99</v>
      </c>
      <c r="AN815" s="133">
        <v>1</v>
      </c>
      <c r="AO815" s="133">
        <v>1</v>
      </c>
      <c r="AP815" s="133">
        <v>1</v>
      </c>
      <c r="AQ815" s="133">
        <v>1</v>
      </c>
      <c r="AR815" s="153">
        <v>0.0810595228934205</v>
      </c>
      <c r="AS815" s="137">
        <v>0.2</v>
      </c>
      <c r="AT815" s="137">
        <v>0</v>
      </c>
      <c r="AU815" s="137">
        <v>0</v>
      </c>
      <c r="AV815" s="137">
        <v>0.0510948905109489</v>
      </c>
      <c r="AW815" s="93"/>
      <c r="AX815" s="91"/>
    </row>
    <row r="816" ht="14.5" spans="1:50">
      <c r="A816" s="89"/>
      <c r="B816" s="93"/>
      <c r="C816" s="148" t="s">
        <v>664</v>
      </c>
      <c r="D816" s="126" t="s">
        <v>665</v>
      </c>
      <c r="E816" s="171" t="s">
        <v>839</v>
      </c>
      <c r="F816" s="171" t="s">
        <v>839</v>
      </c>
      <c r="G816" s="171" t="s">
        <v>839</v>
      </c>
      <c r="H816" s="171" t="s">
        <v>839</v>
      </c>
      <c r="I816" s="128">
        <v>0.9</v>
      </c>
      <c r="J816" s="129">
        <v>0.96551724137931</v>
      </c>
      <c r="K816" s="129">
        <v>0.916666666666667</v>
      </c>
      <c r="L816" s="130">
        <v>1</v>
      </c>
      <c r="M816" s="129">
        <v>0.9552</v>
      </c>
      <c r="N816" s="131">
        <v>0.9</v>
      </c>
      <c r="O816" s="129">
        <v>0.980596119223845</v>
      </c>
      <c r="P816" s="129">
        <v>0.981670929241262</v>
      </c>
      <c r="Q816" s="129">
        <v>0.986301369863014</v>
      </c>
      <c r="R816" s="129">
        <v>0.977774790518439</v>
      </c>
      <c r="S816" s="131">
        <v>0.9</v>
      </c>
      <c r="T816" s="129">
        <v>0.943388677735547</v>
      </c>
      <c r="U816" s="129">
        <v>0.943734015345269</v>
      </c>
      <c r="V816" s="129">
        <v>0.948767123287671</v>
      </c>
      <c r="W816" s="129">
        <v>0.930680647040373</v>
      </c>
      <c r="X816" s="131">
        <v>0.92</v>
      </c>
      <c r="Y816" s="131">
        <v>0.948905109489051</v>
      </c>
      <c r="Z816" s="131">
        <v>0.944123314065511</v>
      </c>
      <c r="AA816" s="131">
        <v>0.96159122085048</v>
      </c>
      <c r="AB816" s="131">
        <v>0.940159691146793</v>
      </c>
      <c r="AC816" s="131">
        <v>0.92</v>
      </c>
      <c r="AD816" s="129">
        <v>1</v>
      </c>
      <c r="AE816" s="129">
        <v>0.998248686514886</v>
      </c>
      <c r="AF816" s="129">
        <v>0.99409033347404</v>
      </c>
      <c r="AG816" s="129">
        <v>0.997918307640374</v>
      </c>
      <c r="AH816" s="131">
        <v>0.92</v>
      </c>
      <c r="AI816" s="129">
        <v>0.968498769483183</v>
      </c>
      <c r="AJ816" s="129">
        <v>0.967789598108747</v>
      </c>
      <c r="AK816" s="129">
        <v>0.98058917561087</v>
      </c>
      <c r="AL816" s="129">
        <v>0.965272324933971</v>
      </c>
      <c r="AM816" s="128">
        <v>0.99</v>
      </c>
      <c r="AN816" s="133">
        <v>1</v>
      </c>
      <c r="AO816" s="133">
        <v>1</v>
      </c>
      <c r="AP816" s="133">
        <v>1</v>
      </c>
      <c r="AQ816" s="133">
        <v>1</v>
      </c>
      <c r="AR816" s="153">
        <v>0.0810595228934205</v>
      </c>
      <c r="AS816" s="137">
        <v>0.0327868852459016</v>
      </c>
      <c r="AT816" s="137">
        <v>0.0740740740740741</v>
      </c>
      <c r="AU816" s="137">
        <v>0.125</v>
      </c>
      <c r="AV816" s="137">
        <v>0.0594713656387665</v>
      </c>
      <c r="AW816" s="93"/>
      <c r="AX816" s="91"/>
    </row>
    <row r="817" ht="14.5" spans="1:50">
      <c r="A817" s="89"/>
      <c r="B817" s="93"/>
      <c r="C817" s="148" t="s">
        <v>664</v>
      </c>
      <c r="D817" s="126" t="s">
        <v>665</v>
      </c>
      <c r="E817" s="171" t="s">
        <v>840</v>
      </c>
      <c r="F817" s="171" t="s">
        <v>840</v>
      </c>
      <c r="G817" s="171" t="s">
        <v>840</v>
      </c>
      <c r="H817" s="171" t="s">
        <v>840</v>
      </c>
      <c r="I817" s="128">
        <v>0.9</v>
      </c>
      <c r="J817" s="129">
        <v>0.941176470588235</v>
      </c>
      <c r="K817" s="129">
        <v>1</v>
      </c>
      <c r="L817" s="130">
        <v>0.984375</v>
      </c>
      <c r="M817" s="129">
        <v>0.957333333333333</v>
      </c>
      <c r="N817" s="131">
        <v>0.9</v>
      </c>
      <c r="O817" s="129">
        <v>0.941481601556168</v>
      </c>
      <c r="P817" s="129">
        <v>0.960413694721826</v>
      </c>
      <c r="Q817" s="129">
        <v>0.979357798165138</v>
      </c>
      <c r="R817" s="129">
        <v>0.971803972180397</v>
      </c>
      <c r="S817" s="131">
        <v>0.9</v>
      </c>
      <c r="T817" s="129">
        <v>0.945047819743881</v>
      </c>
      <c r="U817" s="129">
        <v>0.941155492154066</v>
      </c>
      <c r="V817" s="129">
        <v>0.944537114261885</v>
      </c>
      <c r="W817" s="129">
        <v>0.941779594177959</v>
      </c>
      <c r="X817" s="131">
        <v>0.92</v>
      </c>
      <c r="Y817" s="131">
        <v>0.912230215827338</v>
      </c>
      <c r="Z817" s="131">
        <v>0.908249158249158</v>
      </c>
      <c r="AA817" s="131">
        <v>0.937712344280861</v>
      </c>
      <c r="AB817" s="131">
        <v>0.905545992066462</v>
      </c>
      <c r="AC817" s="131">
        <v>0.92</v>
      </c>
      <c r="AD817" s="129">
        <v>0.998832457676591</v>
      </c>
      <c r="AE817" s="129">
        <v>0.998097653772987</v>
      </c>
      <c r="AF817" s="129">
        <v>0.992293577981651</v>
      </c>
      <c r="AG817" s="129">
        <v>0.99703808180536</v>
      </c>
      <c r="AH817" s="131">
        <v>0.92</v>
      </c>
      <c r="AI817" s="129">
        <v>0.95318079619098</v>
      </c>
      <c r="AJ817" s="129">
        <v>0.944138276553106</v>
      </c>
      <c r="AK817" s="129">
        <v>0.963732394366197</v>
      </c>
      <c r="AL817" s="129">
        <v>0.954077501445923</v>
      </c>
      <c r="AM817" s="128">
        <v>0.99</v>
      </c>
      <c r="AN817" s="133">
        <v>1</v>
      </c>
      <c r="AO817" s="133">
        <v>1</v>
      </c>
      <c r="AP817" s="133">
        <v>1</v>
      </c>
      <c r="AQ817" s="133">
        <v>1</v>
      </c>
      <c r="AR817" s="153">
        <v>0.0810595228934205</v>
      </c>
      <c r="AS817" s="137">
        <v>0.1</v>
      </c>
      <c r="AT817" s="137">
        <v>-0.0285714285714286</v>
      </c>
      <c r="AU817" s="137">
        <v>0.0588235294117647</v>
      </c>
      <c r="AV817" s="137">
        <v>0.038860103626943</v>
      </c>
      <c r="AW817" s="93"/>
      <c r="AX817" s="91"/>
    </row>
    <row r="818" ht="14.5" spans="1:50">
      <c r="A818" s="89"/>
      <c r="B818" s="93"/>
      <c r="C818" s="148" t="s">
        <v>664</v>
      </c>
      <c r="D818" s="126" t="s">
        <v>665</v>
      </c>
      <c r="E818" s="171" t="s">
        <v>841</v>
      </c>
      <c r="F818" s="171" t="s">
        <v>841</v>
      </c>
      <c r="G818" s="171" t="s">
        <v>841</v>
      </c>
      <c r="H818" s="171" t="s">
        <v>841</v>
      </c>
      <c r="I818" s="128">
        <v>0.9</v>
      </c>
      <c r="J818" s="129">
        <v>1</v>
      </c>
      <c r="K818" s="129">
        <v>0.875</v>
      </c>
      <c r="L818" s="130">
        <v>0.961538461538462</v>
      </c>
      <c r="M818" s="129">
        <v>0.908496732026144</v>
      </c>
      <c r="N818" s="131">
        <v>0.9</v>
      </c>
      <c r="O818" s="129">
        <v>0.993174061433447</v>
      </c>
      <c r="P818" s="129">
        <v>0.993197278911565</v>
      </c>
      <c r="Q818" s="129">
        <v>0.98659793814433</v>
      </c>
      <c r="R818" s="129">
        <v>0.990221114917471</v>
      </c>
      <c r="S818" s="131">
        <v>0.9</v>
      </c>
      <c r="T818" s="129">
        <v>0.956251939187093</v>
      </c>
      <c r="U818" s="129">
        <v>0.962323390894819</v>
      </c>
      <c r="V818" s="129">
        <v>0.962886597938144</v>
      </c>
      <c r="W818" s="129">
        <v>0.965991902834008</v>
      </c>
      <c r="X818" s="131">
        <v>0.92</v>
      </c>
      <c r="Y818" s="131">
        <v>0.937549407114625</v>
      </c>
      <c r="Z818" s="131">
        <v>0.940740740740741</v>
      </c>
      <c r="AA818" s="131">
        <v>0.947661469933185</v>
      </c>
      <c r="AB818" s="131">
        <v>0.948771862754468</v>
      </c>
      <c r="AC818" s="131">
        <v>0.92</v>
      </c>
      <c r="AD818" s="129">
        <v>0.999038725624828</v>
      </c>
      <c r="AE818" s="129">
        <v>0.996791786974655</v>
      </c>
      <c r="AF818" s="129">
        <v>0.991051061589753</v>
      </c>
      <c r="AG818" s="129">
        <v>0.994419993712669</v>
      </c>
      <c r="AH818" s="131">
        <v>0.92</v>
      </c>
      <c r="AI818" s="129">
        <v>0.965017825311943</v>
      </c>
      <c r="AJ818" s="129">
        <v>0.969886154976129</v>
      </c>
      <c r="AK818" s="129">
        <v>0.978991596638655</v>
      </c>
      <c r="AL818" s="129">
        <v>0.977644710578842</v>
      </c>
      <c r="AM818" s="128">
        <v>0.99</v>
      </c>
      <c r="AN818" s="133">
        <v>1</v>
      </c>
      <c r="AO818" s="133">
        <v>1</v>
      </c>
      <c r="AP818" s="133">
        <v>1</v>
      </c>
      <c r="AQ818" s="133">
        <v>1</v>
      </c>
      <c r="AR818" s="153">
        <v>0.0810595228934205</v>
      </c>
      <c r="AS818" s="137">
        <v>0.1</v>
      </c>
      <c r="AT818" s="137">
        <v>0</v>
      </c>
      <c r="AU818" s="137">
        <v>0</v>
      </c>
      <c r="AV818" s="137">
        <v>0.0630630630630631</v>
      </c>
      <c r="AW818" s="93"/>
      <c r="AX818" s="91"/>
    </row>
    <row r="819" ht="14.5" spans="1:50">
      <c r="A819" s="89"/>
      <c r="B819" s="93"/>
      <c r="C819" s="148" t="s">
        <v>664</v>
      </c>
      <c r="D819" s="126" t="s">
        <v>665</v>
      </c>
      <c r="E819" s="171" t="s">
        <v>842</v>
      </c>
      <c r="F819" s="171" t="s">
        <v>842</v>
      </c>
      <c r="G819" s="171" t="s">
        <v>842</v>
      </c>
      <c r="H819" s="171" t="s">
        <v>842</v>
      </c>
      <c r="I819" s="128">
        <v>0.9</v>
      </c>
      <c r="J819" s="129">
        <v>0.888888888888889</v>
      </c>
      <c r="K819" s="129">
        <v>0.96</v>
      </c>
      <c r="L819" s="130">
        <v>1</v>
      </c>
      <c r="M819" s="129">
        <v>0.962616822429907</v>
      </c>
      <c r="N819" s="131">
        <v>0.9</v>
      </c>
      <c r="O819" s="129">
        <v>0.959005669428696</v>
      </c>
      <c r="P819" s="129">
        <v>0.955042527339004</v>
      </c>
      <c r="Q819" s="129">
        <v>0.95069667738478</v>
      </c>
      <c r="R819" s="129">
        <v>0.957993915006379</v>
      </c>
      <c r="S819" s="131">
        <v>0.9</v>
      </c>
      <c r="T819" s="129">
        <v>0.944177932839075</v>
      </c>
      <c r="U819" s="129">
        <v>0.94775212636695</v>
      </c>
      <c r="V819" s="129">
        <v>0.953376205787781</v>
      </c>
      <c r="W819" s="129">
        <v>0.949111787221513</v>
      </c>
      <c r="X819" s="131">
        <v>0.92</v>
      </c>
      <c r="Y819" s="131">
        <v>0.912707182320442</v>
      </c>
      <c r="Z819" s="131">
        <v>0.921960072595281</v>
      </c>
      <c r="AA819" s="131">
        <v>0.927536231884058</v>
      </c>
      <c r="AB819" s="131">
        <v>0.924507507921201</v>
      </c>
      <c r="AC819" s="131">
        <v>0.92</v>
      </c>
      <c r="AD819" s="129">
        <v>0.997916666666667</v>
      </c>
      <c r="AE819" s="129">
        <v>0.998041136141038</v>
      </c>
      <c r="AF819" s="129">
        <v>0.994953742640875</v>
      </c>
      <c r="AG819" s="129">
        <v>0.995819200126213</v>
      </c>
      <c r="AH819" s="131">
        <v>0.92</v>
      </c>
      <c r="AI819" s="129">
        <v>0.954971857410882</v>
      </c>
      <c r="AJ819" s="129">
        <v>0.951965065502183</v>
      </c>
      <c r="AK819" s="129">
        <v>0.963192721257237</v>
      </c>
      <c r="AL819" s="129">
        <v>0.96110146186134</v>
      </c>
      <c r="AM819" s="128">
        <v>0.99</v>
      </c>
      <c r="AN819" s="133">
        <v>1</v>
      </c>
      <c r="AO819" s="133">
        <v>1</v>
      </c>
      <c r="AP819" s="133">
        <v>1</v>
      </c>
      <c r="AQ819" s="133">
        <v>1</v>
      </c>
      <c r="AR819" s="153">
        <v>0.0810595228934205</v>
      </c>
      <c r="AS819" s="137">
        <v>0</v>
      </c>
      <c r="AT819" s="137">
        <v>0.153846153846154</v>
      </c>
      <c r="AU819" s="137">
        <v>0</v>
      </c>
      <c r="AV819" s="137">
        <v>0.0538461538461538</v>
      </c>
      <c r="AW819" s="93"/>
      <c r="AX819" s="91"/>
    </row>
    <row r="820" ht="14.5" spans="1:50">
      <c r="A820" s="89"/>
      <c r="B820" s="93"/>
      <c r="C820" s="148" t="s">
        <v>664</v>
      </c>
      <c r="D820" s="126" t="s">
        <v>665</v>
      </c>
      <c r="E820" s="171" t="s">
        <v>843</v>
      </c>
      <c r="F820" s="171" t="s">
        <v>843</v>
      </c>
      <c r="G820" s="171" t="s">
        <v>843</v>
      </c>
      <c r="H820" s="171" t="s">
        <v>843</v>
      </c>
      <c r="I820" s="128">
        <v>0.9</v>
      </c>
      <c r="J820" s="129">
        <v>0.975</v>
      </c>
      <c r="K820" s="129">
        <v>0.966666666666667</v>
      </c>
      <c r="L820" s="130">
        <v>1</v>
      </c>
      <c r="M820" s="129">
        <v>0.979955456570156</v>
      </c>
      <c r="N820" s="131">
        <v>0.9</v>
      </c>
      <c r="O820" s="129">
        <v>0.957572767636902</v>
      </c>
      <c r="P820" s="129">
        <v>0.939909297052154</v>
      </c>
      <c r="Q820" s="129">
        <v>0.960867117117117</v>
      </c>
      <c r="R820" s="129">
        <v>0.957015233388546</v>
      </c>
      <c r="S820" s="131">
        <v>0.9</v>
      </c>
      <c r="T820" s="129">
        <v>0.92895905278737</v>
      </c>
      <c r="U820" s="129">
        <v>0.909297052154195</v>
      </c>
      <c r="V820" s="129">
        <v>0.937781531531532</v>
      </c>
      <c r="W820" s="129">
        <v>0.932739566079235</v>
      </c>
      <c r="X820" s="131">
        <v>0.92</v>
      </c>
      <c r="Y820" s="131">
        <v>0.933418693982074</v>
      </c>
      <c r="Z820" s="131">
        <v>0.89119170984456</v>
      </c>
      <c r="AA820" s="131">
        <v>0.913344887348354</v>
      </c>
      <c r="AB820" s="131">
        <v>0.916292047744536</v>
      </c>
      <c r="AC820" s="131">
        <v>0.92</v>
      </c>
      <c r="AD820" s="129">
        <v>0.996818050332658</v>
      </c>
      <c r="AE820" s="129">
        <v>0.991914449660929</v>
      </c>
      <c r="AF820" s="129">
        <v>0.983515637035896</v>
      </c>
      <c r="AG820" s="129">
        <v>0.985913032083342</v>
      </c>
      <c r="AH820" s="131">
        <v>0.92</v>
      </c>
      <c r="AI820" s="129">
        <v>0.96474358974359</v>
      </c>
      <c r="AJ820" s="129">
        <v>0.934041773543423</v>
      </c>
      <c r="AK820" s="129">
        <v>0.958988525286868</v>
      </c>
      <c r="AL820" s="129">
        <v>0.961895761280463</v>
      </c>
      <c r="AM820" s="128">
        <v>0.99</v>
      </c>
      <c r="AN820" s="133">
        <v>1</v>
      </c>
      <c r="AO820" s="133">
        <v>1</v>
      </c>
      <c r="AP820" s="133">
        <v>1</v>
      </c>
      <c r="AQ820" s="133">
        <v>1</v>
      </c>
      <c r="AR820" s="153">
        <v>0.0810595228934205</v>
      </c>
      <c r="AS820" s="137">
        <v>0.0833333333333333</v>
      </c>
      <c r="AT820" s="137">
        <v>0</v>
      </c>
      <c r="AU820" s="137">
        <v>0</v>
      </c>
      <c r="AV820" s="137">
        <v>0.0875</v>
      </c>
      <c r="AW820" s="93"/>
      <c r="AX820" s="91"/>
    </row>
    <row r="821" ht="14.5" spans="1:50">
      <c r="A821" s="89"/>
      <c r="B821" s="93"/>
      <c r="C821" s="148" t="s">
        <v>664</v>
      </c>
      <c r="D821" s="126" t="s">
        <v>665</v>
      </c>
      <c r="E821" s="171" t="s">
        <v>844</v>
      </c>
      <c r="F821" s="171" t="s">
        <v>844</v>
      </c>
      <c r="G821" s="171" t="s">
        <v>844</v>
      </c>
      <c r="H821" s="171" t="s">
        <v>844</v>
      </c>
      <c r="I821" s="128">
        <v>0.9</v>
      </c>
      <c r="J821" s="129">
        <v>1</v>
      </c>
      <c r="K821" s="129">
        <v>0.96551724137931</v>
      </c>
      <c r="L821" s="130">
        <v>1</v>
      </c>
      <c r="M821" s="129">
        <v>0.971509971509972</v>
      </c>
      <c r="N821" s="131">
        <v>0.9</v>
      </c>
      <c r="O821" s="129">
        <v>0.990983606557377</v>
      </c>
      <c r="P821" s="129">
        <v>0.995608531994981</v>
      </c>
      <c r="Q821" s="129">
        <v>0.994664888296099</v>
      </c>
      <c r="R821" s="129">
        <v>0.993460076045627</v>
      </c>
      <c r="S821" s="131">
        <v>0.9</v>
      </c>
      <c r="T821" s="129">
        <v>0.960382513661202</v>
      </c>
      <c r="U821" s="129">
        <v>0.968005018820577</v>
      </c>
      <c r="V821" s="129">
        <v>0.963654551517172</v>
      </c>
      <c r="W821" s="129">
        <v>0.967269961977186</v>
      </c>
      <c r="X821" s="131">
        <v>0.92</v>
      </c>
      <c r="Y821" s="131">
        <v>0.940459110473458</v>
      </c>
      <c r="Z821" s="131">
        <v>0.93935790725327</v>
      </c>
      <c r="AA821" s="131">
        <v>0.93923789907312</v>
      </c>
      <c r="AB821" s="131">
        <v>0.944688550012923</v>
      </c>
      <c r="AC821" s="131">
        <v>0.92</v>
      </c>
      <c r="AD821" s="129">
        <v>0.999518072289157</v>
      </c>
      <c r="AE821" s="129">
        <v>0.995994065281899</v>
      </c>
      <c r="AF821" s="129">
        <v>0.987234042553191</v>
      </c>
      <c r="AG821" s="129">
        <v>0.995783308931186</v>
      </c>
      <c r="AH821" s="131">
        <v>0.92</v>
      </c>
      <c r="AI821" s="129">
        <v>0.969139465875371</v>
      </c>
      <c r="AJ821" s="129">
        <v>0.970431211498973</v>
      </c>
      <c r="AK821" s="129">
        <v>0.973558297658021</v>
      </c>
      <c r="AL821" s="129">
        <v>0.975073610393113</v>
      </c>
      <c r="AM821" s="128">
        <v>0.99</v>
      </c>
      <c r="AN821" s="133">
        <v>1</v>
      </c>
      <c r="AO821" s="133">
        <v>1</v>
      </c>
      <c r="AP821" s="133">
        <v>1</v>
      </c>
      <c r="AQ821" s="133">
        <v>1</v>
      </c>
      <c r="AR821" s="153">
        <v>0.0810595228934205</v>
      </c>
      <c r="AS821" s="137">
        <v>0</v>
      </c>
      <c r="AT821" s="137">
        <v>0.0769230769230769</v>
      </c>
      <c r="AU821" s="137">
        <v>0</v>
      </c>
      <c r="AV821" s="137">
        <v>0.0340909090909091</v>
      </c>
      <c r="AW821" s="93"/>
      <c r="AX821" s="91"/>
    </row>
    <row r="822" ht="14.5" spans="1:50">
      <c r="A822" s="89"/>
      <c r="B822" s="93"/>
      <c r="C822" s="148" t="s">
        <v>664</v>
      </c>
      <c r="D822" s="126" t="s">
        <v>665</v>
      </c>
      <c r="E822" s="171" t="s">
        <v>845</v>
      </c>
      <c r="F822" s="171" t="s">
        <v>845</v>
      </c>
      <c r="G822" s="171" t="s">
        <v>845</v>
      </c>
      <c r="H822" s="171" t="s">
        <v>845</v>
      </c>
      <c r="I822" s="128">
        <v>0.9</v>
      </c>
      <c r="J822" s="129">
        <v>1</v>
      </c>
      <c r="K822" s="129">
        <v>1</v>
      </c>
      <c r="L822" s="130">
        <v>1</v>
      </c>
      <c r="M822" s="129">
        <v>1</v>
      </c>
      <c r="N822" s="131">
        <v>0.9</v>
      </c>
      <c r="O822" s="129">
        <v>0.99</v>
      </c>
      <c r="P822" s="129">
        <v>0.990685296074518</v>
      </c>
      <c r="Q822" s="129">
        <v>0.994486983154671</v>
      </c>
      <c r="R822" s="129">
        <v>0.994035613438598</v>
      </c>
      <c r="S822" s="131">
        <v>0.9</v>
      </c>
      <c r="T822" s="129">
        <v>0.978378378378378</v>
      </c>
      <c r="U822" s="129">
        <v>0.974051896207585</v>
      </c>
      <c r="V822" s="129">
        <v>0.980091883614089</v>
      </c>
      <c r="W822" s="129">
        <v>0.979254307612517</v>
      </c>
      <c r="X822" s="131">
        <v>0.92</v>
      </c>
      <c r="Y822" s="131">
        <v>0.924503311258278</v>
      </c>
      <c r="Z822" s="131">
        <v>0.9292343387471</v>
      </c>
      <c r="AA822" s="131">
        <v>0.922727272727273</v>
      </c>
      <c r="AB822" s="131">
        <v>0.937489839050561</v>
      </c>
      <c r="AC822" s="131">
        <v>0.92</v>
      </c>
      <c r="AD822" s="129">
        <v>1</v>
      </c>
      <c r="AE822" s="129">
        <v>0.99677211103938</v>
      </c>
      <c r="AF822" s="129">
        <v>0.996147495872317</v>
      </c>
      <c r="AG822" s="129">
        <v>0.996846531184303</v>
      </c>
      <c r="AH822" s="131">
        <v>0.92</v>
      </c>
      <c r="AI822" s="129">
        <v>0.973704414587332</v>
      </c>
      <c r="AJ822" s="129">
        <v>0.970414201183432</v>
      </c>
      <c r="AK822" s="129">
        <v>0.97686669720568</v>
      </c>
      <c r="AL822" s="129">
        <v>0.979685173367369</v>
      </c>
      <c r="AM822" s="128">
        <v>0.99</v>
      </c>
      <c r="AN822" s="133">
        <v>1</v>
      </c>
      <c r="AO822" s="133">
        <v>1</v>
      </c>
      <c r="AP822" s="133">
        <v>1</v>
      </c>
      <c r="AQ822" s="133">
        <v>1</v>
      </c>
      <c r="AR822" s="153">
        <v>0.0810595228934205</v>
      </c>
      <c r="AS822" s="137">
        <v>0.0769230769230769</v>
      </c>
      <c r="AT822" s="137">
        <v>0</v>
      </c>
      <c r="AU822" s="137">
        <v>0.0769230769230769</v>
      </c>
      <c r="AV822" s="137">
        <v>0.0252100840336134</v>
      </c>
      <c r="AW822" s="93"/>
      <c r="AX822" s="91"/>
    </row>
    <row r="823" ht="14.5" spans="1:50">
      <c r="A823" s="89"/>
      <c r="B823" s="93"/>
      <c r="C823" s="148" t="s">
        <v>664</v>
      </c>
      <c r="D823" s="126" t="s">
        <v>665</v>
      </c>
      <c r="E823" s="171" t="s">
        <v>846</v>
      </c>
      <c r="F823" s="171" t="s">
        <v>846</v>
      </c>
      <c r="G823" s="171" t="s">
        <v>846</v>
      </c>
      <c r="H823" s="171" t="s">
        <v>846</v>
      </c>
      <c r="I823" s="128">
        <v>0.9</v>
      </c>
      <c r="J823" s="129">
        <v>0.902439024390244</v>
      </c>
      <c r="K823" s="129">
        <v>0.935483870967742</v>
      </c>
      <c r="L823" s="130">
        <v>0.948717948717949</v>
      </c>
      <c r="M823" s="129">
        <v>0.929359823399558</v>
      </c>
      <c r="N823" s="131">
        <v>0.9</v>
      </c>
      <c r="O823" s="129">
        <v>0.982771351218312</v>
      </c>
      <c r="P823" s="129">
        <v>0.974835886214442</v>
      </c>
      <c r="Q823" s="129">
        <v>0.979668893406913</v>
      </c>
      <c r="R823" s="129">
        <v>0.976875749517702</v>
      </c>
      <c r="S823" s="131">
        <v>0.9</v>
      </c>
      <c r="T823" s="129">
        <v>0.925670686684716</v>
      </c>
      <c r="U823" s="129">
        <v>0.912472647702407</v>
      </c>
      <c r="V823" s="129">
        <v>0.916932907348243</v>
      </c>
      <c r="W823" s="129">
        <v>0.920720579800824</v>
      </c>
      <c r="X823" s="131">
        <v>0.92</v>
      </c>
      <c r="Y823" s="131">
        <v>0.94080604534005</v>
      </c>
      <c r="Z823" s="131">
        <v>0.933070866141732</v>
      </c>
      <c r="AA823" s="131">
        <v>0.943702290076336</v>
      </c>
      <c r="AB823" s="131">
        <v>0.943602693602694</v>
      </c>
      <c r="AC823" s="131">
        <v>0.92</v>
      </c>
      <c r="AD823" s="129">
        <v>0.997858672376874</v>
      </c>
      <c r="AE823" s="129">
        <v>0.996778190830235</v>
      </c>
      <c r="AF823" s="129">
        <v>0.993146773272416</v>
      </c>
      <c r="AG823" s="129">
        <v>0.995128326996198</v>
      </c>
      <c r="AH823" s="131">
        <v>0.92</v>
      </c>
      <c r="AI823" s="129">
        <v>0.96301539550522</v>
      </c>
      <c r="AJ823" s="129">
        <v>0.95393811533052</v>
      </c>
      <c r="AK823" s="129">
        <v>0.965486528612781</v>
      </c>
      <c r="AL823" s="129">
        <v>0.966362699539188</v>
      </c>
      <c r="AM823" s="128">
        <v>0.99</v>
      </c>
      <c r="AN823" s="133">
        <v>1</v>
      </c>
      <c r="AO823" s="133">
        <v>1</v>
      </c>
      <c r="AP823" s="133">
        <v>1</v>
      </c>
      <c r="AQ823" s="133">
        <v>1</v>
      </c>
      <c r="AR823" s="153">
        <v>0.0810595228934205</v>
      </c>
      <c r="AS823" s="137">
        <v>0.0285714285714286</v>
      </c>
      <c r="AT823" s="137">
        <v>0.03125</v>
      </c>
      <c r="AU823" s="137">
        <v>0</v>
      </c>
      <c r="AV823" s="137">
        <v>0.0277777777777778</v>
      </c>
      <c r="AW823" s="93"/>
      <c r="AX823" s="91"/>
    </row>
    <row r="824" ht="14.5" spans="1:50">
      <c r="A824" s="89"/>
      <c r="B824" s="93"/>
      <c r="C824" s="148" t="s">
        <v>664</v>
      </c>
      <c r="D824" s="126" t="s">
        <v>665</v>
      </c>
      <c r="E824" s="171" t="s">
        <v>847</v>
      </c>
      <c r="F824" s="171" t="s">
        <v>847</v>
      </c>
      <c r="G824" s="171" t="s">
        <v>847</v>
      </c>
      <c r="H824" s="171" t="s">
        <v>847</v>
      </c>
      <c r="I824" s="128">
        <v>0.9</v>
      </c>
      <c r="J824" s="129">
        <v>1</v>
      </c>
      <c r="K824" s="129">
        <v>0.962962962962963</v>
      </c>
      <c r="L824" s="130">
        <v>1</v>
      </c>
      <c r="M824" s="129">
        <v>0.983471074380165</v>
      </c>
      <c r="N824" s="131">
        <v>0.9</v>
      </c>
      <c r="O824" s="129">
        <v>0.889761717727154</v>
      </c>
      <c r="P824" s="129">
        <v>0.936094674556213</v>
      </c>
      <c r="Q824" s="129">
        <v>0.940391182862465</v>
      </c>
      <c r="R824" s="129">
        <v>0.932517887361577</v>
      </c>
      <c r="S824" s="131">
        <v>0.9</v>
      </c>
      <c r="T824" s="129">
        <v>0.920136161298769</v>
      </c>
      <c r="U824" s="129">
        <v>0.939644970414201</v>
      </c>
      <c r="V824" s="129">
        <v>0.946600434647625</v>
      </c>
      <c r="W824" s="129">
        <v>0.936347712495918</v>
      </c>
      <c r="X824" s="131">
        <v>0.92</v>
      </c>
      <c r="Y824" s="131">
        <v>0.858799454297408</v>
      </c>
      <c r="Z824" s="131">
        <v>0.821845174973489</v>
      </c>
      <c r="AA824" s="131">
        <v>0.914175506268081</v>
      </c>
      <c r="AB824" s="131">
        <v>0.875106855872799</v>
      </c>
      <c r="AC824" s="131">
        <v>0.92</v>
      </c>
      <c r="AD824" s="129">
        <v>0.997817785051828</v>
      </c>
      <c r="AE824" s="129">
        <v>0.988187523071244</v>
      </c>
      <c r="AF824" s="129">
        <v>0.993262081784387</v>
      </c>
      <c r="AG824" s="129">
        <v>0.992059843704292</v>
      </c>
      <c r="AH824" s="131">
        <v>0.92</v>
      </c>
      <c r="AI824" s="129">
        <v>0.939072847682119</v>
      </c>
      <c r="AJ824" s="129">
        <v>0.914925939992404</v>
      </c>
      <c r="AK824" s="129">
        <v>0.960075152653828</v>
      </c>
      <c r="AL824" s="129">
        <v>0.94819531973029</v>
      </c>
      <c r="AM824" s="128">
        <v>0.99</v>
      </c>
      <c r="AN824" s="133">
        <v>1</v>
      </c>
      <c r="AO824" s="133">
        <v>1</v>
      </c>
      <c r="AP824" s="133">
        <v>1</v>
      </c>
      <c r="AQ824" s="133">
        <v>1</v>
      </c>
      <c r="AR824" s="153">
        <v>0.0810595228934205</v>
      </c>
      <c r="AS824" s="137">
        <v>0</v>
      </c>
      <c r="AT824" s="137">
        <v>0</v>
      </c>
      <c r="AU824" s="137">
        <v>0.272727272727273</v>
      </c>
      <c r="AV824" s="137">
        <v>0.0526315789473684</v>
      </c>
      <c r="AW824" s="93"/>
      <c r="AX824" s="91"/>
    </row>
    <row r="825" ht="14.5" spans="1:50">
      <c r="A825" s="89"/>
      <c r="B825" s="93"/>
      <c r="C825" s="148" t="s">
        <v>664</v>
      </c>
      <c r="D825" s="126" t="s">
        <v>665</v>
      </c>
      <c r="E825" s="171" t="s">
        <v>848</v>
      </c>
      <c r="F825" s="171" t="s">
        <v>848</v>
      </c>
      <c r="G825" s="171" t="s">
        <v>848</v>
      </c>
      <c r="H825" s="171" t="s">
        <v>848</v>
      </c>
      <c r="I825" s="128">
        <v>0.9</v>
      </c>
      <c r="J825" s="129">
        <v>0.958333333333333</v>
      </c>
      <c r="K825" s="129">
        <v>0.75</v>
      </c>
      <c r="L825" s="130">
        <v>0.857142857142857</v>
      </c>
      <c r="M825" s="129">
        <v>0.847389558232932</v>
      </c>
      <c r="N825" s="131">
        <v>0.9</v>
      </c>
      <c r="O825" s="129">
        <v>0.971219512195122</v>
      </c>
      <c r="P825" s="129">
        <v>0.961231470923603</v>
      </c>
      <c r="Q825" s="129">
        <v>0.962633451957295</v>
      </c>
      <c r="R825" s="129">
        <v>0.943131695022054</v>
      </c>
      <c r="S825" s="131">
        <v>0.9</v>
      </c>
      <c r="T825" s="129">
        <v>0.926341463414634</v>
      </c>
      <c r="U825" s="129">
        <v>0.9327251995439</v>
      </c>
      <c r="V825" s="129">
        <v>0.925266903914591</v>
      </c>
      <c r="W825" s="129">
        <v>0.937985717286284</v>
      </c>
      <c r="X825" s="131">
        <v>0.92</v>
      </c>
      <c r="Y825" s="131">
        <v>0.90375</v>
      </c>
      <c r="Z825" s="131">
        <v>0.915966386554622</v>
      </c>
      <c r="AA825" s="131">
        <v>0.906976744186046</v>
      </c>
      <c r="AB825" s="131">
        <v>0.923939031679617</v>
      </c>
      <c r="AC825" s="131">
        <v>0.92</v>
      </c>
      <c r="AD825" s="129">
        <v>1</v>
      </c>
      <c r="AE825" s="129">
        <v>0.993939393939394</v>
      </c>
      <c r="AF825" s="129">
        <v>0.984126984126984</v>
      </c>
      <c r="AG825" s="129">
        <v>0.990085624155025</v>
      </c>
      <c r="AH825" s="131">
        <v>0.92</v>
      </c>
      <c r="AI825" s="129">
        <v>0.947017543859649</v>
      </c>
      <c r="AJ825" s="129">
        <v>0.954175905395418</v>
      </c>
      <c r="AK825" s="129">
        <v>0.950556792873051</v>
      </c>
      <c r="AL825" s="129">
        <v>0.961998756605533</v>
      </c>
      <c r="AM825" s="128">
        <v>0.99</v>
      </c>
      <c r="AN825" s="133">
        <v>1</v>
      </c>
      <c r="AO825" s="133">
        <v>1</v>
      </c>
      <c r="AP825" s="133">
        <v>1</v>
      </c>
      <c r="AQ825" s="133">
        <v>1</v>
      </c>
      <c r="AR825" s="153">
        <v>0.0810595228934205</v>
      </c>
      <c r="AS825" s="137">
        <v>0</v>
      </c>
      <c r="AT825" s="137">
        <v>0</v>
      </c>
      <c r="AU825" s="137">
        <v>0.111111111111111</v>
      </c>
      <c r="AV825" s="137">
        <v>0.0531914893617021</v>
      </c>
      <c r="AW825" s="93"/>
      <c r="AX825" s="91"/>
    </row>
    <row r="826" ht="14.5" spans="1:50">
      <c r="A826" s="89"/>
      <c r="B826" s="93"/>
      <c r="C826" s="148" t="s">
        <v>664</v>
      </c>
      <c r="D826" s="126" t="s">
        <v>665</v>
      </c>
      <c r="E826" s="171" t="s">
        <v>849</v>
      </c>
      <c r="F826" s="171" t="s">
        <v>849</v>
      </c>
      <c r="G826" s="171" t="s">
        <v>849</v>
      </c>
      <c r="H826" s="171" t="s">
        <v>849</v>
      </c>
      <c r="I826" s="128">
        <v>0.9</v>
      </c>
      <c r="J826" s="129">
        <v>0.9</v>
      </c>
      <c r="K826" s="129">
        <v>0.866666666666667</v>
      </c>
      <c r="L826" s="130">
        <v>0.933333333333333</v>
      </c>
      <c r="M826" s="129">
        <v>0.927536231884058</v>
      </c>
      <c r="N826" s="131">
        <v>0.9</v>
      </c>
      <c r="O826" s="129">
        <v>0.833275078643831</v>
      </c>
      <c r="P826" s="129">
        <v>0.923965351299326</v>
      </c>
      <c r="Q826" s="129">
        <v>0.906956892872386</v>
      </c>
      <c r="R826" s="129">
        <v>0.90214227065761</v>
      </c>
      <c r="S826" s="131">
        <v>0.9</v>
      </c>
      <c r="T826" s="129">
        <v>0.916113247116393</v>
      </c>
      <c r="U826" s="129">
        <v>0.940327237728585</v>
      </c>
      <c r="V826" s="129">
        <v>0.906956892872386</v>
      </c>
      <c r="W826" s="129">
        <v>0.918862431887736</v>
      </c>
      <c r="X826" s="131">
        <v>0.92</v>
      </c>
      <c r="Y826" s="131">
        <v>0.916599190283401</v>
      </c>
      <c r="Z826" s="131">
        <v>0.924285714285714</v>
      </c>
      <c r="AA826" s="131">
        <v>0.910381543921917</v>
      </c>
      <c r="AB826" s="131">
        <v>0.914213280994439</v>
      </c>
      <c r="AC826" s="131">
        <v>0.92</v>
      </c>
      <c r="AD826" s="129">
        <v>0.987051206592113</v>
      </c>
      <c r="AE826" s="129">
        <v>0.991465149359886</v>
      </c>
      <c r="AF826" s="129">
        <v>0.987477638640429</v>
      </c>
      <c r="AG826" s="129">
        <v>0.98643721744203</v>
      </c>
      <c r="AH826" s="131">
        <v>0.92</v>
      </c>
      <c r="AI826" s="129">
        <v>0.954135154915833</v>
      </c>
      <c r="AJ826" s="129">
        <v>0.9551466359977</v>
      </c>
      <c r="AK826" s="129">
        <v>0.955082061618198</v>
      </c>
      <c r="AL826" s="129">
        <v>0.957101538304026</v>
      </c>
      <c r="AM826" s="128">
        <v>0.99</v>
      </c>
      <c r="AN826" s="133">
        <v>1</v>
      </c>
      <c r="AO826" s="133">
        <v>1</v>
      </c>
      <c r="AP826" s="133">
        <v>1</v>
      </c>
      <c r="AQ826" s="133">
        <v>1</v>
      </c>
      <c r="AR826" s="153">
        <v>0.0810595228934205</v>
      </c>
      <c r="AS826" s="137">
        <v>0</v>
      </c>
      <c r="AT826" s="137">
        <v>0</v>
      </c>
      <c r="AU826" s="137">
        <v>0.153846153846154</v>
      </c>
      <c r="AV826" s="137">
        <v>0.038961038961039</v>
      </c>
      <c r="AW826" s="93"/>
      <c r="AX826" s="91"/>
    </row>
    <row r="827" ht="14.5" spans="1:50">
      <c r="A827" s="89"/>
      <c r="B827" s="93"/>
      <c r="C827" s="148" t="s">
        <v>664</v>
      </c>
      <c r="D827" s="126" t="s">
        <v>665</v>
      </c>
      <c r="E827" s="171" t="s">
        <v>850</v>
      </c>
      <c r="F827" s="171" t="s">
        <v>850</v>
      </c>
      <c r="G827" s="171" t="s">
        <v>850</v>
      </c>
      <c r="H827" s="171" t="s">
        <v>850</v>
      </c>
      <c r="I827" s="128">
        <v>0.9</v>
      </c>
      <c r="J827" s="129">
        <v>0.851851851851852</v>
      </c>
      <c r="K827" s="129">
        <v>0.80952380952381</v>
      </c>
      <c r="L827" s="130">
        <v>0.785714285714286</v>
      </c>
      <c r="M827" s="129">
        <v>0.853820598006645</v>
      </c>
      <c r="N827" s="131">
        <v>0.9</v>
      </c>
      <c r="O827" s="129">
        <v>0.868460388639761</v>
      </c>
      <c r="P827" s="129">
        <v>0.902757619738752</v>
      </c>
      <c r="Q827" s="129">
        <v>0.919293820933165</v>
      </c>
      <c r="R827" s="129">
        <v>0.892028792322047</v>
      </c>
      <c r="S827" s="131">
        <v>0.9</v>
      </c>
      <c r="T827" s="129">
        <v>0.873941205779771</v>
      </c>
      <c r="U827" s="129">
        <v>0.865021770682148</v>
      </c>
      <c r="V827" s="129">
        <v>0.909205548549811</v>
      </c>
      <c r="W827" s="129">
        <v>0.91900826446281</v>
      </c>
      <c r="X827" s="131">
        <v>0.92</v>
      </c>
      <c r="Y827" s="131">
        <v>0.912177985948478</v>
      </c>
      <c r="Z827" s="131">
        <v>0.861052631578947</v>
      </c>
      <c r="AA827" s="131">
        <v>0.940360610263523</v>
      </c>
      <c r="AB827" s="131">
        <v>0.916178880824163</v>
      </c>
      <c r="AC827" s="131">
        <v>0.92</v>
      </c>
      <c r="AD827" s="129">
        <v>0.985037406483791</v>
      </c>
      <c r="AE827" s="129">
        <v>0.989769820971867</v>
      </c>
      <c r="AF827" s="129">
        <v>0.988179669030733</v>
      </c>
      <c r="AG827" s="129">
        <v>0.982619067904916</v>
      </c>
      <c r="AH827" s="131">
        <v>0.92</v>
      </c>
      <c r="AI827" s="129">
        <v>0.944075498077595</v>
      </c>
      <c r="AJ827" s="129">
        <v>0.910652920962199</v>
      </c>
      <c r="AK827" s="129">
        <v>0.966219142485925</v>
      </c>
      <c r="AL827" s="129">
        <v>0.956567912989343</v>
      </c>
      <c r="AM827" s="128">
        <v>0.99</v>
      </c>
      <c r="AN827" s="133">
        <v>1</v>
      </c>
      <c r="AO827" s="133">
        <v>1</v>
      </c>
      <c r="AP827" s="133">
        <v>1</v>
      </c>
      <c r="AQ827" s="133">
        <v>1</v>
      </c>
      <c r="AR827" s="153">
        <v>0.0810595228934205</v>
      </c>
      <c r="AS827" s="137">
        <v>0</v>
      </c>
      <c r="AT827" s="137">
        <v>0</v>
      </c>
      <c r="AU827" s="137">
        <v>0.125</v>
      </c>
      <c r="AV827" s="137">
        <v>0.0576923076923077</v>
      </c>
      <c r="AW827" s="93"/>
      <c r="AX827" s="91"/>
    </row>
    <row r="828" ht="14.5" spans="1:50">
      <c r="A828" s="89"/>
      <c r="B828" s="93"/>
      <c r="C828" s="148" t="s">
        <v>664</v>
      </c>
      <c r="D828" s="126" t="s">
        <v>665</v>
      </c>
      <c r="E828" s="171" t="s">
        <v>851</v>
      </c>
      <c r="F828" s="171" t="s">
        <v>851</v>
      </c>
      <c r="G828" s="171" t="s">
        <v>851</v>
      </c>
      <c r="H828" s="171" t="s">
        <v>851</v>
      </c>
      <c r="I828" s="128">
        <v>0.9</v>
      </c>
      <c r="J828" s="129">
        <v>0.90625</v>
      </c>
      <c r="K828" s="129">
        <v>0.954545454545455</v>
      </c>
      <c r="L828" s="130">
        <v>1</v>
      </c>
      <c r="M828" s="129">
        <v>0.968571428571429</v>
      </c>
      <c r="N828" s="131">
        <v>0.9</v>
      </c>
      <c r="O828" s="129">
        <v>0.906524757056918</v>
      </c>
      <c r="P828" s="129">
        <v>0.953580901856764</v>
      </c>
      <c r="Q828" s="129">
        <v>0.934982738780207</v>
      </c>
      <c r="R828" s="129">
        <v>0.930029578625806</v>
      </c>
      <c r="S828" s="131">
        <v>0.9</v>
      </c>
      <c r="T828" s="129">
        <v>0.900971772327626</v>
      </c>
      <c r="U828" s="129">
        <v>0.908488063660477</v>
      </c>
      <c r="V828" s="129">
        <v>0.908515535097814</v>
      </c>
      <c r="W828" s="129">
        <v>0.912912767298647</v>
      </c>
      <c r="X828" s="131">
        <v>0.92</v>
      </c>
      <c r="Y828" s="131">
        <v>0.867444326617179</v>
      </c>
      <c r="Z828" s="131">
        <v>0.753346080305927</v>
      </c>
      <c r="AA828" s="131">
        <v>0.835189309576837</v>
      </c>
      <c r="AB828" s="131">
        <v>0.82705733023059</v>
      </c>
      <c r="AC828" s="131">
        <v>0.92</v>
      </c>
      <c r="AD828" s="129">
        <v>0.957317073170732</v>
      </c>
      <c r="AE828" s="129">
        <v>0.86046511627907</v>
      </c>
      <c r="AF828" s="129">
        <v>0.981203007518797</v>
      </c>
      <c r="AG828" s="129">
        <v>0.963503649635037</v>
      </c>
      <c r="AH828" s="131">
        <v>0.92</v>
      </c>
      <c r="AI828" s="129">
        <v>0.933311855670103</v>
      </c>
      <c r="AJ828" s="129">
        <v>0.868544600938967</v>
      </c>
      <c r="AK828" s="129">
        <v>0.918467956010618</v>
      </c>
      <c r="AL828" s="129">
        <v>0.919588313413015</v>
      </c>
      <c r="AM828" s="128">
        <v>0.99</v>
      </c>
      <c r="AN828" s="133">
        <v>1</v>
      </c>
      <c r="AO828" s="133">
        <v>1</v>
      </c>
      <c r="AP828" s="133">
        <v>1</v>
      </c>
      <c r="AQ828" s="133">
        <v>1</v>
      </c>
      <c r="AR828" s="153">
        <v>0.0810595228934205</v>
      </c>
      <c r="AS828" s="137">
        <v>0.8</v>
      </c>
      <c r="AT828" s="137">
        <v>0.25</v>
      </c>
      <c r="AU828" s="137">
        <v>0.111111111111111</v>
      </c>
      <c r="AV828" s="137">
        <v>0.111111111111111</v>
      </c>
      <c r="AW828" s="93"/>
      <c r="AX828" s="91"/>
    </row>
    <row r="829" ht="14.5" spans="1:50">
      <c r="A829" s="89"/>
      <c r="B829" s="93"/>
      <c r="C829" s="148" t="s">
        <v>664</v>
      </c>
      <c r="D829" s="126" t="s">
        <v>665</v>
      </c>
      <c r="E829" s="171" t="s">
        <v>852</v>
      </c>
      <c r="F829" s="171" t="s">
        <v>852</v>
      </c>
      <c r="G829" s="171" t="s">
        <v>852</v>
      </c>
      <c r="H829" s="171" t="s">
        <v>852</v>
      </c>
      <c r="I829" s="128">
        <v>0.9</v>
      </c>
      <c r="J829" s="129">
        <v>0.957446808510638</v>
      </c>
      <c r="K829" s="129">
        <v>0.941176470588235</v>
      </c>
      <c r="L829" s="130">
        <v>0.886363636363636</v>
      </c>
      <c r="M829" s="129">
        <v>0.927342256214149</v>
      </c>
      <c r="N829" s="131">
        <v>0.9</v>
      </c>
      <c r="O829" s="129">
        <v>0.936188077246012</v>
      </c>
      <c r="P829" s="129">
        <v>0.905882352941176</v>
      </c>
      <c r="Q829" s="129">
        <v>0.813786008230453</v>
      </c>
      <c r="R829" s="129">
        <v>0.835964106968342</v>
      </c>
      <c r="S829" s="131">
        <v>0.9</v>
      </c>
      <c r="T829" s="129">
        <v>0.894486425972572</v>
      </c>
      <c r="U829" s="129">
        <v>0.883193277310924</v>
      </c>
      <c r="V829" s="129">
        <v>0.891975308641975</v>
      </c>
      <c r="W829" s="129">
        <v>0.897533094441318</v>
      </c>
      <c r="X829" s="131">
        <v>0.92</v>
      </c>
      <c r="Y829" s="131">
        <v>0.858741258741259</v>
      </c>
      <c r="Z829" s="131">
        <v>0.81021897810219</v>
      </c>
      <c r="AA829" s="131">
        <v>0.880540946656649</v>
      </c>
      <c r="AB829" s="131">
        <v>0.834832992501704</v>
      </c>
      <c r="AC829" s="131">
        <v>0.92</v>
      </c>
      <c r="AD829" s="129">
        <v>0.977936404931862</v>
      </c>
      <c r="AE829" s="129">
        <v>0.979730687455705</v>
      </c>
      <c r="AF829" s="129">
        <v>0.96</v>
      </c>
      <c r="AG829" s="129">
        <v>0.970450321414565</v>
      </c>
      <c r="AH829" s="131">
        <v>0.92</v>
      </c>
      <c r="AI829" s="129">
        <v>0.927287255293648</v>
      </c>
      <c r="AJ829" s="129">
        <v>0.882178217821782</v>
      </c>
      <c r="AK829" s="129">
        <v>0.934102141680395</v>
      </c>
      <c r="AL829" s="129">
        <v>0.916200886872229</v>
      </c>
      <c r="AM829" s="128">
        <v>0.99</v>
      </c>
      <c r="AN829" s="133">
        <v>1</v>
      </c>
      <c r="AO829" s="133">
        <v>1</v>
      </c>
      <c r="AP829" s="133">
        <v>1</v>
      </c>
      <c r="AQ829" s="133">
        <v>1</v>
      </c>
      <c r="AR829" s="153">
        <v>0.0810595228934205</v>
      </c>
      <c r="AS829" s="137">
        <v>0.0454545454545455</v>
      </c>
      <c r="AT829" s="137">
        <v>0.0416666666666667</v>
      </c>
      <c r="AU829" s="137">
        <v>0.0740740740740741</v>
      </c>
      <c r="AV829" s="137">
        <v>0.0822368421052632</v>
      </c>
      <c r="AW829" s="93"/>
      <c r="AX829" s="91"/>
    </row>
    <row r="830" ht="14.5" spans="1:50">
      <c r="A830" s="89"/>
      <c r="B830" s="93"/>
      <c r="C830" s="148" t="s">
        <v>664</v>
      </c>
      <c r="D830" s="126" t="s">
        <v>665</v>
      </c>
      <c r="E830" s="171" t="s">
        <v>853</v>
      </c>
      <c r="F830" s="171" t="s">
        <v>853</v>
      </c>
      <c r="G830" s="171" t="s">
        <v>853</v>
      </c>
      <c r="H830" s="171" t="s">
        <v>853</v>
      </c>
      <c r="I830" s="128">
        <v>0.9</v>
      </c>
      <c r="J830" s="129">
        <v>0.967741935483871</v>
      </c>
      <c r="K830" s="129">
        <v>0.952380952380952</v>
      </c>
      <c r="L830" s="130">
        <v>1</v>
      </c>
      <c r="M830" s="129">
        <v>0.978978978978979</v>
      </c>
      <c r="N830" s="131">
        <v>0.9</v>
      </c>
      <c r="O830" s="129">
        <v>0.951436665317685</v>
      </c>
      <c r="P830" s="129">
        <v>0.94585635359116</v>
      </c>
      <c r="Q830" s="129">
        <v>0.959084266926449</v>
      </c>
      <c r="R830" s="129">
        <v>0.953541995815364</v>
      </c>
      <c r="S830" s="131">
        <v>0.9</v>
      </c>
      <c r="T830" s="129">
        <v>0.921489275596924</v>
      </c>
      <c r="U830" s="129">
        <v>0.931491712707182</v>
      </c>
      <c r="V830" s="129">
        <v>0.922065270336094</v>
      </c>
      <c r="W830" s="129">
        <v>0.930441094837525</v>
      </c>
      <c r="X830" s="131">
        <v>0.92</v>
      </c>
      <c r="Y830" s="131">
        <v>0.895918367346939</v>
      </c>
      <c r="Z830" s="131">
        <v>0.855379188712522</v>
      </c>
      <c r="AA830" s="131">
        <v>0.916104146576664</v>
      </c>
      <c r="AB830" s="131">
        <v>0.888461538461538</v>
      </c>
      <c r="AC830" s="131">
        <v>0.92</v>
      </c>
      <c r="AD830" s="129">
        <v>0.939477303988996</v>
      </c>
      <c r="AE830" s="129">
        <v>0.973406694176983</v>
      </c>
      <c r="AF830" s="129">
        <v>0.89010989010989</v>
      </c>
      <c r="AG830" s="129">
        <v>0.95142936441854</v>
      </c>
      <c r="AH830" s="131">
        <v>0.92</v>
      </c>
      <c r="AI830" s="129">
        <v>0.947048611111111</v>
      </c>
      <c r="AJ830" s="129">
        <v>0.920570264765784</v>
      </c>
      <c r="AK830" s="129">
        <v>0.956999676689298</v>
      </c>
      <c r="AL830" s="129">
        <v>0.945711247637051</v>
      </c>
      <c r="AM830" s="128">
        <v>0.99</v>
      </c>
      <c r="AN830" s="133">
        <v>1</v>
      </c>
      <c r="AO830" s="133">
        <v>1</v>
      </c>
      <c r="AP830" s="133">
        <v>1</v>
      </c>
      <c r="AQ830" s="133">
        <v>1</v>
      </c>
      <c r="AR830" s="153">
        <v>0.0810595228934205</v>
      </c>
      <c r="AS830" s="137">
        <v>0</v>
      </c>
      <c r="AT830" s="137">
        <v>0</v>
      </c>
      <c r="AU830" s="137">
        <v>0.0909090909090909</v>
      </c>
      <c r="AV830" s="137">
        <v>0.0571428571428571</v>
      </c>
      <c r="AW830" s="93"/>
      <c r="AX830" s="91"/>
    </row>
    <row r="831" ht="14.5" spans="1:50">
      <c r="A831" s="89"/>
      <c r="B831" s="93"/>
      <c r="C831" s="148" t="s">
        <v>664</v>
      </c>
      <c r="D831" s="126" t="s">
        <v>665</v>
      </c>
      <c r="E831" s="171" t="s">
        <v>854</v>
      </c>
      <c r="F831" s="171" t="s">
        <v>854</v>
      </c>
      <c r="G831" s="171" t="s">
        <v>854</v>
      </c>
      <c r="H831" s="171" t="s">
        <v>854</v>
      </c>
      <c r="I831" s="128">
        <v>0.9</v>
      </c>
      <c r="J831" s="129">
        <v>0.952380952380952</v>
      </c>
      <c r="K831" s="129">
        <v>0.864864864864865</v>
      </c>
      <c r="L831" s="130">
        <v>0.976190476190476</v>
      </c>
      <c r="M831" s="129">
        <v>0.955375253549696</v>
      </c>
      <c r="N831" s="131">
        <v>0.9</v>
      </c>
      <c r="O831" s="129">
        <v>0.947012401352875</v>
      </c>
      <c r="P831" s="129">
        <v>0.983333333333333</v>
      </c>
      <c r="Q831" s="129">
        <v>0.961643835616438</v>
      </c>
      <c r="R831" s="129">
        <v>0.914822158378181</v>
      </c>
      <c r="S831" s="131">
        <v>0.9</v>
      </c>
      <c r="T831" s="129">
        <v>0.891394212701992</v>
      </c>
      <c r="U831" s="129">
        <v>0.937777777777778</v>
      </c>
      <c r="V831" s="129">
        <v>0.931963470319635</v>
      </c>
      <c r="W831" s="129">
        <v>0.92712337636062</v>
      </c>
      <c r="X831" s="131">
        <v>0.92</v>
      </c>
      <c r="Y831" s="131">
        <v>0.916588566073102</v>
      </c>
      <c r="Z831" s="131">
        <v>0.857142857142857</v>
      </c>
      <c r="AA831" s="131">
        <v>0.920620437956204</v>
      </c>
      <c r="AB831" s="131">
        <v>0.909194296212055</v>
      </c>
      <c r="AC831" s="131">
        <v>0.92</v>
      </c>
      <c r="AD831" s="129">
        <v>0.970903522205207</v>
      </c>
      <c r="AE831" s="129">
        <v>0.979324256177509</v>
      </c>
      <c r="AF831" s="129">
        <v>0.974468085106383</v>
      </c>
      <c r="AG831" s="129">
        <v>0.97449549727207</v>
      </c>
      <c r="AH831" s="131">
        <v>0.92</v>
      </c>
      <c r="AI831" s="129">
        <v>0.940198444623223</v>
      </c>
      <c r="AJ831" s="129">
        <v>0.915189873417722</v>
      </c>
      <c r="AK831" s="129">
        <v>0.955623100303951</v>
      </c>
      <c r="AL831" s="129">
        <v>0.950340098434994</v>
      </c>
      <c r="AM831" s="128">
        <v>0.99</v>
      </c>
      <c r="AN831" s="133">
        <v>1</v>
      </c>
      <c r="AO831" s="133">
        <v>1</v>
      </c>
      <c r="AP831" s="133">
        <v>1</v>
      </c>
      <c r="AQ831" s="133">
        <v>1</v>
      </c>
      <c r="AR831" s="153">
        <v>0.0810595228934205</v>
      </c>
      <c r="AS831" s="137">
        <v>0.214285714285714</v>
      </c>
      <c r="AT831" s="137">
        <v>0.0666666666666667</v>
      </c>
      <c r="AU831" s="137">
        <v>0</v>
      </c>
      <c r="AV831" s="137">
        <v>0.0869565217391304</v>
      </c>
      <c r="AW831" s="93"/>
      <c r="AX831" s="91"/>
    </row>
    <row r="832" ht="14.5" spans="1:50">
      <c r="A832" s="89"/>
      <c r="B832" s="93"/>
      <c r="C832" s="148" t="s">
        <v>664</v>
      </c>
      <c r="D832" s="126" t="s">
        <v>665</v>
      </c>
      <c r="E832" s="171" t="s">
        <v>855</v>
      </c>
      <c r="F832" s="171" t="s">
        <v>855</v>
      </c>
      <c r="G832" s="171" t="s">
        <v>855</v>
      </c>
      <c r="H832" s="171" t="s">
        <v>855</v>
      </c>
      <c r="I832" s="128">
        <v>0.9</v>
      </c>
      <c r="J832" s="129">
        <v>0.886363636363636</v>
      </c>
      <c r="K832" s="129">
        <v>0.837837837837838</v>
      </c>
      <c r="L832" s="130">
        <v>0.902439024390244</v>
      </c>
      <c r="M832" s="129">
        <v>0.918489065606362</v>
      </c>
      <c r="N832" s="131">
        <v>0.9</v>
      </c>
      <c r="O832" s="129">
        <v>0.903681788297173</v>
      </c>
      <c r="P832" s="129">
        <v>0.951289398280802</v>
      </c>
      <c r="Q832" s="129">
        <v>0.939468302658487</v>
      </c>
      <c r="R832" s="129">
        <v>0.902379674360351</v>
      </c>
      <c r="S832" s="131">
        <v>0.9</v>
      </c>
      <c r="T832" s="129">
        <v>0.862261669953978</v>
      </c>
      <c r="U832" s="129">
        <v>0.930276981852913</v>
      </c>
      <c r="V832" s="129">
        <v>0.916973415132924</v>
      </c>
      <c r="W832" s="129">
        <v>0.903524780819467</v>
      </c>
      <c r="X832" s="131">
        <v>0.92</v>
      </c>
      <c r="Y832" s="131">
        <v>0.870424597364568</v>
      </c>
      <c r="Z832" s="131">
        <v>0.841032608695652</v>
      </c>
      <c r="AA832" s="131">
        <v>0.901800327332242</v>
      </c>
      <c r="AB832" s="131">
        <v>0.873629766867377</v>
      </c>
      <c r="AC832" s="131">
        <v>0.92</v>
      </c>
      <c r="AD832" s="129">
        <v>0.988588588588589</v>
      </c>
      <c r="AE832" s="129">
        <v>0.972222222222222</v>
      </c>
      <c r="AF832" s="129">
        <v>0.951787198669992</v>
      </c>
      <c r="AG832" s="129">
        <v>0.975706889685384</v>
      </c>
      <c r="AH832" s="131">
        <v>0.92</v>
      </c>
      <c r="AI832" s="129">
        <v>0.9324569356301</v>
      </c>
      <c r="AJ832" s="129">
        <v>0.914750420639372</v>
      </c>
      <c r="AK832" s="129">
        <v>0.949291166848419</v>
      </c>
      <c r="AL832" s="129">
        <v>0.935373568131304</v>
      </c>
      <c r="AM832" s="128">
        <v>0.99</v>
      </c>
      <c r="AN832" s="133">
        <v>1</v>
      </c>
      <c r="AO832" s="133">
        <v>1</v>
      </c>
      <c r="AP832" s="133">
        <v>1</v>
      </c>
      <c r="AQ832" s="133">
        <v>1</v>
      </c>
      <c r="AR832" s="153">
        <v>0.0810595228934205</v>
      </c>
      <c r="AS832" s="137">
        <v>0.0384615384615385</v>
      </c>
      <c r="AT832" s="137">
        <v>0</v>
      </c>
      <c r="AU832" s="137">
        <v>0</v>
      </c>
      <c r="AV832" s="137">
        <v>0.0201005025125628</v>
      </c>
      <c r="AW832" s="93"/>
      <c r="AX832" s="91"/>
    </row>
    <row r="833" ht="14.5" spans="1:50">
      <c r="A833" s="89"/>
      <c r="B833" s="93"/>
      <c r="C833" s="148" t="s">
        <v>664</v>
      </c>
      <c r="D833" s="126" t="s">
        <v>665</v>
      </c>
      <c r="E833" s="171" t="s">
        <v>856</v>
      </c>
      <c r="F833" s="171" t="s">
        <v>856</v>
      </c>
      <c r="G833" s="171" t="s">
        <v>856</v>
      </c>
      <c r="H833" s="171" t="s">
        <v>856</v>
      </c>
      <c r="I833" s="128">
        <v>0.9</v>
      </c>
      <c r="J833" s="129">
        <v>0.96078431372549</v>
      </c>
      <c r="K833" s="129">
        <v>0.932432432432432</v>
      </c>
      <c r="L833" s="130">
        <v>0.923076923076923</v>
      </c>
      <c r="M833" s="129">
        <v>0.94256120527307</v>
      </c>
      <c r="N833" s="131">
        <v>0.9</v>
      </c>
      <c r="O833" s="129">
        <v>0.951807228915663</v>
      </c>
      <c r="P833" s="129">
        <v>0.961408586589484</v>
      </c>
      <c r="Q833" s="129">
        <v>0.961801596351197</v>
      </c>
      <c r="R833" s="129">
        <v>0.918717479960624</v>
      </c>
      <c r="S833" s="131">
        <v>0.9</v>
      </c>
      <c r="T833" s="129">
        <v>0.913809082483781</v>
      </c>
      <c r="U833" s="129">
        <v>0.917269657501206</v>
      </c>
      <c r="V833" s="129">
        <v>0.92018244013683</v>
      </c>
      <c r="W833" s="129">
        <v>0.917592462382225</v>
      </c>
      <c r="X833" s="131">
        <v>0.92</v>
      </c>
      <c r="Y833" s="131">
        <v>0.929433051869723</v>
      </c>
      <c r="Z833" s="131">
        <v>0.93640350877193</v>
      </c>
      <c r="AA833" s="131">
        <v>0.948640483383686</v>
      </c>
      <c r="AB833" s="131">
        <v>0.928019289412098</v>
      </c>
      <c r="AC833" s="131">
        <v>0.92</v>
      </c>
      <c r="AD833" s="129">
        <v>0.990800681431005</v>
      </c>
      <c r="AE833" s="129">
        <v>0.989493283681341</v>
      </c>
      <c r="AF833" s="129">
        <v>0.988631154304575</v>
      </c>
      <c r="AG833" s="129">
        <v>0.988613710704227</v>
      </c>
      <c r="AH833" s="131">
        <v>0.92</v>
      </c>
      <c r="AI833" s="129">
        <v>0.961228257700904</v>
      </c>
      <c r="AJ833" s="129">
        <v>0.962284678150499</v>
      </c>
      <c r="AK833" s="129">
        <v>0.975530586766542</v>
      </c>
      <c r="AL833" s="129">
        <v>0.965754389005014</v>
      </c>
      <c r="AM833" s="128">
        <v>0.99</v>
      </c>
      <c r="AN833" s="133">
        <v>1</v>
      </c>
      <c r="AO833" s="133">
        <v>1</v>
      </c>
      <c r="AP833" s="133">
        <v>1</v>
      </c>
      <c r="AQ833" s="133">
        <v>1</v>
      </c>
      <c r="AR833" s="153">
        <v>0.0810595228934205</v>
      </c>
      <c r="AS833" s="137">
        <v>0.0217391304347826</v>
      </c>
      <c r="AT833" s="137">
        <v>0.0384615384615385</v>
      </c>
      <c r="AU833" s="137">
        <v>0.0810810810810811</v>
      </c>
      <c r="AV833" s="137">
        <v>0.0542005420054201</v>
      </c>
      <c r="AW833" s="93"/>
      <c r="AX833" s="91"/>
    </row>
    <row r="834" ht="14.5" spans="1:50">
      <c r="A834" s="89"/>
      <c r="B834" s="93"/>
      <c r="C834" s="148" t="s">
        <v>664</v>
      </c>
      <c r="D834" s="126" t="s">
        <v>665</v>
      </c>
      <c r="E834" s="171" t="s">
        <v>857</v>
      </c>
      <c r="F834" s="171" t="s">
        <v>857</v>
      </c>
      <c r="G834" s="171" t="s">
        <v>857</v>
      </c>
      <c r="H834" s="171" t="s">
        <v>857</v>
      </c>
      <c r="I834" s="128">
        <v>0.9</v>
      </c>
      <c r="J834" s="129">
        <v>0.981132075471698</v>
      </c>
      <c r="K834" s="129">
        <v>0.95</v>
      </c>
      <c r="L834" s="130">
        <v>0.96</v>
      </c>
      <c r="M834" s="129">
        <v>0.970940170940171</v>
      </c>
      <c r="N834" s="131">
        <v>0.9</v>
      </c>
      <c r="O834" s="129">
        <v>0.865483418963101</v>
      </c>
      <c r="P834" s="129">
        <v>0.942772203641769</v>
      </c>
      <c r="Q834" s="129">
        <v>0.916147779161478</v>
      </c>
      <c r="R834" s="129">
        <v>0.910993692905914</v>
      </c>
      <c r="S834" s="131">
        <v>0.9</v>
      </c>
      <c r="T834" s="129">
        <v>0.796512533084229</v>
      </c>
      <c r="U834" s="129">
        <v>0.871794871794872</v>
      </c>
      <c r="V834" s="129">
        <v>0.86986301369863</v>
      </c>
      <c r="W834" s="129">
        <v>0.867364974232079</v>
      </c>
      <c r="X834" s="131">
        <v>0.92</v>
      </c>
      <c r="Y834" s="131">
        <v>0.907374100719424</v>
      </c>
      <c r="Z834" s="131">
        <v>0.914675767918089</v>
      </c>
      <c r="AA834" s="131">
        <v>0.928675400291121</v>
      </c>
      <c r="AB834" s="131">
        <v>0.921340782122905</v>
      </c>
      <c r="AC834" s="131">
        <v>0.92</v>
      </c>
      <c r="AD834" s="129">
        <v>0.989983305509182</v>
      </c>
      <c r="AE834" s="129">
        <v>0.998275862068966</v>
      </c>
      <c r="AF834" s="129">
        <v>0.982222222222222</v>
      </c>
      <c r="AG834" s="129">
        <v>0.992883180003472</v>
      </c>
      <c r="AH834" s="131">
        <v>0.92</v>
      </c>
      <c r="AI834" s="129">
        <v>0.959124087591241</v>
      </c>
      <c r="AJ834" s="129">
        <v>0.957703081232493</v>
      </c>
      <c r="AK834" s="129">
        <v>0.972570390554042</v>
      </c>
      <c r="AL834" s="129">
        <v>0.967417826898235</v>
      </c>
      <c r="AM834" s="128">
        <v>0.99</v>
      </c>
      <c r="AN834" s="133">
        <v>1</v>
      </c>
      <c r="AO834" s="133">
        <v>1</v>
      </c>
      <c r="AP834" s="133">
        <v>1</v>
      </c>
      <c r="AQ834" s="133">
        <v>1</v>
      </c>
      <c r="AR834" s="153">
        <v>0.0810595228934205</v>
      </c>
      <c r="AS834" s="137">
        <v>0.0285714285714286</v>
      </c>
      <c r="AT834" s="137">
        <v>0.153846153846154</v>
      </c>
      <c r="AU834" s="137">
        <v>0.0476190476190476</v>
      </c>
      <c r="AV834" s="137">
        <v>0.0892018779342723</v>
      </c>
      <c r="AW834" s="93"/>
      <c r="AX834" s="91"/>
    </row>
    <row r="835" ht="14.5" spans="1:50">
      <c r="A835" s="89"/>
      <c r="B835" s="93"/>
      <c r="C835" s="148" t="s">
        <v>664</v>
      </c>
      <c r="D835" s="126" t="s">
        <v>665</v>
      </c>
      <c r="E835" s="171" t="s">
        <v>858</v>
      </c>
      <c r="F835" s="171" t="s">
        <v>858</v>
      </c>
      <c r="G835" s="171" t="s">
        <v>858</v>
      </c>
      <c r="H835" s="171" t="s">
        <v>858</v>
      </c>
      <c r="I835" s="128">
        <v>0.9</v>
      </c>
      <c r="J835" s="129">
        <v>0.92</v>
      </c>
      <c r="K835" s="129">
        <v>1</v>
      </c>
      <c r="L835" s="130">
        <v>0.952380952380952</v>
      </c>
      <c r="M835" s="129">
        <v>0.954716981132075</v>
      </c>
      <c r="N835" s="131">
        <v>0.9</v>
      </c>
      <c r="O835" s="129">
        <v>0.988405797101449</v>
      </c>
      <c r="P835" s="129">
        <v>0.988403211418377</v>
      </c>
      <c r="Q835" s="129">
        <v>0.993460764587525</v>
      </c>
      <c r="R835" s="129">
        <v>0.991810544978682</v>
      </c>
      <c r="S835" s="131">
        <v>0.9</v>
      </c>
      <c r="T835" s="129">
        <v>0.939958592132505</v>
      </c>
      <c r="U835" s="129">
        <v>0.95628902765388</v>
      </c>
      <c r="V835" s="129">
        <v>0.925553319919517</v>
      </c>
      <c r="W835" s="129">
        <v>0.954409219468952</v>
      </c>
      <c r="X835" s="131">
        <v>0.92</v>
      </c>
      <c r="Y835" s="131">
        <v>0.951219512195122</v>
      </c>
      <c r="Z835" s="131">
        <v>0.946666666666667</v>
      </c>
      <c r="AA835" s="131">
        <v>0.96734693877551</v>
      </c>
      <c r="AB835" s="131">
        <v>0.958187213380092</v>
      </c>
      <c r="AC835" s="131">
        <v>0.92</v>
      </c>
      <c r="AD835" s="129">
        <v>0.987730061349693</v>
      </c>
      <c r="AE835" s="129">
        <v>0.992063492063492</v>
      </c>
      <c r="AF835" s="129">
        <v>0.927272727272727</v>
      </c>
      <c r="AG835" s="129">
        <v>0.98868778280543</v>
      </c>
      <c r="AH835" s="131">
        <v>0.92</v>
      </c>
      <c r="AI835" s="129">
        <v>0.969470827679783</v>
      </c>
      <c r="AJ835" s="129">
        <v>0.972554539057002</v>
      </c>
      <c r="AK835" s="129">
        <v>0.983878190774742</v>
      </c>
      <c r="AL835" s="129">
        <v>0.982771207475544</v>
      </c>
      <c r="AM835" s="128">
        <v>0.99</v>
      </c>
      <c r="AN835" s="133">
        <v>1</v>
      </c>
      <c r="AO835" s="133">
        <v>1</v>
      </c>
      <c r="AP835" s="133">
        <v>1</v>
      </c>
      <c r="AQ835" s="133">
        <v>1</v>
      </c>
      <c r="AR835" s="153">
        <v>0.0810595228934205</v>
      </c>
      <c r="AS835" s="137">
        <v>0</v>
      </c>
      <c r="AT835" s="137">
        <v>0</v>
      </c>
      <c r="AU835" s="137">
        <v>0</v>
      </c>
      <c r="AV835" s="137">
        <v>0.0655737704918033</v>
      </c>
      <c r="AW835" s="93"/>
      <c r="AX835" s="91"/>
    </row>
    <row r="836" ht="14.5" spans="1:50">
      <c r="A836" s="89"/>
      <c r="B836" s="93"/>
      <c r="C836" s="148" t="s">
        <v>664</v>
      </c>
      <c r="D836" s="126" t="s">
        <v>665</v>
      </c>
      <c r="E836" s="171" t="s">
        <v>859</v>
      </c>
      <c r="F836" s="171" t="s">
        <v>859</v>
      </c>
      <c r="G836" s="171" t="s">
        <v>859</v>
      </c>
      <c r="H836" s="171" t="s">
        <v>859</v>
      </c>
      <c r="I836" s="128">
        <v>0.9</v>
      </c>
      <c r="J836" s="129">
        <v>1</v>
      </c>
      <c r="K836" s="129">
        <v>0.918918918918919</v>
      </c>
      <c r="L836" s="130">
        <v>0.978260869565217</v>
      </c>
      <c r="M836" s="129">
        <v>0.944237918215613</v>
      </c>
      <c r="N836" s="131">
        <v>0.9</v>
      </c>
      <c r="O836" s="129">
        <v>0.967974379503603</v>
      </c>
      <c r="P836" s="129">
        <v>0.983378256963163</v>
      </c>
      <c r="Q836" s="129">
        <v>0.976582604220278</v>
      </c>
      <c r="R836" s="129">
        <v>0.973990575625982</v>
      </c>
      <c r="S836" s="131">
        <v>0.9</v>
      </c>
      <c r="T836" s="129">
        <v>0.931345076060849</v>
      </c>
      <c r="U836" s="129">
        <v>0.937556154537287</v>
      </c>
      <c r="V836" s="129">
        <v>0.937467833247555</v>
      </c>
      <c r="W836" s="129">
        <v>0.933936986048231</v>
      </c>
      <c r="X836" s="131">
        <v>0.92</v>
      </c>
      <c r="Y836" s="131">
        <v>0.942028985507246</v>
      </c>
      <c r="Z836" s="131">
        <v>0.924242424242424</v>
      </c>
      <c r="AA836" s="131">
        <v>0.953571428571429</v>
      </c>
      <c r="AB836" s="131">
        <v>0.939245334423103</v>
      </c>
      <c r="AC836" s="131">
        <v>0.92</v>
      </c>
      <c r="AD836" s="129">
        <v>0.995438996579247</v>
      </c>
      <c r="AE836" s="129">
        <v>0.990963077717532</v>
      </c>
      <c r="AF836" s="129">
        <v>0.998714652956298</v>
      </c>
      <c r="AG836" s="129">
        <v>0.994935051510871</v>
      </c>
      <c r="AH836" s="131">
        <v>0.92</v>
      </c>
      <c r="AI836" s="129">
        <v>0.975733921601901</v>
      </c>
      <c r="AJ836" s="129">
        <v>0.963963963963964</v>
      </c>
      <c r="AK836" s="129">
        <v>0.984030589293747</v>
      </c>
      <c r="AL836" s="129">
        <v>0.977821664856325</v>
      </c>
      <c r="AM836" s="128">
        <v>0.99</v>
      </c>
      <c r="AN836" s="133">
        <v>1</v>
      </c>
      <c r="AO836" s="133">
        <v>1</v>
      </c>
      <c r="AP836" s="133">
        <v>1</v>
      </c>
      <c r="AQ836" s="133">
        <v>1</v>
      </c>
      <c r="AR836" s="153">
        <v>0.0810595228934205</v>
      </c>
      <c r="AS836" s="137">
        <v>0.04</v>
      </c>
      <c r="AT836" s="137">
        <v>0</v>
      </c>
      <c r="AU836" s="137">
        <v>0.0714285714285714</v>
      </c>
      <c r="AV836" s="137">
        <v>0.0489130434782609</v>
      </c>
      <c r="AW836" s="93"/>
      <c r="AX836" s="91"/>
    </row>
    <row r="837" ht="14.5" spans="1:50">
      <c r="A837" s="89"/>
      <c r="B837" s="93"/>
      <c r="C837" s="148" t="s">
        <v>664</v>
      </c>
      <c r="D837" s="126" t="s">
        <v>665</v>
      </c>
      <c r="E837" s="171" t="s">
        <v>860</v>
      </c>
      <c r="F837" s="171" t="s">
        <v>860</v>
      </c>
      <c r="G837" s="171" t="s">
        <v>860</v>
      </c>
      <c r="H837" s="171" t="s">
        <v>860</v>
      </c>
      <c r="I837" s="128">
        <v>0.9</v>
      </c>
      <c r="J837" s="129">
        <v>0.896551724137931</v>
      </c>
      <c r="K837" s="129">
        <v>0.875</v>
      </c>
      <c r="L837" s="130">
        <v>0.872727272727273</v>
      </c>
      <c r="M837" s="129">
        <v>0.863275039745628</v>
      </c>
      <c r="N837" s="131">
        <v>0.9</v>
      </c>
      <c r="O837" s="129">
        <v>0.838540187446748</v>
      </c>
      <c r="P837" s="129">
        <v>0.904210864673738</v>
      </c>
      <c r="Q837" s="129">
        <v>0.919807538091419</v>
      </c>
      <c r="R837" s="129">
        <v>0.892035200654896</v>
      </c>
      <c r="S837" s="131">
        <v>0.9</v>
      </c>
      <c r="T837" s="129">
        <v>0.784578244816813</v>
      </c>
      <c r="U837" s="129">
        <v>0.857280617164899</v>
      </c>
      <c r="V837" s="129">
        <v>0.88392141138733</v>
      </c>
      <c r="W837" s="129">
        <v>0.864946324582783</v>
      </c>
      <c r="X837" s="131">
        <v>0.92</v>
      </c>
      <c r="Y837" s="131">
        <v>0.898240244835501</v>
      </c>
      <c r="Z837" s="131">
        <v>0.851153039832285</v>
      </c>
      <c r="AA837" s="131">
        <v>0.909887359198999</v>
      </c>
      <c r="AB837" s="131">
        <v>0.884713647008729</v>
      </c>
      <c r="AC837" s="131">
        <v>0.92</v>
      </c>
      <c r="AD837" s="129">
        <v>0.991463935125907</v>
      </c>
      <c r="AE837" s="129">
        <v>0.993759750390016</v>
      </c>
      <c r="AF837" s="129">
        <v>0.972537878787879</v>
      </c>
      <c r="AG837" s="129">
        <v>0.9882487676144</v>
      </c>
      <c r="AH837" s="131">
        <v>0.92</v>
      </c>
      <c r="AI837" s="129">
        <v>0.960479041916168</v>
      </c>
      <c r="AJ837" s="129">
        <v>0.938007380073801</v>
      </c>
      <c r="AK837" s="129">
        <v>0.971660618627959</v>
      </c>
      <c r="AL837" s="129">
        <v>0.963877363570139</v>
      </c>
      <c r="AM837" s="128">
        <v>0.99</v>
      </c>
      <c r="AN837" s="133">
        <v>1</v>
      </c>
      <c r="AO837" s="133">
        <v>1</v>
      </c>
      <c r="AP837" s="133">
        <v>1</v>
      </c>
      <c r="AQ837" s="133">
        <v>1</v>
      </c>
      <c r="AR837" s="153">
        <v>0.0810595228934205</v>
      </c>
      <c r="AS837" s="137">
        <v>0</v>
      </c>
      <c r="AT837" s="137">
        <v>0.0588235294117647</v>
      </c>
      <c r="AU837" s="137">
        <v>0.05</v>
      </c>
      <c r="AV837" s="137">
        <v>0.0576923076923077</v>
      </c>
      <c r="AW837" s="93"/>
      <c r="AX837" s="91"/>
    </row>
    <row r="838" ht="14.5" spans="1:50">
      <c r="A838" s="89"/>
      <c r="B838" s="93"/>
      <c r="C838" s="148" t="s">
        <v>664</v>
      </c>
      <c r="D838" s="126" t="s">
        <v>665</v>
      </c>
      <c r="E838" s="171" t="s">
        <v>861</v>
      </c>
      <c r="F838" s="171" t="s">
        <v>861</v>
      </c>
      <c r="G838" s="171" t="s">
        <v>861</v>
      </c>
      <c r="H838" s="171" t="s">
        <v>861</v>
      </c>
      <c r="I838" s="128">
        <v>0.9</v>
      </c>
      <c r="J838" s="129">
        <v>0.821428571428571</v>
      </c>
      <c r="K838" s="129">
        <v>0.795454545454545</v>
      </c>
      <c r="L838" s="130">
        <v>0.857142857142857</v>
      </c>
      <c r="M838" s="129">
        <v>0.819699499165276</v>
      </c>
      <c r="N838" s="131">
        <v>0.9</v>
      </c>
      <c r="O838" s="129">
        <v>0.963364485981308</v>
      </c>
      <c r="P838" s="129">
        <v>0.962529274004684</v>
      </c>
      <c r="Q838" s="129">
        <v>0.959663449641178</v>
      </c>
      <c r="R838" s="129">
        <v>0.95810548977395</v>
      </c>
      <c r="S838" s="131">
        <v>0.9</v>
      </c>
      <c r="T838" s="129">
        <v>0.907102803738318</v>
      </c>
      <c r="U838" s="129">
        <v>0.941451990632319</v>
      </c>
      <c r="V838" s="129">
        <v>0.934669636228656</v>
      </c>
      <c r="W838" s="129">
        <v>0.920043057050592</v>
      </c>
      <c r="X838" s="131">
        <v>0.92</v>
      </c>
      <c r="Y838" s="131">
        <v>0.919125683060109</v>
      </c>
      <c r="Z838" s="131">
        <v>0.92338177014531</v>
      </c>
      <c r="AA838" s="131">
        <v>0.923423423423423</v>
      </c>
      <c r="AB838" s="131">
        <v>0.916528186117858</v>
      </c>
      <c r="AC838" s="131">
        <v>0.92</v>
      </c>
      <c r="AD838" s="129">
        <v>0.997858672376874</v>
      </c>
      <c r="AE838" s="129">
        <v>0.998708010335917</v>
      </c>
      <c r="AF838" s="129">
        <v>1</v>
      </c>
      <c r="AG838" s="129">
        <v>0.997020262216925</v>
      </c>
      <c r="AH838" s="131">
        <v>0.92</v>
      </c>
      <c r="AI838" s="129">
        <v>0.962809257781325</v>
      </c>
      <c r="AJ838" s="129">
        <v>0.954011065006916</v>
      </c>
      <c r="AK838" s="129">
        <v>0.966659588022935</v>
      </c>
      <c r="AL838" s="129">
        <v>0.96267433077249</v>
      </c>
      <c r="AM838" s="128">
        <v>0.99</v>
      </c>
      <c r="AN838" s="133">
        <v>1</v>
      </c>
      <c r="AO838" s="133">
        <v>1</v>
      </c>
      <c r="AP838" s="133">
        <v>1</v>
      </c>
      <c r="AQ838" s="133">
        <v>1</v>
      </c>
      <c r="AR838" s="153">
        <v>0.0810595228934205</v>
      </c>
      <c r="AS838" s="137">
        <v>0</v>
      </c>
      <c r="AT838" s="137">
        <v>0</v>
      </c>
      <c r="AU838" s="137">
        <v>0.0666666666666667</v>
      </c>
      <c r="AV838" s="137">
        <v>0.031413612565445</v>
      </c>
      <c r="AW838" s="93"/>
      <c r="AX838" s="91"/>
    </row>
    <row r="839" ht="14.5" spans="1:50">
      <c r="A839" s="89"/>
      <c r="B839" s="93"/>
      <c r="C839" s="148" t="s">
        <v>664</v>
      </c>
      <c r="D839" s="126" t="s">
        <v>665</v>
      </c>
      <c r="E839" s="171" t="s">
        <v>862</v>
      </c>
      <c r="F839" s="171" t="s">
        <v>862</v>
      </c>
      <c r="G839" s="171" t="s">
        <v>862</v>
      </c>
      <c r="H839" s="171" t="s">
        <v>862</v>
      </c>
      <c r="I839" s="128">
        <v>0.9</v>
      </c>
      <c r="J839" s="129">
        <v>0.964912280701754</v>
      </c>
      <c r="K839" s="129">
        <v>1</v>
      </c>
      <c r="L839" s="130">
        <v>1</v>
      </c>
      <c r="M839" s="129">
        <v>0.981220657276995</v>
      </c>
      <c r="N839" s="131">
        <v>0.9</v>
      </c>
      <c r="O839" s="129">
        <v>0.596309485270314</v>
      </c>
      <c r="P839" s="129">
        <v>0.969359331476323</v>
      </c>
      <c r="Q839" s="129">
        <v>0.976442619407824</v>
      </c>
      <c r="R839" s="129">
        <v>0.9294500723589</v>
      </c>
      <c r="S839" s="131">
        <v>0.9</v>
      </c>
      <c r="T839" s="129">
        <v>0.837649724830042</v>
      </c>
      <c r="U839" s="129">
        <v>0.913649025069638</v>
      </c>
      <c r="V839" s="129">
        <v>0.927814998919386</v>
      </c>
      <c r="W839" s="129">
        <v>0.906938414536099</v>
      </c>
      <c r="X839" s="131">
        <v>0.92</v>
      </c>
      <c r="Y839" s="131">
        <v>0.942</v>
      </c>
      <c r="Z839" s="131">
        <v>0.929328621908127</v>
      </c>
      <c r="AA839" s="131">
        <v>0.899470899470899</v>
      </c>
      <c r="AB839" s="131">
        <v>0.914699932569117</v>
      </c>
      <c r="AC839" s="131">
        <v>0.92</v>
      </c>
      <c r="AD839" s="129">
        <v>1</v>
      </c>
      <c r="AE839" s="129">
        <v>1</v>
      </c>
      <c r="AF839" s="129">
        <v>0.943396226415094</v>
      </c>
      <c r="AG839" s="129">
        <v>0.990687482881402</v>
      </c>
      <c r="AH839" s="131">
        <v>0.92</v>
      </c>
      <c r="AI839" s="129">
        <v>0.96600677259703</v>
      </c>
      <c r="AJ839" s="129">
        <v>0.96641590542719</v>
      </c>
      <c r="AK839" s="129">
        <v>0.969533717258034</v>
      </c>
      <c r="AL839" s="129">
        <v>0.967776584317938</v>
      </c>
      <c r="AM839" s="128">
        <v>0.99</v>
      </c>
      <c r="AN839" s="133">
        <v>1</v>
      </c>
      <c r="AO839" s="133">
        <v>1</v>
      </c>
      <c r="AP839" s="133">
        <v>1</v>
      </c>
      <c r="AQ839" s="133">
        <v>1</v>
      </c>
      <c r="AR839" s="153">
        <v>0.0810595228934205</v>
      </c>
      <c r="AS839" s="137">
        <v>0</v>
      </c>
      <c r="AT839" s="137">
        <v>0</v>
      </c>
      <c r="AU839" s="137">
        <v>0</v>
      </c>
      <c r="AV839" s="137">
        <v>0.0108695652173913</v>
      </c>
      <c r="AW839" s="93"/>
      <c r="AX839" s="91"/>
    </row>
    <row r="840" ht="14.5" spans="1:50">
      <c r="A840" s="89"/>
      <c r="B840" s="93"/>
      <c r="C840" s="148" t="s">
        <v>664</v>
      </c>
      <c r="D840" s="126" t="s">
        <v>665</v>
      </c>
      <c r="E840" s="171" t="s">
        <v>863</v>
      </c>
      <c r="F840" s="171" t="s">
        <v>863</v>
      </c>
      <c r="G840" s="171" t="s">
        <v>863</v>
      </c>
      <c r="H840" s="171" t="s">
        <v>863</v>
      </c>
      <c r="I840" s="128">
        <v>0.9</v>
      </c>
      <c r="J840" s="129">
        <v>0.942857142857143</v>
      </c>
      <c r="K840" s="129">
        <v>0.962962962962963</v>
      </c>
      <c r="L840" s="130">
        <v>0.882352941176471</v>
      </c>
      <c r="M840" s="129">
        <v>0.934383202099738</v>
      </c>
      <c r="N840" s="131">
        <v>0.9</v>
      </c>
      <c r="O840" s="129">
        <v>0.897806313536651</v>
      </c>
      <c r="P840" s="129">
        <v>0.974649406688242</v>
      </c>
      <c r="Q840" s="129">
        <v>0.984018264840183</v>
      </c>
      <c r="R840" s="129">
        <v>0.954553582071761</v>
      </c>
      <c r="S840" s="131">
        <v>0.9</v>
      </c>
      <c r="T840" s="129">
        <v>0.94087747458534</v>
      </c>
      <c r="U840" s="129">
        <v>0.939590075512406</v>
      </c>
      <c r="V840" s="129">
        <v>0.961187214611872</v>
      </c>
      <c r="W840" s="129">
        <v>0.955417809035642</v>
      </c>
      <c r="X840" s="131">
        <v>0.92</v>
      </c>
      <c r="Y840" s="131">
        <v>0.932126696832579</v>
      </c>
      <c r="Z840" s="131">
        <v>0.922297297297297</v>
      </c>
      <c r="AA840" s="131">
        <v>0.951127819548872</v>
      </c>
      <c r="AB840" s="131">
        <v>0.934358974358974</v>
      </c>
      <c r="AC840" s="131">
        <v>0.92</v>
      </c>
      <c r="AD840" s="129">
        <v>0.995711222301644</v>
      </c>
      <c r="AE840" s="129">
        <v>0.989126002446649</v>
      </c>
      <c r="AF840" s="129">
        <v>0.996012759170654</v>
      </c>
      <c r="AG840" s="129">
        <v>0.991876243180968</v>
      </c>
      <c r="AH840" s="131">
        <v>0.92</v>
      </c>
      <c r="AI840" s="129">
        <v>0.965174129353234</v>
      </c>
      <c r="AJ840" s="129">
        <v>0.960752248569092</v>
      </c>
      <c r="AK840" s="129">
        <v>0.983606557377049</v>
      </c>
      <c r="AL840" s="129">
        <v>0.975934041446929</v>
      </c>
      <c r="AM840" s="128">
        <v>0.99</v>
      </c>
      <c r="AN840" s="133">
        <v>1</v>
      </c>
      <c r="AO840" s="133">
        <v>1</v>
      </c>
      <c r="AP840" s="133">
        <v>1</v>
      </c>
      <c r="AQ840" s="133">
        <v>1</v>
      </c>
      <c r="AR840" s="153">
        <v>0.0810595228934205</v>
      </c>
      <c r="AS840" s="137">
        <v>0</v>
      </c>
      <c r="AT840" s="137">
        <v>0</v>
      </c>
      <c r="AU840" s="137">
        <v>0.0625</v>
      </c>
      <c r="AV840" s="137">
        <v>0.0413793103448276</v>
      </c>
      <c r="AW840" s="93"/>
      <c r="AX840" s="91"/>
    </row>
    <row r="841" ht="14.5" spans="1:50">
      <c r="A841" s="89"/>
      <c r="B841" s="93"/>
      <c r="C841" s="148" t="s">
        <v>664</v>
      </c>
      <c r="D841" s="126" t="s">
        <v>665</v>
      </c>
      <c r="E841" s="171" t="s">
        <v>864</v>
      </c>
      <c r="F841" s="171" t="s">
        <v>864</v>
      </c>
      <c r="G841" s="171" t="s">
        <v>864</v>
      </c>
      <c r="H841" s="171" t="s">
        <v>864</v>
      </c>
      <c r="I841" s="128">
        <v>0.9</v>
      </c>
      <c r="J841" s="129">
        <v>0.928571428571429</v>
      </c>
      <c r="K841" s="129">
        <v>0.846153846153846</v>
      </c>
      <c r="L841" s="130">
        <v>0.851851851851852</v>
      </c>
      <c r="M841" s="129">
        <v>0.922818791946309</v>
      </c>
      <c r="N841" s="131">
        <v>0.9</v>
      </c>
      <c r="O841" s="129">
        <v>0.938581009530533</v>
      </c>
      <c r="P841" s="129">
        <v>0.978998384491115</v>
      </c>
      <c r="Q841" s="129">
        <v>0.974510696404188</v>
      </c>
      <c r="R841" s="129">
        <v>0.960673691197212</v>
      </c>
      <c r="S841" s="131">
        <v>0.9</v>
      </c>
      <c r="T841" s="129">
        <v>0.901164842922697</v>
      </c>
      <c r="U841" s="129">
        <v>0.94264943457189</v>
      </c>
      <c r="V841" s="129">
        <v>0.956759217114247</v>
      </c>
      <c r="W841" s="129">
        <v>0.932008628557206</v>
      </c>
      <c r="X841" s="131">
        <v>0.92</v>
      </c>
      <c r="Y841" s="131">
        <v>0.954365079365079</v>
      </c>
      <c r="Z841" s="131">
        <v>0.932773109243697</v>
      </c>
      <c r="AA841" s="131">
        <v>0.966966966966967</v>
      </c>
      <c r="AB841" s="131">
        <v>0.94853450265405</v>
      </c>
      <c r="AC841" s="131">
        <v>0.92</v>
      </c>
      <c r="AD841" s="129">
        <v>1</v>
      </c>
      <c r="AE841" s="129">
        <v>0.998976458546571</v>
      </c>
      <c r="AF841" s="129">
        <v>0.994285714285714</v>
      </c>
      <c r="AG841" s="129">
        <v>0.995029431000654</v>
      </c>
      <c r="AH841" s="131">
        <v>0.92</v>
      </c>
      <c r="AI841" s="129">
        <v>0.981120767156128</v>
      </c>
      <c r="AJ841" s="129">
        <v>0.976802507836991</v>
      </c>
      <c r="AK841" s="129">
        <v>0.990909090909091</v>
      </c>
      <c r="AL841" s="129">
        <v>0.983509142053446</v>
      </c>
      <c r="AM841" s="128">
        <v>0.99</v>
      </c>
      <c r="AN841" s="133">
        <v>1</v>
      </c>
      <c r="AO841" s="133">
        <v>1</v>
      </c>
      <c r="AP841" s="133">
        <v>1</v>
      </c>
      <c r="AQ841" s="133">
        <v>1</v>
      </c>
      <c r="AR841" s="153">
        <v>0.0810595228934205</v>
      </c>
      <c r="AS841" s="137">
        <v>0</v>
      </c>
      <c r="AT841" s="137">
        <v>0</v>
      </c>
      <c r="AU841" s="137">
        <v>0</v>
      </c>
      <c r="AV841" s="137">
        <v>-0.0113636363636364</v>
      </c>
      <c r="AW841" s="93"/>
      <c r="AX841" s="91"/>
    </row>
    <row r="842" ht="14.5" spans="1:50">
      <c r="A842" s="89"/>
      <c r="B842" s="93"/>
      <c r="C842" s="148" t="s">
        <v>664</v>
      </c>
      <c r="D842" s="126" t="s">
        <v>665</v>
      </c>
      <c r="E842" s="171" t="s">
        <v>865</v>
      </c>
      <c r="F842" s="171" t="s">
        <v>865</v>
      </c>
      <c r="G842" s="171" t="s">
        <v>865</v>
      </c>
      <c r="H842" s="171" t="s">
        <v>865</v>
      </c>
      <c r="I842" s="128">
        <v>0.9</v>
      </c>
      <c r="J842" s="129">
        <v>1</v>
      </c>
      <c r="K842" s="129">
        <v>0.9375</v>
      </c>
      <c r="L842" s="130">
        <v>1</v>
      </c>
      <c r="M842" s="129">
        <v>0.979423868312757</v>
      </c>
      <c r="N842" s="131">
        <v>0.9</v>
      </c>
      <c r="O842" s="129">
        <v>0.936922458818803</v>
      </c>
      <c r="P842" s="129">
        <v>0.978927203065134</v>
      </c>
      <c r="Q842" s="129">
        <v>0.966137566137566</v>
      </c>
      <c r="R842" s="129">
        <v>0.95869174780225</v>
      </c>
      <c r="S842" s="131">
        <v>0.9</v>
      </c>
      <c r="T842" s="129">
        <v>0.912414624347127</v>
      </c>
      <c r="U842" s="129">
        <v>0.939655172413793</v>
      </c>
      <c r="V842" s="129">
        <v>0.916402116402116</v>
      </c>
      <c r="W842" s="129">
        <v>0.924709329804329</v>
      </c>
      <c r="X842" s="131">
        <v>0.92</v>
      </c>
      <c r="Y842" s="131">
        <v>0.952267303102625</v>
      </c>
      <c r="Z842" s="131">
        <v>0.943396226415094</v>
      </c>
      <c r="AA842" s="131">
        <v>0.937956204379562</v>
      </c>
      <c r="AB842" s="131">
        <v>0.94211123723042</v>
      </c>
      <c r="AC842" s="131">
        <v>0.92</v>
      </c>
      <c r="AD842" s="129">
        <v>0.998058252427184</v>
      </c>
      <c r="AE842" s="129">
        <v>1</v>
      </c>
      <c r="AF842" s="129">
        <v>0.997674418604651</v>
      </c>
      <c r="AG842" s="129">
        <v>0.997668221185876</v>
      </c>
      <c r="AH842" s="131">
        <v>0.92</v>
      </c>
      <c r="AI842" s="129">
        <v>0.973865199449794</v>
      </c>
      <c r="AJ842" s="129">
        <v>0.966226138032305</v>
      </c>
      <c r="AK842" s="129">
        <v>0.970425138632163</v>
      </c>
      <c r="AL842" s="129">
        <v>0.971679766631553</v>
      </c>
      <c r="AM842" s="128">
        <v>0.99</v>
      </c>
      <c r="AN842" s="133">
        <v>1</v>
      </c>
      <c r="AO842" s="133">
        <v>1</v>
      </c>
      <c r="AP842" s="133">
        <v>1</v>
      </c>
      <c r="AQ842" s="133">
        <v>1</v>
      </c>
      <c r="AR842" s="153">
        <v>0.0810595228934205</v>
      </c>
      <c r="AS842" s="137">
        <v>0</v>
      </c>
      <c r="AT842" s="137">
        <v>0.5</v>
      </c>
      <c r="AU842" s="137">
        <v>0</v>
      </c>
      <c r="AV842" s="137">
        <v>0.0394736842105263</v>
      </c>
      <c r="AW842" s="93"/>
      <c r="AX842" s="91"/>
    </row>
    <row r="843" ht="14.5" spans="1:50">
      <c r="A843" s="89"/>
      <c r="B843" s="93"/>
      <c r="C843" s="148" t="s">
        <v>664</v>
      </c>
      <c r="D843" s="126" t="s">
        <v>665</v>
      </c>
      <c r="E843" s="171" t="s">
        <v>866</v>
      </c>
      <c r="F843" s="171" t="s">
        <v>866</v>
      </c>
      <c r="G843" s="171" t="s">
        <v>866</v>
      </c>
      <c r="H843" s="171" t="s">
        <v>866</v>
      </c>
      <c r="I843" s="128">
        <v>0.9</v>
      </c>
      <c r="J843" s="129">
        <v>0.941176470588235</v>
      </c>
      <c r="K843" s="129">
        <v>0.846153846153846</v>
      </c>
      <c r="L843" s="130">
        <v>0.933333333333333</v>
      </c>
      <c r="M843" s="129">
        <v>0.855614973262032</v>
      </c>
      <c r="N843" s="131">
        <v>0.9</v>
      </c>
      <c r="O843" s="129">
        <v>0.956367924528302</v>
      </c>
      <c r="P843" s="129">
        <v>0.952506596306069</v>
      </c>
      <c r="Q843" s="129">
        <v>0.974634896233666</v>
      </c>
      <c r="R843" s="129">
        <v>0.931576179834363</v>
      </c>
      <c r="S843" s="131">
        <v>0.9</v>
      </c>
      <c r="T843" s="129">
        <v>0.698702830188679</v>
      </c>
      <c r="U843" s="129">
        <v>0.54221635883905</v>
      </c>
      <c r="V843" s="129">
        <v>0.688700999231361</v>
      </c>
      <c r="W843" s="129">
        <v>0.687261732614697</v>
      </c>
      <c r="X843" s="131">
        <v>0.92</v>
      </c>
      <c r="Y843" s="131">
        <v>0.880952380952381</v>
      </c>
      <c r="Z843" s="131">
        <v>0.89237668161435</v>
      </c>
      <c r="AA843" s="131">
        <v>0.642458100558659</v>
      </c>
      <c r="AB843" s="131">
        <v>0.72671568627451</v>
      </c>
      <c r="AC843" s="131">
        <v>0.92</v>
      </c>
      <c r="AD843" s="129">
        <v>0.857142857142857</v>
      </c>
      <c r="AE843" s="129">
        <v>0.96078431372549</v>
      </c>
      <c r="AF843" s="129">
        <v>0.9</v>
      </c>
      <c r="AG843" s="129">
        <v>0.95840554592721</v>
      </c>
      <c r="AH843" s="131">
        <v>0.92</v>
      </c>
      <c r="AI843" s="129">
        <v>0.951279527559055</v>
      </c>
      <c r="AJ843" s="129">
        <v>0.922528032619776</v>
      </c>
      <c r="AK843" s="129">
        <v>0.933108108108108</v>
      </c>
      <c r="AL843" s="129">
        <v>0.934775223643981</v>
      </c>
      <c r="AM843" s="128">
        <v>0.99</v>
      </c>
      <c r="AN843" s="133">
        <v>1</v>
      </c>
      <c r="AO843" s="133">
        <v>1</v>
      </c>
      <c r="AP843" s="133" t="s">
        <v>33</v>
      </c>
      <c r="AQ843" s="133">
        <v>1</v>
      </c>
      <c r="AR843" s="153">
        <v>0.0810595228934205</v>
      </c>
      <c r="AS843" s="137">
        <v>0.333333333333333</v>
      </c>
      <c r="AT843" s="137">
        <v>0</v>
      </c>
      <c r="AU843" s="137">
        <v>0</v>
      </c>
      <c r="AV843" s="137">
        <v>0.0886075949367089</v>
      </c>
      <c r="AW843" s="93"/>
      <c r="AX843" s="91"/>
    </row>
    <row r="844" ht="14.5" spans="1:50">
      <c r="A844" s="89"/>
      <c r="B844" s="93"/>
      <c r="C844" s="148" t="s">
        <v>664</v>
      </c>
      <c r="D844" s="126" t="s">
        <v>665</v>
      </c>
      <c r="E844" s="171" t="s">
        <v>867</v>
      </c>
      <c r="F844" s="171" t="s">
        <v>867</v>
      </c>
      <c r="G844" s="171" t="s">
        <v>867</v>
      </c>
      <c r="H844" s="171" t="s">
        <v>867</v>
      </c>
      <c r="I844" s="128">
        <v>0.9</v>
      </c>
      <c r="J844" s="129">
        <v>0.896551724137931</v>
      </c>
      <c r="K844" s="129">
        <v>0.956521739130435</v>
      </c>
      <c r="L844" s="130">
        <v>0.896551724137931</v>
      </c>
      <c r="M844" s="129">
        <v>0.913173652694611</v>
      </c>
      <c r="N844" s="131">
        <v>0.9</v>
      </c>
      <c r="O844" s="129">
        <v>0.953518821603928</v>
      </c>
      <c r="P844" s="129">
        <v>0.953752843062927</v>
      </c>
      <c r="Q844" s="129">
        <v>0.969409737182249</v>
      </c>
      <c r="R844" s="129">
        <v>0.953229480490852</v>
      </c>
      <c r="S844" s="131">
        <v>0.9</v>
      </c>
      <c r="T844" s="129">
        <v>0.903436988543372</v>
      </c>
      <c r="U844" s="129">
        <v>0.884761182714177</v>
      </c>
      <c r="V844" s="129">
        <v>0.946143903489875</v>
      </c>
      <c r="W844" s="129">
        <v>0.920457050481299</v>
      </c>
      <c r="X844" s="131">
        <v>0.92</v>
      </c>
      <c r="Y844" s="131">
        <v>0.846153846153846</v>
      </c>
      <c r="Z844" s="131">
        <v>0.840506329113924</v>
      </c>
      <c r="AA844" s="131">
        <v>0.81767955801105</v>
      </c>
      <c r="AB844" s="131">
        <v>0.822325385102342</v>
      </c>
      <c r="AC844" s="131">
        <v>0.92</v>
      </c>
      <c r="AD844" s="129">
        <v>0.994169096209913</v>
      </c>
      <c r="AE844" s="129">
        <v>0.985754985754986</v>
      </c>
      <c r="AF844" s="129">
        <v>0.99601593625498</v>
      </c>
      <c r="AG844" s="129">
        <v>0.990118577075099</v>
      </c>
      <c r="AH844" s="131">
        <v>0.92</v>
      </c>
      <c r="AI844" s="129">
        <v>0.954767063921994</v>
      </c>
      <c r="AJ844" s="129">
        <v>0.924154025670945</v>
      </c>
      <c r="AK844" s="129">
        <v>0.954901229966455</v>
      </c>
      <c r="AL844" s="129">
        <v>0.952091873454955</v>
      </c>
      <c r="AM844" s="128">
        <v>0.99</v>
      </c>
      <c r="AN844" s="133">
        <v>1</v>
      </c>
      <c r="AO844" s="133">
        <v>1</v>
      </c>
      <c r="AP844" s="133">
        <v>1</v>
      </c>
      <c r="AQ844" s="133">
        <v>1</v>
      </c>
      <c r="AR844" s="153">
        <v>0.0810595228934205</v>
      </c>
      <c r="AS844" s="137">
        <v>0.2</v>
      </c>
      <c r="AT844" s="137">
        <v>0</v>
      </c>
      <c r="AU844" s="137">
        <v>0.25</v>
      </c>
      <c r="AV844" s="137">
        <v>0.102272727272727</v>
      </c>
      <c r="AW844" s="93"/>
      <c r="AX844" s="91"/>
    </row>
    <row r="845" ht="14.5" spans="1:50">
      <c r="A845" s="89"/>
      <c r="B845" s="93"/>
      <c r="C845" s="148" t="s">
        <v>664</v>
      </c>
      <c r="D845" s="126" t="s">
        <v>665</v>
      </c>
      <c r="E845" s="171" t="s">
        <v>868</v>
      </c>
      <c r="F845" s="171" t="s">
        <v>868</v>
      </c>
      <c r="G845" s="171" t="s">
        <v>868</v>
      </c>
      <c r="H845" s="171" t="s">
        <v>868</v>
      </c>
      <c r="I845" s="128">
        <v>0.9</v>
      </c>
      <c r="J845" s="129">
        <v>0.936170212765957</v>
      </c>
      <c r="K845" s="129">
        <v>0.886363636363636</v>
      </c>
      <c r="L845" s="130">
        <v>0.869565217391304</v>
      </c>
      <c r="M845" s="129">
        <v>0.885608856088561</v>
      </c>
      <c r="N845" s="131">
        <v>0.9</v>
      </c>
      <c r="O845" s="129">
        <v>0.962831158560696</v>
      </c>
      <c r="P845" s="129">
        <v>0.9498000888494</v>
      </c>
      <c r="Q845" s="129">
        <v>0.948631781084974</v>
      </c>
      <c r="R845" s="129">
        <v>0.95111868313582</v>
      </c>
      <c r="S845" s="131">
        <v>0.9</v>
      </c>
      <c r="T845" s="129">
        <v>0.921115065243179</v>
      </c>
      <c r="U845" s="129">
        <v>0.911150599733452</v>
      </c>
      <c r="V845" s="129">
        <v>0.911665866538646</v>
      </c>
      <c r="W845" s="129">
        <v>0.917270062385689</v>
      </c>
      <c r="X845" s="131">
        <v>0.92</v>
      </c>
      <c r="Y845" s="131">
        <v>0.877397831526272</v>
      </c>
      <c r="Z845" s="131">
        <v>0.906346749226006</v>
      </c>
      <c r="AA845" s="131">
        <v>0.905405405405405</v>
      </c>
      <c r="AB845" s="131">
        <v>0.899957063117218</v>
      </c>
      <c r="AC845" s="131">
        <v>0.92</v>
      </c>
      <c r="AD845" s="129">
        <v>0.996436208125445</v>
      </c>
      <c r="AE845" s="129">
        <v>0.986377708978328</v>
      </c>
      <c r="AF845" s="129">
        <v>0.993958920660491</v>
      </c>
      <c r="AG845" s="129">
        <v>0.992550854741667</v>
      </c>
      <c r="AH845" s="131">
        <v>0.92</v>
      </c>
      <c r="AI845" s="129">
        <v>0.948562300319489</v>
      </c>
      <c r="AJ845" s="129">
        <v>0.945023963913166</v>
      </c>
      <c r="AK845" s="129">
        <v>0.945364238410596</v>
      </c>
      <c r="AL845" s="129">
        <v>0.948944174051308</v>
      </c>
      <c r="AM845" s="128">
        <v>0.99</v>
      </c>
      <c r="AN845" s="133">
        <v>1</v>
      </c>
      <c r="AO845" s="133">
        <v>1</v>
      </c>
      <c r="AP845" s="133">
        <v>1</v>
      </c>
      <c r="AQ845" s="133">
        <v>1</v>
      </c>
      <c r="AR845" s="153">
        <v>0.0810595228934205</v>
      </c>
      <c r="AS845" s="137">
        <v>0.0263157894736842</v>
      </c>
      <c r="AT845" s="137">
        <v>0.136363636363636</v>
      </c>
      <c r="AU845" s="137">
        <v>0</v>
      </c>
      <c r="AV845" s="137">
        <v>0.0385756676557863</v>
      </c>
      <c r="AW845" s="93"/>
      <c r="AX845" s="91"/>
    </row>
    <row r="846" ht="14.5" spans="1:50">
      <c r="A846" s="89"/>
      <c r="B846" s="93"/>
      <c r="C846" s="148" t="s">
        <v>664</v>
      </c>
      <c r="D846" s="126" t="s">
        <v>665</v>
      </c>
      <c r="E846" s="171" t="s">
        <v>869</v>
      </c>
      <c r="F846" s="171" t="s">
        <v>869</v>
      </c>
      <c r="G846" s="171" t="s">
        <v>869</v>
      </c>
      <c r="H846" s="171" t="s">
        <v>869</v>
      </c>
      <c r="I846" s="128">
        <v>0.9</v>
      </c>
      <c r="J846" s="129">
        <v>0.925</v>
      </c>
      <c r="K846" s="129">
        <v>0.8</v>
      </c>
      <c r="L846" s="130">
        <v>0.925</v>
      </c>
      <c r="M846" s="129">
        <v>0.863736263736264</v>
      </c>
      <c r="N846" s="131">
        <v>0.9</v>
      </c>
      <c r="O846" s="129">
        <v>0.935858585858586</v>
      </c>
      <c r="P846" s="129">
        <v>0.900831024930748</v>
      </c>
      <c r="Q846" s="129">
        <v>0.913729128014842</v>
      </c>
      <c r="R846" s="129">
        <v>0.930123804670404</v>
      </c>
      <c r="S846" s="131">
        <v>0.9</v>
      </c>
      <c r="T846" s="129">
        <v>0.871464646464646</v>
      </c>
      <c r="U846" s="129">
        <v>0.879224376731302</v>
      </c>
      <c r="V846" s="129">
        <v>0.882807668521954</v>
      </c>
      <c r="W846" s="129">
        <v>0.883389789861806</v>
      </c>
      <c r="X846" s="131">
        <v>0.92</v>
      </c>
      <c r="Y846" s="131">
        <v>0.9105098855359</v>
      </c>
      <c r="Z846" s="131">
        <v>0.932170542635659</v>
      </c>
      <c r="AA846" s="131">
        <v>0.930041152263374</v>
      </c>
      <c r="AB846" s="131">
        <v>0.918430288205892</v>
      </c>
      <c r="AC846" s="131">
        <v>0.92</v>
      </c>
      <c r="AD846" s="129">
        <v>0.998044965786901</v>
      </c>
      <c r="AE846" s="129">
        <v>0.982321291314374</v>
      </c>
      <c r="AF846" s="129">
        <v>0.983018867924528</v>
      </c>
      <c r="AG846" s="129">
        <v>0.989918971354662</v>
      </c>
      <c r="AH846" s="131">
        <v>0.92</v>
      </c>
      <c r="AI846" s="129">
        <v>0.940877691995124</v>
      </c>
      <c r="AJ846" s="129">
        <v>0.942192456820585</v>
      </c>
      <c r="AK846" s="129">
        <v>0.953775866702499</v>
      </c>
      <c r="AL846" s="129">
        <v>0.94451848214912</v>
      </c>
      <c r="AM846" s="128">
        <v>0.99</v>
      </c>
      <c r="AN846" s="133">
        <v>1</v>
      </c>
      <c r="AO846" s="133">
        <v>1</v>
      </c>
      <c r="AP846" s="133">
        <v>1</v>
      </c>
      <c r="AQ846" s="133">
        <v>1</v>
      </c>
      <c r="AR846" s="153">
        <v>0.0810595228934205</v>
      </c>
      <c r="AS846" s="137">
        <v>0</v>
      </c>
      <c r="AT846" s="137">
        <v>0</v>
      </c>
      <c r="AU846" s="137">
        <v>0.0263157894736842</v>
      </c>
      <c r="AV846" s="137">
        <v>0.0219435736677116</v>
      </c>
      <c r="AW846" s="93"/>
      <c r="AX846" s="91"/>
    </row>
    <row r="847" ht="14.5" spans="1:50">
      <c r="A847" s="89"/>
      <c r="B847" s="93"/>
      <c r="C847" s="148" t="s">
        <v>664</v>
      </c>
      <c r="D847" s="126" t="s">
        <v>665</v>
      </c>
      <c r="E847" s="171" t="s">
        <v>870</v>
      </c>
      <c r="F847" s="171" t="s">
        <v>870</v>
      </c>
      <c r="G847" s="171" t="s">
        <v>870</v>
      </c>
      <c r="H847" s="171" t="s">
        <v>870</v>
      </c>
      <c r="I847" s="128">
        <v>0.9</v>
      </c>
      <c r="J847" s="129">
        <v>0.928571428571429</v>
      </c>
      <c r="K847" s="129">
        <v>0.864864864864865</v>
      </c>
      <c r="L847" s="130">
        <v>0.897435897435897</v>
      </c>
      <c r="M847" s="129">
        <v>0.871900826446281</v>
      </c>
      <c r="N847" s="131">
        <v>0.9</v>
      </c>
      <c r="O847" s="129">
        <v>0.934169884169884</v>
      </c>
      <c r="P847" s="129">
        <v>0.931881371640408</v>
      </c>
      <c r="Q847" s="129">
        <v>0.903567035670357</v>
      </c>
      <c r="R847" s="129">
        <v>0.905624614299568</v>
      </c>
      <c r="S847" s="131">
        <v>0.9</v>
      </c>
      <c r="T847" s="129">
        <v>0.891698841698842</v>
      </c>
      <c r="U847" s="129">
        <v>0.91241890639481</v>
      </c>
      <c r="V847" s="129">
        <v>0.893480934809348</v>
      </c>
      <c r="W847" s="129">
        <v>0.90212025037468</v>
      </c>
      <c r="X847" s="131">
        <v>0.92</v>
      </c>
      <c r="Y847" s="131">
        <v>0.929401993355482</v>
      </c>
      <c r="Z847" s="131">
        <v>0.956166419019317</v>
      </c>
      <c r="AA847" s="131">
        <v>0.923728813559322</v>
      </c>
      <c r="AB847" s="131">
        <v>0.948703718385792</v>
      </c>
      <c r="AC847" s="131">
        <v>0.92</v>
      </c>
      <c r="AD847" s="129">
        <v>0.991452991452991</v>
      </c>
      <c r="AE847" s="129">
        <v>0.983888292158969</v>
      </c>
      <c r="AF847" s="129">
        <v>0.984848484848485</v>
      </c>
      <c r="AG847" s="129">
        <v>0.987446259673259</v>
      </c>
      <c r="AH847" s="131">
        <v>0.92</v>
      </c>
      <c r="AI847" s="129">
        <v>0.947211779448622</v>
      </c>
      <c r="AJ847" s="129">
        <v>0.96175799086758</v>
      </c>
      <c r="AK847" s="129">
        <v>0.941783029001074</v>
      </c>
      <c r="AL847" s="129">
        <v>0.957406449387825</v>
      </c>
      <c r="AM847" s="128">
        <v>0.99</v>
      </c>
      <c r="AN847" s="133">
        <v>1</v>
      </c>
      <c r="AO847" s="133">
        <v>1</v>
      </c>
      <c r="AP847" s="133">
        <v>1</v>
      </c>
      <c r="AQ847" s="133">
        <v>1</v>
      </c>
      <c r="AR847" s="153">
        <v>0.0810595228934205</v>
      </c>
      <c r="AS847" s="137">
        <v>0.0181818181818182</v>
      </c>
      <c r="AT847" s="137">
        <v>0</v>
      </c>
      <c r="AU847" s="137">
        <v>0.0238095238095238</v>
      </c>
      <c r="AV847" s="137">
        <v>0.0297202797202797</v>
      </c>
      <c r="AW847" s="93"/>
      <c r="AX847" s="91"/>
    </row>
    <row r="848" ht="14.5" spans="1:50">
      <c r="A848" s="89"/>
      <c r="B848" s="93"/>
      <c r="C848" s="148" t="s">
        <v>664</v>
      </c>
      <c r="D848" s="126" t="s">
        <v>665</v>
      </c>
      <c r="E848" s="171" t="s">
        <v>871</v>
      </c>
      <c r="F848" s="171" t="s">
        <v>871</v>
      </c>
      <c r="G848" s="171" t="s">
        <v>871</v>
      </c>
      <c r="H848" s="171" t="s">
        <v>871</v>
      </c>
      <c r="I848" s="128">
        <v>0.9</v>
      </c>
      <c r="J848" s="129">
        <v>1</v>
      </c>
      <c r="K848" s="129">
        <v>0.96551724137931</v>
      </c>
      <c r="L848" s="130">
        <v>0.941176470588235</v>
      </c>
      <c r="M848" s="129">
        <v>0.945454545454545</v>
      </c>
      <c r="N848" s="131">
        <v>0.9</v>
      </c>
      <c r="O848" s="129">
        <v>0.9712</v>
      </c>
      <c r="P848" s="129">
        <v>0.96262219666475</v>
      </c>
      <c r="Q848" s="129">
        <v>0.972057578323455</v>
      </c>
      <c r="R848" s="129">
        <v>0.972665898238103</v>
      </c>
      <c r="S848" s="131">
        <v>0.9</v>
      </c>
      <c r="T848" s="129">
        <v>0.941257142857143</v>
      </c>
      <c r="U848" s="129">
        <v>0.935020126509488</v>
      </c>
      <c r="V848" s="129">
        <v>0.941857183178098</v>
      </c>
      <c r="W848" s="129">
        <v>0.940337010812888</v>
      </c>
      <c r="X848" s="131">
        <v>0.92</v>
      </c>
      <c r="Y848" s="131">
        <v>0.966700302724521</v>
      </c>
      <c r="Z848" s="131">
        <v>0.98407960199005</v>
      </c>
      <c r="AA848" s="131">
        <v>0.983636363636364</v>
      </c>
      <c r="AB848" s="131">
        <v>0.978072949609952</v>
      </c>
      <c r="AC848" s="131">
        <v>0.92</v>
      </c>
      <c r="AD848" s="129">
        <v>0.999148936170213</v>
      </c>
      <c r="AE848" s="129">
        <v>0.99973725696269</v>
      </c>
      <c r="AF848" s="129">
        <v>0.999440872239307</v>
      </c>
      <c r="AG848" s="129">
        <v>0.989621172807473</v>
      </c>
      <c r="AH848" s="131">
        <v>0.92</v>
      </c>
      <c r="AI848" s="129">
        <v>0.981367616918204</v>
      </c>
      <c r="AJ848" s="129">
        <v>0.982142857142857</v>
      </c>
      <c r="AK848" s="129">
        <v>0.987298485588666</v>
      </c>
      <c r="AL848" s="129">
        <v>0.984192993533497</v>
      </c>
      <c r="AM848" s="128">
        <v>0.99</v>
      </c>
      <c r="AN848" s="133">
        <v>1</v>
      </c>
      <c r="AO848" s="133">
        <v>1</v>
      </c>
      <c r="AP848" s="133">
        <v>1</v>
      </c>
      <c r="AQ848" s="133">
        <v>1</v>
      </c>
      <c r="AR848" s="153">
        <v>0.0810595228934205</v>
      </c>
      <c r="AS848" s="137">
        <v>0.0625</v>
      </c>
      <c r="AT848" s="137">
        <v>0</v>
      </c>
      <c r="AU848" s="137">
        <v>0.0909090909090909</v>
      </c>
      <c r="AV848" s="137">
        <v>0.0620689655172414</v>
      </c>
      <c r="AW848" s="93"/>
      <c r="AX848" s="91"/>
    </row>
    <row r="849" ht="14.5" spans="1:50">
      <c r="A849" s="89"/>
      <c r="B849" s="93"/>
      <c r="C849" s="148" t="s">
        <v>664</v>
      </c>
      <c r="D849" s="126" t="s">
        <v>665</v>
      </c>
      <c r="E849" s="171" t="s">
        <v>872</v>
      </c>
      <c r="F849" s="171" t="s">
        <v>872</v>
      </c>
      <c r="G849" s="171" t="s">
        <v>872</v>
      </c>
      <c r="H849" s="171" t="s">
        <v>872</v>
      </c>
      <c r="I849" s="128">
        <v>0.9</v>
      </c>
      <c r="J849" s="129">
        <v>0.695652173913043</v>
      </c>
      <c r="K849" s="129">
        <v>0.761904761904762</v>
      </c>
      <c r="L849" s="130">
        <v>0.782608695652174</v>
      </c>
      <c r="M849" s="129">
        <v>0.744274809160305</v>
      </c>
      <c r="N849" s="131">
        <v>0.9</v>
      </c>
      <c r="O849" s="129">
        <v>0.911237785016287</v>
      </c>
      <c r="P849" s="129">
        <v>0.954819277108434</v>
      </c>
      <c r="Q849" s="129">
        <v>0.964499769479023</v>
      </c>
      <c r="R849" s="129">
        <v>0.95246993435868</v>
      </c>
      <c r="S849" s="131">
        <v>0.9</v>
      </c>
      <c r="T849" s="129">
        <v>0.888436482084691</v>
      </c>
      <c r="U849" s="129">
        <v>0.868473895582329</v>
      </c>
      <c r="V849" s="129">
        <v>0.883817427385892</v>
      </c>
      <c r="W849" s="129">
        <v>0.897704949451392</v>
      </c>
      <c r="X849" s="131">
        <v>0.92</v>
      </c>
      <c r="Y849" s="131">
        <v>0.94077834179357</v>
      </c>
      <c r="Z849" s="131">
        <v>0.9375</v>
      </c>
      <c r="AA849" s="131">
        <v>0.965986394557823</v>
      </c>
      <c r="AB849" s="131">
        <v>0.936198409693298</v>
      </c>
      <c r="AC849" s="131">
        <v>0.92</v>
      </c>
      <c r="AD849" s="129">
        <v>0.982494529540481</v>
      </c>
      <c r="AE849" s="129">
        <v>0.973025048169557</v>
      </c>
      <c r="AF849" s="129">
        <v>0.972222222222222</v>
      </c>
      <c r="AG849" s="129">
        <v>0.974202178482706</v>
      </c>
      <c r="AH849" s="131">
        <v>0.92</v>
      </c>
      <c r="AI849" s="129">
        <v>0.964555300295373</v>
      </c>
      <c r="AJ849" s="129">
        <v>0.956233421750663</v>
      </c>
      <c r="AK849" s="129">
        <v>0.969967532467532</v>
      </c>
      <c r="AL849" s="129">
        <v>0.963760082571964</v>
      </c>
      <c r="AM849" s="128">
        <v>0.99</v>
      </c>
      <c r="AN849" s="133">
        <v>1</v>
      </c>
      <c r="AO849" s="133">
        <v>1</v>
      </c>
      <c r="AP849" s="133">
        <v>1</v>
      </c>
      <c r="AQ849" s="133">
        <v>1</v>
      </c>
      <c r="AR849" s="153">
        <v>0.0810595228934205</v>
      </c>
      <c r="AS849" s="137">
        <v>0.0909090909090909</v>
      </c>
      <c r="AT849" s="137">
        <v>0.333333333333333</v>
      </c>
      <c r="AU849" s="137">
        <v>0.0588235294117647</v>
      </c>
      <c r="AV849" s="137">
        <v>0.0731707317073171</v>
      </c>
      <c r="AW849" s="93"/>
      <c r="AX849" s="91"/>
    </row>
    <row r="850" ht="14.5" spans="1:50">
      <c r="A850" s="89"/>
      <c r="B850" s="93"/>
      <c r="C850" s="148" t="s">
        <v>664</v>
      </c>
      <c r="D850" s="126" t="s">
        <v>665</v>
      </c>
      <c r="E850" s="171" t="s">
        <v>873</v>
      </c>
      <c r="F850" s="171" t="s">
        <v>873</v>
      </c>
      <c r="G850" s="171" t="s">
        <v>873</v>
      </c>
      <c r="H850" s="171" t="s">
        <v>873</v>
      </c>
      <c r="I850" s="128">
        <v>0.9</v>
      </c>
      <c r="J850" s="129">
        <v>0.935483870967742</v>
      </c>
      <c r="K850" s="129">
        <v>0.958333333333333</v>
      </c>
      <c r="L850" s="130">
        <v>1</v>
      </c>
      <c r="M850" s="129">
        <v>0.971751412429379</v>
      </c>
      <c r="N850" s="131">
        <v>0.9</v>
      </c>
      <c r="O850" s="129">
        <v>0.985791278784909</v>
      </c>
      <c r="P850" s="129">
        <v>0.963484945547726</v>
      </c>
      <c r="Q850" s="129">
        <v>0.964788732394366</v>
      </c>
      <c r="R850" s="129">
        <v>0.967357843991404</v>
      </c>
      <c r="S850" s="131">
        <v>0.9</v>
      </c>
      <c r="T850" s="129">
        <v>0.919402253797158</v>
      </c>
      <c r="U850" s="129">
        <v>0.934657270980141</v>
      </c>
      <c r="V850" s="129">
        <v>0.914268218003674</v>
      </c>
      <c r="W850" s="129">
        <v>0.926671313236917</v>
      </c>
      <c r="X850" s="131">
        <v>0.92</v>
      </c>
      <c r="Y850" s="131">
        <v>0.930182599355532</v>
      </c>
      <c r="Z850" s="131">
        <v>0.933609958506224</v>
      </c>
      <c r="AA850" s="131">
        <v>0.953333333333333</v>
      </c>
      <c r="AB850" s="131">
        <v>0.933379517376746</v>
      </c>
      <c r="AC850" s="131">
        <v>0.92</v>
      </c>
      <c r="AD850" s="129">
        <v>0.995589856670342</v>
      </c>
      <c r="AE850" s="129">
        <v>0.995149555375909</v>
      </c>
      <c r="AF850" s="129">
        <v>0.985094850948509</v>
      </c>
      <c r="AG850" s="129">
        <v>0.99180607715944</v>
      </c>
      <c r="AH850" s="131">
        <v>0.92</v>
      </c>
      <c r="AI850" s="129">
        <v>0.96688609615001</v>
      </c>
      <c r="AJ850" s="129">
        <v>0.958811881188119</v>
      </c>
      <c r="AK850" s="129">
        <v>0.973089343379978</v>
      </c>
      <c r="AL850" s="129">
        <v>0.969742673503956</v>
      </c>
      <c r="AM850" s="128">
        <v>0.99</v>
      </c>
      <c r="AN850" s="133">
        <v>1</v>
      </c>
      <c r="AO850" s="133">
        <v>1</v>
      </c>
      <c r="AP850" s="133">
        <v>1</v>
      </c>
      <c r="AQ850" s="133">
        <v>1</v>
      </c>
      <c r="AR850" s="153">
        <v>0.0810595228934205</v>
      </c>
      <c r="AS850" s="137">
        <v>0</v>
      </c>
      <c r="AT850" s="137">
        <v>0.0555555555555556</v>
      </c>
      <c r="AU850" s="137">
        <v>0</v>
      </c>
      <c r="AV850" s="137">
        <v>0.0416666666666667</v>
      </c>
      <c r="AW850" s="93"/>
      <c r="AX850" s="91"/>
    </row>
    <row r="851" ht="14.5" spans="1:50">
      <c r="A851" s="89"/>
      <c r="B851" s="93"/>
      <c r="C851" s="148" t="s">
        <v>664</v>
      </c>
      <c r="D851" s="126" t="s">
        <v>665</v>
      </c>
      <c r="E851" s="171" t="s">
        <v>874</v>
      </c>
      <c r="F851" s="171" t="s">
        <v>874</v>
      </c>
      <c r="G851" s="171" t="s">
        <v>874</v>
      </c>
      <c r="H851" s="171" t="s">
        <v>874</v>
      </c>
      <c r="I851" s="128">
        <v>0.9</v>
      </c>
      <c r="J851" s="129">
        <v>0.636363636363636</v>
      </c>
      <c r="K851" s="129">
        <v>0.627906976744186</v>
      </c>
      <c r="L851" s="130">
        <v>0.595238095238095</v>
      </c>
      <c r="M851" s="129">
        <v>0.636929460580913</v>
      </c>
      <c r="N851" s="131">
        <v>0.9</v>
      </c>
      <c r="O851" s="129">
        <v>0.71025886864813</v>
      </c>
      <c r="P851" s="129">
        <v>0.807325639739087</v>
      </c>
      <c r="Q851" s="129">
        <v>0.689680957128614</v>
      </c>
      <c r="R851" s="129">
        <v>0.745245455669593</v>
      </c>
      <c r="S851" s="131">
        <v>0.9</v>
      </c>
      <c r="T851" s="129">
        <v>0.439884947267498</v>
      </c>
      <c r="U851" s="129">
        <v>0.507275464124435</v>
      </c>
      <c r="V851" s="129">
        <v>0.393320039880359</v>
      </c>
      <c r="W851" s="129">
        <v>0.469395325831582</v>
      </c>
      <c r="X851" s="131">
        <v>0.92</v>
      </c>
      <c r="Y851" s="131">
        <v>0.573757763975155</v>
      </c>
      <c r="Z851" s="131">
        <v>0.611165523996082</v>
      </c>
      <c r="AA851" s="131">
        <v>0.13543599257885</v>
      </c>
      <c r="AB851" s="131">
        <v>0.456061513880567</v>
      </c>
      <c r="AC851" s="131">
        <v>0.92</v>
      </c>
      <c r="AD851" s="129">
        <v>0.991189427312775</v>
      </c>
      <c r="AE851" s="129">
        <v>0.987903225806452</v>
      </c>
      <c r="AF851" s="129">
        <v>0.971391417425228</v>
      </c>
      <c r="AG851" s="129">
        <v>0.977636704660222</v>
      </c>
      <c r="AH851" s="131">
        <v>0.92</v>
      </c>
      <c r="AI851" s="129">
        <v>0.810395202214363</v>
      </c>
      <c r="AJ851" s="129">
        <v>0.766091572660916</v>
      </c>
      <c r="AK851" s="129">
        <v>0.7201230228471</v>
      </c>
      <c r="AL851" s="129">
        <v>0.757635819475551</v>
      </c>
      <c r="AM851" s="128">
        <v>0.99</v>
      </c>
      <c r="AN851" s="133">
        <v>1</v>
      </c>
      <c r="AO851" s="133">
        <v>1</v>
      </c>
      <c r="AP851" s="133">
        <v>1</v>
      </c>
      <c r="AQ851" s="133">
        <v>1</v>
      </c>
      <c r="AR851" s="153">
        <v>0.0810595228934205</v>
      </c>
      <c r="AS851" s="137">
        <v>0</v>
      </c>
      <c r="AT851" s="137">
        <v>0.0769230769230769</v>
      </c>
      <c r="AU851" s="137">
        <v>0.0869565217391304</v>
      </c>
      <c r="AV851" s="137">
        <v>0.04</v>
      </c>
      <c r="AW851" s="93"/>
      <c r="AX851" s="91"/>
    </row>
    <row r="852" ht="14.5" spans="1:50">
      <c r="A852" s="89"/>
      <c r="B852" s="93"/>
      <c r="C852" s="148" t="s">
        <v>664</v>
      </c>
      <c r="D852" s="126" t="s">
        <v>665</v>
      </c>
      <c r="E852" s="171" t="s">
        <v>875</v>
      </c>
      <c r="F852" s="171" t="s">
        <v>875</v>
      </c>
      <c r="G852" s="171" t="s">
        <v>875</v>
      </c>
      <c r="H852" s="171" t="s">
        <v>875</v>
      </c>
      <c r="I852" s="128">
        <v>0.9</v>
      </c>
      <c r="J852" s="129" t="s">
        <v>33</v>
      </c>
      <c r="K852" s="129" t="s">
        <v>33</v>
      </c>
      <c r="L852" s="130" t="s">
        <v>33</v>
      </c>
      <c r="M852" s="129" t="s">
        <v>33</v>
      </c>
      <c r="N852" s="131">
        <v>0.9</v>
      </c>
      <c r="O852" s="129">
        <v>0</v>
      </c>
      <c r="P852" s="129">
        <v>0</v>
      </c>
      <c r="Q852" s="129">
        <v>0</v>
      </c>
      <c r="R852" s="129">
        <v>0.00709219858156028</v>
      </c>
      <c r="S852" s="131">
        <v>0.9</v>
      </c>
      <c r="T852" s="129">
        <v>1</v>
      </c>
      <c r="U852" s="129">
        <v>1</v>
      </c>
      <c r="V852" s="129">
        <v>1</v>
      </c>
      <c r="W852" s="129">
        <v>0.765957446808511</v>
      </c>
      <c r="X852" s="131">
        <v>0.92</v>
      </c>
      <c r="Y852" s="131" t="s">
        <v>33</v>
      </c>
      <c r="Z852" s="131">
        <v>1</v>
      </c>
      <c r="AA852" s="131">
        <v>1</v>
      </c>
      <c r="AB852" s="131">
        <v>1</v>
      </c>
      <c r="AC852" s="131">
        <v>0.92</v>
      </c>
      <c r="AD852" s="129" t="s">
        <v>33</v>
      </c>
      <c r="AE852" s="129" t="s">
        <v>33</v>
      </c>
      <c r="AF852" s="129" t="s">
        <v>33</v>
      </c>
      <c r="AG852" s="129">
        <v>0.666666666666667</v>
      </c>
      <c r="AH852" s="131">
        <v>0.92</v>
      </c>
      <c r="AI852" s="129">
        <v>1</v>
      </c>
      <c r="AJ852" s="129">
        <v>1</v>
      </c>
      <c r="AK852" s="129">
        <v>1</v>
      </c>
      <c r="AL852" s="129">
        <v>1</v>
      </c>
      <c r="AM852" s="128">
        <v>0.99</v>
      </c>
      <c r="AN852" s="133" t="s">
        <v>33</v>
      </c>
      <c r="AO852" s="133" t="s">
        <v>33</v>
      </c>
      <c r="AP852" s="133" t="s">
        <v>33</v>
      </c>
      <c r="AQ852" s="133">
        <v>1</v>
      </c>
      <c r="AR852" s="153">
        <v>0.0810595228934205</v>
      </c>
      <c r="AS852" s="137" t="s">
        <v>33</v>
      </c>
      <c r="AT852" s="137" t="s">
        <v>33</v>
      </c>
      <c r="AU852" s="137" t="s">
        <v>33</v>
      </c>
      <c r="AV852" s="137">
        <v>0</v>
      </c>
      <c r="AW852" s="93"/>
      <c r="AX852" s="91"/>
    </row>
    <row r="853" ht="14.5" spans="1:50">
      <c r="A853" s="89"/>
      <c r="B853" s="93"/>
      <c r="C853" s="148" t="s">
        <v>664</v>
      </c>
      <c r="D853" s="126" t="s">
        <v>665</v>
      </c>
      <c r="E853" s="171" t="s">
        <v>876</v>
      </c>
      <c r="F853" s="171" t="s">
        <v>876</v>
      </c>
      <c r="G853" s="171" t="s">
        <v>876</v>
      </c>
      <c r="H853" s="171" t="s">
        <v>876</v>
      </c>
      <c r="I853" s="128">
        <v>0.9</v>
      </c>
      <c r="J853" s="129">
        <v>0.914893617021277</v>
      </c>
      <c r="K853" s="129">
        <v>0.953488372093023</v>
      </c>
      <c r="L853" s="130">
        <v>0.886363636363636</v>
      </c>
      <c r="M853" s="129">
        <v>0.9125</v>
      </c>
      <c r="N853" s="131">
        <v>0.9</v>
      </c>
      <c r="O853" s="129">
        <v>0.936940164815478</v>
      </c>
      <c r="P853" s="129">
        <v>0.965843621399177</v>
      </c>
      <c r="Q853" s="129">
        <v>0.971806549555411</v>
      </c>
      <c r="R853" s="129">
        <v>0.956657389118334</v>
      </c>
      <c r="S853" s="131">
        <v>0.9</v>
      </c>
      <c r="T853" s="129">
        <v>0.882658545324257</v>
      </c>
      <c r="U853" s="129">
        <v>0.903703703703704</v>
      </c>
      <c r="V853" s="129">
        <v>0.895684233355021</v>
      </c>
      <c r="W853" s="129">
        <v>0.908937870353744</v>
      </c>
      <c r="X853" s="131">
        <v>0.92</v>
      </c>
      <c r="Y853" s="131">
        <v>0.9082774049217</v>
      </c>
      <c r="Z853" s="131">
        <v>0.934612651030561</v>
      </c>
      <c r="AA853" s="131">
        <v>0.884502923976608</v>
      </c>
      <c r="AB853" s="131">
        <v>0.916673273606596</v>
      </c>
      <c r="AC853" s="131">
        <v>0.92</v>
      </c>
      <c r="AD853" s="129">
        <v>0.994397759103641</v>
      </c>
      <c r="AE853" s="129">
        <v>0.984</v>
      </c>
      <c r="AF853" s="129">
        <v>0.980099502487562</v>
      </c>
      <c r="AG853" s="129">
        <v>0.984231834647347</v>
      </c>
      <c r="AH853" s="131">
        <v>0.92</v>
      </c>
      <c r="AI853" s="129">
        <v>0.95262169579662</v>
      </c>
      <c r="AJ853" s="129">
        <v>0.955694553036226</v>
      </c>
      <c r="AK853" s="129">
        <v>0.953729933899906</v>
      </c>
      <c r="AL853" s="129">
        <v>0.958665687097677</v>
      </c>
      <c r="AM853" s="128">
        <v>0.99</v>
      </c>
      <c r="AN853" s="133">
        <v>1</v>
      </c>
      <c r="AO853" s="133">
        <v>1</v>
      </c>
      <c r="AP853" s="133">
        <v>1</v>
      </c>
      <c r="AQ853" s="133">
        <v>1</v>
      </c>
      <c r="AR853" s="153">
        <v>0.0810595228934205</v>
      </c>
      <c r="AS853" s="137">
        <v>0.0263157894736842</v>
      </c>
      <c r="AT853" s="137">
        <v>0.032258064516129</v>
      </c>
      <c r="AU853" s="137">
        <v>-0.03125</v>
      </c>
      <c r="AV853" s="137">
        <v>0.0403022670025189</v>
      </c>
      <c r="AW853" s="93"/>
      <c r="AX853" s="91"/>
    </row>
    <row r="854" ht="14.5" spans="1:50">
      <c r="A854" s="89"/>
      <c r="B854" s="93"/>
      <c r="C854" s="148" t="s">
        <v>664</v>
      </c>
      <c r="D854" s="126" t="s">
        <v>665</v>
      </c>
      <c r="E854" s="171" t="s">
        <v>877</v>
      </c>
      <c r="F854" s="171" t="s">
        <v>877</v>
      </c>
      <c r="G854" s="171" t="s">
        <v>877</v>
      </c>
      <c r="H854" s="171" t="s">
        <v>877</v>
      </c>
      <c r="I854" s="128">
        <v>0.9</v>
      </c>
      <c r="J854" s="129">
        <v>0.972222222222222</v>
      </c>
      <c r="K854" s="129">
        <v>1</v>
      </c>
      <c r="L854" s="130">
        <v>1</v>
      </c>
      <c r="M854" s="129">
        <v>0.969924812030075</v>
      </c>
      <c r="N854" s="131">
        <v>0.9</v>
      </c>
      <c r="O854" s="129">
        <v>0.946192296383417</v>
      </c>
      <c r="P854" s="129">
        <v>0.964131994261119</v>
      </c>
      <c r="Q854" s="129">
        <v>0.933699759532807</v>
      </c>
      <c r="R854" s="129">
        <v>0.956059924575304</v>
      </c>
      <c r="S854" s="131">
        <v>0.9</v>
      </c>
      <c r="T854" s="129">
        <v>0.916789179653043</v>
      </c>
      <c r="U854" s="129">
        <v>0.913916786226686</v>
      </c>
      <c r="V854" s="129">
        <v>0.925111645482652</v>
      </c>
      <c r="W854" s="129">
        <v>0.921807424834792</v>
      </c>
      <c r="X854" s="131">
        <v>0.92</v>
      </c>
      <c r="Y854" s="131">
        <v>0.914893617021277</v>
      </c>
      <c r="Z854" s="131">
        <v>0.869908015768725</v>
      </c>
      <c r="AA854" s="131">
        <v>0.912596401028278</v>
      </c>
      <c r="AB854" s="131">
        <v>0.910360234571349</v>
      </c>
      <c r="AC854" s="131">
        <v>0.92</v>
      </c>
      <c r="AD854" s="129">
        <v>0.993006993006993</v>
      </c>
      <c r="AE854" s="129">
        <v>0.9875</v>
      </c>
      <c r="AF854" s="129">
        <v>0.986175115207373</v>
      </c>
      <c r="AG854" s="129">
        <v>0.993281075027996</v>
      </c>
      <c r="AH854" s="131">
        <v>0.92</v>
      </c>
      <c r="AI854" s="129">
        <v>0.954791617612432</v>
      </c>
      <c r="AJ854" s="129">
        <v>0.941531322505801</v>
      </c>
      <c r="AK854" s="129">
        <v>0.973030303030303</v>
      </c>
      <c r="AL854" s="129">
        <v>0.96450951034215</v>
      </c>
      <c r="AM854" s="128">
        <v>0.99</v>
      </c>
      <c r="AN854" s="133">
        <v>1</v>
      </c>
      <c r="AO854" s="133">
        <v>1</v>
      </c>
      <c r="AP854" s="133">
        <v>1</v>
      </c>
      <c r="AQ854" s="133">
        <v>1</v>
      </c>
      <c r="AR854" s="153">
        <v>0.0810595228934205</v>
      </c>
      <c r="AS854" s="137">
        <v>0</v>
      </c>
      <c r="AT854" s="137">
        <v>0.125</v>
      </c>
      <c r="AU854" s="137">
        <v>0.0666666666666667</v>
      </c>
      <c r="AV854" s="137">
        <v>0.0794701986754967</v>
      </c>
      <c r="AW854" s="93"/>
      <c r="AX854" s="91"/>
    </row>
    <row r="855" ht="14.5" spans="1:50">
      <c r="A855" s="89"/>
      <c r="B855" s="93"/>
      <c r="C855" s="148" t="s">
        <v>664</v>
      </c>
      <c r="D855" s="126" t="s">
        <v>665</v>
      </c>
      <c r="E855" s="171" t="s">
        <v>878</v>
      </c>
      <c r="F855" s="171" t="s">
        <v>878</v>
      </c>
      <c r="G855" s="171" t="s">
        <v>878</v>
      </c>
      <c r="H855" s="171" t="s">
        <v>878</v>
      </c>
      <c r="I855" s="128">
        <v>0.9</v>
      </c>
      <c r="J855" s="129">
        <v>0.925925925925926</v>
      </c>
      <c r="K855" s="129">
        <v>0.925925925925926</v>
      </c>
      <c r="L855" s="130">
        <v>0.962962962962963</v>
      </c>
      <c r="M855" s="129">
        <v>0.936170212765957</v>
      </c>
      <c r="N855" s="131">
        <v>0.9</v>
      </c>
      <c r="O855" s="129">
        <v>0.972474289171204</v>
      </c>
      <c r="P855" s="129">
        <v>0.954446854663774</v>
      </c>
      <c r="Q855" s="129">
        <v>0.960540738034344</v>
      </c>
      <c r="R855" s="129">
        <v>0.96946144851778</v>
      </c>
      <c r="S855" s="131">
        <v>0.9</v>
      </c>
      <c r="T855" s="129">
        <v>0.898669086509377</v>
      </c>
      <c r="U855" s="129">
        <v>0.903832248734635</v>
      </c>
      <c r="V855" s="129">
        <v>0.906832298136646</v>
      </c>
      <c r="W855" s="129">
        <v>0.919939473141206</v>
      </c>
      <c r="X855" s="131">
        <v>0.92</v>
      </c>
      <c r="Y855" s="131">
        <v>0.877659574468085</v>
      </c>
      <c r="Z855" s="131">
        <v>0.918687589158345</v>
      </c>
      <c r="AA855" s="131">
        <v>0.932773109243697</v>
      </c>
      <c r="AB855" s="131">
        <v>0.92228490832158</v>
      </c>
      <c r="AC855" s="131">
        <v>0.92</v>
      </c>
      <c r="AD855" s="129">
        <v>0.996710526315789</v>
      </c>
      <c r="AE855" s="129">
        <v>1</v>
      </c>
      <c r="AF855" s="129">
        <v>0.994772218073189</v>
      </c>
      <c r="AG855" s="129">
        <v>0.995591726008817</v>
      </c>
      <c r="AH855" s="131">
        <v>0.92</v>
      </c>
      <c r="AI855" s="129">
        <v>0.947277654594728</v>
      </c>
      <c r="AJ855" s="129">
        <v>0.947696737044146</v>
      </c>
      <c r="AK855" s="129">
        <v>0.962508080155139</v>
      </c>
      <c r="AL855" s="129">
        <v>0.958583317205342</v>
      </c>
      <c r="AM855" s="128">
        <v>0.99</v>
      </c>
      <c r="AN855" s="133">
        <v>1</v>
      </c>
      <c r="AO855" s="133">
        <v>1</v>
      </c>
      <c r="AP855" s="133">
        <v>1</v>
      </c>
      <c r="AQ855" s="133">
        <v>1</v>
      </c>
      <c r="AR855" s="153">
        <v>0.0810595228934205</v>
      </c>
      <c r="AS855" s="137">
        <v>0</v>
      </c>
      <c r="AT855" s="137">
        <v>0.0909090909090909</v>
      </c>
      <c r="AU855" s="137">
        <v>0</v>
      </c>
      <c r="AV855" s="137">
        <v>0.0279329608938547</v>
      </c>
      <c r="AW855" s="93"/>
      <c r="AX855" s="91"/>
    </row>
    <row r="856" ht="14.5" spans="1:50">
      <c r="A856" s="89"/>
      <c r="B856" s="93"/>
      <c r="C856" s="148" t="s">
        <v>664</v>
      </c>
      <c r="D856" s="126" t="s">
        <v>665</v>
      </c>
      <c r="E856" s="171" t="s">
        <v>879</v>
      </c>
      <c r="F856" s="171" t="s">
        <v>879</v>
      </c>
      <c r="G856" s="171" t="s">
        <v>879</v>
      </c>
      <c r="H856" s="171" t="s">
        <v>879</v>
      </c>
      <c r="I856" s="128">
        <v>0.9</v>
      </c>
      <c r="J856" s="129">
        <v>0.968253968253968</v>
      </c>
      <c r="K856" s="129">
        <v>0.980392156862745</v>
      </c>
      <c r="L856" s="130">
        <v>0.952380952380952</v>
      </c>
      <c r="M856" s="129">
        <v>0.945833333333333</v>
      </c>
      <c r="N856" s="131">
        <v>0.9</v>
      </c>
      <c r="O856" s="129">
        <v>0.611442193087008</v>
      </c>
      <c r="P856" s="129">
        <v>0.948603351955307</v>
      </c>
      <c r="Q856" s="129">
        <v>0.896909233176839</v>
      </c>
      <c r="R856" s="129">
        <v>0.853048225659691</v>
      </c>
      <c r="S856" s="131">
        <v>0.9</v>
      </c>
      <c r="T856" s="129">
        <v>0.896007151370679</v>
      </c>
      <c r="U856" s="129">
        <v>0.906890130353817</v>
      </c>
      <c r="V856" s="129">
        <v>0.915884194053208</v>
      </c>
      <c r="W856" s="129">
        <v>0.913295303422692</v>
      </c>
      <c r="X856" s="131">
        <v>0.92</v>
      </c>
      <c r="Y856" s="131">
        <v>0.895348837209302</v>
      </c>
      <c r="Z856" s="131">
        <v>0.894308943089431</v>
      </c>
      <c r="AA856" s="131">
        <v>0.880984952120383</v>
      </c>
      <c r="AB856" s="131">
        <v>0.886885557031695</v>
      </c>
      <c r="AC856" s="131">
        <v>0.92</v>
      </c>
      <c r="AD856" s="129">
        <v>0.998057962354347</v>
      </c>
      <c r="AE856" s="129">
        <v>0.987066974595843</v>
      </c>
      <c r="AF856" s="129">
        <v>0.962806424344886</v>
      </c>
      <c r="AG856" s="129">
        <v>0.980732735516957</v>
      </c>
      <c r="AH856" s="131">
        <v>0.92</v>
      </c>
      <c r="AI856" s="129">
        <v>0.953017618393103</v>
      </c>
      <c r="AJ856" s="129">
        <v>0.940583265194876</v>
      </c>
      <c r="AK856" s="129">
        <v>0.958240629813452</v>
      </c>
      <c r="AL856" s="129">
        <v>0.954098215340976</v>
      </c>
      <c r="AM856" s="128">
        <v>0.99</v>
      </c>
      <c r="AN856" s="133">
        <v>1</v>
      </c>
      <c r="AO856" s="133">
        <v>1</v>
      </c>
      <c r="AP856" s="133">
        <v>1</v>
      </c>
      <c r="AQ856" s="133">
        <v>1</v>
      </c>
      <c r="AR856" s="153">
        <v>0.0810595228934205</v>
      </c>
      <c r="AS856" s="137">
        <v>0.0294117647058824</v>
      </c>
      <c r="AT856" s="137">
        <v>0.0666666666666667</v>
      </c>
      <c r="AU856" s="137">
        <v>0.0789473684210526</v>
      </c>
      <c r="AV856" s="137">
        <v>0.0610932475884244</v>
      </c>
      <c r="AW856" s="93"/>
      <c r="AX856" s="91"/>
    </row>
    <row r="857" ht="14.5" spans="1:50">
      <c r="A857" s="89"/>
      <c r="B857" s="93"/>
      <c r="C857" s="148" t="s">
        <v>664</v>
      </c>
      <c r="D857" s="126" t="s">
        <v>665</v>
      </c>
      <c r="E857" s="171" t="s">
        <v>880</v>
      </c>
      <c r="F857" s="171" t="s">
        <v>880</v>
      </c>
      <c r="G857" s="171" t="s">
        <v>880</v>
      </c>
      <c r="H857" s="171" t="s">
        <v>880</v>
      </c>
      <c r="I857" s="128">
        <v>0.9</v>
      </c>
      <c r="J857" s="129">
        <v>1</v>
      </c>
      <c r="K857" s="129">
        <v>0.931034482758621</v>
      </c>
      <c r="L857" s="130">
        <v>0.852941176470588</v>
      </c>
      <c r="M857" s="129">
        <v>0.918367346938776</v>
      </c>
      <c r="N857" s="131">
        <v>0.9</v>
      </c>
      <c r="O857" s="129">
        <v>0.786134561268867</v>
      </c>
      <c r="P857" s="129">
        <v>0.928973277074543</v>
      </c>
      <c r="Q857" s="129">
        <v>0.917614750882699</v>
      </c>
      <c r="R857" s="129">
        <v>0.791883523288754</v>
      </c>
      <c r="S857" s="131">
        <v>0.9</v>
      </c>
      <c r="T857" s="129">
        <v>0.914556152468662</v>
      </c>
      <c r="U857" s="129">
        <v>0.890998593530239</v>
      </c>
      <c r="V857" s="129">
        <v>0.91604550804237</v>
      </c>
      <c r="W857" s="129">
        <v>0.918736412148363</v>
      </c>
      <c r="X857" s="131">
        <v>0.92</v>
      </c>
      <c r="Y857" s="131">
        <v>0.903225806451613</v>
      </c>
      <c r="Z857" s="131">
        <v>0.952380952380952</v>
      </c>
      <c r="AA857" s="131">
        <v>0.840290381125227</v>
      </c>
      <c r="AB857" s="131">
        <v>0.864638783269962</v>
      </c>
      <c r="AC857" s="131">
        <v>0.92</v>
      </c>
      <c r="AD857" s="129">
        <v>0.033096926713948</v>
      </c>
      <c r="AE857" s="129">
        <v>0.981707317073171</v>
      </c>
      <c r="AF857" s="129">
        <v>0.985185185185185</v>
      </c>
      <c r="AG857" s="129">
        <v>0.907851794970244</v>
      </c>
      <c r="AH857" s="131">
        <v>0.92</v>
      </c>
      <c r="AI857" s="129">
        <v>0.947087594486438</v>
      </c>
      <c r="AJ857" s="129">
        <v>0.922310756972112</v>
      </c>
      <c r="AK857" s="129">
        <v>0.952903225806452</v>
      </c>
      <c r="AL857" s="129">
        <v>0.955753951542716</v>
      </c>
      <c r="AM857" s="128">
        <v>0.99</v>
      </c>
      <c r="AN857" s="133">
        <v>1</v>
      </c>
      <c r="AO857" s="133">
        <v>1</v>
      </c>
      <c r="AP857" s="133">
        <v>1</v>
      </c>
      <c r="AQ857" s="133">
        <v>1</v>
      </c>
      <c r="AR857" s="153">
        <v>0.0810595228934205</v>
      </c>
      <c r="AS857" s="137">
        <v>0</v>
      </c>
      <c r="AT857" s="137">
        <v>0.0588235294117647</v>
      </c>
      <c r="AU857" s="137">
        <v>0</v>
      </c>
      <c r="AV857" s="137">
        <v>0.0316455696202532</v>
      </c>
      <c r="AW857" s="93"/>
      <c r="AX857" s="91"/>
    </row>
    <row r="858" ht="14.5" spans="1:50">
      <c r="A858" s="89"/>
      <c r="B858" s="93"/>
      <c r="C858" s="148" t="s">
        <v>664</v>
      </c>
      <c r="D858" s="126" t="s">
        <v>665</v>
      </c>
      <c r="E858" s="171" t="s">
        <v>881</v>
      </c>
      <c r="F858" s="171" t="s">
        <v>881</v>
      </c>
      <c r="G858" s="171" t="s">
        <v>881</v>
      </c>
      <c r="H858" s="171" t="s">
        <v>881</v>
      </c>
      <c r="I858" s="128">
        <v>0.9</v>
      </c>
      <c r="J858" s="129">
        <v>0.956521739130435</v>
      </c>
      <c r="K858" s="129">
        <v>0.894736842105263</v>
      </c>
      <c r="L858" s="130">
        <v>0.930232558139535</v>
      </c>
      <c r="M858" s="129">
        <v>0.967806841046278</v>
      </c>
      <c r="N858" s="131">
        <v>0.9</v>
      </c>
      <c r="O858" s="129">
        <v>0.708560311284047</v>
      </c>
      <c r="P858" s="129">
        <v>0.808955223880597</v>
      </c>
      <c r="Q858" s="129">
        <v>0.799418604651163</v>
      </c>
      <c r="R858" s="129">
        <v>0.798403193612774</v>
      </c>
      <c r="S858" s="131">
        <v>0.9</v>
      </c>
      <c r="T858" s="129">
        <v>0.546498054474708</v>
      </c>
      <c r="U858" s="129">
        <v>0.667803837953092</v>
      </c>
      <c r="V858" s="129">
        <v>0.629360465116279</v>
      </c>
      <c r="W858" s="129">
        <v>0.611036750029353</v>
      </c>
      <c r="X858" s="131">
        <v>0.92</v>
      </c>
      <c r="Y858" s="131">
        <v>0.80130825838103</v>
      </c>
      <c r="Z858" s="131">
        <v>0.698826597131682</v>
      </c>
      <c r="AA858" s="131">
        <v>0.671641791044776</v>
      </c>
      <c r="AB858" s="131">
        <v>0.678993123134813</v>
      </c>
      <c r="AC858" s="131">
        <v>0.92</v>
      </c>
      <c r="AD858" s="129">
        <v>0.997093023255814</v>
      </c>
      <c r="AE858" s="129">
        <v>0.997179125528914</v>
      </c>
      <c r="AF858" s="129">
        <v>0.997354497354497</v>
      </c>
      <c r="AG858" s="129">
        <v>0.995538686909042</v>
      </c>
      <c r="AH858" s="131">
        <v>0.92</v>
      </c>
      <c r="AI858" s="129">
        <v>0.917334590601917</v>
      </c>
      <c r="AJ858" s="129">
        <v>0.857969151670951</v>
      </c>
      <c r="AK858" s="129">
        <v>0.922637920101459</v>
      </c>
      <c r="AL858" s="129">
        <v>0.90122474948306</v>
      </c>
      <c r="AM858" s="128">
        <v>0.99</v>
      </c>
      <c r="AN858" s="133">
        <v>1</v>
      </c>
      <c r="AO858" s="133">
        <v>1</v>
      </c>
      <c r="AP858" s="133">
        <v>1</v>
      </c>
      <c r="AQ858" s="133">
        <v>1</v>
      </c>
      <c r="AR858" s="153">
        <v>0.0810595228934205</v>
      </c>
      <c r="AS858" s="137">
        <v>0.0454545454545455</v>
      </c>
      <c r="AT858" s="137">
        <v>0</v>
      </c>
      <c r="AU858" s="137">
        <v>0.0454545454545455</v>
      </c>
      <c r="AV858" s="137">
        <v>0.0697674418604651</v>
      </c>
      <c r="AW858" s="93"/>
      <c r="AX858" s="91"/>
    </row>
    <row r="859" ht="14.5" spans="1:50">
      <c r="A859" s="89"/>
      <c r="B859" s="93"/>
      <c r="C859" s="148" t="s">
        <v>664</v>
      </c>
      <c r="D859" s="126" t="s">
        <v>665</v>
      </c>
      <c r="E859" s="171" t="s">
        <v>882</v>
      </c>
      <c r="F859" s="171" t="s">
        <v>882</v>
      </c>
      <c r="G859" s="171" t="s">
        <v>882</v>
      </c>
      <c r="H859" s="171" t="s">
        <v>882</v>
      </c>
      <c r="I859" s="128">
        <v>0.9</v>
      </c>
      <c r="J859" s="129">
        <v>0.976744186046512</v>
      </c>
      <c r="K859" s="129">
        <v>0.96875</v>
      </c>
      <c r="L859" s="130">
        <v>0.973684210526316</v>
      </c>
      <c r="M859" s="129">
        <v>0.985106382978723</v>
      </c>
      <c r="N859" s="131">
        <v>0.9</v>
      </c>
      <c r="O859" s="129">
        <v>0.779013203613621</v>
      </c>
      <c r="P859" s="129">
        <v>0.978637646110439</v>
      </c>
      <c r="Q859" s="129">
        <v>0.916331096196868</v>
      </c>
      <c r="R859" s="129">
        <v>0.921894803548796</v>
      </c>
      <c r="S859" s="131">
        <v>0.9</v>
      </c>
      <c r="T859" s="129">
        <v>0.839124391938846</v>
      </c>
      <c r="U859" s="129">
        <v>0.924627166465135</v>
      </c>
      <c r="V859" s="129">
        <v>0.922818791946309</v>
      </c>
      <c r="W859" s="129">
        <v>0.918001991671193</v>
      </c>
      <c r="X859" s="131">
        <v>0.92</v>
      </c>
      <c r="Y859" s="131">
        <v>0.799404170804369</v>
      </c>
      <c r="Z859" s="131">
        <v>0.802663438256659</v>
      </c>
      <c r="AA859" s="131">
        <v>0.803921568627451</v>
      </c>
      <c r="AB859" s="131">
        <v>0.81230062523925</v>
      </c>
      <c r="AC859" s="131">
        <v>0.92</v>
      </c>
      <c r="AD859" s="129">
        <v>0.985663082437276</v>
      </c>
      <c r="AE859" s="129">
        <v>0.99702380952381</v>
      </c>
      <c r="AF859" s="129">
        <v>0.964705882352941</v>
      </c>
      <c r="AG859" s="129">
        <v>0.985225225225225</v>
      </c>
      <c r="AH859" s="131">
        <v>0.92</v>
      </c>
      <c r="AI859" s="129">
        <v>0.930356350731924</v>
      </c>
      <c r="AJ859" s="129">
        <v>0.931962503779861</v>
      </c>
      <c r="AK859" s="129">
        <v>0.957175925925926</v>
      </c>
      <c r="AL859" s="129">
        <v>0.95179055417796</v>
      </c>
      <c r="AM859" s="128">
        <v>0.99</v>
      </c>
      <c r="AN859" s="133">
        <v>1</v>
      </c>
      <c r="AO859" s="133">
        <v>1</v>
      </c>
      <c r="AP859" s="133">
        <v>1</v>
      </c>
      <c r="AQ859" s="133">
        <v>1</v>
      </c>
      <c r="AR859" s="153">
        <v>0.0810595228934205</v>
      </c>
      <c r="AS859" s="137">
        <v>0</v>
      </c>
      <c r="AT859" s="137">
        <v>0</v>
      </c>
      <c r="AU859" s="137">
        <v>0.0909090909090909</v>
      </c>
      <c r="AV859" s="137">
        <v>0.0357142857142857</v>
      </c>
      <c r="AW859" s="93"/>
      <c r="AX859" s="91"/>
    </row>
    <row r="860" ht="14.5" spans="1:50">
      <c r="A860" s="89"/>
      <c r="B860" s="93"/>
      <c r="C860" s="148" t="s">
        <v>664</v>
      </c>
      <c r="D860" s="126" t="s">
        <v>665</v>
      </c>
      <c r="E860" s="171" t="s">
        <v>883</v>
      </c>
      <c r="F860" s="171" t="s">
        <v>883</v>
      </c>
      <c r="G860" s="171" t="s">
        <v>883</v>
      </c>
      <c r="H860" s="171" t="s">
        <v>883</v>
      </c>
      <c r="I860" s="128">
        <v>0.9</v>
      </c>
      <c r="J860" s="129">
        <v>0.979166666666667</v>
      </c>
      <c r="K860" s="129">
        <v>0.977272727272727</v>
      </c>
      <c r="L860" s="130">
        <v>0.9375</v>
      </c>
      <c r="M860" s="129">
        <v>0.929982046678636</v>
      </c>
      <c r="N860" s="131">
        <v>0.9</v>
      </c>
      <c r="O860" s="129">
        <v>0.917854001759015</v>
      </c>
      <c r="P860" s="129">
        <v>0.916631929970821</v>
      </c>
      <c r="Q860" s="129">
        <v>0.921179995390643</v>
      </c>
      <c r="R860" s="129">
        <v>0.905627635747291</v>
      </c>
      <c r="S860" s="131">
        <v>0.9</v>
      </c>
      <c r="T860" s="129">
        <v>0.85259454705365</v>
      </c>
      <c r="U860" s="129">
        <v>0.9137140475198</v>
      </c>
      <c r="V860" s="129">
        <v>0.904586310209726</v>
      </c>
      <c r="W860" s="129">
        <v>0.879255029358946</v>
      </c>
      <c r="X860" s="131">
        <v>0.92</v>
      </c>
      <c r="Y860" s="131">
        <v>0.939033457249071</v>
      </c>
      <c r="Z860" s="131">
        <v>0.919952210274791</v>
      </c>
      <c r="AA860" s="131">
        <v>0.936612021857923</v>
      </c>
      <c r="AB860" s="131">
        <v>0.887459128783884</v>
      </c>
      <c r="AC860" s="131">
        <v>0.92</v>
      </c>
      <c r="AD860" s="129">
        <v>0.998984771573604</v>
      </c>
      <c r="AE860" s="129">
        <v>0.994418604651163</v>
      </c>
      <c r="AF860" s="129">
        <v>0.992360580595875</v>
      </c>
      <c r="AG860" s="129">
        <v>0.993382961124897</v>
      </c>
      <c r="AH860" s="131">
        <v>0.92</v>
      </c>
      <c r="AI860" s="129">
        <v>0.962736452851657</v>
      </c>
      <c r="AJ860" s="129">
        <v>0.95982694684796</v>
      </c>
      <c r="AK860" s="129">
        <v>0.973353635325466</v>
      </c>
      <c r="AL860" s="129">
        <v>0.957979065749805</v>
      </c>
      <c r="AM860" s="128">
        <v>0.99</v>
      </c>
      <c r="AN860" s="133">
        <v>1</v>
      </c>
      <c r="AO860" s="133">
        <v>1</v>
      </c>
      <c r="AP860" s="133">
        <v>1</v>
      </c>
      <c r="AQ860" s="133">
        <v>1</v>
      </c>
      <c r="AR860" s="153">
        <v>0.0810595228934205</v>
      </c>
      <c r="AS860" s="137">
        <v>0.0526315789473684</v>
      </c>
      <c r="AT860" s="137">
        <v>0.037037037037037</v>
      </c>
      <c r="AU860" s="137">
        <v>0.142857142857143</v>
      </c>
      <c r="AV860" s="137">
        <v>0.0772946859903382</v>
      </c>
      <c r="AW860" s="93"/>
      <c r="AX860" s="91"/>
    </row>
    <row r="861" ht="14.5" spans="1:50">
      <c r="A861" s="89"/>
      <c r="B861" s="93"/>
      <c r="C861" s="148" t="s">
        <v>664</v>
      </c>
      <c r="D861" s="126" t="s">
        <v>665</v>
      </c>
      <c r="E861" s="171" t="s">
        <v>884</v>
      </c>
      <c r="F861" s="171" t="s">
        <v>884</v>
      </c>
      <c r="G861" s="171" t="s">
        <v>884</v>
      </c>
      <c r="H861" s="171" t="s">
        <v>884</v>
      </c>
      <c r="I861" s="128">
        <v>0.9</v>
      </c>
      <c r="J861" s="129">
        <v>0.955223880597015</v>
      </c>
      <c r="K861" s="129">
        <v>0.96</v>
      </c>
      <c r="L861" s="130">
        <v>0.919354838709677</v>
      </c>
      <c r="M861" s="129">
        <v>0.928671328671329</v>
      </c>
      <c r="N861" s="131">
        <v>0.9</v>
      </c>
      <c r="O861" s="129">
        <v>0.240690405001359</v>
      </c>
      <c r="P861" s="129">
        <v>0.870046082949309</v>
      </c>
      <c r="Q861" s="129">
        <v>0.356175831522647</v>
      </c>
      <c r="R861" s="129">
        <v>0.601513411255996</v>
      </c>
      <c r="S861" s="131">
        <v>0.9</v>
      </c>
      <c r="T861" s="129">
        <v>0.859608589290568</v>
      </c>
      <c r="U861" s="129">
        <v>0.882027649769585</v>
      </c>
      <c r="V861" s="129">
        <v>0.871970583319405</v>
      </c>
      <c r="W861" s="129">
        <v>0.874991554624687</v>
      </c>
      <c r="X861" s="131">
        <v>0.92</v>
      </c>
      <c r="Y861" s="131">
        <v>0.848751835535977</v>
      </c>
      <c r="Z861" s="131">
        <v>0.85766092475068</v>
      </c>
      <c r="AA861" s="131">
        <v>0.913197519929141</v>
      </c>
      <c r="AB861" s="131">
        <v>0.864060878588724</v>
      </c>
      <c r="AC861" s="131">
        <v>0.92</v>
      </c>
      <c r="AD861" s="129">
        <v>0.993975903614458</v>
      </c>
      <c r="AE861" s="129">
        <v>0.997256515775034</v>
      </c>
      <c r="AF861" s="129">
        <v>0.984265734265734</v>
      </c>
      <c r="AG861" s="129">
        <v>0.981510765113733</v>
      </c>
      <c r="AH861" s="131">
        <v>0.92</v>
      </c>
      <c r="AI861" s="129">
        <v>0.946674311926605</v>
      </c>
      <c r="AJ861" s="129">
        <v>0.934832491968793</v>
      </c>
      <c r="AK861" s="129">
        <v>0.963582677165354</v>
      </c>
      <c r="AL861" s="129">
        <v>0.949555608935864</v>
      </c>
      <c r="AM861" s="128">
        <v>0.99</v>
      </c>
      <c r="AN861" s="133">
        <v>1</v>
      </c>
      <c r="AO861" s="133">
        <v>1</v>
      </c>
      <c r="AP861" s="133">
        <v>1</v>
      </c>
      <c r="AQ861" s="133">
        <v>1</v>
      </c>
      <c r="AR861" s="153">
        <v>0.0810595228934205</v>
      </c>
      <c r="AS861" s="137">
        <v>0.03125</v>
      </c>
      <c r="AT861" s="137">
        <v>0.0625</v>
      </c>
      <c r="AU861" s="137">
        <v>-0.04</v>
      </c>
      <c r="AV861" s="137">
        <v>0.0619834710743802</v>
      </c>
      <c r="AW861" s="93"/>
      <c r="AX861" s="91"/>
    </row>
    <row r="862" ht="14.5" spans="1:50">
      <c r="A862" s="89"/>
      <c r="B862" s="93"/>
      <c r="C862" s="148" t="s">
        <v>664</v>
      </c>
      <c r="D862" s="126" t="s">
        <v>665</v>
      </c>
      <c r="E862" s="171" t="s">
        <v>885</v>
      </c>
      <c r="F862" s="171" t="s">
        <v>885</v>
      </c>
      <c r="G862" s="171" t="s">
        <v>885</v>
      </c>
      <c r="H862" s="171" t="s">
        <v>885</v>
      </c>
      <c r="I862" s="128">
        <v>0.9</v>
      </c>
      <c r="J862" s="129">
        <v>0.795918367346939</v>
      </c>
      <c r="K862" s="129">
        <v>0.514285714285714</v>
      </c>
      <c r="L862" s="130">
        <v>0.787234042553192</v>
      </c>
      <c r="M862" s="129">
        <v>0.799632352941177</v>
      </c>
      <c r="N862" s="131">
        <v>0.9</v>
      </c>
      <c r="O862" s="129">
        <v>0.265688527488068</v>
      </c>
      <c r="P862" s="129">
        <v>0.914161220043573</v>
      </c>
      <c r="Q862" s="129">
        <v>0.695732410611303</v>
      </c>
      <c r="R862" s="129">
        <v>0.762827350501774</v>
      </c>
      <c r="S862" s="131">
        <v>0.9</v>
      </c>
      <c r="T862" s="129">
        <v>0.819869188615874</v>
      </c>
      <c r="U862" s="129">
        <v>0.890631808278867</v>
      </c>
      <c r="V862" s="129">
        <v>0.883737024221453</v>
      </c>
      <c r="W862" s="129">
        <v>0.886627337440408</v>
      </c>
      <c r="X862" s="131">
        <v>0.92</v>
      </c>
      <c r="Y862" s="131">
        <v>0.90722761596548</v>
      </c>
      <c r="Z862" s="131">
        <v>0.903540903540904</v>
      </c>
      <c r="AA862" s="131">
        <v>0.926966292134832</v>
      </c>
      <c r="AB862" s="131">
        <v>0.909304627567434</v>
      </c>
      <c r="AC862" s="131">
        <v>0.92</v>
      </c>
      <c r="AD862" s="129">
        <v>0.992647058823529</v>
      </c>
      <c r="AE862" s="129">
        <v>0.994884910485934</v>
      </c>
      <c r="AF862" s="129">
        <v>0.996350364963504</v>
      </c>
      <c r="AG862" s="129">
        <v>0.993570423950171</v>
      </c>
      <c r="AH862" s="131">
        <v>0.92</v>
      </c>
      <c r="AI862" s="129">
        <v>0.955650060753341</v>
      </c>
      <c r="AJ862" s="129">
        <v>0.957289659601798</v>
      </c>
      <c r="AK862" s="129">
        <v>0.966712898751734</v>
      </c>
      <c r="AL862" s="129">
        <v>0.964513143280267</v>
      </c>
      <c r="AM862" s="128">
        <v>0.99</v>
      </c>
      <c r="AN862" s="133">
        <v>1</v>
      </c>
      <c r="AO862" s="133">
        <v>1</v>
      </c>
      <c r="AP862" s="133">
        <v>1</v>
      </c>
      <c r="AQ862" s="133">
        <v>1</v>
      </c>
      <c r="AR862" s="153">
        <v>0.0810595228934205</v>
      </c>
      <c r="AS862" s="137">
        <v>0.0952380952380952</v>
      </c>
      <c r="AT862" s="137">
        <v>0</v>
      </c>
      <c r="AU862" s="137">
        <v>0.0714285714285714</v>
      </c>
      <c r="AV862" s="137">
        <v>0.0744186046511628</v>
      </c>
      <c r="AW862" s="93"/>
      <c r="AX862" s="91"/>
    </row>
    <row r="863" ht="14.5" spans="1:50">
      <c r="A863" s="89"/>
      <c r="B863" s="93"/>
      <c r="C863" s="148" t="s">
        <v>664</v>
      </c>
      <c r="D863" s="126" t="s">
        <v>665</v>
      </c>
      <c r="E863" s="171" t="s">
        <v>886</v>
      </c>
      <c r="F863" s="171" t="s">
        <v>886</v>
      </c>
      <c r="G863" s="171" t="s">
        <v>886</v>
      </c>
      <c r="H863" s="171" t="s">
        <v>886</v>
      </c>
      <c r="I863" s="128">
        <v>0.9</v>
      </c>
      <c r="J863" s="129">
        <v>0.867924528301887</v>
      </c>
      <c r="K863" s="129">
        <v>0.904761904761905</v>
      </c>
      <c r="L863" s="130">
        <v>0.903846153846154</v>
      </c>
      <c r="M863" s="129">
        <v>0.892255892255892</v>
      </c>
      <c r="N863" s="131">
        <v>0.9</v>
      </c>
      <c r="O863" s="129">
        <v>0.850641025641026</v>
      </c>
      <c r="P863" s="129">
        <v>0.965134099616858</v>
      </c>
      <c r="Q863" s="129">
        <v>0.945988258317025</v>
      </c>
      <c r="R863" s="129">
        <v>0.940804303763899</v>
      </c>
      <c r="S863" s="131">
        <v>0.9</v>
      </c>
      <c r="T863" s="129">
        <v>0.893910256410256</v>
      </c>
      <c r="U863" s="129">
        <v>0.922605363984674</v>
      </c>
      <c r="V863" s="129">
        <v>0.926418786692759</v>
      </c>
      <c r="W863" s="129">
        <v>0.917580648216552</v>
      </c>
      <c r="X863" s="131">
        <v>0.92</v>
      </c>
      <c r="Y863" s="131">
        <v>0.920985556499575</v>
      </c>
      <c r="Z863" s="131">
        <v>0.896719319562576</v>
      </c>
      <c r="AA863" s="131">
        <v>0.933246073298429</v>
      </c>
      <c r="AB863" s="131">
        <v>0.923467137185708</v>
      </c>
      <c r="AC863" s="131">
        <v>0.92</v>
      </c>
      <c r="AD863" s="129">
        <v>0.99622641509434</v>
      </c>
      <c r="AE863" s="129">
        <v>0.982945736434109</v>
      </c>
      <c r="AF863" s="129">
        <v>0.995344506517691</v>
      </c>
      <c r="AG863" s="129">
        <v>0.988302849851127</v>
      </c>
      <c r="AH863" s="131">
        <v>0.92</v>
      </c>
      <c r="AI863" s="129">
        <v>0.952271808008629</v>
      </c>
      <c r="AJ863" s="129">
        <v>0.953102242936207</v>
      </c>
      <c r="AK863" s="129">
        <v>0.973272046305754</v>
      </c>
      <c r="AL863" s="129">
        <v>0.963531142399897</v>
      </c>
      <c r="AM863" s="128">
        <v>0.99</v>
      </c>
      <c r="AN863" s="133">
        <v>1</v>
      </c>
      <c r="AO863" s="133">
        <v>1</v>
      </c>
      <c r="AP863" s="133">
        <v>1</v>
      </c>
      <c r="AQ863" s="133">
        <v>1</v>
      </c>
      <c r="AR863" s="153">
        <v>0.0810595228934205</v>
      </c>
      <c r="AS863" s="137">
        <v>0</v>
      </c>
      <c r="AT863" s="137">
        <v>0.0588235294117647</v>
      </c>
      <c r="AU863" s="137">
        <v>0.0416666666666667</v>
      </c>
      <c r="AV863" s="137">
        <v>0.0545454545454545</v>
      </c>
      <c r="AW863" s="93"/>
      <c r="AX863" s="91"/>
    </row>
    <row r="864" ht="14.5" spans="1:50">
      <c r="A864" s="89"/>
      <c r="B864" s="93"/>
      <c r="C864" s="148" t="s">
        <v>664</v>
      </c>
      <c r="D864" s="126" t="s">
        <v>665</v>
      </c>
      <c r="E864" s="171" t="s">
        <v>887</v>
      </c>
      <c r="F864" s="171" t="s">
        <v>887</v>
      </c>
      <c r="G864" s="171" t="s">
        <v>887</v>
      </c>
      <c r="H864" s="171" t="s">
        <v>887</v>
      </c>
      <c r="I864" s="128">
        <v>0.9</v>
      </c>
      <c r="J864" s="129">
        <v>0.879310344827586</v>
      </c>
      <c r="K864" s="129">
        <v>0.931818181818182</v>
      </c>
      <c r="L864" s="130">
        <v>0.890909090909091</v>
      </c>
      <c r="M864" s="129">
        <v>0.934065934065934</v>
      </c>
      <c r="N864" s="131">
        <v>0.9</v>
      </c>
      <c r="O864" s="129">
        <v>0.892128644725316</v>
      </c>
      <c r="P864" s="129">
        <v>0.918910741301059</v>
      </c>
      <c r="Q864" s="129">
        <v>0.852946542601715</v>
      </c>
      <c r="R864" s="129">
        <v>0.870715603456646</v>
      </c>
      <c r="S864" s="131">
        <v>0.9</v>
      </c>
      <c r="T864" s="129">
        <v>0.739081466649981</v>
      </c>
      <c r="U864" s="129">
        <v>0.860816944024206</v>
      </c>
      <c r="V864" s="129">
        <v>0.831964969896004</v>
      </c>
      <c r="W864" s="129">
        <v>0.85181409198304</v>
      </c>
      <c r="X864" s="131">
        <v>0.92</v>
      </c>
      <c r="Y864" s="131">
        <v>0.872752420470263</v>
      </c>
      <c r="Z864" s="131">
        <v>0.875124875124875</v>
      </c>
      <c r="AA864" s="131">
        <v>0.886340977068794</v>
      </c>
      <c r="AB864" s="131">
        <v>0.871147139221416</v>
      </c>
      <c r="AC864" s="131">
        <v>0.92</v>
      </c>
      <c r="AD864" s="129">
        <v>0.995283018867924</v>
      </c>
      <c r="AE864" s="129">
        <v>0.971544715447154</v>
      </c>
      <c r="AF864" s="129">
        <v>0.972972972972973</v>
      </c>
      <c r="AG864" s="129">
        <v>0.976637654603756</v>
      </c>
      <c r="AH864" s="131">
        <v>0.92</v>
      </c>
      <c r="AI864" s="129">
        <v>0.953375013245735</v>
      </c>
      <c r="AJ864" s="129">
        <v>0.946586158848119</v>
      </c>
      <c r="AK864" s="129">
        <v>0.960826650215916</v>
      </c>
      <c r="AL864" s="129">
        <v>0.956494116347163</v>
      </c>
      <c r="AM864" s="128">
        <v>0.99</v>
      </c>
      <c r="AN864" s="133">
        <v>1</v>
      </c>
      <c r="AO864" s="133">
        <v>1</v>
      </c>
      <c r="AP864" s="133">
        <v>1</v>
      </c>
      <c r="AQ864" s="133">
        <v>1</v>
      </c>
      <c r="AR864" s="153">
        <v>0.0810595228934205</v>
      </c>
      <c r="AS864" s="137">
        <v>0</v>
      </c>
      <c r="AT864" s="137">
        <v>0.037037037037037</v>
      </c>
      <c r="AU864" s="137">
        <v>0</v>
      </c>
      <c r="AV864" s="137">
        <v>0.0347826086956522</v>
      </c>
      <c r="AW864" s="93"/>
      <c r="AX864" s="91"/>
    </row>
    <row r="865" ht="14.5" spans="1:50">
      <c r="A865" s="89"/>
      <c r="B865" s="93"/>
      <c r="C865" s="148" t="s">
        <v>664</v>
      </c>
      <c r="D865" s="126" t="s">
        <v>665</v>
      </c>
      <c r="E865" s="171" t="s">
        <v>888</v>
      </c>
      <c r="F865" s="171" t="s">
        <v>888</v>
      </c>
      <c r="G865" s="171" t="s">
        <v>888</v>
      </c>
      <c r="H865" s="171" t="s">
        <v>888</v>
      </c>
      <c r="I865" s="128">
        <v>0.9</v>
      </c>
      <c r="J865" s="129">
        <v>0.761904761904762</v>
      </c>
      <c r="K865" s="129">
        <v>0.3125</v>
      </c>
      <c r="L865" s="130">
        <v>0.761904761904762</v>
      </c>
      <c r="M865" s="129">
        <v>0.723140495867769</v>
      </c>
      <c r="N865" s="131">
        <v>0.9</v>
      </c>
      <c r="O865" s="129">
        <v>0.912459283387622</v>
      </c>
      <c r="P865" s="129">
        <v>0.939001848428835</v>
      </c>
      <c r="Q865" s="129">
        <v>0.917847025495751</v>
      </c>
      <c r="R865" s="129">
        <v>0.929273958384817</v>
      </c>
      <c r="S865" s="131">
        <v>0.9</v>
      </c>
      <c r="T865" s="129">
        <v>0.871335504885994</v>
      </c>
      <c r="U865" s="129">
        <v>0.909426987060998</v>
      </c>
      <c r="V865" s="129">
        <v>0.91671388101983</v>
      </c>
      <c r="W865" s="129">
        <v>0.924084416547225</v>
      </c>
      <c r="X865" s="131">
        <v>0.92</v>
      </c>
      <c r="Y865" s="131">
        <v>0.912765957446809</v>
      </c>
      <c r="Z865" s="131">
        <v>0.915697674418605</v>
      </c>
      <c r="AA865" s="131">
        <v>0.897610921501707</v>
      </c>
      <c r="AB865" s="131">
        <v>0.897617177271537</v>
      </c>
      <c r="AC865" s="131">
        <v>0.92</v>
      </c>
      <c r="AD865" s="129">
        <v>0.934782608695652</v>
      </c>
      <c r="AE865" s="129">
        <v>0.978723404255319</v>
      </c>
      <c r="AF865" s="129">
        <v>0.980392156862745</v>
      </c>
      <c r="AG865" s="129">
        <v>0.9536</v>
      </c>
      <c r="AH865" s="131">
        <v>0.92</v>
      </c>
      <c r="AI865" s="129">
        <v>0.950444292549556</v>
      </c>
      <c r="AJ865" s="129">
        <v>0.951612903225806</v>
      </c>
      <c r="AK865" s="129">
        <v>0.956268221574344</v>
      </c>
      <c r="AL865" s="129">
        <v>0.958300419906041</v>
      </c>
      <c r="AM865" s="128">
        <v>0.99</v>
      </c>
      <c r="AN865" s="133">
        <v>1</v>
      </c>
      <c r="AO865" s="133">
        <v>1</v>
      </c>
      <c r="AP865" s="133">
        <v>1</v>
      </c>
      <c r="AQ865" s="133">
        <v>1</v>
      </c>
      <c r="AR865" s="153">
        <v>0.0810595228934205</v>
      </c>
      <c r="AS865" s="137">
        <v>0.142857142857143</v>
      </c>
      <c r="AT865" s="137">
        <v>0.0909090909090909</v>
      </c>
      <c r="AU865" s="137">
        <v>0.125</v>
      </c>
      <c r="AV865" s="137">
        <v>0.0481927710843374</v>
      </c>
      <c r="AW865" s="93"/>
      <c r="AX865" s="91"/>
    </row>
    <row r="866" ht="14.5" spans="1:50">
      <c r="A866" s="89"/>
      <c r="B866" s="93"/>
      <c r="C866" s="148" t="s">
        <v>664</v>
      </c>
      <c r="D866" s="126" t="s">
        <v>665</v>
      </c>
      <c r="E866" s="171" t="s">
        <v>889</v>
      </c>
      <c r="F866" s="171" t="s">
        <v>889</v>
      </c>
      <c r="G866" s="171" t="s">
        <v>889</v>
      </c>
      <c r="H866" s="171" t="s">
        <v>889</v>
      </c>
      <c r="I866" s="128">
        <v>0.9</v>
      </c>
      <c r="J866" s="129">
        <v>1</v>
      </c>
      <c r="K866" s="129">
        <v>1</v>
      </c>
      <c r="L866" s="130">
        <v>0.952380952380952</v>
      </c>
      <c r="M866" s="129">
        <v>0.987755102040816</v>
      </c>
      <c r="N866" s="131">
        <v>0.9</v>
      </c>
      <c r="O866" s="129">
        <v>0.978635990139688</v>
      </c>
      <c r="P866" s="129">
        <v>0.98995983935743</v>
      </c>
      <c r="Q866" s="129">
        <v>0.977955911823647</v>
      </c>
      <c r="R866" s="129">
        <v>0.895265360052852</v>
      </c>
      <c r="S866" s="131">
        <v>0.9</v>
      </c>
      <c r="T866" s="129">
        <v>0.940838126540674</v>
      </c>
      <c r="U866" s="129">
        <v>0.965863453815261</v>
      </c>
      <c r="V866" s="129">
        <v>0.948396793587174</v>
      </c>
      <c r="W866" s="129">
        <v>0.916185862144902</v>
      </c>
      <c r="X866" s="131">
        <v>0.92</v>
      </c>
      <c r="Y866" s="131">
        <v>0.819512195121951</v>
      </c>
      <c r="Z866" s="131">
        <v>0.906752411575563</v>
      </c>
      <c r="AA866" s="131">
        <v>0.888501742160279</v>
      </c>
      <c r="AB866" s="131">
        <v>0.832016314045373</v>
      </c>
      <c r="AC866" s="131">
        <v>0.92</v>
      </c>
      <c r="AD866" s="129">
        <v>1</v>
      </c>
      <c r="AE866" s="129">
        <v>0.982456140350877</v>
      </c>
      <c r="AF866" s="129">
        <v>0.989795918367347</v>
      </c>
      <c r="AG866" s="129">
        <v>0.986428848390849</v>
      </c>
      <c r="AH866" s="131">
        <v>0.92</v>
      </c>
      <c r="AI866" s="129">
        <v>0.957805907172996</v>
      </c>
      <c r="AJ866" s="129">
        <v>0.967865340474369</v>
      </c>
      <c r="AK866" s="129">
        <v>0.971966710468682</v>
      </c>
      <c r="AL866" s="129">
        <v>0.96053026888989</v>
      </c>
      <c r="AM866" s="128">
        <v>0.99</v>
      </c>
      <c r="AN866" s="133">
        <v>1</v>
      </c>
      <c r="AO866" s="133">
        <v>1</v>
      </c>
      <c r="AP866" s="133">
        <v>1</v>
      </c>
      <c r="AQ866" s="133">
        <v>1</v>
      </c>
      <c r="AR866" s="153">
        <v>0.0810595228934205</v>
      </c>
      <c r="AS866" s="137">
        <v>0</v>
      </c>
      <c r="AT866" s="137">
        <v>0</v>
      </c>
      <c r="AU866" s="137">
        <v>0</v>
      </c>
      <c r="AV866" s="137">
        <v>0.0555555555555556</v>
      </c>
      <c r="AW866" s="93"/>
      <c r="AX866" s="91"/>
    </row>
    <row r="867" ht="14.5" spans="1:50">
      <c r="A867" s="89"/>
      <c r="B867" s="93"/>
      <c r="C867" s="148" t="s">
        <v>664</v>
      </c>
      <c r="D867" s="126" t="s">
        <v>665</v>
      </c>
      <c r="E867" s="171" t="s">
        <v>890</v>
      </c>
      <c r="F867" s="171" t="s">
        <v>890</v>
      </c>
      <c r="G867" s="171" t="s">
        <v>890</v>
      </c>
      <c r="H867" s="171" t="s">
        <v>890</v>
      </c>
      <c r="I867" s="128">
        <v>0.9</v>
      </c>
      <c r="J867" s="129">
        <v>0.967741935483871</v>
      </c>
      <c r="K867" s="129">
        <v>0.863636363636364</v>
      </c>
      <c r="L867" s="130">
        <v>0.964285714285714</v>
      </c>
      <c r="M867" s="129">
        <v>0.954819277108434</v>
      </c>
      <c r="N867" s="131">
        <v>0.9</v>
      </c>
      <c r="O867" s="129">
        <v>0.988441330998249</v>
      </c>
      <c r="P867" s="129">
        <v>0.98116169544741</v>
      </c>
      <c r="Q867" s="129">
        <v>0.992026856903063</v>
      </c>
      <c r="R867" s="129">
        <v>0.911324624031597</v>
      </c>
      <c r="S867" s="131">
        <v>0.9</v>
      </c>
      <c r="T867" s="129">
        <v>0.928196147110333</v>
      </c>
      <c r="U867" s="129">
        <v>0.940345368916798</v>
      </c>
      <c r="V867" s="129">
        <v>0.950062945866555</v>
      </c>
      <c r="W867" s="129">
        <v>0.938819687072763</v>
      </c>
      <c r="X867" s="131">
        <v>0.92</v>
      </c>
      <c r="Y867" s="131">
        <v>0.948121645796064</v>
      </c>
      <c r="Z867" s="131">
        <v>0.917525773195876</v>
      </c>
      <c r="AA867" s="131">
        <v>0.94488188976378</v>
      </c>
      <c r="AB867" s="131">
        <v>0.921564569536424</v>
      </c>
      <c r="AC867" s="131">
        <v>0.92</v>
      </c>
      <c r="AD867" s="129">
        <v>0.987341772151899</v>
      </c>
      <c r="AE867" s="129">
        <v>1</v>
      </c>
      <c r="AF867" s="129">
        <v>1</v>
      </c>
      <c r="AG867" s="129">
        <v>0.987437185929648</v>
      </c>
      <c r="AH867" s="131">
        <v>0.92</v>
      </c>
      <c r="AI867" s="129">
        <v>0.971294669009959</v>
      </c>
      <c r="AJ867" s="129">
        <v>0.972322503008424</v>
      </c>
      <c r="AK867" s="129">
        <v>0.973950795947902</v>
      </c>
      <c r="AL867" s="129">
        <v>0.970832664848388</v>
      </c>
      <c r="AM867" s="128">
        <v>0.99</v>
      </c>
      <c r="AN867" s="133">
        <v>1</v>
      </c>
      <c r="AO867" s="133">
        <v>1</v>
      </c>
      <c r="AP867" s="133">
        <v>1</v>
      </c>
      <c r="AQ867" s="133">
        <v>1</v>
      </c>
      <c r="AR867" s="153">
        <v>0.0810595228934205</v>
      </c>
      <c r="AS867" s="137">
        <v>0</v>
      </c>
      <c r="AT867" s="137">
        <v>0</v>
      </c>
      <c r="AU867" s="137">
        <v>0</v>
      </c>
      <c r="AV867" s="137">
        <v>0.0392156862745098</v>
      </c>
      <c r="AW867" s="93"/>
      <c r="AX867" s="91"/>
    </row>
    <row r="868" ht="14.5" spans="1:50">
      <c r="A868" s="89"/>
      <c r="B868" s="93"/>
      <c r="C868" s="148" t="s">
        <v>664</v>
      </c>
      <c r="D868" s="126" t="s">
        <v>665</v>
      </c>
      <c r="E868" s="171" t="s">
        <v>891</v>
      </c>
      <c r="F868" s="171" t="s">
        <v>891</v>
      </c>
      <c r="G868" s="171" t="s">
        <v>891</v>
      </c>
      <c r="H868" s="171" t="s">
        <v>891</v>
      </c>
      <c r="I868" s="128">
        <v>0.9</v>
      </c>
      <c r="J868" s="129">
        <v>0.916666666666667</v>
      </c>
      <c r="K868" s="129">
        <v>0.866666666666667</v>
      </c>
      <c r="L868" s="130">
        <v>0.777777777777778</v>
      </c>
      <c r="M868" s="129">
        <v>0.844827586206897</v>
      </c>
      <c r="N868" s="131">
        <v>0.9</v>
      </c>
      <c r="O868" s="129">
        <v>0.839310156036135</v>
      </c>
      <c r="P868" s="129">
        <v>0.901664145234493</v>
      </c>
      <c r="Q868" s="129">
        <v>0.882790697674419</v>
      </c>
      <c r="R868" s="129">
        <v>0.836151340863419</v>
      </c>
      <c r="S868" s="131">
        <v>0.9</v>
      </c>
      <c r="T868" s="129">
        <v>0.892143443744867</v>
      </c>
      <c r="U868" s="129">
        <v>0.928139183055976</v>
      </c>
      <c r="V868" s="129">
        <v>0.913023255813953</v>
      </c>
      <c r="W868" s="129">
        <v>0.914351049823297</v>
      </c>
      <c r="X868" s="131">
        <v>0.92</v>
      </c>
      <c r="Y868" s="131">
        <v>0.821247892074199</v>
      </c>
      <c r="Z868" s="131">
        <v>1</v>
      </c>
      <c r="AA868" s="131">
        <v>0.875796178343949</v>
      </c>
      <c r="AB868" s="131">
        <v>0.777646827735219</v>
      </c>
      <c r="AC868" s="131">
        <v>0.92</v>
      </c>
      <c r="AD868" s="129">
        <v>0.0333333333333333</v>
      </c>
      <c r="AE868" s="129">
        <v>0.933333333333333</v>
      </c>
      <c r="AF868" s="129">
        <v>0.976190476190476</v>
      </c>
      <c r="AG868" s="129">
        <v>0.920855614973262</v>
      </c>
      <c r="AH868" s="131">
        <v>0.92</v>
      </c>
      <c r="AI868" s="129">
        <v>0.94135657089025</v>
      </c>
      <c r="AJ868" s="129">
        <v>0.958677685950413</v>
      </c>
      <c r="AK868" s="129">
        <v>0.951043916486681</v>
      </c>
      <c r="AL868" s="129">
        <v>0.941715261824822</v>
      </c>
      <c r="AM868" s="128">
        <v>0.99</v>
      </c>
      <c r="AN868" s="133">
        <v>1</v>
      </c>
      <c r="AO868" s="133">
        <v>1</v>
      </c>
      <c r="AP868" s="133">
        <v>1</v>
      </c>
      <c r="AQ868" s="133">
        <v>1</v>
      </c>
      <c r="AR868" s="153">
        <v>0.0810595228934205</v>
      </c>
      <c r="AS868" s="137">
        <v>0.0769230769230769</v>
      </c>
      <c r="AT868" s="137">
        <v>0</v>
      </c>
      <c r="AU868" s="137">
        <v>0.1</v>
      </c>
      <c r="AV868" s="137">
        <v>0.045045045045045</v>
      </c>
      <c r="AW868" s="93"/>
      <c r="AX868" s="91"/>
    </row>
    <row r="869" ht="14.5" spans="1:50">
      <c r="A869" s="89"/>
      <c r="B869" s="93"/>
      <c r="C869" s="148" t="s">
        <v>664</v>
      </c>
      <c r="D869" s="126" t="s">
        <v>665</v>
      </c>
      <c r="E869" s="171" t="s">
        <v>892</v>
      </c>
      <c r="F869" s="171" t="s">
        <v>892</v>
      </c>
      <c r="G869" s="171" t="s">
        <v>892</v>
      </c>
      <c r="H869" s="171" t="s">
        <v>892</v>
      </c>
      <c r="I869" s="128">
        <v>0.9</v>
      </c>
      <c r="J869" s="129">
        <v>1</v>
      </c>
      <c r="K869" s="129">
        <v>1</v>
      </c>
      <c r="L869" s="130">
        <v>1</v>
      </c>
      <c r="M869" s="129">
        <v>0.985416666666667</v>
      </c>
      <c r="N869" s="131">
        <v>0.9</v>
      </c>
      <c r="O869" s="129">
        <v>0.805983205038488</v>
      </c>
      <c r="P869" s="129">
        <v>0.987193973634652</v>
      </c>
      <c r="Q869" s="129">
        <v>0.960997732426304</v>
      </c>
      <c r="R869" s="129">
        <v>0.941534713763703</v>
      </c>
      <c r="S869" s="131">
        <v>0.9</v>
      </c>
      <c r="T869" s="129">
        <v>0.893282015395381</v>
      </c>
      <c r="U869" s="129">
        <v>0.951035781544256</v>
      </c>
      <c r="V869" s="129">
        <v>0.915873015873016</v>
      </c>
      <c r="W869" s="129">
        <v>0.92285018270402</v>
      </c>
      <c r="X869" s="131">
        <v>0.92</v>
      </c>
      <c r="Y869" s="131">
        <v>0.914712153518124</v>
      </c>
      <c r="Z869" s="131">
        <v>0.912727272727273</v>
      </c>
      <c r="AA869" s="131">
        <v>0.937665782493369</v>
      </c>
      <c r="AB869" s="131">
        <v>0.910637709226726</v>
      </c>
      <c r="AC869" s="131">
        <v>0.92</v>
      </c>
      <c r="AD869" s="129">
        <v>1</v>
      </c>
      <c r="AE869" s="129">
        <v>0.962264150943396</v>
      </c>
      <c r="AF869" s="129">
        <v>0.991735537190083</v>
      </c>
      <c r="AG869" s="129">
        <v>0.982264665757162</v>
      </c>
      <c r="AH869" s="131">
        <v>0.92</v>
      </c>
      <c r="AI869" s="129">
        <v>0.959272617974151</v>
      </c>
      <c r="AJ869" s="129">
        <v>0.967816091954023</v>
      </c>
      <c r="AK869" s="129">
        <v>0.978698683191325</v>
      </c>
      <c r="AL869" s="129">
        <v>0.966631454669732</v>
      </c>
      <c r="AM869" s="128">
        <v>0.99</v>
      </c>
      <c r="AN869" s="133">
        <v>1</v>
      </c>
      <c r="AO869" s="133">
        <v>1</v>
      </c>
      <c r="AP869" s="133">
        <v>1</v>
      </c>
      <c r="AQ869" s="133">
        <v>1</v>
      </c>
      <c r="AR869" s="153">
        <v>0.0810595228934205</v>
      </c>
      <c r="AS869" s="137">
        <v>0</v>
      </c>
      <c r="AT869" s="137">
        <v>0.285714285714286</v>
      </c>
      <c r="AU869" s="137">
        <v>0</v>
      </c>
      <c r="AV869" s="137">
        <v>0.103174603174603</v>
      </c>
      <c r="AW869" s="93"/>
      <c r="AX869" s="91"/>
    </row>
    <row r="870" ht="14.5" spans="1:50">
      <c r="A870" s="89"/>
      <c r="B870" s="93"/>
      <c r="C870" s="148" t="s">
        <v>664</v>
      </c>
      <c r="D870" s="126" t="s">
        <v>665</v>
      </c>
      <c r="E870" s="171" t="s">
        <v>893</v>
      </c>
      <c r="F870" s="171" t="s">
        <v>893</v>
      </c>
      <c r="G870" s="171" t="s">
        <v>893</v>
      </c>
      <c r="H870" s="171" t="s">
        <v>893</v>
      </c>
      <c r="I870" s="128">
        <v>0.9</v>
      </c>
      <c r="J870" s="129">
        <v>0.866666666666667</v>
      </c>
      <c r="K870" s="129">
        <v>0.730769230769231</v>
      </c>
      <c r="L870" s="130">
        <v>0.838709677419355</v>
      </c>
      <c r="M870" s="129">
        <v>0.784153005464481</v>
      </c>
      <c r="N870" s="131">
        <v>0.9</v>
      </c>
      <c r="O870" s="129">
        <v>0.996683250414594</v>
      </c>
      <c r="P870" s="129">
        <v>0.99702380952381</v>
      </c>
      <c r="Q870" s="129">
        <v>0.995222929936306</v>
      </c>
      <c r="R870" s="129">
        <v>0.911817836090511</v>
      </c>
      <c r="S870" s="131">
        <v>0.9</v>
      </c>
      <c r="T870" s="129">
        <v>0.908374792703151</v>
      </c>
      <c r="U870" s="129">
        <v>0.920634920634921</v>
      </c>
      <c r="V870" s="129">
        <v>0.935244161358811</v>
      </c>
      <c r="W870" s="129">
        <v>0.926411865373645</v>
      </c>
      <c r="X870" s="131">
        <v>0.92</v>
      </c>
      <c r="Y870" s="131">
        <v>0.881481481481482</v>
      </c>
      <c r="Z870" s="131">
        <v>0.925925925925926</v>
      </c>
      <c r="AA870" s="131">
        <v>0.945098039215686</v>
      </c>
      <c r="AB870" s="131">
        <v>0.932897712993214</v>
      </c>
      <c r="AC870" s="131">
        <v>0.92</v>
      </c>
      <c r="AD870" s="129">
        <v>0.994011976047904</v>
      </c>
      <c r="AE870" s="129">
        <v>0.978571428571429</v>
      </c>
      <c r="AF870" s="129">
        <v>0.976</v>
      </c>
      <c r="AG870" s="129">
        <v>0.982415005861665</v>
      </c>
      <c r="AH870" s="131">
        <v>0.92</v>
      </c>
      <c r="AI870" s="129">
        <v>0.95630081300813</v>
      </c>
      <c r="AJ870" s="129">
        <v>0.966966966966967</v>
      </c>
      <c r="AK870" s="129">
        <v>0.973352033660589</v>
      </c>
      <c r="AL870" s="129">
        <v>0.973495902458525</v>
      </c>
      <c r="AM870" s="128">
        <v>0.99</v>
      </c>
      <c r="AN870" s="133">
        <v>1</v>
      </c>
      <c r="AO870" s="133">
        <v>1</v>
      </c>
      <c r="AP870" s="133" t="s">
        <v>33</v>
      </c>
      <c r="AQ870" s="133">
        <v>1</v>
      </c>
      <c r="AR870" s="153">
        <v>0.0810595228934205</v>
      </c>
      <c r="AS870" s="137">
        <v>0</v>
      </c>
      <c r="AT870" s="137">
        <v>0.25</v>
      </c>
      <c r="AU870" s="137">
        <v>0</v>
      </c>
      <c r="AV870" s="137">
        <v>0.0307692307692308</v>
      </c>
      <c r="AW870" s="93"/>
      <c r="AX870" s="91"/>
    </row>
    <row r="871" ht="14.5" spans="1:50">
      <c r="A871" s="89"/>
      <c r="B871" s="93"/>
      <c r="C871" s="148" t="s">
        <v>664</v>
      </c>
      <c r="D871" s="126" t="s">
        <v>665</v>
      </c>
      <c r="E871" s="171" t="s">
        <v>894</v>
      </c>
      <c r="F871" s="171" t="s">
        <v>894</v>
      </c>
      <c r="G871" s="171" t="s">
        <v>894</v>
      </c>
      <c r="H871" s="171" t="s">
        <v>894</v>
      </c>
      <c r="I871" s="128">
        <v>0.9</v>
      </c>
      <c r="J871" s="129">
        <v>0.925</v>
      </c>
      <c r="K871" s="129">
        <v>0.935483870967742</v>
      </c>
      <c r="L871" s="130">
        <v>0.891891891891892</v>
      </c>
      <c r="M871" s="129">
        <v>0.9</v>
      </c>
      <c r="N871" s="131">
        <v>0.9</v>
      </c>
      <c r="O871" s="129">
        <v>0.955986748698533</v>
      </c>
      <c r="P871" s="129">
        <v>0.955187231430325</v>
      </c>
      <c r="Q871" s="129">
        <v>0.959635811836115</v>
      </c>
      <c r="R871" s="129">
        <v>0.960127067586811</v>
      </c>
      <c r="S871" s="131">
        <v>0.9</v>
      </c>
      <c r="T871" s="129">
        <v>0.912920018930431</v>
      </c>
      <c r="U871" s="129">
        <v>0.907918968692449</v>
      </c>
      <c r="V871" s="129">
        <v>0.912291350531108</v>
      </c>
      <c r="W871" s="129">
        <v>0.920527987731405</v>
      </c>
      <c r="X871" s="131">
        <v>0.92</v>
      </c>
      <c r="Y871" s="131">
        <v>0.935419440745672</v>
      </c>
      <c r="Z871" s="131">
        <v>0.938624338624339</v>
      </c>
      <c r="AA871" s="131">
        <v>0.941510966693745</v>
      </c>
      <c r="AB871" s="131">
        <v>0.939904917545684</v>
      </c>
      <c r="AC871" s="131">
        <v>0.92</v>
      </c>
      <c r="AD871" s="129">
        <v>0.977658623771224</v>
      </c>
      <c r="AE871" s="129">
        <v>0.989737010904426</v>
      </c>
      <c r="AF871" s="129">
        <v>0.988998899889989</v>
      </c>
      <c r="AG871" s="129">
        <v>0.985285865702351</v>
      </c>
      <c r="AH871" s="131">
        <v>0.92</v>
      </c>
      <c r="AI871" s="129">
        <v>0.952696805725258</v>
      </c>
      <c r="AJ871" s="129">
        <v>0.95998445998446</v>
      </c>
      <c r="AK871" s="129">
        <v>0.971283410647228</v>
      </c>
      <c r="AL871" s="129">
        <v>0.96746390433148</v>
      </c>
      <c r="AM871" s="128">
        <v>0.99</v>
      </c>
      <c r="AN871" s="133">
        <v>1</v>
      </c>
      <c r="AO871" s="133">
        <v>1</v>
      </c>
      <c r="AP871" s="133">
        <v>1</v>
      </c>
      <c r="AQ871" s="133">
        <v>1</v>
      </c>
      <c r="AR871" s="153">
        <v>0.0810595228934205</v>
      </c>
      <c r="AS871" s="137">
        <v>0.05</v>
      </c>
      <c r="AT871" s="137">
        <v>-0.0344827586206897</v>
      </c>
      <c r="AU871" s="137">
        <v>0.0833333333333333</v>
      </c>
      <c r="AV871" s="137">
        <v>0.058641975308642</v>
      </c>
      <c r="AW871" s="93"/>
      <c r="AX871" s="91"/>
    </row>
    <row r="872" ht="14.5" spans="1:50">
      <c r="A872" s="89"/>
      <c r="B872" s="93"/>
      <c r="C872" s="148" t="s">
        <v>664</v>
      </c>
      <c r="D872" s="126" t="s">
        <v>665</v>
      </c>
      <c r="E872" s="171" t="s">
        <v>895</v>
      </c>
      <c r="F872" s="171" t="s">
        <v>895</v>
      </c>
      <c r="G872" s="171" t="s">
        <v>895</v>
      </c>
      <c r="H872" s="171" t="s">
        <v>895</v>
      </c>
      <c r="I872" s="128">
        <v>0.9</v>
      </c>
      <c r="J872" s="129">
        <v>0.847826086956522</v>
      </c>
      <c r="K872" s="129">
        <v>0.971428571428571</v>
      </c>
      <c r="L872" s="130">
        <v>0.921052631578947</v>
      </c>
      <c r="M872" s="129">
        <v>0.916839916839917</v>
      </c>
      <c r="N872" s="131">
        <v>0.9</v>
      </c>
      <c r="O872" s="129">
        <v>0.957302846476902</v>
      </c>
      <c r="P872" s="129">
        <v>0.974885844748858</v>
      </c>
      <c r="Q872" s="129">
        <v>0.963848562482209</v>
      </c>
      <c r="R872" s="129">
        <v>0.970621291722209</v>
      </c>
      <c r="S872" s="131">
        <v>0.9</v>
      </c>
      <c r="T872" s="129">
        <v>0.939570695286981</v>
      </c>
      <c r="U872" s="129">
        <v>0.958904109589041</v>
      </c>
      <c r="V872" s="129">
        <v>0.945061201252491</v>
      </c>
      <c r="W872" s="129">
        <v>0.951174886954703</v>
      </c>
      <c r="X872" s="131">
        <v>0.92</v>
      </c>
      <c r="Y872" s="131">
        <v>0.94755877034358</v>
      </c>
      <c r="Z872" s="131">
        <v>0.927582534611289</v>
      </c>
      <c r="AA872" s="131">
        <v>0.946428571428571</v>
      </c>
      <c r="AB872" s="131">
        <v>0.932292396022966</v>
      </c>
      <c r="AC872" s="131">
        <v>0.92</v>
      </c>
      <c r="AD872" s="129">
        <v>0.997337593184239</v>
      </c>
      <c r="AE872" s="129">
        <v>0.992631821321667</v>
      </c>
      <c r="AF872" s="129">
        <v>0.994137101623572</v>
      </c>
      <c r="AG872" s="129">
        <v>0.992141969072966</v>
      </c>
      <c r="AH872" s="131">
        <v>0.92</v>
      </c>
      <c r="AI872" s="129">
        <v>0.96990585070612</v>
      </c>
      <c r="AJ872" s="129">
        <v>0.968413229282794</v>
      </c>
      <c r="AK872" s="129">
        <v>0.977572016460905</v>
      </c>
      <c r="AL872" s="129">
        <v>0.972317351598174</v>
      </c>
      <c r="AM872" s="128">
        <v>0.99</v>
      </c>
      <c r="AN872" s="133">
        <v>1</v>
      </c>
      <c r="AO872" s="133">
        <v>1</v>
      </c>
      <c r="AP872" s="133">
        <v>1</v>
      </c>
      <c r="AQ872" s="133">
        <v>1</v>
      </c>
      <c r="AR872" s="153">
        <v>0.0810595228934205</v>
      </c>
      <c r="AS872" s="137">
        <v>0.0476190476190476</v>
      </c>
      <c r="AT872" s="137">
        <v>0</v>
      </c>
      <c r="AU872" s="137">
        <v>0</v>
      </c>
      <c r="AV872" s="137">
        <v>0.0492957746478873</v>
      </c>
      <c r="AW872" s="93"/>
      <c r="AX872" s="91"/>
    </row>
    <row r="873" ht="14.5" spans="1:50">
      <c r="A873" s="89"/>
      <c r="B873" s="93"/>
      <c r="C873" s="148" t="s">
        <v>664</v>
      </c>
      <c r="D873" s="126" t="s">
        <v>665</v>
      </c>
      <c r="E873" s="171" t="s">
        <v>896</v>
      </c>
      <c r="F873" s="171" t="s">
        <v>896</v>
      </c>
      <c r="G873" s="171" t="s">
        <v>896</v>
      </c>
      <c r="H873" s="171" t="s">
        <v>896</v>
      </c>
      <c r="I873" s="128">
        <v>0.9</v>
      </c>
      <c r="J873" s="129">
        <v>0.963636363636364</v>
      </c>
      <c r="K873" s="129">
        <v>0.9</v>
      </c>
      <c r="L873" s="130">
        <v>0.962962962962963</v>
      </c>
      <c r="M873" s="129">
        <v>0.931323283082077</v>
      </c>
      <c r="N873" s="131">
        <v>0.9</v>
      </c>
      <c r="O873" s="129">
        <v>0.961618690029203</v>
      </c>
      <c r="P873" s="129">
        <v>0.974727452923687</v>
      </c>
      <c r="Q873" s="129">
        <v>0.974528782475802</v>
      </c>
      <c r="R873" s="129">
        <v>0.968417652894087</v>
      </c>
      <c r="S873" s="131">
        <v>0.9</v>
      </c>
      <c r="T873" s="129">
        <v>0.906341259908219</v>
      </c>
      <c r="U873" s="129">
        <v>0.951437066402379</v>
      </c>
      <c r="V873" s="129">
        <v>0.939123790117168</v>
      </c>
      <c r="W873" s="129">
        <v>0.924077790850578</v>
      </c>
      <c r="X873" s="131">
        <v>0.92</v>
      </c>
      <c r="Y873" s="131">
        <v>0.950516585100598</v>
      </c>
      <c r="Z873" s="131">
        <v>0.946691176470588</v>
      </c>
      <c r="AA873" s="131">
        <v>0.962912087912088</v>
      </c>
      <c r="AB873" s="131">
        <v>0.949754232659749</v>
      </c>
      <c r="AC873" s="131">
        <v>0.92</v>
      </c>
      <c r="AD873" s="129">
        <v>0.997052321296979</v>
      </c>
      <c r="AE873" s="129">
        <v>0.995820668693009</v>
      </c>
      <c r="AF873" s="129">
        <v>0.993411910031396</v>
      </c>
      <c r="AG873" s="129">
        <v>0.99513658355977</v>
      </c>
      <c r="AH873" s="131">
        <v>0.92</v>
      </c>
      <c r="AI873" s="129">
        <v>0.974227581009797</v>
      </c>
      <c r="AJ873" s="129">
        <v>0.972338372467031</v>
      </c>
      <c r="AK873" s="129">
        <v>0.983283803863299</v>
      </c>
      <c r="AL873" s="129">
        <v>0.976363089669918</v>
      </c>
      <c r="AM873" s="128">
        <v>0.99</v>
      </c>
      <c r="AN873" s="133">
        <v>1</v>
      </c>
      <c r="AO873" s="133">
        <v>1</v>
      </c>
      <c r="AP873" s="133">
        <v>1</v>
      </c>
      <c r="AQ873" s="133">
        <v>1</v>
      </c>
      <c r="AR873" s="153">
        <v>0.0810595228934205</v>
      </c>
      <c r="AS873" s="137">
        <v>0.0588235294117647</v>
      </c>
      <c r="AT873" s="137">
        <v>0</v>
      </c>
      <c r="AU873" s="137">
        <v>0</v>
      </c>
      <c r="AV873" s="137">
        <v>0.0569620253164557</v>
      </c>
      <c r="AW873" s="93"/>
      <c r="AX873" s="91"/>
    </row>
    <row r="874" ht="14.5" spans="1:50">
      <c r="A874" s="89"/>
      <c r="B874" s="93"/>
      <c r="C874" s="148" t="s">
        <v>664</v>
      </c>
      <c r="D874" s="126" t="s">
        <v>665</v>
      </c>
      <c r="E874" s="171" t="s">
        <v>897</v>
      </c>
      <c r="F874" s="171" t="s">
        <v>897</v>
      </c>
      <c r="G874" s="171" t="s">
        <v>897</v>
      </c>
      <c r="H874" s="171" t="s">
        <v>897</v>
      </c>
      <c r="I874" s="128">
        <v>0.9</v>
      </c>
      <c r="J874" s="129">
        <v>1</v>
      </c>
      <c r="K874" s="129">
        <v>0.972972972972973</v>
      </c>
      <c r="L874" s="130">
        <v>0.978260869565217</v>
      </c>
      <c r="M874" s="129">
        <v>0.973782771535581</v>
      </c>
      <c r="N874" s="131">
        <v>0.9</v>
      </c>
      <c r="O874" s="129">
        <v>0.969638085984941</v>
      </c>
      <c r="P874" s="129">
        <v>0.985700197238659</v>
      </c>
      <c r="Q874" s="129">
        <v>0.977127659574468</v>
      </c>
      <c r="R874" s="129">
        <v>0.976422516623522</v>
      </c>
      <c r="S874" s="131">
        <v>0.9</v>
      </c>
      <c r="T874" s="129">
        <v>0.957979111003158</v>
      </c>
      <c r="U874" s="129">
        <v>0.968441814595661</v>
      </c>
      <c r="V874" s="129">
        <v>0.955053191489362</v>
      </c>
      <c r="W874" s="129">
        <v>0.964164255621542</v>
      </c>
      <c r="X874" s="131">
        <v>0.92</v>
      </c>
      <c r="Y874" s="131">
        <v>0.965314520870076</v>
      </c>
      <c r="Z874" s="131">
        <v>0.965881397238018</v>
      </c>
      <c r="AA874" s="131">
        <v>0.973736047275115</v>
      </c>
      <c r="AB874" s="131">
        <v>0.965848134461795</v>
      </c>
      <c r="AC874" s="131">
        <v>0.92</v>
      </c>
      <c r="AD874" s="129">
        <v>0.996963514731698</v>
      </c>
      <c r="AE874" s="129">
        <v>0.992400273981539</v>
      </c>
      <c r="AF874" s="129">
        <v>0.994997748987044</v>
      </c>
      <c r="AG874" s="129">
        <v>0.994781126087564</v>
      </c>
      <c r="AH874" s="131">
        <v>0.92</v>
      </c>
      <c r="AI874" s="129">
        <v>0.980921278789962</v>
      </c>
      <c r="AJ874" s="129">
        <v>0.979134703896901</v>
      </c>
      <c r="AK874" s="129">
        <v>0.984667802385009</v>
      </c>
      <c r="AL874" s="129">
        <v>0.982772122161316</v>
      </c>
      <c r="AM874" s="128">
        <v>0.99</v>
      </c>
      <c r="AN874" s="133">
        <v>1</v>
      </c>
      <c r="AO874" s="133">
        <v>1</v>
      </c>
      <c r="AP874" s="133">
        <v>1</v>
      </c>
      <c r="AQ874" s="133">
        <v>1</v>
      </c>
      <c r="AR874" s="153">
        <v>0.0810595228934205</v>
      </c>
      <c r="AS874" s="137">
        <v>0</v>
      </c>
      <c r="AT874" s="137">
        <v>0</v>
      </c>
      <c r="AU874" s="137">
        <v>0.1</v>
      </c>
      <c r="AV874" s="137">
        <v>0.046242774566474</v>
      </c>
      <c r="AW874" s="93"/>
      <c r="AX874" s="91"/>
    </row>
    <row r="875" ht="14.5" spans="1:50">
      <c r="A875" s="89"/>
      <c r="B875" s="93"/>
      <c r="C875" s="148" t="s">
        <v>664</v>
      </c>
      <c r="D875" s="126" t="s">
        <v>665</v>
      </c>
      <c r="E875" s="171" t="s">
        <v>898</v>
      </c>
      <c r="F875" s="171" t="s">
        <v>898</v>
      </c>
      <c r="G875" s="171" t="s">
        <v>898</v>
      </c>
      <c r="H875" s="171" t="s">
        <v>898</v>
      </c>
      <c r="I875" s="128">
        <v>0.9</v>
      </c>
      <c r="J875" s="129">
        <v>0.972972972972973</v>
      </c>
      <c r="K875" s="129">
        <v>0.923076923076923</v>
      </c>
      <c r="L875" s="130">
        <v>0.90625</v>
      </c>
      <c r="M875" s="129">
        <v>0.931398416886544</v>
      </c>
      <c r="N875" s="131">
        <v>0.9</v>
      </c>
      <c r="O875" s="129">
        <v>0.982148083113843</v>
      </c>
      <c r="P875" s="129">
        <v>0.983320697498105</v>
      </c>
      <c r="Q875" s="129">
        <v>0.981545961002785</v>
      </c>
      <c r="R875" s="129">
        <v>0.979448418027923</v>
      </c>
      <c r="S875" s="131">
        <v>0.9</v>
      </c>
      <c r="T875" s="129">
        <v>0.952297336845186</v>
      </c>
      <c r="U875" s="129">
        <v>0.965883244882487</v>
      </c>
      <c r="V875" s="129">
        <v>0.956824512534819</v>
      </c>
      <c r="W875" s="129">
        <v>0.961114407970766</v>
      </c>
      <c r="X875" s="131">
        <v>0.92</v>
      </c>
      <c r="Y875" s="131">
        <v>0.950276243093923</v>
      </c>
      <c r="Z875" s="131">
        <v>0.89280868385346</v>
      </c>
      <c r="AA875" s="131">
        <v>0.93495145631068</v>
      </c>
      <c r="AB875" s="131">
        <v>0.93736757352318</v>
      </c>
      <c r="AC875" s="131">
        <v>0.92</v>
      </c>
      <c r="AD875" s="129">
        <v>1</v>
      </c>
      <c r="AE875" s="129">
        <v>0.988416988416988</v>
      </c>
      <c r="AF875" s="129">
        <v>1</v>
      </c>
      <c r="AG875" s="129">
        <v>0.988859180035651</v>
      </c>
      <c r="AH875" s="131">
        <v>0.92</v>
      </c>
      <c r="AI875" s="129">
        <v>0.975890761681246</v>
      </c>
      <c r="AJ875" s="129">
        <v>0.95478852698104</v>
      </c>
      <c r="AK875" s="129">
        <v>0.97565351101999</v>
      </c>
      <c r="AL875" s="129">
        <v>0.975860180706398</v>
      </c>
      <c r="AM875" s="128">
        <v>0.99</v>
      </c>
      <c r="AN875" s="133">
        <v>1</v>
      </c>
      <c r="AO875" s="133">
        <v>1</v>
      </c>
      <c r="AP875" s="133">
        <v>1</v>
      </c>
      <c r="AQ875" s="133">
        <v>1</v>
      </c>
      <c r="AR875" s="153">
        <v>0.0810595228934205</v>
      </c>
      <c r="AS875" s="137">
        <v>0</v>
      </c>
      <c r="AT875" s="137">
        <v>0</v>
      </c>
      <c r="AU875" s="137">
        <v>-0.0625</v>
      </c>
      <c r="AV875" s="137">
        <v>0.0236686390532544</v>
      </c>
      <c r="AW875" s="93"/>
      <c r="AX875" s="91"/>
    </row>
    <row r="876" ht="14.5" spans="1:50">
      <c r="A876" s="89"/>
      <c r="B876" s="93"/>
      <c r="C876" s="148" t="s">
        <v>664</v>
      </c>
      <c r="D876" s="126" t="s">
        <v>665</v>
      </c>
      <c r="E876" s="171" t="s">
        <v>899</v>
      </c>
      <c r="F876" s="171" t="s">
        <v>899</v>
      </c>
      <c r="G876" s="171" t="s">
        <v>899</v>
      </c>
      <c r="H876" s="171" t="s">
        <v>899</v>
      </c>
      <c r="I876" s="128">
        <v>0.9</v>
      </c>
      <c r="J876" s="129">
        <v>0.833333333333333</v>
      </c>
      <c r="K876" s="129">
        <v>0.904761904761905</v>
      </c>
      <c r="L876" s="130">
        <v>0.88135593220339</v>
      </c>
      <c r="M876" s="129">
        <v>0.871212121212121</v>
      </c>
      <c r="N876" s="131">
        <v>0.9</v>
      </c>
      <c r="O876" s="129">
        <v>0.93349906774394</v>
      </c>
      <c r="P876" s="129">
        <v>0.927739863508631</v>
      </c>
      <c r="Q876" s="129">
        <v>0.949196787148594</v>
      </c>
      <c r="R876" s="129">
        <v>0.946375481739769</v>
      </c>
      <c r="S876" s="131">
        <v>0.9</v>
      </c>
      <c r="T876" s="129">
        <v>0.893878185208204</v>
      </c>
      <c r="U876" s="129">
        <v>0.90606182256122</v>
      </c>
      <c r="V876" s="129">
        <v>0.914056224899598</v>
      </c>
      <c r="W876" s="129">
        <v>0.916553496054322</v>
      </c>
      <c r="X876" s="131">
        <v>0.92</v>
      </c>
      <c r="Y876" s="131">
        <v>0.935121107266436</v>
      </c>
      <c r="Z876" s="131">
        <v>0.916788321167883</v>
      </c>
      <c r="AA876" s="131">
        <v>0.939911797133407</v>
      </c>
      <c r="AB876" s="131">
        <v>0.930542871638762</v>
      </c>
      <c r="AC876" s="131">
        <v>0.92</v>
      </c>
      <c r="AD876" s="129">
        <v>0.998095238095238</v>
      </c>
      <c r="AE876" s="129">
        <v>0.996732026143791</v>
      </c>
      <c r="AF876" s="129">
        <v>0.996655518394649</v>
      </c>
      <c r="AG876" s="129">
        <v>0.98859455481972</v>
      </c>
      <c r="AH876" s="131">
        <v>0.92</v>
      </c>
      <c r="AI876" s="129">
        <v>0.967561393489435</v>
      </c>
      <c r="AJ876" s="129">
        <v>0.95074780814853</v>
      </c>
      <c r="AK876" s="129">
        <v>0.974268489927952</v>
      </c>
      <c r="AL876" s="129">
        <v>0.967640721788311</v>
      </c>
      <c r="AM876" s="128">
        <v>0.99</v>
      </c>
      <c r="AN876" s="133">
        <v>1</v>
      </c>
      <c r="AO876" s="133">
        <v>1</v>
      </c>
      <c r="AP876" s="133">
        <v>1</v>
      </c>
      <c r="AQ876" s="133">
        <v>1</v>
      </c>
      <c r="AR876" s="153">
        <v>0.0810595228934205</v>
      </c>
      <c r="AS876" s="137">
        <v>0.08</v>
      </c>
      <c r="AT876" s="137">
        <v>0.103448275862069</v>
      </c>
      <c r="AU876" s="137">
        <v>0.0303030303030303</v>
      </c>
      <c r="AV876" s="137">
        <v>0.0925266903914591</v>
      </c>
      <c r="AW876" s="93"/>
      <c r="AX876" s="91"/>
    </row>
    <row r="877" ht="14.5" spans="1:50">
      <c r="A877" s="89"/>
      <c r="B877" s="93"/>
      <c r="C877" s="148" t="s">
        <v>664</v>
      </c>
      <c r="D877" s="126" t="s">
        <v>665</v>
      </c>
      <c r="E877" s="171" t="s">
        <v>900</v>
      </c>
      <c r="F877" s="171" t="s">
        <v>900</v>
      </c>
      <c r="G877" s="171" t="s">
        <v>900</v>
      </c>
      <c r="H877" s="171" t="s">
        <v>900</v>
      </c>
      <c r="I877" s="128">
        <v>0.9</v>
      </c>
      <c r="J877" s="129">
        <v>0.866666666666667</v>
      </c>
      <c r="K877" s="129">
        <v>0.939393939393939</v>
      </c>
      <c r="L877" s="130">
        <v>0.975</v>
      </c>
      <c r="M877" s="129">
        <v>0.879237288135593</v>
      </c>
      <c r="N877" s="131">
        <v>0.9</v>
      </c>
      <c r="O877" s="129">
        <v>0.941452468380253</v>
      </c>
      <c r="P877" s="129">
        <v>0.969238790406674</v>
      </c>
      <c r="Q877" s="129">
        <v>0.925833124530193</v>
      </c>
      <c r="R877" s="129">
        <v>0.94233199310741</v>
      </c>
      <c r="S877" s="131">
        <v>0.9</v>
      </c>
      <c r="T877" s="129">
        <v>0.9265605875153</v>
      </c>
      <c r="U877" s="129">
        <v>0.938477580813347</v>
      </c>
      <c r="V877" s="129">
        <v>0.920320721623653</v>
      </c>
      <c r="W877" s="129">
        <v>0.929052268811028</v>
      </c>
      <c r="X877" s="131">
        <v>0.92</v>
      </c>
      <c r="Y877" s="131">
        <v>0.939252336448598</v>
      </c>
      <c r="Z877" s="131">
        <v>0.938223938223938</v>
      </c>
      <c r="AA877" s="131">
        <v>0.946341463414634</v>
      </c>
      <c r="AB877" s="131">
        <v>0.935399361022364</v>
      </c>
      <c r="AC877" s="131">
        <v>0.92</v>
      </c>
      <c r="AD877" s="129">
        <v>0.994094488188976</v>
      </c>
      <c r="AE877" s="129">
        <v>0.995590230664858</v>
      </c>
      <c r="AF877" s="129">
        <v>0.995492594977463</v>
      </c>
      <c r="AG877" s="129">
        <v>0.996863018473336</v>
      </c>
      <c r="AH877" s="131">
        <v>0.92</v>
      </c>
      <c r="AI877" s="129">
        <v>0.971126228269085</v>
      </c>
      <c r="AJ877" s="129">
        <v>0.95530353569046</v>
      </c>
      <c r="AK877" s="129">
        <v>0.97493549576115</v>
      </c>
      <c r="AL877" s="129">
        <v>0.971304142331454</v>
      </c>
      <c r="AM877" s="128">
        <v>0.99</v>
      </c>
      <c r="AN877" s="133">
        <v>1</v>
      </c>
      <c r="AO877" s="133">
        <v>1</v>
      </c>
      <c r="AP877" s="133">
        <v>1</v>
      </c>
      <c r="AQ877" s="133">
        <v>1</v>
      </c>
      <c r="AR877" s="153">
        <v>0.0810595228934205</v>
      </c>
      <c r="AS877" s="137">
        <v>0.0344827586206897</v>
      </c>
      <c r="AT877" s="137">
        <v>0.0434782608695652</v>
      </c>
      <c r="AU877" s="137">
        <v>-0.0294117647058824</v>
      </c>
      <c r="AV877" s="137">
        <v>0.0269461077844311</v>
      </c>
      <c r="AW877" s="93"/>
      <c r="AX877" s="91"/>
    </row>
    <row r="878" ht="14.5" spans="1:50">
      <c r="A878" s="89"/>
      <c r="B878" s="93"/>
      <c r="C878" s="148" t="s">
        <v>664</v>
      </c>
      <c r="D878" s="126" t="s">
        <v>665</v>
      </c>
      <c r="E878" s="171" t="s">
        <v>901</v>
      </c>
      <c r="F878" s="171" t="s">
        <v>901</v>
      </c>
      <c r="G878" s="171" t="s">
        <v>901</v>
      </c>
      <c r="H878" s="171" t="s">
        <v>901</v>
      </c>
      <c r="I878" s="128">
        <v>0.9</v>
      </c>
      <c r="J878" s="129">
        <v>1</v>
      </c>
      <c r="K878" s="129">
        <v>1</v>
      </c>
      <c r="L878" s="130">
        <v>1</v>
      </c>
      <c r="M878" s="129">
        <v>0.995121951219512</v>
      </c>
      <c r="N878" s="131">
        <v>0.9</v>
      </c>
      <c r="O878" s="129">
        <v>0.97037037037037</v>
      </c>
      <c r="P878" s="129">
        <v>0.941653160453809</v>
      </c>
      <c r="Q878" s="129">
        <v>0.946428571428571</v>
      </c>
      <c r="R878" s="129">
        <v>0.969699037739712</v>
      </c>
      <c r="S878" s="131">
        <v>0.9</v>
      </c>
      <c r="T878" s="129">
        <v>0.917283950617284</v>
      </c>
      <c r="U878" s="129">
        <v>0.93192868719611</v>
      </c>
      <c r="V878" s="129">
        <v>0.912202380952381</v>
      </c>
      <c r="W878" s="129">
        <v>0.938783866784959</v>
      </c>
      <c r="X878" s="131">
        <v>0.92</v>
      </c>
      <c r="Y878" s="131">
        <v>0.94392523364486</v>
      </c>
      <c r="Z878" s="131">
        <v>0.951566951566952</v>
      </c>
      <c r="AA878" s="131">
        <v>0.952674897119342</v>
      </c>
      <c r="AB878" s="131">
        <v>0.945400149588631</v>
      </c>
      <c r="AC878" s="131">
        <v>0.92</v>
      </c>
      <c r="AD878" s="129">
        <v>0.994117647058824</v>
      </c>
      <c r="AE878" s="129">
        <v>0.997202797202797</v>
      </c>
      <c r="AF878" s="129">
        <v>0.997361477572559</v>
      </c>
      <c r="AG878" s="129">
        <v>0.996083385975995</v>
      </c>
      <c r="AH878" s="131">
        <v>0.92</v>
      </c>
      <c r="AI878" s="129">
        <v>0.974370304904993</v>
      </c>
      <c r="AJ878" s="129">
        <v>0.973140495867769</v>
      </c>
      <c r="AK878" s="129">
        <v>0.974330966684872</v>
      </c>
      <c r="AL878" s="129">
        <v>0.974861312409416</v>
      </c>
      <c r="AM878" s="128">
        <v>0.99</v>
      </c>
      <c r="AN878" s="133">
        <v>1</v>
      </c>
      <c r="AO878" s="133">
        <v>1</v>
      </c>
      <c r="AP878" s="133">
        <v>1</v>
      </c>
      <c r="AQ878" s="133">
        <v>1</v>
      </c>
      <c r="AR878" s="153">
        <v>0.0810595228934205</v>
      </c>
      <c r="AS878" s="137">
        <v>0</v>
      </c>
      <c r="AT878" s="137">
        <v>0</v>
      </c>
      <c r="AU878" s="137">
        <v>0</v>
      </c>
      <c r="AV878" s="137">
        <v>0.0102040816326531</v>
      </c>
      <c r="AW878" s="93"/>
      <c r="AX878" s="91"/>
    </row>
    <row r="879" ht="14.5" spans="1:50">
      <c r="A879" s="89"/>
      <c r="B879" s="93"/>
      <c r="C879" s="148" t="s">
        <v>664</v>
      </c>
      <c r="D879" s="126" t="s">
        <v>665</v>
      </c>
      <c r="E879" s="171" t="s">
        <v>902</v>
      </c>
      <c r="F879" s="171" t="s">
        <v>902</v>
      </c>
      <c r="G879" s="171" t="s">
        <v>902</v>
      </c>
      <c r="H879" s="171" t="s">
        <v>902</v>
      </c>
      <c r="I879" s="128">
        <v>0.9</v>
      </c>
      <c r="J879" s="129">
        <v>0.842105263157895</v>
      </c>
      <c r="K879" s="129">
        <v>0.827586206896552</v>
      </c>
      <c r="L879" s="130">
        <v>0.806451612903226</v>
      </c>
      <c r="M879" s="129">
        <v>0.822916666666667</v>
      </c>
      <c r="N879" s="131">
        <v>0.9</v>
      </c>
      <c r="O879" s="129">
        <v>0.972661870503597</v>
      </c>
      <c r="P879" s="129">
        <v>0.952076677316294</v>
      </c>
      <c r="Q879" s="129">
        <v>0.969029593943565</v>
      </c>
      <c r="R879" s="129">
        <v>0.976452570115823</v>
      </c>
      <c r="S879" s="131">
        <v>0.9</v>
      </c>
      <c r="T879" s="129">
        <v>0.955971223021583</v>
      </c>
      <c r="U879" s="129">
        <v>0.955271565495208</v>
      </c>
      <c r="V879" s="129">
        <v>0.957673778389539</v>
      </c>
      <c r="W879" s="129">
        <v>0.965412718164704</v>
      </c>
      <c r="X879" s="131">
        <v>0.92</v>
      </c>
      <c r="Y879" s="131">
        <v>0.974242424242424</v>
      </c>
      <c r="Z879" s="131">
        <v>0.96218487394958</v>
      </c>
      <c r="AA879" s="131">
        <v>0.976937269372694</v>
      </c>
      <c r="AB879" s="131">
        <v>0.973270440251572</v>
      </c>
      <c r="AC879" s="131">
        <v>0.92</v>
      </c>
      <c r="AD879" s="129">
        <v>0.996932515337423</v>
      </c>
      <c r="AE879" s="129">
        <v>0.987179487179487</v>
      </c>
      <c r="AF879" s="129">
        <v>0.993710691823899</v>
      </c>
      <c r="AG879" s="129">
        <v>0.998084749820445</v>
      </c>
      <c r="AH879" s="131">
        <v>0.92</v>
      </c>
      <c r="AI879" s="129">
        <v>0.98582151793161</v>
      </c>
      <c r="AJ879" s="129">
        <v>0.977630910015252</v>
      </c>
      <c r="AK879" s="129">
        <v>0.988735919899875</v>
      </c>
      <c r="AL879" s="129">
        <v>0.989068996122764</v>
      </c>
      <c r="AM879" s="128">
        <v>0.99</v>
      </c>
      <c r="AN879" s="133">
        <v>1</v>
      </c>
      <c r="AO879" s="133">
        <v>1</v>
      </c>
      <c r="AP879" s="133">
        <v>1</v>
      </c>
      <c r="AQ879" s="133">
        <v>1</v>
      </c>
      <c r="AR879" s="153">
        <v>0.0810595228934205</v>
      </c>
      <c r="AS879" s="137">
        <v>0.0625</v>
      </c>
      <c r="AT879" s="137">
        <v>0.0588235294117647</v>
      </c>
      <c r="AU879" s="137">
        <v>0</v>
      </c>
      <c r="AV879" s="137">
        <v>0.0208333333333333</v>
      </c>
      <c r="AW879" s="93"/>
      <c r="AX879" s="91"/>
    </row>
    <row r="880" ht="14.5" spans="1:50">
      <c r="A880" s="89"/>
      <c r="B880" s="93"/>
      <c r="C880" s="148" t="s">
        <v>664</v>
      </c>
      <c r="D880" s="126" t="s">
        <v>665</v>
      </c>
      <c r="E880" s="171" t="s">
        <v>903</v>
      </c>
      <c r="F880" s="171" t="s">
        <v>903</v>
      </c>
      <c r="G880" s="171" t="s">
        <v>903</v>
      </c>
      <c r="H880" s="171" t="s">
        <v>903</v>
      </c>
      <c r="I880" s="128">
        <v>0.9</v>
      </c>
      <c r="J880" s="129">
        <v>1</v>
      </c>
      <c r="K880" s="129">
        <v>0.952380952380952</v>
      </c>
      <c r="L880" s="130">
        <v>0.956521739130435</v>
      </c>
      <c r="M880" s="129">
        <v>0.978947368421053</v>
      </c>
      <c r="N880" s="131">
        <v>0.9</v>
      </c>
      <c r="O880" s="129">
        <v>0.955690703735882</v>
      </c>
      <c r="P880" s="129">
        <v>0.954545454545455</v>
      </c>
      <c r="Q880" s="129">
        <v>0.955957086391869</v>
      </c>
      <c r="R880" s="129">
        <v>0.962463612685767</v>
      </c>
      <c r="S880" s="131">
        <v>0.9</v>
      </c>
      <c r="T880" s="129">
        <v>0.928323197219809</v>
      </c>
      <c r="U880" s="129">
        <v>0.947174447174447</v>
      </c>
      <c r="V880" s="129">
        <v>0.946922642574817</v>
      </c>
      <c r="W880" s="129">
        <v>0.951023951790001</v>
      </c>
      <c r="X880" s="131">
        <v>0.92</v>
      </c>
      <c r="Y880" s="131">
        <v>0.941759603469641</v>
      </c>
      <c r="Z880" s="131">
        <v>0.942222222222222</v>
      </c>
      <c r="AA880" s="131">
        <v>0.947368421052632</v>
      </c>
      <c r="AB880" s="131">
        <v>0.942044984131365</v>
      </c>
      <c r="AC880" s="131">
        <v>0.92</v>
      </c>
      <c r="AD880" s="129">
        <v>0.997050147492625</v>
      </c>
      <c r="AE880" s="129">
        <v>1</v>
      </c>
      <c r="AF880" s="129">
        <v>0.998462720983859</v>
      </c>
      <c r="AG880" s="129">
        <v>0.998527968596663</v>
      </c>
      <c r="AH880" s="131">
        <v>0.92</v>
      </c>
      <c r="AI880" s="129">
        <v>0.963653908009006</v>
      </c>
      <c r="AJ880" s="129">
        <v>0.969936708860759</v>
      </c>
      <c r="AK880" s="129">
        <v>0.983864294580058</v>
      </c>
      <c r="AL880" s="129">
        <v>0.976593365635483</v>
      </c>
      <c r="AM880" s="128">
        <v>0.99</v>
      </c>
      <c r="AN880" s="133">
        <v>1</v>
      </c>
      <c r="AO880" s="133">
        <v>1</v>
      </c>
      <c r="AP880" s="133">
        <v>1</v>
      </c>
      <c r="AQ880" s="133">
        <v>1</v>
      </c>
      <c r="AR880" s="153">
        <v>0.0810595228934205</v>
      </c>
      <c r="AS880" s="137">
        <v>0.2</v>
      </c>
      <c r="AT880" s="137">
        <v>0</v>
      </c>
      <c r="AU880" s="137">
        <v>0</v>
      </c>
      <c r="AV880" s="137">
        <v>0.032258064516129</v>
      </c>
      <c r="AW880" s="93"/>
      <c r="AX880" s="91"/>
    </row>
    <row r="881" ht="14.5" spans="1:50">
      <c r="A881" s="89"/>
      <c r="B881" s="93"/>
      <c r="C881" s="148" t="s">
        <v>664</v>
      </c>
      <c r="D881" s="126" t="s">
        <v>665</v>
      </c>
      <c r="E881" s="171" t="s">
        <v>904</v>
      </c>
      <c r="F881" s="171" t="s">
        <v>904</v>
      </c>
      <c r="G881" s="171" t="s">
        <v>904</v>
      </c>
      <c r="H881" s="171" t="s">
        <v>904</v>
      </c>
      <c r="I881" s="128">
        <v>0.9</v>
      </c>
      <c r="J881" s="129">
        <v>1</v>
      </c>
      <c r="K881" s="129">
        <v>0.904761904761905</v>
      </c>
      <c r="L881" s="130">
        <v>1</v>
      </c>
      <c r="M881" s="129">
        <v>0.892361111111111</v>
      </c>
      <c r="N881" s="131">
        <v>0.9</v>
      </c>
      <c r="O881" s="129">
        <v>0.980367050789586</v>
      </c>
      <c r="P881" s="129">
        <v>0.970524017467249</v>
      </c>
      <c r="Q881" s="129">
        <v>0.976294146105467</v>
      </c>
      <c r="R881" s="129">
        <v>0.983562968334542</v>
      </c>
      <c r="S881" s="131">
        <v>0.9</v>
      </c>
      <c r="T881" s="129">
        <v>0.948783610755442</v>
      </c>
      <c r="U881" s="129">
        <v>0.939956331877729</v>
      </c>
      <c r="V881" s="129">
        <v>0.952104499274311</v>
      </c>
      <c r="W881" s="129">
        <v>0.952139231327049</v>
      </c>
      <c r="X881" s="131">
        <v>0.92</v>
      </c>
      <c r="Y881" s="131">
        <v>0.951890034364261</v>
      </c>
      <c r="Z881" s="131">
        <v>0.94908350305499</v>
      </c>
      <c r="AA881" s="131">
        <v>0.958611481975968</v>
      </c>
      <c r="AB881" s="131">
        <v>0.946874161524014</v>
      </c>
      <c r="AC881" s="131">
        <v>0.92</v>
      </c>
      <c r="AD881" s="129">
        <v>1</v>
      </c>
      <c r="AE881" s="129">
        <v>1</v>
      </c>
      <c r="AF881" s="129">
        <v>1</v>
      </c>
      <c r="AG881" s="129">
        <v>1</v>
      </c>
      <c r="AH881" s="131">
        <v>0.92</v>
      </c>
      <c r="AI881" s="129">
        <v>0.979801118707272</v>
      </c>
      <c r="AJ881" s="129">
        <v>0.972992181947406</v>
      </c>
      <c r="AK881" s="129">
        <v>0.978715856686768</v>
      </c>
      <c r="AL881" s="129">
        <v>0.977623073097961</v>
      </c>
      <c r="AM881" s="128">
        <v>0.99</v>
      </c>
      <c r="AN881" s="133">
        <v>1</v>
      </c>
      <c r="AO881" s="133">
        <v>1</v>
      </c>
      <c r="AP881" s="133">
        <v>1</v>
      </c>
      <c r="AQ881" s="133">
        <v>1</v>
      </c>
      <c r="AR881" s="153">
        <v>0.0810595228934205</v>
      </c>
      <c r="AS881" s="137">
        <v>0</v>
      </c>
      <c r="AT881" s="137">
        <v>0</v>
      </c>
      <c r="AU881" s="137">
        <v>-0.125</v>
      </c>
      <c r="AV881" s="137">
        <v>0.0229885057471264</v>
      </c>
      <c r="AW881" s="93"/>
      <c r="AX881" s="91"/>
    </row>
    <row r="882" ht="14.5" spans="1:50">
      <c r="A882" s="89"/>
      <c r="B882" s="93"/>
      <c r="C882" s="148" t="s">
        <v>664</v>
      </c>
      <c r="D882" s="126" t="s">
        <v>665</v>
      </c>
      <c r="E882" s="171" t="s">
        <v>905</v>
      </c>
      <c r="F882" s="171" t="s">
        <v>905</v>
      </c>
      <c r="G882" s="171" t="s">
        <v>905</v>
      </c>
      <c r="H882" s="171" t="s">
        <v>905</v>
      </c>
      <c r="I882" s="128">
        <v>0.9</v>
      </c>
      <c r="J882" s="129">
        <v>0.896551724137931</v>
      </c>
      <c r="K882" s="129">
        <v>0.7</v>
      </c>
      <c r="L882" s="130">
        <v>0.892857142857143</v>
      </c>
      <c r="M882" s="129">
        <v>0.86038961038961</v>
      </c>
      <c r="N882" s="131">
        <v>0.9</v>
      </c>
      <c r="O882" s="129">
        <v>0.864436111912316</v>
      </c>
      <c r="P882" s="129">
        <v>0.923515052888527</v>
      </c>
      <c r="Q882" s="129">
        <v>0.904466019417476</v>
      </c>
      <c r="R882" s="129">
        <v>0.926611747851003</v>
      </c>
      <c r="S882" s="131">
        <v>0.9</v>
      </c>
      <c r="T882" s="129">
        <v>0.877992500721084</v>
      </c>
      <c r="U882" s="129">
        <v>0.910496338486574</v>
      </c>
      <c r="V882" s="129">
        <v>0.918058252427184</v>
      </c>
      <c r="W882" s="129">
        <v>0.911855300859599</v>
      </c>
      <c r="X882" s="131">
        <v>0.92</v>
      </c>
      <c r="Y882" s="131">
        <v>0.919270833333333</v>
      </c>
      <c r="Z882" s="131">
        <v>0.892171344165436</v>
      </c>
      <c r="AA882" s="131">
        <v>0.917460317460317</v>
      </c>
      <c r="AB882" s="131">
        <v>0.912978468899521</v>
      </c>
      <c r="AC882" s="131">
        <v>0.92</v>
      </c>
      <c r="AD882" s="129">
        <v>0.992343032159265</v>
      </c>
      <c r="AE882" s="129">
        <v>0.99647577092511</v>
      </c>
      <c r="AF882" s="129">
        <v>0.997093023255814</v>
      </c>
      <c r="AG882" s="129">
        <v>0.991491318845579</v>
      </c>
      <c r="AH882" s="131">
        <v>0.92</v>
      </c>
      <c r="AI882" s="129">
        <v>0.956295975768066</v>
      </c>
      <c r="AJ882" s="129">
        <v>0.934942287513116</v>
      </c>
      <c r="AK882" s="129">
        <v>0.960022682166147</v>
      </c>
      <c r="AL882" s="129">
        <v>0.960509688289806</v>
      </c>
      <c r="AM882" s="128">
        <v>0.99</v>
      </c>
      <c r="AN882" s="133">
        <v>1</v>
      </c>
      <c r="AO882" s="133">
        <v>1</v>
      </c>
      <c r="AP882" s="133">
        <v>1</v>
      </c>
      <c r="AQ882" s="133">
        <v>1</v>
      </c>
      <c r="AR882" s="153">
        <v>0.0810595228934205</v>
      </c>
      <c r="AS882" s="137">
        <v>0</v>
      </c>
      <c r="AT882" s="137">
        <v>0</v>
      </c>
      <c r="AU882" s="137">
        <v>0.111111111111111</v>
      </c>
      <c r="AV882" s="137">
        <v>0.0272108843537415</v>
      </c>
      <c r="AW882" s="93"/>
      <c r="AX882" s="91"/>
    </row>
    <row r="883" ht="14.5" spans="1:50">
      <c r="A883" s="89"/>
      <c r="B883" s="93"/>
      <c r="C883" s="148" t="s">
        <v>664</v>
      </c>
      <c r="D883" s="126" t="s">
        <v>665</v>
      </c>
      <c r="E883" s="171" t="s">
        <v>906</v>
      </c>
      <c r="F883" s="171" t="s">
        <v>906</v>
      </c>
      <c r="G883" s="171" t="s">
        <v>906</v>
      </c>
      <c r="H883" s="171" t="s">
        <v>906</v>
      </c>
      <c r="I883" s="128">
        <v>0.9</v>
      </c>
      <c r="J883" s="129">
        <v>0.984615384615385</v>
      </c>
      <c r="K883" s="129">
        <v>0.966666666666667</v>
      </c>
      <c r="L883" s="130">
        <v>0.983606557377049</v>
      </c>
      <c r="M883" s="129">
        <v>0.979942693409742</v>
      </c>
      <c r="N883" s="131">
        <v>0.9</v>
      </c>
      <c r="O883" s="129">
        <v>0.972704714640198</v>
      </c>
      <c r="P883" s="129">
        <v>0.975470155355683</v>
      </c>
      <c r="Q883" s="129">
        <v>0.980877666094631</v>
      </c>
      <c r="R883" s="129">
        <v>0.969170937227815</v>
      </c>
      <c r="S883" s="131">
        <v>0.9</v>
      </c>
      <c r="T883" s="129">
        <v>0.939914923785891</v>
      </c>
      <c r="U883" s="129">
        <v>0.939901880621423</v>
      </c>
      <c r="V883" s="129">
        <v>0.943368472664869</v>
      </c>
      <c r="W883" s="129">
        <v>0.936377078733618</v>
      </c>
      <c r="X883" s="131">
        <v>0.92</v>
      </c>
      <c r="Y883" s="131">
        <v>0.951550387596899</v>
      </c>
      <c r="Z883" s="131">
        <v>0.93910636615263</v>
      </c>
      <c r="AA883" s="131">
        <v>0.96198347107438</v>
      </c>
      <c r="AB883" s="131">
        <v>0.94948677384938</v>
      </c>
      <c r="AC883" s="131">
        <v>0.92</v>
      </c>
      <c r="AD883" s="129">
        <v>0.993849938499385</v>
      </c>
      <c r="AE883" s="129">
        <v>0.994845360824742</v>
      </c>
      <c r="AF883" s="129">
        <v>0.977507029053421</v>
      </c>
      <c r="AG883" s="129">
        <v>0.981520650116887</v>
      </c>
      <c r="AH883" s="131">
        <v>0.92</v>
      </c>
      <c r="AI883" s="129">
        <v>0.97141814643639</v>
      </c>
      <c r="AJ883" s="129">
        <v>0.958391959798995</v>
      </c>
      <c r="AK883" s="129">
        <v>0.981470977500473</v>
      </c>
      <c r="AL883" s="129">
        <v>0.970360791075581</v>
      </c>
      <c r="AM883" s="128">
        <v>0.99</v>
      </c>
      <c r="AN883" s="133">
        <v>1</v>
      </c>
      <c r="AO883" s="133">
        <v>1</v>
      </c>
      <c r="AP883" s="133">
        <v>1</v>
      </c>
      <c r="AQ883" s="133">
        <v>1</v>
      </c>
      <c r="AR883" s="153">
        <v>0.0810595228934205</v>
      </c>
      <c r="AS883" s="137">
        <v>0.0149253731343284</v>
      </c>
      <c r="AT883" s="137">
        <v>0</v>
      </c>
      <c r="AU883" s="137">
        <v>0.0263157894736842</v>
      </c>
      <c r="AV883" s="137">
        <v>0.00642398286937901</v>
      </c>
      <c r="AW883" s="93"/>
      <c r="AX883" s="91"/>
    </row>
    <row r="884" ht="14.5" spans="1:50">
      <c r="A884" s="89"/>
      <c r="B884" s="93"/>
      <c r="C884" s="148" t="s">
        <v>664</v>
      </c>
      <c r="D884" s="126" t="s">
        <v>665</v>
      </c>
      <c r="E884" s="171" t="s">
        <v>907</v>
      </c>
      <c r="F884" s="171" t="s">
        <v>907</v>
      </c>
      <c r="G884" s="171" t="s">
        <v>907</v>
      </c>
      <c r="H884" s="171" t="s">
        <v>907</v>
      </c>
      <c r="I884" s="128">
        <v>0.9</v>
      </c>
      <c r="J884" s="129" t="s">
        <v>33</v>
      </c>
      <c r="K884" s="129" t="s">
        <v>33</v>
      </c>
      <c r="L884" s="130" t="s">
        <v>33</v>
      </c>
      <c r="M884" s="129" t="s">
        <v>33</v>
      </c>
      <c r="N884" s="131">
        <v>0.9</v>
      </c>
      <c r="O884" s="129" t="s">
        <v>33</v>
      </c>
      <c r="P884" s="129" t="s">
        <v>33</v>
      </c>
      <c r="Q884" s="129" t="s">
        <v>33</v>
      </c>
      <c r="R884" s="129">
        <v>0</v>
      </c>
      <c r="S884" s="131">
        <v>0.9</v>
      </c>
      <c r="T884" s="129" t="s">
        <v>33</v>
      </c>
      <c r="U884" s="129" t="s">
        <v>33</v>
      </c>
      <c r="V884" s="129" t="s">
        <v>33</v>
      </c>
      <c r="W884" s="129">
        <v>1</v>
      </c>
      <c r="X884" s="131">
        <v>0.92</v>
      </c>
      <c r="Y884" s="131" t="s">
        <v>33</v>
      </c>
      <c r="Z884" s="131" t="s">
        <v>33</v>
      </c>
      <c r="AA884" s="131" t="s">
        <v>33</v>
      </c>
      <c r="AB884" s="131" t="s">
        <v>33</v>
      </c>
      <c r="AC884" s="131">
        <v>0.92</v>
      </c>
      <c r="AD884" s="129" t="s">
        <v>33</v>
      </c>
      <c r="AE884" s="129" t="s">
        <v>33</v>
      </c>
      <c r="AF884" s="129" t="s">
        <v>33</v>
      </c>
      <c r="AG884" s="129">
        <v>1</v>
      </c>
      <c r="AH884" s="131">
        <v>0.92</v>
      </c>
      <c r="AI884" s="129" t="s">
        <v>33</v>
      </c>
      <c r="AJ884" s="129" t="s">
        <v>33</v>
      </c>
      <c r="AK884" s="129" t="s">
        <v>33</v>
      </c>
      <c r="AL884" s="129">
        <v>1</v>
      </c>
      <c r="AM884" s="128">
        <v>0.99</v>
      </c>
      <c r="AN884" s="133" t="s">
        <v>33</v>
      </c>
      <c r="AO884" s="133" t="s">
        <v>33</v>
      </c>
      <c r="AP884" s="133" t="s">
        <v>33</v>
      </c>
      <c r="AQ884" s="133" t="s">
        <v>33</v>
      </c>
      <c r="AR884" s="153">
        <v>0.0810595228934205</v>
      </c>
      <c r="AS884" s="137" t="s">
        <v>33</v>
      </c>
      <c r="AT884" s="137" t="s">
        <v>33</v>
      </c>
      <c r="AU884" s="137" t="s">
        <v>33</v>
      </c>
      <c r="AV884" s="137" t="s">
        <v>33</v>
      </c>
      <c r="AW884" s="93"/>
      <c r="AX884" s="91"/>
    </row>
    <row r="885" ht="14.5" spans="1:50">
      <c r="A885" s="89"/>
      <c r="B885" s="93"/>
      <c r="C885" s="148" t="s">
        <v>664</v>
      </c>
      <c r="D885" s="126" t="s">
        <v>665</v>
      </c>
      <c r="E885" s="171" t="s">
        <v>908</v>
      </c>
      <c r="F885" s="171" t="s">
        <v>908</v>
      </c>
      <c r="G885" s="171" t="s">
        <v>908</v>
      </c>
      <c r="H885" s="171" t="s">
        <v>908</v>
      </c>
      <c r="I885" s="128">
        <v>0.9</v>
      </c>
      <c r="J885" s="129">
        <v>1</v>
      </c>
      <c r="K885" s="129">
        <v>1</v>
      </c>
      <c r="L885" s="130">
        <v>1</v>
      </c>
      <c r="M885" s="129">
        <v>1</v>
      </c>
      <c r="N885" s="131">
        <v>0.9</v>
      </c>
      <c r="O885" s="129">
        <v>0.987206823027719</v>
      </c>
      <c r="P885" s="129">
        <v>0.987012987012987</v>
      </c>
      <c r="Q885" s="129">
        <v>0.980377358490566</v>
      </c>
      <c r="R885" s="129">
        <v>0.982296343810135</v>
      </c>
      <c r="S885" s="131">
        <v>0.9</v>
      </c>
      <c r="T885" s="129">
        <v>0.935501066098081</v>
      </c>
      <c r="U885" s="129">
        <v>0.935064935064935</v>
      </c>
      <c r="V885" s="129">
        <v>0.938867924528302</v>
      </c>
      <c r="W885" s="129">
        <v>0.940089801154586</v>
      </c>
      <c r="X885" s="131">
        <v>0.92</v>
      </c>
      <c r="Y885" s="131">
        <v>0.949937421777222</v>
      </c>
      <c r="Z885" s="131">
        <v>0.958183990442055</v>
      </c>
      <c r="AA885" s="131">
        <v>0.95778364116095</v>
      </c>
      <c r="AB885" s="131">
        <v>0.949976122254059</v>
      </c>
      <c r="AC885" s="131">
        <v>0.92</v>
      </c>
      <c r="AD885" s="129">
        <v>0.99552071668533</v>
      </c>
      <c r="AE885" s="129">
        <v>0.995698924731183</v>
      </c>
      <c r="AF885" s="129">
        <v>0.997526793075021</v>
      </c>
      <c r="AG885" s="129">
        <v>0.997730446927374</v>
      </c>
      <c r="AH885" s="131">
        <v>0.92</v>
      </c>
      <c r="AI885" s="129">
        <v>0.967488789237668</v>
      </c>
      <c r="AJ885" s="129">
        <v>0.964964370546318</v>
      </c>
      <c r="AK885" s="129">
        <v>0.974765258215962</v>
      </c>
      <c r="AL885" s="129">
        <v>0.970336684884643</v>
      </c>
      <c r="AM885" s="128">
        <v>0.99</v>
      </c>
      <c r="AN885" s="133">
        <v>1</v>
      </c>
      <c r="AO885" s="133">
        <v>1</v>
      </c>
      <c r="AP885" s="133">
        <v>1</v>
      </c>
      <c r="AQ885" s="133">
        <v>1</v>
      </c>
      <c r="AR885" s="153">
        <v>0.0810595228934205</v>
      </c>
      <c r="AS885" s="137">
        <v>0</v>
      </c>
      <c r="AT885" s="137">
        <v>0</v>
      </c>
      <c r="AU885" s="137">
        <v>0</v>
      </c>
      <c r="AV885" s="137">
        <v>0.0099009900990099</v>
      </c>
      <c r="AW885" s="93"/>
      <c r="AX885" s="91"/>
    </row>
    <row r="886" ht="14.5" spans="1:50">
      <c r="A886" s="89"/>
      <c r="B886" s="93"/>
      <c r="C886" s="148" t="s">
        <v>664</v>
      </c>
      <c r="D886" s="126" t="s">
        <v>665</v>
      </c>
      <c r="E886" s="171" t="s">
        <v>909</v>
      </c>
      <c r="F886" s="171" t="s">
        <v>909</v>
      </c>
      <c r="G886" s="171" t="s">
        <v>909</v>
      </c>
      <c r="H886" s="171" t="s">
        <v>909</v>
      </c>
      <c r="I886" s="128">
        <v>0.9</v>
      </c>
      <c r="J886" s="129">
        <v>0.959183673469388</v>
      </c>
      <c r="K886" s="129">
        <v>0.926829268292683</v>
      </c>
      <c r="L886" s="130">
        <v>0.954545454545455</v>
      </c>
      <c r="M886" s="129">
        <v>0.966292134831461</v>
      </c>
      <c r="N886" s="131">
        <v>0.9</v>
      </c>
      <c r="O886" s="129">
        <v>0.917063222297757</v>
      </c>
      <c r="P886" s="129">
        <v>0.919394235466536</v>
      </c>
      <c r="Q886" s="129">
        <v>0.883229073577599</v>
      </c>
      <c r="R886" s="129">
        <v>0.921535203264631</v>
      </c>
      <c r="S886" s="131">
        <v>0.9</v>
      </c>
      <c r="T886" s="129">
        <v>0.893269884432359</v>
      </c>
      <c r="U886" s="129">
        <v>0.902296042989741</v>
      </c>
      <c r="V886" s="129">
        <v>0.887101578790587</v>
      </c>
      <c r="W886" s="129">
        <v>0.90751071852885</v>
      </c>
      <c r="X886" s="131">
        <v>0.92</v>
      </c>
      <c r="Y886" s="131">
        <v>0.92554347826087</v>
      </c>
      <c r="Z886" s="131">
        <v>0.927918781725888</v>
      </c>
      <c r="AA886" s="131">
        <v>0.933781190019194</v>
      </c>
      <c r="AB886" s="131">
        <v>0.930324469382776</v>
      </c>
      <c r="AC886" s="131">
        <v>0.92</v>
      </c>
      <c r="AD886" s="129">
        <v>1</v>
      </c>
      <c r="AE886" s="129">
        <v>1</v>
      </c>
      <c r="AF886" s="129">
        <v>0.991206030150754</v>
      </c>
      <c r="AG886" s="129">
        <v>0.995247148288973</v>
      </c>
      <c r="AH886" s="131">
        <v>0.92</v>
      </c>
      <c r="AI886" s="129">
        <v>0.956820726051495</v>
      </c>
      <c r="AJ886" s="129">
        <v>0.950223992035839</v>
      </c>
      <c r="AK886" s="129">
        <v>0.959536258240509</v>
      </c>
      <c r="AL886" s="129">
        <v>0.9574622580972</v>
      </c>
      <c r="AM886" s="128">
        <v>0.99</v>
      </c>
      <c r="AN886" s="133">
        <v>1</v>
      </c>
      <c r="AO886" s="133">
        <v>1</v>
      </c>
      <c r="AP886" s="133">
        <v>1</v>
      </c>
      <c r="AQ886" s="133">
        <v>1</v>
      </c>
      <c r="AR886" s="153">
        <v>0.0810595228934205</v>
      </c>
      <c r="AS886" s="137">
        <v>0.1</v>
      </c>
      <c r="AT886" s="137">
        <v>0.0512820512820513</v>
      </c>
      <c r="AU886" s="137">
        <v>-0.0294117647058824</v>
      </c>
      <c r="AV886" s="137">
        <v>0.0438871473354232</v>
      </c>
      <c r="AW886" s="93"/>
      <c r="AX886" s="91"/>
    </row>
    <row r="887" ht="14.5" spans="1:50">
      <c r="A887" s="89"/>
      <c r="B887" s="93"/>
      <c r="C887" s="148" t="s">
        <v>664</v>
      </c>
      <c r="D887" s="126" t="s">
        <v>665</v>
      </c>
      <c r="E887" s="171" t="s">
        <v>910</v>
      </c>
      <c r="F887" s="171" t="s">
        <v>910</v>
      </c>
      <c r="G887" s="171" t="s">
        <v>910</v>
      </c>
      <c r="H887" s="171" t="s">
        <v>910</v>
      </c>
      <c r="I887" s="128">
        <v>0.9</v>
      </c>
      <c r="J887" s="129" t="s">
        <v>33</v>
      </c>
      <c r="K887" s="129" t="s">
        <v>33</v>
      </c>
      <c r="L887" s="130" t="s">
        <v>33</v>
      </c>
      <c r="M887" s="129" t="s">
        <v>33</v>
      </c>
      <c r="N887" s="131">
        <v>0.9</v>
      </c>
      <c r="O887" s="129" t="s">
        <v>33</v>
      </c>
      <c r="P887" s="129" t="s">
        <v>33</v>
      </c>
      <c r="Q887" s="129" t="s">
        <v>33</v>
      </c>
      <c r="R887" s="129">
        <v>0</v>
      </c>
      <c r="S887" s="131">
        <v>0.9</v>
      </c>
      <c r="T887" s="129" t="s">
        <v>33</v>
      </c>
      <c r="U887" s="129" t="s">
        <v>33</v>
      </c>
      <c r="V887" s="129" t="s">
        <v>33</v>
      </c>
      <c r="W887" s="129">
        <v>1</v>
      </c>
      <c r="X887" s="131">
        <v>0.92</v>
      </c>
      <c r="Y887" s="131" t="s">
        <v>33</v>
      </c>
      <c r="Z887" s="131" t="s">
        <v>33</v>
      </c>
      <c r="AA887" s="131" t="s">
        <v>33</v>
      </c>
      <c r="AB887" s="131">
        <v>1</v>
      </c>
      <c r="AC887" s="131">
        <v>0.92</v>
      </c>
      <c r="AD887" s="129">
        <v>1</v>
      </c>
      <c r="AE887" s="129">
        <v>0.997175141242938</v>
      </c>
      <c r="AF887" s="129">
        <v>0.995049504950495</v>
      </c>
      <c r="AG887" s="129">
        <v>0.99859437751004</v>
      </c>
      <c r="AH887" s="131">
        <v>0.92</v>
      </c>
      <c r="AI887" s="129" t="s">
        <v>33</v>
      </c>
      <c r="AJ887" s="129" t="s">
        <v>33</v>
      </c>
      <c r="AK887" s="129" t="s">
        <v>33</v>
      </c>
      <c r="AL887" s="129">
        <v>1</v>
      </c>
      <c r="AM887" s="128">
        <v>0.99</v>
      </c>
      <c r="AN887" s="133" t="s">
        <v>33</v>
      </c>
      <c r="AO887" s="133">
        <v>1</v>
      </c>
      <c r="AP887" s="133">
        <v>1</v>
      </c>
      <c r="AQ887" s="133">
        <v>1</v>
      </c>
      <c r="AR887" s="153">
        <v>0.0810595228934205</v>
      </c>
      <c r="AS887" s="137" t="s">
        <v>33</v>
      </c>
      <c r="AT887" s="137" t="s">
        <v>33</v>
      </c>
      <c r="AU887" s="137" t="s">
        <v>33</v>
      </c>
      <c r="AV887" s="137" t="s">
        <v>33</v>
      </c>
      <c r="AW887" s="93"/>
      <c r="AX887" s="91"/>
    </row>
    <row r="888" ht="14.5" spans="1:50">
      <c r="A888" s="89"/>
      <c r="B888" s="93"/>
      <c r="C888" s="148" t="s">
        <v>664</v>
      </c>
      <c r="D888" s="126" t="s">
        <v>665</v>
      </c>
      <c r="E888" s="171" t="s">
        <v>911</v>
      </c>
      <c r="F888" s="171" t="s">
        <v>911</v>
      </c>
      <c r="G888" s="171" t="s">
        <v>911</v>
      </c>
      <c r="H888" s="171" t="s">
        <v>911</v>
      </c>
      <c r="I888" s="128">
        <v>0.9</v>
      </c>
      <c r="J888" s="129" t="s">
        <v>33</v>
      </c>
      <c r="K888" s="129" t="s">
        <v>33</v>
      </c>
      <c r="L888" s="130" t="s">
        <v>33</v>
      </c>
      <c r="M888" s="129" t="s">
        <v>33</v>
      </c>
      <c r="N888" s="131">
        <v>0.9</v>
      </c>
      <c r="O888" s="129" t="s">
        <v>33</v>
      </c>
      <c r="P888" s="129" t="s">
        <v>33</v>
      </c>
      <c r="Q888" s="129" t="s">
        <v>33</v>
      </c>
      <c r="R888" s="129">
        <v>1</v>
      </c>
      <c r="S888" s="131">
        <v>0.9</v>
      </c>
      <c r="T888" s="129" t="s">
        <v>33</v>
      </c>
      <c r="U888" s="129" t="s">
        <v>33</v>
      </c>
      <c r="V888" s="129" t="s">
        <v>33</v>
      </c>
      <c r="W888" s="129">
        <v>1</v>
      </c>
      <c r="X888" s="131">
        <v>0.92</v>
      </c>
      <c r="Y888" s="131" t="s">
        <v>33</v>
      </c>
      <c r="Z888" s="131" t="s">
        <v>33</v>
      </c>
      <c r="AA888" s="131" t="s">
        <v>33</v>
      </c>
      <c r="AB888" s="131" t="s">
        <v>33</v>
      </c>
      <c r="AC888" s="131">
        <v>0.92</v>
      </c>
      <c r="AD888" s="129">
        <v>0.99867197875166</v>
      </c>
      <c r="AE888" s="129">
        <v>1</v>
      </c>
      <c r="AF888" s="129">
        <v>0.998704663212435</v>
      </c>
      <c r="AG888" s="129">
        <v>0.998774008990601</v>
      </c>
      <c r="AH888" s="131">
        <v>0.92</v>
      </c>
      <c r="AI888" s="129" t="s">
        <v>33</v>
      </c>
      <c r="AJ888" s="129">
        <v>1</v>
      </c>
      <c r="AK888" s="129" t="s">
        <v>33</v>
      </c>
      <c r="AL888" s="129">
        <v>1</v>
      </c>
      <c r="AM888" s="128">
        <v>0.99</v>
      </c>
      <c r="AN888" s="133" t="s">
        <v>33</v>
      </c>
      <c r="AO888" s="133">
        <v>1</v>
      </c>
      <c r="AP888" s="133" t="s">
        <v>33</v>
      </c>
      <c r="AQ888" s="133">
        <v>1</v>
      </c>
      <c r="AR888" s="153">
        <v>0.0810595228934205</v>
      </c>
      <c r="AS888" s="137" t="s">
        <v>33</v>
      </c>
      <c r="AT888" s="137" t="s">
        <v>33</v>
      </c>
      <c r="AU888" s="137" t="s">
        <v>33</v>
      </c>
      <c r="AV888" s="137" t="s">
        <v>33</v>
      </c>
      <c r="AW888" s="93"/>
      <c r="AX888" s="91"/>
    </row>
    <row r="889" ht="14.5" spans="1:50">
      <c r="A889" s="89"/>
      <c r="B889" s="93"/>
      <c r="C889" s="148" t="s">
        <v>664</v>
      </c>
      <c r="D889" s="126" t="s">
        <v>665</v>
      </c>
      <c r="E889" s="171" t="s">
        <v>912</v>
      </c>
      <c r="F889" s="171" t="s">
        <v>912</v>
      </c>
      <c r="G889" s="171" t="s">
        <v>912</v>
      </c>
      <c r="H889" s="171" t="s">
        <v>912</v>
      </c>
      <c r="I889" s="128">
        <v>0.9</v>
      </c>
      <c r="J889" s="129" t="s">
        <v>33</v>
      </c>
      <c r="K889" s="129" t="s">
        <v>33</v>
      </c>
      <c r="L889" s="130" t="s">
        <v>33</v>
      </c>
      <c r="M889" s="129" t="s">
        <v>33</v>
      </c>
      <c r="N889" s="131">
        <v>0.9</v>
      </c>
      <c r="O889" s="129">
        <v>0</v>
      </c>
      <c r="P889" s="129">
        <v>0</v>
      </c>
      <c r="Q889" s="129">
        <v>0</v>
      </c>
      <c r="R889" s="129">
        <v>0</v>
      </c>
      <c r="S889" s="131">
        <v>0.9</v>
      </c>
      <c r="T889" s="129">
        <v>0.971428571428571</v>
      </c>
      <c r="U889" s="129">
        <v>1</v>
      </c>
      <c r="V889" s="129">
        <v>1</v>
      </c>
      <c r="W889" s="129">
        <v>0.978666666666667</v>
      </c>
      <c r="X889" s="131">
        <v>0.92</v>
      </c>
      <c r="Y889" s="131" t="s">
        <v>33</v>
      </c>
      <c r="Z889" s="131">
        <v>1</v>
      </c>
      <c r="AA889" s="131">
        <v>1</v>
      </c>
      <c r="AB889" s="131">
        <v>0.875</v>
      </c>
      <c r="AC889" s="131">
        <v>0.92</v>
      </c>
      <c r="AD889" s="129">
        <v>0.99888351321176</v>
      </c>
      <c r="AE889" s="129">
        <v>0.982668143084108</v>
      </c>
      <c r="AF889" s="129">
        <v>0.887041451078426</v>
      </c>
      <c r="AG889" s="129">
        <v>0.982789349657358</v>
      </c>
      <c r="AH889" s="131">
        <v>0.92</v>
      </c>
      <c r="AI889" s="129">
        <v>0.979166666666667</v>
      </c>
      <c r="AJ889" s="129">
        <v>1</v>
      </c>
      <c r="AK889" s="129">
        <v>1</v>
      </c>
      <c r="AL889" s="129">
        <v>0.989090909090909</v>
      </c>
      <c r="AM889" s="128">
        <v>0.99</v>
      </c>
      <c r="AN889" s="133">
        <v>1</v>
      </c>
      <c r="AO889" s="133">
        <v>1</v>
      </c>
      <c r="AP889" s="133">
        <v>1</v>
      </c>
      <c r="AQ889" s="133">
        <v>1</v>
      </c>
      <c r="AR889" s="153">
        <v>0.0810595228934205</v>
      </c>
      <c r="AS889" s="137" t="s">
        <v>33</v>
      </c>
      <c r="AT889" s="137" t="s">
        <v>33</v>
      </c>
      <c r="AU889" s="137" t="s">
        <v>33</v>
      </c>
      <c r="AV889" s="137" t="s">
        <v>33</v>
      </c>
      <c r="AW889" s="93"/>
      <c r="AX889" s="91"/>
    </row>
    <row r="890" ht="14.5" spans="1:50">
      <c r="A890" s="89"/>
      <c r="B890" s="93"/>
      <c r="C890" s="148" t="s">
        <v>664</v>
      </c>
      <c r="D890" s="126" t="s">
        <v>665</v>
      </c>
      <c r="E890" s="171" t="s">
        <v>913</v>
      </c>
      <c r="F890" s="171" t="s">
        <v>913</v>
      </c>
      <c r="G890" s="171" t="s">
        <v>913</v>
      </c>
      <c r="H890" s="171" t="s">
        <v>913</v>
      </c>
      <c r="I890" s="128">
        <v>0.9</v>
      </c>
      <c r="J890" s="129" t="s">
        <v>33</v>
      </c>
      <c r="K890" s="129" t="s">
        <v>33</v>
      </c>
      <c r="L890" s="130" t="s">
        <v>33</v>
      </c>
      <c r="M890" s="129" t="s">
        <v>33</v>
      </c>
      <c r="N890" s="131">
        <v>0.9</v>
      </c>
      <c r="O890" s="129" t="s">
        <v>33</v>
      </c>
      <c r="P890" s="129" t="s">
        <v>33</v>
      </c>
      <c r="Q890" s="129" t="s">
        <v>33</v>
      </c>
      <c r="R890" s="129" t="s">
        <v>33</v>
      </c>
      <c r="S890" s="131">
        <v>0.9</v>
      </c>
      <c r="T890" s="129" t="s">
        <v>33</v>
      </c>
      <c r="U890" s="129" t="s">
        <v>33</v>
      </c>
      <c r="V890" s="129" t="s">
        <v>33</v>
      </c>
      <c r="W890" s="129" t="s">
        <v>33</v>
      </c>
      <c r="X890" s="131">
        <v>0.92</v>
      </c>
      <c r="Y890" s="131" t="s">
        <v>33</v>
      </c>
      <c r="Z890" s="131" t="s">
        <v>33</v>
      </c>
      <c r="AA890" s="131" t="s">
        <v>33</v>
      </c>
      <c r="AB890" s="131" t="s">
        <v>33</v>
      </c>
      <c r="AC890" s="131">
        <v>0.92</v>
      </c>
      <c r="AD890" s="129" t="s">
        <v>33</v>
      </c>
      <c r="AE890" s="129" t="s">
        <v>33</v>
      </c>
      <c r="AF890" s="129" t="s">
        <v>33</v>
      </c>
      <c r="AG890" s="129" t="s">
        <v>33</v>
      </c>
      <c r="AH890" s="131">
        <v>0.92</v>
      </c>
      <c r="AI890" s="129" t="s">
        <v>33</v>
      </c>
      <c r="AJ890" s="129" t="s">
        <v>33</v>
      </c>
      <c r="AK890" s="129" t="s">
        <v>33</v>
      </c>
      <c r="AL890" s="129" t="s">
        <v>33</v>
      </c>
      <c r="AM890" s="128">
        <v>0.99</v>
      </c>
      <c r="AN890" s="133" t="s">
        <v>33</v>
      </c>
      <c r="AO890" s="133" t="s">
        <v>33</v>
      </c>
      <c r="AP890" s="133" t="s">
        <v>33</v>
      </c>
      <c r="AQ890" s="133" t="s">
        <v>33</v>
      </c>
      <c r="AR890" s="153">
        <v>0.0810595228934205</v>
      </c>
      <c r="AS890" s="137" t="s">
        <v>33</v>
      </c>
      <c r="AT890" s="137" t="s">
        <v>33</v>
      </c>
      <c r="AU890" s="137" t="s">
        <v>33</v>
      </c>
      <c r="AV890" s="137" t="s">
        <v>33</v>
      </c>
      <c r="AW890" s="93"/>
      <c r="AX890" s="91"/>
    </row>
    <row r="891" ht="14.5" spans="1:50">
      <c r="A891" s="89"/>
      <c r="B891" s="93"/>
      <c r="C891" s="148" t="s">
        <v>664</v>
      </c>
      <c r="D891" s="126" t="s">
        <v>665</v>
      </c>
      <c r="E891" s="171" t="s">
        <v>914</v>
      </c>
      <c r="F891" s="171" t="s">
        <v>914</v>
      </c>
      <c r="G891" s="171" t="s">
        <v>914</v>
      </c>
      <c r="H891" s="171" t="s">
        <v>914</v>
      </c>
      <c r="I891" s="128">
        <v>0.9</v>
      </c>
      <c r="J891" s="129" t="s">
        <v>33</v>
      </c>
      <c r="K891" s="129" t="s">
        <v>33</v>
      </c>
      <c r="L891" s="130" t="s">
        <v>33</v>
      </c>
      <c r="M891" s="129" t="s">
        <v>33</v>
      </c>
      <c r="N891" s="131">
        <v>0.9</v>
      </c>
      <c r="O891" s="129">
        <v>0</v>
      </c>
      <c r="P891" s="129">
        <v>0</v>
      </c>
      <c r="Q891" s="129">
        <v>0</v>
      </c>
      <c r="R891" s="129">
        <v>0</v>
      </c>
      <c r="S891" s="131">
        <v>0.9</v>
      </c>
      <c r="T891" s="129">
        <v>1</v>
      </c>
      <c r="U891" s="129">
        <v>1</v>
      </c>
      <c r="V891" s="129">
        <v>1</v>
      </c>
      <c r="W891" s="129">
        <v>0.982142857142857</v>
      </c>
      <c r="X891" s="131">
        <v>0.92</v>
      </c>
      <c r="Y891" s="131" t="s">
        <v>33</v>
      </c>
      <c r="Z891" s="131">
        <v>1</v>
      </c>
      <c r="AA891" s="131">
        <v>1</v>
      </c>
      <c r="AB891" s="131">
        <v>0.888888888888889</v>
      </c>
      <c r="AC891" s="131">
        <v>0.92</v>
      </c>
      <c r="AD891" s="129">
        <v>1</v>
      </c>
      <c r="AE891" s="129">
        <v>0.997101449275362</v>
      </c>
      <c r="AF891" s="129">
        <v>1</v>
      </c>
      <c r="AG891" s="129">
        <v>0.99883788495061</v>
      </c>
      <c r="AH891" s="131">
        <v>0.92</v>
      </c>
      <c r="AI891" s="129">
        <v>1</v>
      </c>
      <c r="AJ891" s="129">
        <v>1</v>
      </c>
      <c r="AK891" s="129">
        <v>1</v>
      </c>
      <c r="AL891" s="129">
        <v>0.951807228915663</v>
      </c>
      <c r="AM891" s="128">
        <v>0.99</v>
      </c>
      <c r="AN891" s="133" t="s">
        <v>33</v>
      </c>
      <c r="AO891" s="133" t="s">
        <v>33</v>
      </c>
      <c r="AP891" s="133" t="s">
        <v>33</v>
      </c>
      <c r="AQ891" s="133">
        <v>1</v>
      </c>
      <c r="AR891" s="153">
        <v>0.0810595228934205</v>
      </c>
      <c r="AS891" s="137" t="s">
        <v>33</v>
      </c>
      <c r="AT891" s="137" t="s">
        <v>33</v>
      </c>
      <c r="AU891" s="137" t="s">
        <v>33</v>
      </c>
      <c r="AV891" s="137" t="s">
        <v>33</v>
      </c>
      <c r="AW891" s="93"/>
      <c r="AX891" s="91"/>
    </row>
    <row r="892" ht="14.5" spans="1:50">
      <c r="A892" s="89"/>
      <c r="B892" s="93"/>
      <c r="C892" s="148" t="s">
        <v>664</v>
      </c>
      <c r="D892" s="126" t="s">
        <v>665</v>
      </c>
      <c r="E892" s="171" t="s">
        <v>915</v>
      </c>
      <c r="F892" s="171" t="s">
        <v>915</v>
      </c>
      <c r="G892" s="171" t="s">
        <v>915</v>
      </c>
      <c r="H892" s="171" t="s">
        <v>915</v>
      </c>
      <c r="I892" s="128">
        <v>0.9</v>
      </c>
      <c r="J892" s="129" t="s">
        <v>33</v>
      </c>
      <c r="K892" s="129" t="s">
        <v>33</v>
      </c>
      <c r="L892" s="130" t="s">
        <v>33</v>
      </c>
      <c r="M892" s="129" t="s">
        <v>33</v>
      </c>
      <c r="N892" s="131">
        <v>0.9</v>
      </c>
      <c r="O892" s="129" t="s">
        <v>33</v>
      </c>
      <c r="P892" s="129" t="s">
        <v>33</v>
      </c>
      <c r="Q892" s="129" t="s">
        <v>33</v>
      </c>
      <c r="R892" s="129">
        <v>0</v>
      </c>
      <c r="S892" s="131">
        <v>0.9</v>
      </c>
      <c r="T892" s="129" t="s">
        <v>33</v>
      </c>
      <c r="U892" s="129" t="s">
        <v>33</v>
      </c>
      <c r="V892" s="129" t="s">
        <v>33</v>
      </c>
      <c r="W892" s="129">
        <v>1</v>
      </c>
      <c r="X892" s="131">
        <v>0.92</v>
      </c>
      <c r="Y892" s="131" t="s">
        <v>33</v>
      </c>
      <c r="Z892" s="131" t="s">
        <v>33</v>
      </c>
      <c r="AA892" s="131" t="s">
        <v>33</v>
      </c>
      <c r="AB892" s="131" t="s">
        <v>33</v>
      </c>
      <c r="AC892" s="131">
        <v>0.92</v>
      </c>
      <c r="AD892" s="129">
        <v>1</v>
      </c>
      <c r="AE892" s="129">
        <v>1</v>
      </c>
      <c r="AF892" s="129">
        <v>1</v>
      </c>
      <c r="AG892" s="129">
        <v>0.999334664005323</v>
      </c>
      <c r="AH892" s="131">
        <v>0.92</v>
      </c>
      <c r="AI892" s="129" t="s">
        <v>33</v>
      </c>
      <c r="AJ892" s="129" t="s">
        <v>33</v>
      </c>
      <c r="AK892" s="129" t="s">
        <v>33</v>
      </c>
      <c r="AL892" s="129">
        <v>1</v>
      </c>
      <c r="AM892" s="128">
        <v>0.99</v>
      </c>
      <c r="AN892" s="133">
        <v>1</v>
      </c>
      <c r="AO892" s="133">
        <v>1</v>
      </c>
      <c r="AP892" s="133">
        <v>1</v>
      </c>
      <c r="AQ892" s="133">
        <v>1</v>
      </c>
      <c r="AR892" s="153">
        <v>0.0810595228934205</v>
      </c>
      <c r="AS892" s="137" t="s">
        <v>33</v>
      </c>
      <c r="AT892" s="137" t="s">
        <v>33</v>
      </c>
      <c r="AU892" s="137" t="s">
        <v>33</v>
      </c>
      <c r="AV892" s="137" t="s">
        <v>33</v>
      </c>
      <c r="AW892" s="93"/>
      <c r="AX892" s="91"/>
    </row>
    <row r="893" ht="14.5" spans="1:50">
      <c r="A893" s="89"/>
      <c r="B893" s="93"/>
      <c r="C893" s="148" t="s">
        <v>664</v>
      </c>
      <c r="D893" s="126" t="s">
        <v>665</v>
      </c>
      <c r="E893" s="171" t="s">
        <v>916</v>
      </c>
      <c r="F893" s="171" t="s">
        <v>916</v>
      </c>
      <c r="G893" s="171" t="s">
        <v>916</v>
      </c>
      <c r="H893" s="171" t="s">
        <v>916</v>
      </c>
      <c r="I893" s="128">
        <v>0.9</v>
      </c>
      <c r="J893" s="129" t="s">
        <v>33</v>
      </c>
      <c r="K893" s="129" t="s">
        <v>33</v>
      </c>
      <c r="L893" s="130" t="s">
        <v>33</v>
      </c>
      <c r="M893" s="129" t="s">
        <v>33</v>
      </c>
      <c r="N893" s="131">
        <v>0.9</v>
      </c>
      <c r="O893" s="129" t="s">
        <v>33</v>
      </c>
      <c r="P893" s="129" t="s">
        <v>33</v>
      </c>
      <c r="Q893" s="129" t="s">
        <v>33</v>
      </c>
      <c r="R893" s="129" t="s">
        <v>33</v>
      </c>
      <c r="S893" s="131">
        <v>0.9</v>
      </c>
      <c r="T893" s="129" t="s">
        <v>33</v>
      </c>
      <c r="U893" s="129" t="s">
        <v>33</v>
      </c>
      <c r="V893" s="129" t="s">
        <v>33</v>
      </c>
      <c r="W893" s="129" t="s">
        <v>33</v>
      </c>
      <c r="X893" s="131">
        <v>0.92</v>
      </c>
      <c r="Y893" s="131" t="s">
        <v>33</v>
      </c>
      <c r="Z893" s="131" t="s">
        <v>33</v>
      </c>
      <c r="AA893" s="131" t="s">
        <v>33</v>
      </c>
      <c r="AB893" s="131" t="s">
        <v>33</v>
      </c>
      <c r="AC893" s="131">
        <v>0.92</v>
      </c>
      <c r="AD893" s="129">
        <v>1</v>
      </c>
      <c r="AE893" s="129">
        <v>1</v>
      </c>
      <c r="AF893" s="129">
        <v>0.99814126394052</v>
      </c>
      <c r="AG893" s="129">
        <v>0.99862479944992</v>
      </c>
      <c r="AH893" s="131">
        <v>0.92</v>
      </c>
      <c r="AI893" s="129" t="s">
        <v>33</v>
      </c>
      <c r="AJ893" s="129" t="s">
        <v>33</v>
      </c>
      <c r="AK893" s="129" t="s">
        <v>33</v>
      </c>
      <c r="AL893" s="129" t="s">
        <v>33</v>
      </c>
      <c r="AM893" s="128">
        <v>0.99</v>
      </c>
      <c r="AN893" s="133">
        <v>1</v>
      </c>
      <c r="AO893" s="133">
        <v>1</v>
      </c>
      <c r="AP893" s="133">
        <v>1</v>
      </c>
      <c r="AQ893" s="133">
        <v>1</v>
      </c>
      <c r="AR893" s="153">
        <v>0.0810595228934205</v>
      </c>
      <c r="AS893" s="137" t="s">
        <v>33</v>
      </c>
      <c r="AT893" s="137" t="s">
        <v>33</v>
      </c>
      <c r="AU893" s="137" t="s">
        <v>33</v>
      </c>
      <c r="AV893" s="137" t="s">
        <v>33</v>
      </c>
      <c r="AW893" s="93"/>
      <c r="AX893" s="91"/>
    </row>
    <row r="894" ht="14.5" spans="1:50">
      <c r="A894" s="89"/>
      <c r="B894" s="93"/>
      <c r="C894" s="148" t="s">
        <v>664</v>
      </c>
      <c r="D894" s="126" t="s">
        <v>665</v>
      </c>
      <c r="E894" s="171" t="s">
        <v>917</v>
      </c>
      <c r="F894" s="171" t="s">
        <v>917</v>
      </c>
      <c r="G894" s="171" t="s">
        <v>917</v>
      </c>
      <c r="H894" s="171" t="s">
        <v>917</v>
      </c>
      <c r="I894" s="128">
        <v>0.9</v>
      </c>
      <c r="J894" s="129" t="s">
        <v>33</v>
      </c>
      <c r="K894" s="129" t="s">
        <v>33</v>
      </c>
      <c r="L894" s="130" t="s">
        <v>33</v>
      </c>
      <c r="M894" s="129" t="s">
        <v>33</v>
      </c>
      <c r="N894" s="131">
        <v>0.9</v>
      </c>
      <c r="O894" s="129">
        <v>0</v>
      </c>
      <c r="P894" s="129">
        <v>0</v>
      </c>
      <c r="Q894" s="129">
        <v>0</v>
      </c>
      <c r="R894" s="129">
        <v>0</v>
      </c>
      <c r="S894" s="131">
        <v>0.9</v>
      </c>
      <c r="T894" s="129">
        <v>1</v>
      </c>
      <c r="U894" s="129">
        <v>1</v>
      </c>
      <c r="V894" s="129">
        <v>1</v>
      </c>
      <c r="W894" s="129">
        <v>1</v>
      </c>
      <c r="X894" s="131">
        <v>0.92</v>
      </c>
      <c r="Y894" s="131" t="s">
        <v>33</v>
      </c>
      <c r="Z894" s="131">
        <v>1</v>
      </c>
      <c r="AA894" s="131">
        <v>1</v>
      </c>
      <c r="AB894" s="131">
        <v>1</v>
      </c>
      <c r="AC894" s="131">
        <v>0.92</v>
      </c>
      <c r="AD894" s="129">
        <v>1</v>
      </c>
      <c r="AE894" s="129">
        <v>1</v>
      </c>
      <c r="AF894" s="129">
        <v>1</v>
      </c>
      <c r="AG894" s="129">
        <v>1</v>
      </c>
      <c r="AH894" s="131">
        <v>0.92</v>
      </c>
      <c r="AI894" s="129">
        <v>1</v>
      </c>
      <c r="AJ894" s="129">
        <v>1</v>
      </c>
      <c r="AK894" s="129">
        <v>1</v>
      </c>
      <c r="AL894" s="129">
        <v>1</v>
      </c>
      <c r="AM894" s="128">
        <v>0.99</v>
      </c>
      <c r="AN894" s="133">
        <v>1</v>
      </c>
      <c r="AO894" s="133">
        <v>1</v>
      </c>
      <c r="AP894" s="133">
        <v>1</v>
      </c>
      <c r="AQ894" s="133">
        <v>1</v>
      </c>
      <c r="AR894" s="153">
        <v>0.0810595228934205</v>
      </c>
      <c r="AS894" s="137" t="s">
        <v>33</v>
      </c>
      <c r="AT894" s="137" t="s">
        <v>33</v>
      </c>
      <c r="AU894" s="137" t="s">
        <v>33</v>
      </c>
      <c r="AV894" s="137" t="s">
        <v>33</v>
      </c>
      <c r="AW894" s="93"/>
      <c r="AX894" s="91"/>
    </row>
    <row r="895" ht="14.5" spans="1:50">
      <c r="A895" s="89"/>
      <c r="B895" s="93"/>
      <c r="C895" s="148" t="s">
        <v>664</v>
      </c>
      <c r="D895" s="126" t="s">
        <v>665</v>
      </c>
      <c r="E895" s="171" t="s">
        <v>918</v>
      </c>
      <c r="F895" s="171" t="s">
        <v>918</v>
      </c>
      <c r="G895" s="171" t="s">
        <v>918</v>
      </c>
      <c r="H895" s="171" t="s">
        <v>918</v>
      </c>
      <c r="I895" s="128">
        <v>0.9</v>
      </c>
      <c r="J895" s="129" t="s">
        <v>33</v>
      </c>
      <c r="K895" s="129" t="s">
        <v>33</v>
      </c>
      <c r="L895" s="130" t="s">
        <v>33</v>
      </c>
      <c r="M895" s="129" t="s">
        <v>33</v>
      </c>
      <c r="N895" s="131">
        <v>0.9</v>
      </c>
      <c r="O895" s="129" t="s">
        <v>33</v>
      </c>
      <c r="P895" s="129" t="s">
        <v>33</v>
      </c>
      <c r="Q895" s="129" t="s">
        <v>33</v>
      </c>
      <c r="R895" s="129" t="s">
        <v>33</v>
      </c>
      <c r="S895" s="131">
        <v>0.9</v>
      </c>
      <c r="T895" s="129" t="s">
        <v>33</v>
      </c>
      <c r="U895" s="129" t="s">
        <v>33</v>
      </c>
      <c r="V895" s="129" t="s">
        <v>33</v>
      </c>
      <c r="W895" s="129" t="s">
        <v>33</v>
      </c>
      <c r="X895" s="131">
        <v>0.92</v>
      </c>
      <c r="Y895" s="131" t="s">
        <v>33</v>
      </c>
      <c r="Z895" s="131" t="s">
        <v>33</v>
      </c>
      <c r="AA895" s="131" t="s">
        <v>33</v>
      </c>
      <c r="AB895" s="131" t="s">
        <v>33</v>
      </c>
      <c r="AC895" s="131">
        <v>0.92</v>
      </c>
      <c r="AD895" s="129" t="s">
        <v>33</v>
      </c>
      <c r="AE895" s="129" t="s">
        <v>33</v>
      </c>
      <c r="AF895" s="129" t="s">
        <v>33</v>
      </c>
      <c r="AG895" s="129" t="s">
        <v>33</v>
      </c>
      <c r="AH895" s="131">
        <v>0.92</v>
      </c>
      <c r="AI895" s="129" t="s">
        <v>33</v>
      </c>
      <c r="AJ895" s="129" t="s">
        <v>33</v>
      </c>
      <c r="AK895" s="129" t="s">
        <v>33</v>
      </c>
      <c r="AL895" s="129" t="s">
        <v>33</v>
      </c>
      <c r="AM895" s="128">
        <v>0.99</v>
      </c>
      <c r="AN895" s="133" t="s">
        <v>33</v>
      </c>
      <c r="AO895" s="133" t="s">
        <v>33</v>
      </c>
      <c r="AP895" s="133" t="s">
        <v>33</v>
      </c>
      <c r="AQ895" s="133" t="s">
        <v>33</v>
      </c>
      <c r="AR895" s="153">
        <v>0.0810595228934205</v>
      </c>
      <c r="AS895" s="137" t="s">
        <v>33</v>
      </c>
      <c r="AT895" s="137" t="s">
        <v>33</v>
      </c>
      <c r="AU895" s="137" t="s">
        <v>33</v>
      </c>
      <c r="AV895" s="137" t="s">
        <v>33</v>
      </c>
      <c r="AW895" s="93"/>
      <c r="AX895" s="91"/>
    </row>
    <row r="896" ht="14.5" spans="1:50">
      <c r="A896" s="89"/>
      <c r="B896" s="93"/>
      <c r="C896" s="148" t="s">
        <v>664</v>
      </c>
      <c r="D896" s="126" t="s">
        <v>665</v>
      </c>
      <c r="E896" s="171" t="s">
        <v>919</v>
      </c>
      <c r="F896" s="171" t="s">
        <v>919</v>
      </c>
      <c r="G896" s="171" t="s">
        <v>919</v>
      </c>
      <c r="H896" s="171" t="s">
        <v>919</v>
      </c>
      <c r="I896" s="128">
        <v>0.9</v>
      </c>
      <c r="J896" s="129" t="s">
        <v>33</v>
      </c>
      <c r="K896" s="129" t="s">
        <v>33</v>
      </c>
      <c r="L896" s="130" t="s">
        <v>33</v>
      </c>
      <c r="M896" s="129" t="s">
        <v>33</v>
      </c>
      <c r="N896" s="131">
        <v>0.9</v>
      </c>
      <c r="O896" s="129" t="s">
        <v>33</v>
      </c>
      <c r="P896" s="129" t="s">
        <v>33</v>
      </c>
      <c r="Q896" s="129" t="s">
        <v>33</v>
      </c>
      <c r="R896" s="129" t="s">
        <v>33</v>
      </c>
      <c r="S896" s="131">
        <v>0.9</v>
      </c>
      <c r="T896" s="129" t="s">
        <v>33</v>
      </c>
      <c r="U896" s="129" t="s">
        <v>33</v>
      </c>
      <c r="V896" s="129" t="s">
        <v>33</v>
      </c>
      <c r="W896" s="129" t="s">
        <v>33</v>
      </c>
      <c r="X896" s="131">
        <v>0.92</v>
      </c>
      <c r="Y896" s="131" t="s">
        <v>33</v>
      </c>
      <c r="Z896" s="131" t="s">
        <v>33</v>
      </c>
      <c r="AA896" s="131" t="s">
        <v>33</v>
      </c>
      <c r="AB896" s="131" t="s">
        <v>33</v>
      </c>
      <c r="AC896" s="131">
        <v>0.92</v>
      </c>
      <c r="AD896" s="129" t="s">
        <v>33</v>
      </c>
      <c r="AE896" s="129" t="s">
        <v>33</v>
      </c>
      <c r="AF896" s="129" t="s">
        <v>33</v>
      </c>
      <c r="AG896" s="129" t="s">
        <v>33</v>
      </c>
      <c r="AH896" s="131">
        <v>0.92</v>
      </c>
      <c r="AI896" s="129" t="s">
        <v>33</v>
      </c>
      <c r="AJ896" s="129" t="s">
        <v>33</v>
      </c>
      <c r="AK896" s="129" t="s">
        <v>33</v>
      </c>
      <c r="AL896" s="129" t="s">
        <v>33</v>
      </c>
      <c r="AM896" s="128">
        <v>0.99</v>
      </c>
      <c r="AN896" s="133" t="s">
        <v>33</v>
      </c>
      <c r="AO896" s="133" t="s">
        <v>33</v>
      </c>
      <c r="AP896" s="133" t="s">
        <v>33</v>
      </c>
      <c r="AQ896" s="133" t="s">
        <v>33</v>
      </c>
      <c r="AR896" s="153">
        <v>0.0810595228934205</v>
      </c>
      <c r="AS896" s="137" t="s">
        <v>33</v>
      </c>
      <c r="AT896" s="137" t="s">
        <v>33</v>
      </c>
      <c r="AU896" s="137" t="s">
        <v>33</v>
      </c>
      <c r="AV896" s="137" t="s">
        <v>33</v>
      </c>
      <c r="AW896" s="93"/>
      <c r="AX896" s="91"/>
    </row>
    <row r="897" ht="14.5" spans="1:50">
      <c r="A897" s="89"/>
      <c r="B897" s="93"/>
      <c r="C897" s="148" t="s">
        <v>664</v>
      </c>
      <c r="D897" s="126" t="s">
        <v>665</v>
      </c>
      <c r="E897" s="171" t="s">
        <v>920</v>
      </c>
      <c r="F897" s="171" t="s">
        <v>920</v>
      </c>
      <c r="G897" s="171" t="s">
        <v>920</v>
      </c>
      <c r="H897" s="171" t="s">
        <v>920</v>
      </c>
      <c r="I897" s="128">
        <v>0.9</v>
      </c>
      <c r="J897" s="129" t="s">
        <v>33</v>
      </c>
      <c r="K897" s="129" t="s">
        <v>33</v>
      </c>
      <c r="L897" s="130" t="s">
        <v>33</v>
      </c>
      <c r="M897" s="129" t="s">
        <v>33</v>
      </c>
      <c r="N897" s="131">
        <v>0.9</v>
      </c>
      <c r="O897" s="129" t="s">
        <v>33</v>
      </c>
      <c r="P897" s="129" t="s">
        <v>33</v>
      </c>
      <c r="Q897" s="129" t="s">
        <v>33</v>
      </c>
      <c r="R897" s="129" t="s">
        <v>33</v>
      </c>
      <c r="S897" s="131">
        <v>0.9</v>
      </c>
      <c r="T897" s="129" t="s">
        <v>33</v>
      </c>
      <c r="U897" s="129" t="s">
        <v>33</v>
      </c>
      <c r="V897" s="129" t="s">
        <v>33</v>
      </c>
      <c r="W897" s="129" t="s">
        <v>33</v>
      </c>
      <c r="X897" s="131">
        <v>0.92</v>
      </c>
      <c r="Y897" s="131" t="s">
        <v>33</v>
      </c>
      <c r="Z897" s="131" t="s">
        <v>33</v>
      </c>
      <c r="AA897" s="131" t="s">
        <v>33</v>
      </c>
      <c r="AB897" s="131" t="s">
        <v>33</v>
      </c>
      <c r="AC897" s="131">
        <v>0.92</v>
      </c>
      <c r="AD897" s="129" t="s">
        <v>33</v>
      </c>
      <c r="AE897" s="129" t="s">
        <v>33</v>
      </c>
      <c r="AF897" s="129" t="s">
        <v>33</v>
      </c>
      <c r="AG897" s="129" t="s">
        <v>33</v>
      </c>
      <c r="AH897" s="131">
        <v>0.92</v>
      </c>
      <c r="AI897" s="129" t="s">
        <v>33</v>
      </c>
      <c r="AJ897" s="129" t="s">
        <v>33</v>
      </c>
      <c r="AK897" s="129" t="s">
        <v>33</v>
      </c>
      <c r="AL897" s="129" t="s">
        <v>33</v>
      </c>
      <c r="AM897" s="128">
        <v>0.99</v>
      </c>
      <c r="AN897" s="133" t="s">
        <v>33</v>
      </c>
      <c r="AO897" s="133" t="s">
        <v>33</v>
      </c>
      <c r="AP897" s="133" t="s">
        <v>33</v>
      </c>
      <c r="AQ897" s="133" t="s">
        <v>33</v>
      </c>
      <c r="AR897" s="153">
        <v>0.0810595228934205</v>
      </c>
      <c r="AS897" s="137" t="s">
        <v>33</v>
      </c>
      <c r="AT897" s="137" t="s">
        <v>33</v>
      </c>
      <c r="AU897" s="137" t="s">
        <v>33</v>
      </c>
      <c r="AV897" s="137" t="s">
        <v>33</v>
      </c>
      <c r="AW897" s="93"/>
      <c r="AX897" s="91"/>
    </row>
    <row r="898" ht="14.5" spans="1:50">
      <c r="A898" s="89"/>
      <c r="B898" s="93"/>
      <c r="C898" s="148" t="s">
        <v>664</v>
      </c>
      <c r="D898" s="126" t="s">
        <v>665</v>
      </c>
      <c r="E898" s="171" t="s">
        <v>921</v>
      </c>
      <c r="F898" s="171" t="s">
        <v>921</v>
      </c>
      <c r="G898" s="171" t="s">
        <v>921</v>
      </c>
      <c r="H898" s="171" t="s">
        <v>921</v>
      </c>
      <c r="I898" s="128">
        <v>0.9</v>
      </c>
      <c r="J898" s="129" t="s">
        <v>33</v>
      </c>
      <c r="K898" s="129" t="s">
        <v>33</v>
      </c>
      <c r="L898" s="130" t="s">
        <v>33</v>
      </c>
      <c r="M898" s="129" t="s">
        <v>33</v>
      </c>
      <c r="N898" s="131">
        <v>0.9</v>
      </c>
      <c r="O898" s="129" t="s">
        <v>33</v>
      </c>
      <c r="P898" s="129" t="s">
        <v>33</v>
      </c>
      <c r="Q898" s="129" t="s">
        <v>33</v>
      </c>
      <c r="R898" s="129" t="s">
        <v>33</v>
      </c>
      <c r="S898" s="131">
        <v>0.9</v>
      </c>
      <c r="T898" s="129" t="s">
        <v>33</v>
      </c>
      <c r="U898" s="129" t="s">
        <v>33</v>
      </c>
      <c r="V898" s="129" t="s">
        <v>33</v>
      </c>
      <c r="W898" s="129" t="s">
        <v>33</v>
      </c>
      <c r="X898" s="131">
        <v>0.92</v>
      </c>
      <c r="Y898" s="131" t="s">
        <v>33</v>
      </c>
      <c r="Z898" s="131" t="s">
        <v>33</v>
      </c>
      <c r="AA898" s="131" t="s">
        <v>33</v>
      </c>
      <c r="AB898" s="131" t="s">
        <v>33</v>
      </c>
      <c r="AC898" s="131">
        <v>0.92</v>
      </c>
      <c r="AD898" s="129">
        <v>1</v>
      </c>
      <c r="AE898" s="129">
        <v>1</v>
      </c>
      <c r="AF898" s="129">
        <v>1</v>
      </c>
      <c r="AG898" s="129">
        <v>1</v>
      </c>
      <c r="AH898" s="131">
        <v>0.92</v>
      </c>
      <c r="AI898" s="129" t="s">
        <v>33</v>
      </c>
      <c r="AJ898" s="129" t="s">
        <v>33</v>
      </c>
      <c r="AK898" s="129" t="s">
        <v>33</v>
      </c>
      <c r="AL898" s="129" t="s">
        <v>33</v>
      </c>
      <c r="AM898" s="128">
        <v>0.99</v>
      </c>
      <c r="AN898" s="133">
        <v>1</v>
      </c>
      <c r="AO898" s="133">
        <v>1</v>
      </c>
      <c r="AP898" s="133" t="s">
        <v>33</v>
      </c>
      <c r="AQ898" s="133">
        <v>1</v>
      </c>
      <c r="AR898" s="153">
        <v>0.0810595228934205</v>
      </c>
      <c r="AS898" s="137" t="s">
        <v>33</v>
      </c>
      <c r="AT898" s="137" t="s">
        <v>33</v>
      </c>
      <c r="AU898" s="137" t="s">
        <v>33</v>
      </c>
      <c r="AV898" s="137" t="s">
        <v>33</v>
      </c>
      <c r="AW898" s="93"/>
      <c r="AX898" s="91"/>
    </row>
    <row r="899" ht="14.5" spans="1:50">
      <c r="A899" s="89"/>
      <c r="B899" s="93"/>
      <c r="C899" s="150"/>
      <c r="D899" s="151"/>
      <c r="E899" s="151"/>
      <c r="F899" s="151"/>
      <c r="G899" s="151"/>
      <c r="H899" s="151"/>
      <c r="I899" s="142"/>
      <c r="J899" s="143"/>
      <c r="K899" s="143"/>
      <c r="L899" s="130"/>
      <c r="M899" s="143"/>
      <c r="N899" s="146"/>
      <c r="O899" s="143"/>
      <c r="P899" s="143"/>
      <c r="Q899" s="129"/>
      <c r="R899" s="143"/>
      <c r="S899" s="146"/>
      <c r="T899" s="143"/>
      <c r="U899" s="143"/>
      <c r="V899" s="129"/>
      <c r="W899" s="143"/>
      <c r="X899" s="146"/>
      <c r="Y899" s="146"/>
      <c r="Z899" s="146"/>
      <c r="AA899" s="131"/>
      <c r="AB899" s="146"/>
      <c r="AC899" s="143"/>
      <c r="AD899" s="143"/>
      <c r="AE899" s="143"/>
      <c r="AF899" s="129"/>
      <c r="AG899" s="143"/>
      <c r="AH899" s="143"/>
      <c r="AI899" s="143"/>
      <c r="AJ899" s="143"/>
      <c r="AK899" s="129"/>
      <c r="AL899" s="143"/>
      <c r="AM899" s="142"/>
      <c r="AN899" s="142"/>
      <c r="AO899" s="142"/>
      <c r="AP899" s="133"/>
      <c r="AQ899" s="142"/>
      <c r="AR899" s="143"/>
      <c r="AS899" s="142"/>
      <c r="AT899" s="142"/>
      <c r="AU899" s="137"/>
      <c r="AV899" s="142"/>
      <c r="AW899" s="93"/>
      <c r="AX899" s="91"/>
    </row>
    <row r="900" ht="14.5" spans="1:50">
      <c r="A900" s="89"/>
      <c r="B900" s="93"/>
      <c r="C900" s="172" t="s">
        <v>922</v>
      </c>
      <c r="D900" s="126" t="s">
        <v>923</v>
      </c>
      <c r="E900" s="173" t="s">
        <v>924</v>
      </c>
      <c r="F900" s="174" t="s">
        <v>924</v>
      </c>
      <c r="G900" s="174" t="s">
        <v>924</v>
      </c>
      <c r="H900" s="174" t="s">
        <v>924</v>
      </c>
      <c r="I900" s="128">
        <v>0.9</v>
      </c>
      <c r="J900" s="129">
        <v>0.875</v>
      </c>
      <c r="K900" s="129">
        <v>0.8125</v>
      </c>
      <c r="L900" s="130">
        <v>0.875</v>
      </c>
      <c r="M900" s="129">
        <v>0.880434782608696</v>
      </c>
      <c r="N900" s="131">
        <v>0.9</v>
      </c>
      <c r="O900" s="129">
        <v>0.938398357289528</v>
      </c>
      <c r="P900" s="129">
        <v>0.928838951310861</v>
      </c>
      <c r="Q900" s="129">
        <v>0.913253012048193</v>
      </c>
      <c r="R900" s="129">
        <v>0.896541531185338</v>
      </c>
      <c r="S900" s="131">
        <v>0.9</v>
      </c>
      <c r="T900" s="129">
        <v>0.910335386721424</v>
      </c>
      <c r="U900" s="129">
        <v>0.903870162297129</v>
      </c>
      <c r="V900" s="129">
        <v>0.939759036144578</v>
      </c>
      <c r="W900" s="129">
        <v>0.908734850724209</v>
      </c>
      <c r="X900" s="131">
        <v>0.92</v>
      </c>
      <c r="Y900" s="131">
        <v>0.925531914893617</v>
      </c>
      <c r="Z900" s="131">
        <v>0.950207468879668</v>
      </c>
      <c r="AA900" s="131">
        <v>0.963800904977376</v>
      </c>
      <c r="AB900" s="131">
        <v>0.937550689375507</v>
      </c>
      <c r="AC900" s="131">
        <v>0.92</v>
      </c>
      <c r="AD900" s="129">
        <v>0.981267859032702</v>
      </c>
      <c r="AE900" s="129">
        <v>0.992169507139567</v>
      </c>
      <c r="AF900" s="129">
        <v>0.956481481481481</v>
      </c>
      <c r="AG900" s="129">
        <v>0.986310371262731</v>
      </c>
      <c r="AH900" s="131">
        <v>0.92</v>
      </c>
      <c r="AI900" s="129">
        <v>0.967373572593801</v>
      </c>
      <c r="AJ900" s="129">
        <v>0.966410748560461</v>
      </c>
      <c r="AK900" s="129">
        <v>0.982264665757162</v>
      </c>
      <c r="AL900" s="129">
        <v>0.964267068855502</v>
      </c>
      <c r="AM900" s="128">
        <v>0.99</v>
      </c>
      <c r="AN900" s="133">
        <v>1</v>
      </c>
      <c r="AO900" s="133">
        <v>1</v>
      </c>
      <c r="AP900" s="133">
        <v>1</v>
      </c>
      <c r="AQ900" s="133">
        <v>1</v>
      </c>
      <c r="AR900" s="153">
        <v>0.0656418488929858</v>
      </c>
      <c r="AS900" s="137">
        <v>0.166666666666667</v>
      </c>
      <c r="AT900" s="137">
        <v>0</v>
      </c>
      <c r="AU900" s="137">
        <v>0</v>
      </c>
      <c r="AV900" s="137">
        <v>0.0689655172413793</v>
      </c>
      <c r="AW900" s="93"/>
      <c r="AX900" s="91"/>
    </row>
    <row r="901" ht="14.5" spans="1:50">
      <c r="A901" s="89"/>
      <c r="B901" s="93"/>
      <c r="C901" s="172" t="s">
        <v>922</v>
      </c>
      <c r="D901" s="126" t="s">
        <v>923</v>
      </c>
      <c r="E901" s="175" t="s">
        <v>925</v>
      </c>
      <c r="F901" s="176" t="s">
        <v>925</v>
      </c>
      <c r="G901" s="176" t="s">
        <v>925</v>
      </c>
      <c r="H901" s="176" t="s">
        <v>925</v>
      </c>
      <c r="I901" s="128">
        <v>0.9</v>
      </c>
      <c r="J901" s="129">
        <v>0.98</v>
      </c>
      <c r="K901" s="129">
        <v>0.928571428571429</v>
      </c>
      <c r="L901" s="130">
        <v>0.958333333333333</v>
      </c>
      <c r="M901" s="129">
        <v>0.872262773722628</v>
      </c>
      <c r="N901" s="131">
        <v>0.9</v>
      </c>
      <c r="O901" s="129">
        <v>0.883824670287044</v>
      </c>
      <c r="P901" s="129">
        <v>0.874645030425964</v>
      </c>
      <c r="Q901" s="129">
        <v>0.803736107826909</v>
      </c>
      <c r="R901" s="129">
        <v>0.866186050967618</v>
      </c>
      <c r="S901" s="131">
        <v>0.9</v>
      </c>
      <c r="T901" s="129">
        <v>0.891582622187742</v>
      </c>
      <c r="U901" s="129">
        <v>0.851926977687627</v>
      </c>
      <c r="V901" s="129">
        <v>0.82903759754079</v>
      </c>
      <c r="W901" s="129">
        <v>0.875574822762981</v>
      </c>
      <c r="X901" s="131">
        <v>0.92</v>
      </c>
      <c r="Y901" s="131">
        <v>0.924050632911392</v>
      </c>
      <c r="Z901" s="131">
        <v>0.75</v>
      </c>
      <c r="AA901" s="131">
        <v>0.852223816355811</v>
      </c>
      <c r="AB901" s="131">
        <v>0.905189707806367</v>
      </c>
      <c r="AC901" s="131">
        <v>0.92</v>
      </c>
      <c r="AD901" s="129">
        <v>0.98595041322314</v>
      </c>
      <c r="AE901" s="129">
        <v>0.977855274629468</v>
      </c>
      <c r="AF901" s="129">
        <v>0.93361581920904</v>
      </c>
      <c r="AG901" s="129">
        <v>0.977885861042296</v>
      </c>
      <c r="AH901" s="131">
        <v>0.92</v>
      </c>
      <c r="AI901" s="129">
        <v>0.94314915362504</v>
      </c>
      <c r="AJ901" s="129">
        <v>0.939235412474849</v>
      </c>
      <c r="AK901" s="129">
        <v>0.889971579374746</v>
      </c>
      <c r="AL901" s="129">
        <v>0.930976177951454</v>
      </c>
      <c r="AM901" s="128">
        <v>0.99</v>
      </c>
      <c r="AN901" s="133">
        <v>1</v>
      </c>
      <c r="AO901" s="133">
        <v>1</v>
      </c>
      <c r="AP901" s="133">
        <v>1</v>
      </c>
      <c r="AQ901" s="133">
        <v>1</v>
      </c>
      <c r="AR901" s="153">
        <v>0.0656418488929858</v>
      </c>
      <c r="AS901" s="137">
        <v>0.0212765957446809</v>
      </c>
      <c r="AT901" s="137">
        <v>0.115384615384615</v>
      </c>
      <c r="AU901" s="137">
        <v>0.0714285714285714</v>
      </c>
      <c r="AV901" s="137">
        <v>0.0275735294117647</v>
      </c>
      <c r="AW901" s="93"/>
      <c r="AX901" s="91"/>
    </row>
    <row r="902" ht="14.5" spans="1:50">
      <c r="A902" s="89"/>
      <c r="B902" s="93"/>
      <c r="C902" s="172" t="s">
        <v>922</v>
      </c>
      <c r="D902" s="126" t="s">
        <v>923</v>
      </c>
      <c r="E902" s="175" t="s">
        <v>926</v>
      </c>
      <c r="F902" s="176" t="s">
        <v>926</v>
      </c>
      <c r="G902" s="176" t="s">
        <v>926</v>
      </c>
      <c r="H902" s="176" t="s">
        <v>926</v>
      </c>
      <c r="I902" s="128">
        <v>0.9</v>
      </c>
      <c r="J902" s="129">
        <v>0.972972972972973</v>
      </c>
      <c r="K902" s="129">
        <v>1</v>
      </c>
      <c r="L902" s="130">
        <v>0.971428571428571</v>
      </c>
      <c r="M902" s="129">
        <v>0.970944309927361</v>
      </c>
      <c r="N902" s="131">
        <v>0.9</v>
      </c>
      <c r="O902" s="129">
        <v>0.954454311085649</v>
      </c>
      <c r="P902" s="129">
        <v>0.946271929824561</v>
      </c>
      <c r="Q902" s="129">
        <v>0.930654761904762</v>
      </c>
      <c r="R902" s="129">
        <v>0.920491232512502</v>
      </c>
      <c r="S902" s="131">
        <v>0.9</v>
      </c>
      <c r="T902" s="129">
        <v>0.888857061014036</v>
      </c>
      <c r="U902" s="129">
        <v>0.906798245614035</v>
      </c>
      <c r="V902" s="129">
        <v>0.849404761904762</v>
      </c>
      <c r="W902" s="129">
        <v>0.860321580046844</v>
      </c>
      <c r="X902" s="131">
        <v>0.92</v>
      </c>
      <c r="Y902" s="131">
        <v>0.937264742785445</v>
      </c>
      <c r="Z902" s="131">
        <v>0.909535452322738</v>
      </c>
      <c r="AA902" s="131">
        <v>0.932038834951456</v>
      </c>
      <c r="AB902" s="131">
        <v>0.917954516899108</v>
      </c>
      <c r="AC902" s="131">
        <v>0.92</v>
      </c>
      <c r="AD902" s="129">
        <v>0.98416050686378</v>
      </c>
      <c r="AE902" s="129">
        <v>0.852910052910053</v>
      </c>
      <c r="AF902" s="129">
        <v>0.967914438502674</v>
      </c>
      <c r="AG902" s="129">
        <v>0.9129281600485</v>
      </c>
      <c r="AH902" s="131">
        <v>0.92</v>
      </c>
      <c r="AI902" s="129">
        <v>0.942630597014925</v>
      </c>
      <c r="AJ902" s="129">
        <v>0.939570277529096</v>
      </c>
      <c r="AK902" s="129">
        <v>0.945548387096774</v>
      </c>
      <c r="AL902" s="129">
        <v>0.94102330754841</v>
      </c>
      <c r="AM902" s="128">
        <v>0.99</v>
      </c>
      <c r="AN902" s="133">
        <v>1</v>
      </c>
      <c r="AO902" s="133">
        <v>1</v>
      </c>
      <c r="AP902" s="133">
        <v>1</v>
      </c>
      <c r="AQ902" s="133">
        <v>1</v>
      </c>
      <c r="AR902" s="153">
        <v>0.0656418488929858</v>
      </c>
      <c r="AS902" s="137">
        <v>0</v>
      </c>
      <c r="AT902" s="137">
        <v>0.111111111111111</v>
      </c>
      <c r="AU902" s="137">
        <v>0.0256410256410256</v>
      </c>
      <c r="AV902" s="137">
        <v>0.0344827586206897</v>
      </c>
      <c r="AW902" s="93"/>
      <c r="AX902" s="91"/>
    </row>
    <row r="903" ht="14.5" spans="1:50">
      <c r="A903" s="89"/>
      <c r="B903" s="93"/>
      <c r="C903" s="172" t="s">
        <v>922</v>
      </c>
      <c r="D903" s="126" t="s">
        <v>923</v>
      </c>
      <c r="E903" s="175" t="s">
        <v>927</v>
      </c>
      <c r="F903" s="176" t="s">
        <v>927</v>
      </c>
      <c r="G903" s="176" t="s">
        <v>927</v>
      </c>
      <c r="H903" s="176" t="s">
        <v>927</v>
      </c>
      <c r="I903" s="128">
        <v>0.9</v>
      </c>
      <c r="J903" s="129">
        <v>0.96969696969697</v>
      </c>
      <c r="K903" s="129">
        <v>0.967741935483871</v>
      </c>
      <c r="L903" s="130">
        <v>0.941176470588235</v>
      </c>
      <c r="M903" s="129">
        <v>0.946291560102302</v>
      </c>
      <c r="N903" s="131">
        <v>0.9</v>
      </c>
      <c r="O903" s="129">
        <v>0.947386172006745</v>
      </c>
      <c r="P903" s="129">
        <v>0.866414618777568</v>
      </c>
      <c r="Q903" s="129">
        <v>0.957927541877678</v>
      </c>
      <c r="R903" s="129">
        <v>0.942062922536541</v>
      </c>
      <c r="S903" s="131">
        <v>0.9</v>
      </c>
      <c r="T903" s="129">
        <v>0.930860033726813</v>
      </c>
      <c r="U903" s="129">
        <v>0.892249527410208</v>
      </c>
      <c r="V903" s="129">
        <v>0.937280872613946</v>
      </c>
      <c r="W903" s="129">
        <v>0.925444725610908</v>
      </c>
      <c r="X903" s="131">
        <v>0.92</v>
      </c>
      <c r="Y903" s="131">
        <v>0.920168067226891</v>
      </c>
      <c r="Z903" s="131">
        <v>0.942231075697211</v>
      </c>
      <c r="AA903" s="131">
        <v>0.924078091106291</v>
      </c>
      <c r="AB903" s="131">
        <v>0.935578722266774</v>
      </c>
      <c r="AC903" s="131">
        <v>0.92</v>
      </c>
      <c r="AD903" s="129">
        <v>0.991214057507987</v>
      </c>
      <c r="AE903" s="129">
        <v>0.995991983967936</v>
      </c>
      <c r="AF903" s="129">
        <v>0.934948979591837</v>
      </c>
      <c r="AG903" s="129">
        <v>0.982562470373129</v>
      </c>
      <c r="AH903" s="131">
        <v>0.92</v>
      </c>
      <c r="AI903" s="129">
        <v>0.958695652173913</v>
      </c>
      <c r="AJ903" s="129">
        <v>0.946864528482528</v>
      </c>
      <c r="AK903" s="129">
        <v>0.967965653896962</v>
      </c>
      <c r="AL903" s="129">
        <v>0.961900836179484</v>
      </c>
      <c r="AM903" s="128">
        <v>0.99</v>
      </c>
      <c r="AN903" s="133">
        <v>1</v>
      </c>
      <c r="AO903" s="133">
        <v>1</v>
      </c>
      <c r="AP903" s="133">
        <v>1</v>
      </c>
      <c r="AQ903" s="133">
        <v>1</v>
      </c>
      <c r="AR903" s="153">
        <v>0.0656418488929858</v>
      </c>
      <c r="AS903" s="137">
        <v>0.0294117647058824</v>
      </c>
      <c r="AT903" s="137">
        <v>0.121951219512195</v>
      </c>
      <c r="AU903" s="137">
        <v>0.0227272727272727</v>
      </c>
      <c r="AV903" s="137">
        <v>0.0704545454545454</v>
      </c>
      <c r="AW903" s="93"/>
      <c r="AX903" s="91"/>
    </row>
    <row r="904" ht="14.5" spans="1:50">
      <c r="A904" s="89"/>
      <c r="B904" s="93"/>
      <c r="C904" s="172" t="s">
        <v>922</v>
      </c>
      <c r="D904" s="126" t="s">
        <v>923</v>
      </c>
      <c r="E904" s="175" t="s">
        <v>928</v>
      </c>
      <c r="F904" s="176" t="s">
        <v>928</v>
      </c>
      <c r="G904" s="176" t="s">
        <v>928</v>
      </c>
      <c r="H904" s="176" t="s">
        <v>928</v>
      </c>
      <c r="I904" s="128">
        <v>0.9</v>
      </c>
      <c r="J904" s="129">
        <v>0.970588235294118</v>
      </c>
      <c r="K904" s="129">
        <v>0.967741935483871</v>
      </c>
      <c r="L904" s="130">
        <v>1</v>
      </c>
      <c r="M904" s="129">
        <v>0.963350785340314</v>
      </c>
      <c r="N904" s="131">
        <v>0.9</v>
      </c>
      <c r="O904" s="129">
        <v>0.969306322897483</v>
      </c>
      <c r="P904" s="129">
        <v>0.952121212121212</v>
      </c>
      <c r="Q904" s="129">
        <v>0.958575300038715</v>
      </c>
      <c r="R904" s="129">
        <v>0.960038159847361</v>
      </c>
      <c r="S904" s="131">
        <v>0.9</v>
      </c>
      <c r="T904" s="129">
        <v>0.917127071823204</v>
      </c>
      <c r="U904" s="129">
        <v>0.931515151515152</v>
      </c>
      <c r="V904" s="129">
        <v>0.934572202864886</v>
      </c>
      <c r="W904" s="129">
        <v>0.931170941982899</v>
      </c>
      <c r="X904" s="131">
        <v>0.92</v>
      </c>
      <c r="Y904" s="131">
        <v>0.865284974093264</v>
      </c>
      <c r="Z904" s="131">
        <v>0.920353982300885</v>
      </c>
      <c r="AA904" s="131">
        <v>0.963906581740977</v>
      </c>
      <c r="AB904" s="131">
        <v>0.914006434050977</v>
      </c>
      <c r="AC904" s="131">
        <v>0.92</v>
      </c>
      <c r="AD904" s="129">
        <v>0.985743380855397</v>
      </c>
      <c r="AE904" s="129">
        <v>0.950834879406308</v>
      </c>
      <c r="AF904" s="129">
        <v>0.871335504885994</v>
      </c>
      <c r="AG904" s="129">
        <v>0.928743379874819</v>
      </c>
      <c r="AH904" s="131">
        <v>0.92</v>
      </c>
      <c r="AI904" s="129">
        <v>0.947146401985112</v>
      </c>
      <c r="AJ904" s="129">
        <v>0.965271170313987</v>
      </c>
      <c r="AK904" s="129">
        <v>0.983300589390963</v>
      </c>
      <c r="AL904" s="129">
        <v>0.964492813367411</v>
      </c>
      <c r="AM904" s="128">
        <v>0.99</v>
      </c>
      <c r="AN904" s="133">
        <v>1</v>
      </c>
      <c r="AO904" s="133">
        <v>1</v>
      </c>
      <c r="AP904" s="133">
        <v>1</v>
      </c>
      <c r="AQ904" s="133">
        <v>1</v>
      </c>
      <c r="AR904" s="153">
        <v>0.0656418488929858</v>
      </c>
      <c r="AS904" s="137">
        <v>0</v>
      </c>
      <c r="AT904" s="137">
        <v>0</v>
      </c>
      <c r="AU904" s="137">
        <v>0.08</v>
      </c>
      <c r="AV904" s="137">
        <v>0.0552325581395349</v>
      </c>
      <c r="AW904" s="93"/>
      <c r="AX904" s="91"/>
    </row>
    <row r="905" ht="14.5" spans="1:50">
      <c r="A905" s="89"/>
      <c r="B905" s="93"/>
      <c r="C905" s="172" t="s">
        <v>922</v>
      </c>
      <c r="D905" s="126" t="s">
        <v>923</v>
      </c>
      <c r="E905" s="175" t="s">
        <v>929</v>
      </c>
      <c r="F905" s="176" t="s">
        <v>929</v>
      </c>
      <c r="G905" s="176" t="s">
        <v>929</v>
      </c>
      <c r="H905" s="176" t="s">
        <v>929</v>
      </c>
      <c r="I905" s="128">
        <v>0.9</v>
      </c>
      <c r="J905" s="129" t="s">
        <v>33</v>
      </c>
      <c r="K905" s="129" t="s">
        <v>33</v>
      </c>
      <c r="L905" s="130" t="s">
        <v>33</v>
      </c>
      <c r="M905" s="129" t="s">
        <v>33</v>
      </c>
      <c r="N905" s="131">
        <v>0.9</v>
      </c>
      <c r="O905" s="129" t="s">
        <v>33</v>
      </c>
      <c r="P905" s="129" t="s">
        <v>33</v>
      </c>
      <c r="Q905" s="129" t="s">
        <v>33</v>
      </c>
      <c r="R905" s="129">
        <v>0</v>
      </c>
      <c r="S905" s="131">
        <v>0.9</v>
      </c>
      <c r="T905" s="129" t="s">
        <v>33</v>
      </c>
      <c r="U905" s="129" t="s">
        <v>33</v>
      </c>
      <c r="V905" s="129" t="s">
        <v>33</v>
      </c>
      <c r="W905" s="129">
        <v>1</v>
      </c>
      <c r="X905" s="131">
        <v>0.92</v>
      </c>
      <c r="Y905" s="131" t="s">
        <v>33</v>
      </c>
      <c r="Z905" s="131" t="s">
        <v>33</v>
      </c>
      <c r="AA905" s="131" t="s">
        <v>33</v>
      </c>
      <c r="AB905" s="131" t="s">
        <v>33</v>
      </c>
      <c r="AC905" s="131">
        <v>0.92</v>
      </c>
      <c r="AD905" s="129">
        <v>0.996350364963504</v>
      </c>
      <c r="AE905" s="129">
        <v>0.957399103139013</v>
      </c>
      <c r="AF905" s="129">
        <v>0.897727272727273</v>
      </c>
      <c r="AG905" s="129">
        <v>0.944625407166124</v>
      </c>
      <c r="AH905" s="131">
        <v>0.92</v>
      </c>
      <c r="AI905" s="129" t="s">
        <v>33</v>
      </c>
      <c r="AJ905" s="129" t="s">
        <v>33</v>
      </c>
      <c r="AK905" s="129" t="s">
        <v>33</v>
      </c>
      <c r="AL905" s="129">
        <v>1</v>
      </c>
      <c r="AM905" s="128">
        <v>0.99</v>
      </c>
      <c r="AN905" s="133">
        <v>1</v>
      </c>
      <c r="AO905" s="133">
        <v>1</v>
      </c>
      <c r="AP905" s="133">
        <v>1</v>
      </c>
      <c r="AQ905" s="133">
        <v>1</v>
      </c>
      <c r="AR905" s="153">
        <v>0.0656418488929858</v>
      </c>
      <c r="AS905" s="137" t="s">
        <v>33</v>
      </c>
      <c r="AT905" s="137" t="s">
        <v>33</v>
      </c>
      <c r="AU905" s="137" t="s">
        <v>33</v>
      </c>
      <c r="AV905" s="137" t="s">
        <v>33</v>
      </c>
      <c r="AW905" s="93"/>
      <c r="AX905" s="91"/>
    </row>
    <row r="906" ht="14.5" spans="1:50">
      <c r="A906" s="89"/>
      <c r="B906" s="93"/>
      <c r="C906" s="172" t="s">
        <v>922</v>
      </c>
      <c r="D906" s="126" t="s">
        <v>923</v>
      </c>
      <c r="E906" s="177" t="s">
        <v>930</v>
      </c>
      <c r="F906" s="178" t="s">
        <v>930</v>
      </c>
      <c r="G906" s="178" t="s">
        <v>930</v>
      </c>
      <c r="H906" s="178" t="s">
        <v>930</v>
      </c>
      <c r="I906" s="128">
        <v>0.9</v>
      </c>
      <c r="J906" s="129">
        <v>0.95</v>
      </c>
      <c r="K906" s="129">
        <v>0.894736842105263</v>
      </c>
      <c r="L906" s="130">
        <v>0.897435897435897</v>
      </c>
      <c r="M906" s="129">
        <v>0.895299145299145</v>
      </c>
      <c r="N906" s="131">
        <v>0.9</v>
      </c>
      <c r="O906" s="129">
        <v>0.928871391076115</v>
      </c>
      <c r="P906" s="129">
        <v>0.850983675177899</v>
      </c>
      <c r="Q906" s="129">
        <v>0.830605564648118</v>
      </c>
      <c r="R906" s="129">
        <v>0.857801237908952</v>
      </c>
      <c r="S906" s="131">
        <v>0.9</v>
      </c>
      <c r="T906" s="129">
        <v>0.898687664041995</v>
      </c>
      <c r="U906" s="129">
        <v>0.919213059857681</v>
      </c>
      <c r="V906" s="129">
        <v>0.887615930169122</v>
      </c>
      <c r="W906" s="129">
        <v>0.902280217571876</v>
      </c>
      <c r="X906" s="131">
        <v>0.92</v>
      </c>
      <c r="Y906" s="131">
        <v>0.933333333333333</v>
      </c>
      <c r="Z906" s="131">
        <v>0.926573426573427</v>
      </c>
      <c r="AA906" s="131">
        <v>0.929602888086643</v>
      </c>
      <c r="AB906" s="131">
        <v>0.934933087217351</v>
      </c>
      <c r="AC906" s="131">
        <v>0.92</v>
      </c>
      <c r="AD906" s="129">
        <v>0.939451277199622</v>
      </c>
      <c r="AE906" s="129">
        <v>0.786785714285714</v>
      </c>
      <c r="AF906" s="129">
        <v>0.970998925886144</v>
      </c>
      <c r="AG906" s="129">
        <v>0.94208601026713</v>
      </c>
      <c r="AH906" s="131">
        <v>0.92</v>
      </c>
      <c r="AI906" s="129">
        <v>0.931492842535787</v>
      </c>
      <c r="AJ906" s="129">
        <v>0.929463381707729</v>
      </c>
      <c r="AK906" s="129">
        <v>0.909931263332543</v>
      </c>
      <c r="AL906" s="129">
        <v>0.924946732182459</v>
      </c>
      <c r="AM906" s="128">
        <v>0.99</v>
      </c>
      <c r="AN906" s="133">
        <v>1</v>
      </c>
      <c r="AO906" s="133">
        <v>1</v>
      </c>
      <c r="AP906" s="133">
        <v>1</v>
      </c>
      <c r="AQ906" s="133">
        <v>1</v>
      </c>
      <c r="AR906" s="153">
        <v>0.0656418488929858</v>
      </c>
      <c r="AS906" s="137">
        <v>0.0784313725490196</v>
      </c>
      <c r="AT906" s="137">
        <v>0.0526315789473684</v>
      </c>
      <c r="AU906" s="137">
        <v>0.025</v>
      </c>
      <c r="AV906" s="137">
        <v>0.0554493307839388</v>
      </c>
      <c r="AW906" s="93"/>
      <c r="AX906" s="91"/>
    </row>
    <row r="907" ht="14.5" spans="1:50">
      <c r="A907" s="89"/>
      <c r="B907" s="93"/>
      <c r="C907" s="172" t="s">
        <v>922</v>
      </c>
      <c r="D907" s="126" t="s">
        <v>923</v>
      </c>
      <c r="E907" s="177" t="s">
        <v>931</v>
      </c>
      <c r="F907" s="178" t="s">
        <v>931</v>
      </c>
      <c r="G907" s="178" t="s">
        <v>931</v>
      </c>
      <c r="H907" s="178" t="s">
        <v>931</v>
      </c>
      <c r="I907" s="128">
        <v>0.9</v>
      </c>
      <c r="J907" s="129" t="s">
        <v>33</v>
      </c>
      <c r="K907" s="129" t="s">
        <v>33</v>
      </c>
      <c r="L907" s="130" t="s">
        <v>33</v>
      </c>
      <c r="M907" s="129" t="s">
        <v>33</v>
      </c>
      <c r="N907" s="131">
        <v>0.9</v>
      </c>
      <c r="O907" s="129" t="s">
        <v>33</v>
      </c>
      <c r="P907" s="129" t="s">
        <v>33</v>
      </c>
      <c r="Q907" s="129" t="s">
        <v>33</v>
      </c>
      <c r="R907" s="129" t="s">
        <v>33</v>
      </c>
      <c r="S907" s="131">
        <v>0.9</v>
      </c>
      <c r="T907" s="129" t="s">
        <v>33</v>
      </c>
      <c r="U907" s="129" t="s">
        <v>33</v>
      </c>
      <c r="V907" s="129" t="s">
        <v>33</v>
      </c>
      <c r="W907" s="129" t="s">
        <v>33</v>
      </c>
      <c r="X907" s="131">
        <v>0.92</v>
      </c>
      <c r="Y907" s="131" t="s">
        <v>33</v>
      </c>
      <c r="Z907" s="131" t="s">
        <v>33</v>
      </c>
      <c r="AA907" s="131" t="s">
        <v>33</v>
      </c>
      <c r="AB907" s="131" t="s">
        <v>33</v>
      </c>
      <c r="AC907" s="131">
        <v>0.92</v>
      </c>
      <c r="AD907" s="129">
        <v>0.988805970149254</v>
      </c>
      <c r="AE907" s="129">
        <v>0.975609756097561</v>
      </c>
      <c r="AF907" s="129">
        <v>0.908366533864542</v>
      </c>
      <c r="AG907" s="129">
        <v>0.953516819571865</v>
      </c>
      <c r="AH907" s="131">
        <v>0.92</v>
      </c>
      <c r="AI907" s="129" t="s">
        <v>33</v>
      </c>
      <c r="AJ907" s="129" t="s">
        <v>33</v>
      </c>
      <c r="AK907" s="129" t="s">
        <v>33</v>
      </c>
      <c r="AL907" s="129" t="s">
        <v>33</v>
      </c>
      <c r="AM907" s="128">
        <v>0.99</v>
      </c>
      <c r="AN907" s="133">
        <v>1</v>
      </c>
      <c r="AO907" s="133">
        <v>1</v>
      </c>
      <c r="AP907" s="133">
        <v>1</v>
      </c>
      <c r="AQ907" s="133">
        <v>1</v>
      </c>
      <c r="AR907" s="153">
        <v>0.0656418488929858</v>
      </c>
      <c r="AS907" s="137" t="s">
        <v>33</v>
      </c>
      <c r="AT907" s="137" t="s">
        <v>33</v>
      </c>
      <c r="AU907" s="137" t="s">
        <v>33</v>
      </c>
      <c r="AV907" s="137" t="s">
        <v>33</v>
      </c>
      <c r="AW907" s="93"/>
      <c r="AX907" s="91"/>
    </row>
    <row r="908" ht="14.5" spans="1:50">
      <c r="A908" s="89"/>
      <c r="B908" s="93"/>
      <c r="C908" s="172" t="s">
        <v>922</v>
      </c>
      <c r="D908" s="126" t="s">
        <v>923</v>
      </c>
      <c r="E908" s="177" t="s">
        <v>932</v>
      </c>
      <c r="F908" s="178" t="s">
        <v>932</v>
      </c>
      <c r="G908" s="178" t="s">
        <v>932</v>
      </c>
      <c r="H908" s="178" t="s">
        <v>932</v>
      </c>
      <c r="I908" s="128">
        <v>0.9</v>
      </c>
      <c r="J908" s="129">
        <v>0.952380952380952</v>
      </c>
      <c r="K908" s="129">
        <v>0.789473684210526</v>
      </c>
      <c r="L908" s="130">
        <v>0.80952380952381</v>
      </c>
      <c r="M908" s="129">
        <v>0.842794759825327</v>
      </c>
      <c r="N908" s="131">
        <v>0.9</v>
      </c>
      <c r="O908" s="129">
        <v>0.909783245459871</v>
      </c>
      <c r="P908" s="129">
        <v>0.88880706921944</v>
      </c>
      <c r="Q908" s="129">
        <v>0.8493543758967</v>
      </c>
      <c r="R908" s="129">
        <v>0.843905629055787</v>
      </c>
      <c r="S908" s="131">
        <v>0.9</v>
      </c>
      <c r="T908" s="129">
        <v>0.921499707088459</v>
      </c>
      <c r="U908" s="129">
        <v>0.926362297496318</v>
      </c>
      <c r="V908" s="129">
        <v>0.910569105691057</v>
      </c>
      <c r="W908" s="129">
        <v>0.914382011167564</v>
      </c>
      <c r="X908" s="131">
        <v>0.92</v>
      </c>
      <c r="Y908" s="131">
        <v>0.938888888888889</v>
      </c>
      <c r="Z908" s="131">
        <v>0.91796875</v>
      </c>
      <c r="AA908" s="131">
        <v>0.9272030651341</v>
      </c>
      <c r="AB908" s="131">
        <v>0.913739194408681</v>
      </c>
      <c r="AC908" s="131">
        <v>0.92</v>
      </c>
      <c r="AD908" s="129">
        <v>0.938351719662557</v>
      </c>
      <c r="AE908" s="129">
        <v>0.93640246796393</v>
      </c>
      <c r="AF908" s="129">
        <v>0.727900552486188</v>
      </c>
      <c r="AG908" s="129">
        <v>0.892693462571775</v>
      </c>
      <c r="AH908" s="131">
        <v>0.92</v>
      </c>
      <c r="AI908" s="129">
        <v>0.947281713344316</v>
      </c>
      <c r="AJ908" s="129">
        <v>0.946163366336634</v>
      </c>
      <c r="AK908" s="129">
        <v>0.960509554140127</v>
      </c>
      <c r="AL908" s="129">
        <v>0.940567863207361</v>
      </c>
      <c r="AM908" s="128">
        <v>0.99</v>
      </c>
      <c r="AN908" s="133">
        <v>1</v>
      </c>
      <c r="AO908" s="133">
        <v>1</v>
      </c>
      <c r="AP908" s="133">
        <v>1</v>
      </c>
      <c r="AQ908" s="133">
        <v>1</v>
      </c>
      <c r="AR908" s="153">
        <v>0.0656418488929858</v>
      </c>
      <c r="AS908" s="137">
        <v>0.102040816326531</v>
      </c>
      <c r="AT908" s="137">
        <v>0.0403225806451613</v>
      </c>
      <c r="AU908" s="137">
        <v>0.025974025974026</v>
      </c>
      <c r="AV908" s="137">
        <v>0.0362694300518135</v>
      </c>
      <c r="AW908" s="93"/>
      <c r="AX908" s="91"/>
    </row>
    <row r="909" ht="14.5" spans="1:50">
      <c r="A909" s="89"/>
      <c r="B909" s="93"/>
      <c r="C909" s="172" t="s">
        <v>922</v>
      </c>
      <c r="D909" s="126" t="s">
        <v>923</v>
      </c>
      <c r="E909" s="175" t="s">
        <v>933</v>
      </c>
      <c r="F909" s="176" t="s">
        <v>933</v>
      </c>
      <c r="G909" s="176" t="s">
        <v>933</v>
      </c>
      <c r="H909" s="176" t="s">
        <v>933</v>
      </c>
      <c r="I909" s="128">
        <v>0.9</v>
      </c>
      <c r="J909" s="129" t="s">
        <v>33</v>
      </c>
      <c r="K909" s="129" t="s">
        <v>33</v>
      </c>
      <c r="L909" s="130" t="s">
        <v>33</v>
      </c>
      <c r="M909" s="129" t="s">
        <v>33</v>
      </c>
      <c r="N909" s="131">
        <v>0.9</v>
      </c>
      <c r="O909" s="129" t="s">
        <v>33</v>
      </c>
      <c r="P909" s="129" t="s">
        <v>33</v>
      </c>
      <c r="Q909" s="129" t="s">
        <v>33</v>
      </c>
      <c r="R909" s="129" t="s">
        <v>33</v>
      </c>
      <c r="S909" s="131">
        <v>0.9</v>
      </c>
      <c r="T909" s="129" t="s">
        <v>33</v>
      </c>
      <c r="U909" s="129" t="s">
        <v>33</v>
      </c>
      <c r="V909" s="129" t="s">
        <v>33</v>
      </c>
      <c r="W909" s="129" t="s">
        <v>33</v>
      </c>
      <c r="X909" s="131">
        <v>0.92</v>
      </c>
      <c r="Y909" s="131" t="s">
        <v>33</v>
      </c>
      <c r="Z909" s="131" t="s">
        <v>33</v>
      </c>
      <c r="AA909" s="131" t="s">
        <v>33</v>
      </c>
      <c r="AB909" s="131" t="s">
        <v>33</v>
      </c>
      <c r="AC909" s="131">
        <v>0.92</v>
      </c>
      <c r="AD909" s="129">
        <v>1</v>
      </c>
      <c r="AE909" s="129">
        <v>1</v>
      </c>
      <c r="AF909" s="129">
        <v>0</v>
      </c>
      <c r="AG909" s="129">
        <v>0.868144690781797</v>
      </c>
      <c r="AH909" s="131">
        <v>0.92</v>
      </c>
      <c r="AI909" s="129" t="s">
        <v>33</v>
      </c>
      <c r="AJ909" s="129" t="s">
        <v>33</v>
      </c>
      <c r="AK909" s="129" t="s">
        <v>33</v>
      </c>
      <c r="AL909" s="129" t="s">
        <v>33</v>
      </c>
      <c r="AM909" s="128">
        <v>0.99</v>
      </c>
      <c r="AN909" s="133">
        <v>1</v>
      </c>
      <c r="AO909" s="133">
        <v>1</v>
      </c>
      <c r="AP909" s="133">
        <v>1</v>
      </c>
      <c r="AQ909" s="133">
        <v>1</v>
      </c>
      <c r="AR909" s="153">
        <v>0.0656418488929858</v>
      </c>
      <c r="AS909" s="137" t="s">
        <v>33</v>
      </c>
      <c r="AT909" s="137" t="s">
        <v>33</v>
      </c>
      <c r="AU909" s="137" t="s">
        <v>33</v>
      </c>
      <c r="AV909" s="137" t="s">
        <v>33</v>
      </c>
      <c r="AW909" s="93"/>
      <c r="AX909" s="91"/>
    </row>
    <row r="910" ht="14.5" spans="1:50">
      <c r="A910" s="89"/>
      <c r="B910" s="93"/>
      <c r="C910" s="172" t="s">
        <v>922</v>
      </c>
      <c r="D910" s="126" t="s">
        <v>923</v>
      </c>
      <c r="E910" s="175" t="s">
        <v>934</v>
      </c>
      <c r="F910" s="176" t="s">
        <v>934</v>
      </c>
      <c r="G910" s="176" t="s">
        <v>934</v>
      </c>
      <c r="H910" s="176" t="s">
        <v>934</v>
      </c>
      <c r="I910" s="128">
        <v>0.9</v>
      </c>
      <c r="J910" s="129">
        <v>0.9</v>
      </c>
      <c r="K910" s="129">
        <v>0.736842105263158</v>
      </c>
      <c r="L910" s="130">
        <v>0.842105263157895</v>
      </c>
      <c r="M910" s="129">
        <v>0.765765765765766</v>
      </c>
      <c r="N910" s="131">
        <v>0.9</v>
      </c>
      <c r="O910" s="129">
        <v>0.844289765403454</v>
      </c>
      <c r="P910" s="129">
        <v>0.866299449173761</v>
      </c>
      <c r="Q910" s="129">
        <v>0.74611748818366</v>
      </c>
      <c r="R910" s="129">
        <v>0.78531941031941</v>
      </c>
      <c r="S910" s="131">
        <v>0.9</v>
      </c>
      <c r="T910" s="129">
        <v>0.82830626450116</v>
      </c>
      <c r="U910" s="129">
        <v>0.848272408612919</v>
      </c>
      <c r="V910" s="129">
        <v>0.729237002025658</v>
      </c>
      <c r="W910" s="129">
        <v>0.75291769041769</v>
      </c>
      <c r="X910" s="131">
        <v>0.92</v>
      </c>
      <c r="Y910" s="131" t="s">
        <v>33</v>
      </c>
      <c r="Z910" s="131" t="s">
        <v>33</v>
      </c>
      <c r="AA910" s="131" t="s">
        <v>33</v>
      </c>
      <c r="AB910" s="131">
        <v>0</v>
      </c>
      <c r="AC910" s="131">
        <v>0.92</v>
      </c>
      <c r="AD910" s="129">
        <v>0.997655726724715</v>
      </c>
      <c r="AE910" s="129">
        <v>0.924402995619613</v>
      </c>
      <c r="AF910" s="129">
        <v>0.705005959475566</v>
      </c>
      <c r="AG910" s="129">
        <v>0.922937818641335</v>
      </c>
      <c r="AH910" s="131">
        <v>0.92</v>
      </c>
      <c r="AI910" s="129">
        <v>0.960051546391753</v>
      </c>
      <c r="AJ910" s="129">
        <v>0.948422633950926</v>
      </c>
      <c r="AK910" s="129">
        <v>0.933850826864664</v>
      </c>
      <c r="AL910" s="129">
        <v>0.94095249792735</v>
      </c>
      <c r="AM910" s="128">
        <v>0.99</v>
      </c>
      <c r="AN910" s="133">
        <v>1</v>
      </c>
      <c r="AO910" s="133">
        <v>1</v>
      </c>
      <c r="AP910" s="133">
        <v>1</v>
      </c>
      <c r="AQ910" s="133">
        <v>1</v>
      </c>
      <c r="AR910" s="153">
        <v>0.0656418488929858</v>
      </c>
      <c r="AS910" s="137">
        <v>0</v>
      </c>
      <c r="AT910" s="137">
        <v>0.05</v>
      </c>
      <c r="AU910" s="137">
        <v>0.0588235294117647</v>
      </c>
      <c r="AV910" s="137">
        <v>0.0478260869565217</v>
      </c>
      <c r="AW910" s="93"/>
      <c r="AX910" s="91"/>
    </row>
    <row r="911" ht="14.5" spans="1:50">
      <c r="A911" s="89"/>
      <c r="B911" s="93"/>
      <c r="C911" s="172" t="s">
        <v>922</v>
      </c>
      <c r="D911" s="126" t="s">
        <v>923</v>
      </c>
      <c r="E911" s="175" t="s">
        <v>935</v>
      </c>
      <c r="F911" s="176" t="s">
        <v>935</v>
      </c>
      <c r="G911" s="176" t="s">
        <v>935</v>
      </c>
      <c r="H911" s="176" t="s">
        <v>935</v>
      </c>
      <c r="I911" s="128">
        <v>0.9</v>
      </c>
      <c r="J911" s="129">
        <v>0.916666666666667</v>
      </c>
      <c r="K911" s="129">
        <v>0.903225806451613</v>
      </c>
      <c r="L911" s="130">
        <v>0.794117647058823</v>
      </c>
      <c r="M911" s="129">
        <v>0.86737400530504</v>
      </c>
      <c r="N911" s="131">
        <v>0.9</v>
      </c>
      <c r="O911" s="129">
        <v>0.97873368777187</v>
      </c>
      <c r="P911" s="129">
        <v>0.97470398277718</v>
      </c>
      <c r="Q911" s="129">
        <v>0.97782191327375</v>
      </c>
      <c r="R911" s="129">
        <v>0.970575632052564</v>
      </c>
      <c r="S911" s="131">
        <v>0.9</v>
      </c>
      <c r="T911" s="129">
        <v>0.940309328177864</v>
      </c>
      <c r="U911" s="129">
        <v>0.940796555435953</v>
      </c>
      <c r="V911" s="129">
        <v>0.8987090367428</v>
      </c>
      <c r="W911" s="129">
        <v>0.910641336951864</v>
      </c>
      <c r="X911" s="131">
        <v>0.92</v>
      </c>
      <c r="Y911" s="131">
        <v>1</v>
      </c>
      <c r="Z911" s="131" t="s">
        <v>33</v>
      </c>
      <c r="AA911" s="131" t="s">
        <v>33</v>
      </c>
      <c r="AB911" s="131">
        <v>1</v>
      </c>
      <c r="AC911" s="131">
        <v>0.92</v>
      </c>
      <c r="AD911" s="129">
        <v>0.999415204678363</v>
      </c>
      <c r="AE911" s="129">
        <v>0.998332638599416</v>
      </c>
      <c r="AF911" s="129">
        <v>0.998896247240618</v>
      </c>
      <c r="AG911" s="129">
        <v>0.998306010928962</v>
      </c>
      <c r="AH911" s="131">
        <v>0.92</v>
      </c>
      <c r="AI911" s="129">
        <v>0.957719255858903</v>
      </c>
      <c r="AJ911" s="129">
        <v>0.947283485745024</v>
      </c>
      <c r="AK911" s="129">
        <v>0.955658504301787</v>
      </c>
      <c r="AL911" s="129">
        <v>0.948500428449015</v>
      </c>
      <c r="AM911" s="128">
        <v>0.99</v>
      </c>
      <c r="AN911" s="133">
        <v>1</v>
      </c>
      <c r="AO911" s="133">
        <v>1</v>
      </c>
      <c r="AP911" s="133">
        <v>1</v>
      </c>
      <c r="AQ911" s="133">
        <v>1</v>
      </c>
      <c r="AR911" s="153">
        <v>0.0656418488929858</v>
      </c>
      <c r="AS911" s="137">
        <v>0</v>
      </c>
      <c r="AT911" s="137">
        <v>0.0909090909090909</v>
      </c>
      <c r="AU911" s="137">
        <v>0.166666666666667</v>
      </c>
      <c r="AV911" s="137">
        <v>0.106508875739645</v>
      </c>
      <c r="AW911" s="93"/>
      <c r="AX911" s="91"/>
    </row>
    <row r="912" ht="14.5" spans="1:50">
      <c r="A912" s="89"/>
      <c r="B912" s="93"/>
      <c r="C912" s="172" t="s">
        <v>922</v>
      </c>
      <c r="D912" s="126" t="s">
        <v>923</v>
      </c>
      <c r="E912" s="179" t="s">
        <v>936</v>
      </c>
      <c r="F912" s="180" t="s">
        <v>936</v>
      </c>
      <c r="G912" s="180" t="s">
        <v>936</v>
      </c>
      <c r="H912" s="180" t="s">
        <v>936</v>
      </c>
      <c r="I912" s="128">
        <v>0.9</v>
      </c>
      <c r="J912" s="129">
        <v>0.95</v>
      </c>
      <c r="K912" s="129">
        <v>0.9375</v>
      </c>
      <c r="L912" s="130">
        <v>0.9</v>
      </c>
      <c r="M912" s="129">
        <v>0.898617511520737</v>
      </c>
      <c r="N912" s="131">
        <v>0.9</v>
      </c>
      <c r="O912" s="129">
        <v>0.86468149264983</v>
      </c>
      <c r="P912" s="129">
        <v>0.916596461668071</v>
      </c>
      <c r="Q912" s="129">
        <v>0.896733403582719</v>
      </c>
      <c r="R912" s="129">
        <v>0.856626816891718</v>
      </c>
      <c r="S912" s="131">
        <v>0.9</v>
      </c>
      <c r="T912" s="129">
        <v>0.833396155295891</v>
      </c>
      <c r="U912" s="129">
        <v>0.860151642796967</v>
      </c>
      <c r="V912" s="129">
        <v>0.898840885142255</v>
      </c>
      <c r="W912" s="129">
        <v>0.850520340586566</v>
      </c>
      <c r="X912" s="131">
        <v>0.92</v>
      </c>
      <c r="Y912" s="131" t="s">
        <v>33</v>
      </c>
      <c r="Z912" s="131" t="s">
        <v>33</v>
      </c>
      <c r="AA912" s="131" t="s">
        <v>33</v>
      </c>
      <c r="AB912" s="131" t="s">
        <v>33</v>
      </c>
      <c r="AC912" s="131">
        <v>0.92</v>
      </c>
      <c r="AD912" s="129">
        <v>0.999349170191995</v>
      </c>
      <c r="AE912" s="129">
        <v>0.999330655957162</v>
      </c>
      <c r="AF912" s="129">
        <v>0.874707564335846</v>
      </c>
      <c r="AG912" s="129">
        <v>0.985624266892168</v>
      </c>
      <c r="AH912" s="131">
        <v>0.92</v>
      </c>
      <c r="AI912" s="129">
        <v>0.948438088069251</v>
      </c>
      <c r="AJ912" s="129">
        <v>0.912605042016807</v>
      </c>
      <c r="AK912" s="129">
        <v>0.958421052631579</v>
      </c>
      <c r="AL912" s="129">
        <v>0.939284640817553</v>
      </c>
      <c r="AM912" s="128">
        <v>0.99</v>
      </c>
      <c r="AN912" s="133">
        <v>1</v>
      </c>
      <c r="AO912" s="133">
        <v>1</v>
      </c>
      <c r="AP912" s="133">
        <v>1</v>
      </c>
      <c r="AQ912" s="133">
        <v>1</v>
      </c>
      <c r="AR912" s="153">
        <v>0.0656418488929858</v>
      </c>
      <c r="AS912" s="137">
        <v>0</v>
      </c>
      <c r="AT912" s="137">
        <v>0</v>
      </c>
      <c r="AU912" s="137">
        <v>0.111111111111111</v>
      </c>
      <c r="AV912" s="137">
        <v>0.0891089108910891</v>
      </c>
      <c r="AW912" s="93"/>
      <c r="AX912" s="91"/>
    </row>
    <row r="913" ht="14.5" spans="1:50">
      <c r="A913" s="89"/>
      <c r="B913" s="93"/>
      <c r="C913" s="172" t="s">
        <v>922</v>
      </c>
      <c r="D913" s="126" t="s">
        <v>923</v>
      </c>
      <c r="E913" s="175" t="s">
        <v>937</v>
      </c>
      <c r="F913" s="176" t="s">
        <v>937</v>
      </c>
      <c r="G913" s="176" t="s">
        <v>937</v>
      </c>
      <c r="H913" s="176" t="s">
        <v>937</v>
      </c>
      <c r="I913" s="128">
        <v>0.9</v>
      </c>
      <c r="J913" s="129">
        <v>0.975</v>
      </c>
      <c r="K913" s="129">
        <v>0.682926829268293</v>
      </c>
      <c r="L913" s="130">
        <v>0.878048780487805</v>
      </c>
      <c r="M913" s="129">
        <v>0.887949260042283</v>
      </c>
      <c r="N913" s="131">
        <v>0.9</v>
      </c>
      <c r="O913" s="129">
        <v>0.940339354132458</v>
      </c>
      <c r="P913" s="129">
        <v>0.910493827160494</v>
      </c>
      <c r="Q913" s="129">
        <v>0.926098071113177</v>
      </c>
      <c r="R913" s="129">
        <v>0.921482816321277</v>
      </c>
      <c r="S913" s="131">
        <v>0.9</v>
      </c>
      <c r="T913" s="129">
        <v>0.920817369093231</v>
      </c>
      <c r="U913" s="129">
        <v>0.931327160493827</v>
      </c>
      <c r="V913" s="129">
        <v>0.925633279107599</v>
      </c>
      <c r="W913" s="129">
        <v>0.918307804522247</v>
      </c>
      <c r="X913" s="131">
        <v>0.92</v>
      </c>
      <c r="Y913" s="131" t="s">
        <v>33</v>
      </c>
      <c r="Z913" s="131" t="s">
        <v>33</v>
      </c>
      <c r="AA913" s="131" t="s">
        <v>33</v>
      </c>
      <c r="AB913" s="131" t="s">
        <v>33</v>
      </c>
      <c r="AC913" s="131">
        <v>0.92</v>
      </c>
      <c r="AD913" s="129">
        <v>0.993911719939117</v>
      </c>
      <c r="AE913" s="129">
        <v>0.996835443037975</v>
      </c>
      <c r="AF913" s="129">
        <v>0.966700302724521</v>
      </c>
      <c r="AG913" s="129">
        <v>0.994376349598422</v>
      </c>
      <c r="AH913" s="131">
        <v>0.92</v>
      </c>
      <c r="AI913" s="129">
        <v>0.959313993796752</v>
      </c>
      <c r="AJ913" s="129">
        <v>0.971836419753086</v>
      </c>
      <c r="AK913" s="129">
        <v>0.965605391587265</v>
      </c>
      <c r="AL913" s="129">
        <v>0.960292603397975</v>
      </c>
      <c r="AM913" s="128">
        <v>0.99</v>
      </c>
      <c r="AN913" s="133">
        <v>1</v>
      </c>
      <c r="AO913" s="133">
        <v>1</v>
      </c>
      <c r="AP913" s="133">
        <v>1</v>
      </c>
      <c r="AQ913" s="133">
        <v>1</v>
      </c>
      <c r="AR913" s="153">
        <v>0.0656418488929858</v>
      </c>
      <c r="AS913" s="137">
        <v>0.0833333333333333</v>
      </c>
      <c r="AT913" s="137">
        <v>0.181818181818182</v>
      </c>
      <c r="AU913" s="137">
        <v>0.1</v>
      </c>
      <c r="AV913" s="137">
        <v>0.0601092896174863</v>
      </c>
      <c r="AW913" s="93"/>
      <c r="AX913" s="91"/>
    </row>
    <row r="914" ht="14.5" spans="1:50">
      <c r="A914" s="89"/>
      <c r="B914" s="93"/>
      <c r="C914" s="172" t="s">
        <v>922</v>
      </c>
      <c r="D914" s="126" t="s">
        <v>923</v>
      </c>
      <c r="E914" s="179" t="s">
        <v>938</v>
      </c>
      <c r="F914" s="180" t="s">
        <v>938</v>
      </c>
      <c r="G914" s="180" t="s">
        <v>938</v>
      </c>
      <c r="H914" s="180" t="s">
        <v>938</v>
      </c>
      <c r="I914" s="128">
        <v>0.9</v>
      </c>
      <c r="J914" s="129">
        <v>1</v>
      </c>
      <c r="K914" s="129">
        <v>0.916666666666667</v>
      </c>
      <c r="L914" s="130">
        <v>1</v>
      </c>
      <c r="M914" s="129">
        <v>0.937931034482759</v>
      </c>
      <c r="N914" s="131">
        <v>0.9</v>
      </c>
      <c r="O914" s="129">
        <v>0.924415941365094</v>
      </c>
      <c r="P914" s="129">
        <v>0.925105485232067</v>
      </c>
      <c r="Q914" s="129">
        <v>0.952470293933709</v>
      </c>
      <c r="R914" s="129">
        <v>0.926628151260504</v>
      </c>
      <c r="S914" s="131">
        <v>0.9</v>
      </c>
      <c r="T914" s="129">
        <v>0.811268896014659</v>
      </c>
      <c r="U914" s="129">
        <v>0.881856540084388</v>
      </c>
      <c r="V914" s="129">
        <v>0.919324577861163</v>
      </c>
      <c r="W914" s="129">
        <v>0.880409663865546</v>
      </c>
      <c r="X914" s="131">
        <v>0.92</v>
      </c>
      <c r="Y914" s="131" t="s">
        <v>33</v>
      </c>
      <c r="Z914" s="131" t="s">
        <v>33</v>
      </c>
      <c r="AA914" s="131" t="s">
        <v>33</v>
      </c>
      <c r="AB914" s="131" t="s">
        <v>33</v>
      </c>
      <c r="AC914" s="131">
        <v>0.92</v>
      </c>
      <c r="AD914" s="129">
        <v>1</v>
      </c>
      <c r="AE914" s="129">
        <v>0.987603305785124</v>
      </c>
      <c r="AF914" s="129">
        <v>0.997711670480549</v>
      </c>
      <c r="AG914" s="129">
        <v>0.995215311004785</v>
      </c>
      <c r="AH914" s="131">
        <v>0.92</v>
      </c>
      <c r="AI914" s="129">
        <v>0.929912963811269</v>
      </c>
      <c r="AJ914" s="129">
        <v>0.934599156118143</v>
      </c>
      <c r="AK914" s="129">
        <v>0.945590994371482</v>
      </c>
      <c r="AL914" s="129">
        <v>0.938550420168067</v>
      </c>
      <c r="AM914" s="128">
        <v>0.99</v>
      </c>
      <c r="AN914" s="133">
        <v>1</v>
      </c>
      <c r="AO914" s="133">
        <v>1</v>
      </c>
      <c r="AP914" s="133">
        <v>1</v>
      </c>
      <c r="AQ914" s="133">
        <v>1</v>
      </c>
      <c r="AR914" s="153">
        <v>0.0656418488929858</v>
      </c>
      <c r="AS914" s="137">
        <v>0</v>
      </c>
      <c r="AT914" s="137">
        <v>0</v>
      </c>
      <c r="AU914" s="137">
        <v>0.0714285714285714</v>
      </c>
      <c r="AV914" s="137">
        <v>0.027027027027027</v>
      </c>
      <c r="AW914" s="93"/>
      <c r="AX914" s="91"/>
    </row>
    <row r="915" ht="14.5" spans="1:50">
      <c r="A915" s="89"/>
      <c r="B915" s="93"/>
      <c r="C915" s="172" t="s">
        <v>922</v>
      </c>
      <c r="D915" s="126" t="s">
        <v>923</v>
      </c>
      <c r="E915" s="175" t="s">
        <v>939</v>
      </c>
      <c r="F915" s="176" t="s">
        <v>939</v>
      </c>
      <c r="G915" s="176" t="s">
        <v>939</v>
      </c>
      <c r="H915" s="176" t="s">
        <v>939</v>
      </c>
      <c r="I915" s="128">
        <v>0.9</v>
      </c>
      <c r="J915" s="129">
        <v>0.782608695652174</v>
      </c>
      <c r="K915" s="129">
        <v>0.6</v>
      </c>
      <c r="L915" s="130">
        <v>0.727272727272727</v>
      </c>
      <c r="M915" s="129">
        <v>0.78099173553719</v>
      </c>
      <c r="N915" s="131">
        <v>0.9</v>
      </c>
      <c r="O915" s="129">
        <v>0.961525813877014</v>
      </c>
      <c r="P915" s="129">
        <v>0.916223404255319</v>
      </c>
      <c r="Q915" s="129">
        <v>0.961648306813546</v>
      </c>
      <c r="R915" s="129">
        <v>0.933274609116935</v>
      </c>
      <c r="S915" s="131">
        <v>0.9</v>
      </c>
      <c r="T915" s="129">
        <v>0.882604406445248</v>
      </c>
      <c r="U915" s="129">
        <v>0.85438829787234</v>
      </c>
      <c r="V915" s="129">
        <v>0.891472868217054</v>
      </c>
      <c r="W915" s="129">
        <v>0.855611832929604</v>
      </c>
      <c r="X915" s="131">
        <v>0.92</v>
      </c>
      <c r="Y915" s="131" t="s">
        <v>33</v>
      </c>
      <c r="Z915" s="131" t="s">
        <v>33</v>
      </c>
      <c r="AA915" s="131" t="s">
        <v>33</v>
      </c>
      <c r="AB915" s="131" t="s">
        <v>33</v>
      </c>
      <c r="AC915" s="131">
        <v>0.92</v>
      </c>
      <c r="AD915" s="129">
        <v>0.998877245508982</v>
      </c>
      <c r="AE915" s="129">
        <v>0.998147576412473</v>
      </c>
      <c r="AF915" s="129">
        <v>0.997948717948718</v>
      </c>
      <c r="AG915" s="129">
        <v>0.994459631857117</v>
      </c>
      <c r="AH915" s="131">
        <v>0.92</v>
      </c>
      <c r="AI915" s="129">
        <v>0.944755014797764</v>
      </c>
      <c r="AJ915" s="129">
        <v>0.924867021276596</v>
      </c>
      <c r="AK915" s="129">
        <v>0.942088091353997</v>
      </c>
      <c r="AL915" s="129">
        <v>0.943300671584278</v>
      </c>
      <c r="AM915" s="128">
        <v>0.99</v>
      </c>
      <c r="AN915" s="133">
        <v>1</v>
      </c>
      <c r="AO915" s="133">
        <v>1</v>
      </c>
      <c r="AP915" s="133">
        <v>1</v>
      </c>
      <c r="AQ915" s="133">
        <v>1</v>
      </c>
      <c r="AR915" s="153">
        <v>0.0656418488929858</v>
      </c>
      <c r="AS915" s="137">
        <v>0</v>
      </c>
      <c r="AT915" s="137">
        <v>0.04</v>
      </c>
      <c r="AU915" s="137">
        <v>0</v>
      </c>
      <c r="AV915" s="137">
        <v>0.0246478873239437</v>
      </c>
      <c r="AW915" s="93"/>
      <c r="AX915" s="91"/>
    </row>
    <row r="916" ht="14.5" spans="1:50">
      <c r="A916" s="89"/>
      <c r="B916" s="93"/>
      <c r="C916" s="172" t="s">
        <v>922</v>
      </c>
      <c r="D916" s="126" t="s">
        <v>923</v>
      </c>
      <c r="E916" s="175" t="s">
        <v>940</v>
      </c>
      <c r="F916" s="176" t="s">
        <v>940</v>
      </c>
      <c r="G916" s="176" t="s">
        <v>940</v>
      </c>
      <c r="H916" s="176" t="s">
        <v>940</v>
      </c>
      <c r="I916" s="128">
        <v>0.9</v>
      </c>
      <c r="J916" s="129">
        <v>0.885714285714286</v>
      </c>
      <c r="K916" s="129">
        <v>0.909090909090909</v>
      </c>
      <c r="L916" s="130">
        <v>0.9375</v>
      </c>
      <c r="M916" s="129">
        <v>0.857142857142857</v>
      </c>
      <c r="N916" s="131">
        <v>0.9</v>
      </c>
      <c r="O916" s="129">
        <v>0.928085867620751</v>
      </c>
      <c r="P916" s="129">
        <v>0.926986399427344</v>
      </c>
      <c r="Q916" s="129">
        <v>0.916028586013272</v>
      </c>
      <c r="R916" s="129">
        <v>0.90117819372348</v>
      </c>
      <c r="S916" s="131">
        <v>0.9</v>
      </c>
      <c r="T916" s="129">
        <v>0.916457960644007</v>
      </c>
      <c r="U916" s="129">
        <v>0.896206156048676</v>
      </c>
      <c r="V916" s="129">
        <v>0.916539050535988</v>
      </c>
      <c r="W916" s="129">
        <v>0.901307428866823</v>
      </c>
      <c r="X916" s="131">
        <v>0.92</v>
      </c>
      <c r="Y916" s="131" t="s">
        <v>33</v>
      </c>
      <c r="Z916" s="131" t="s">
        <v>33</v>
      </c>
      <c r="AA916" s="131" t="s">
        <v>33</v>
      </c>
      <c r="AB916" s="131">
        <v>1</v>
      </c>
      <c r="AC916" s="131">
        <v>0.92</v>
      </c>
      <c r="AD916" s="129">
        <v>0.99877576004897</v>
      </c>
      <c r="AE916" s="129">
        <v>0.997050938337802</v>
      </c>
      <c r="AF916" s="129">
        <v>0.998645903859174</v>
      </c>
      <c r="AG916" s="129">
        <v>0.995206091084269</v>
      </c>
      <c r="AH916" s="131">
        <v>0.92</v>
      </c>
      <c r="AI916" s="129">
        <v>0.958504739760329</v>
      </c>
      <c r="AJ916" s="129">
        <v>0.958855098389982</v>
      </c>
      <c r="AK916" s="129">
        <v>0.958907605921388</v>
      </c>
      <c r="AL916" s="129">
        <v>0.94934527911785</v>
      </c>
      <c r="AM916" s="128">
        <v>0.99</v>
      </c>
      <c r="AN916" s="133">
        <v>1</v>
      </c>
      <c r="AO916" s="133">
        <v>1</v>
      </c>
      <c r="AP916" s="133">
        <v>1</v>
      </c>
      <c r="AQ916" s="133">
        <v>1</v>
      </c>
      <c r="AR916" s="153">
        <v>0.0656418488929858</v>
      </c>
      <c r="AS916" s="137">
        <v>0.03125</v>
      </c>
      <c r="AT916" s="137">
        <v>0.0697674418604651</v>
      </c>
      <c r="AU916" s="137">
        <v>0</v>
      </c>
      <c r="AV916" s="137">
        <v>0.0380952380952381</v>
      </c>
      <c r="AW916" s="93"/>
      <c r="AX916" s="91"/>
    </row>
    <row r="917" ht="14.5" spans="1:50">
      <c r="A917" s="89"/>
      <c r="B917" s="93"/>
      <c r="C917" s="172" t="s">
        <v>922</v>
      </c>
      <c r="D917" s="126" t="s">
        <v>923</v>
      </c>
      <c r="E917" s="175" t="s">
        <v>941</v>
      </c>
      <c r="F917" s="176" t="s">
        <v>941</v>
      </c>
      <c r="G917" s="176" t="s">
        <v>941</v>
      </c>
      <c r="H917" s="176" t="s">
        <v>941</v>
      </c>
      <c r="I917" s="128">
        <v>0.9</v>
      </c>
      <c r="J917" s="129">
        <v>0.972972972972973</v>
      </c>
      <c r="K917" s="129">
        <v>0.970588235294118</v>
      </c>
      <c r="L917" s="130">
        <v>0.972222222222222</v>
      </c>
      <c r="M917" s="129">
        <v>0.957345971563981</v>
      </c>
      <c r="N917" s="131">
        <v>0.9</v>
      </c>
      <c r="O917" s="129">
        <v>0.936651583710407</v>
      </c>
      <c r="P917" s="129">
        <v>0.911734693877551</v>
      </c>
      <c r="Q917" s="129">
        <v>0.901361573373676</v>
      </c>
      <c r="R917" s="129">
        <v>0.931298739847271</v>
      </c>
      <c r="S917" s="131">
        <v>0.9</v>
      </c>
      <c r="T917" s="129">
        <v>0.892911010558069</v>
      </c>
      <c r="U917" s="129">
        <v>0.873979591836735</v>
      </c>
      <c r="V917" s="129">
        <v>0.888956127080182</v>
      </c>
      <c r="W917" s="129">
        <v>0.88780053428317</v>
      </c>
      <c r="X917" s="131">
        <v>0.92</v>
      </c>
      <c r="Y917" s="131">
        <v>0.866188769414576</v>
      </c>
      <c r="Z917" s="131">
        <v>0.91087962962963</v>
      </c>
      <c r="AA917" s="131">
        <v>0.88719512195122</v>
      </c>
      <c r="AB917" s="131">
        <v>0.868882491494373</v>
      </c>
      <c r="AC917" s="131">
        <v>0.92</v>
      </c>
      <c r="AD917" s="129">
        <v>0.999140401146132</v>
      </c>
      <c r="AE917" s="129">
        <v>0.981027302174919</v>
      </c>
      <c r="AF917" s="129">
        <v>0.593770279039585</v>
      </c>
      <c r="AG917" s="129">
        <v>0.967939396457407</v>
      </c>
      <c r="AH917" s="131">
        <v>0.92</v>
      </c>
      <c r="AI917" s="129">
        <v>0.939796553871704</v>
      </c>
      <c r="AJ917" s="129">
        <v>0.94621372965322</v>
      </c>
      <c r="AK917" s="129">
        <v>0.95789763346175</v>
      </c>
      <c r="AL917" s="129">
        <v>0.94274211585775</v>
      </c>
      <c r="AM917" s="128">
        <v>0.99</v>
      </c>
      <c r="AN917" s="133">
        <v>1</v>
      </c>
      <c r="AO917" s="133">
        <v>1</v>
      </c>
      <c r="AP917" s="133">
        <v>1</v>
      </c>
      <c r="AQ917" s="133">
        <v>1</v>
      </c>
      <c r="AR917" s="153">
        <v>0.0656418488929858</v>
      </c>
      <c r="AS917" s="137">
        <v>0.0952380952380952</v>
      </c>
      <c r="AT917" s="137">
        <v>0</v>
      </c>
      <c r="AU917" s="137">
        <v>-0.0833333333333333</v>
      </c>
      <c r="AV917" s="137">
        <v>0.0780141843971631</v>
      </c>
      <c r="AW917" s="93"/>
      <c r="AX917" s="91"/>
    </row>
    <row r="918" ht="14.5" spans="1:50">
      <c r="A918" s="89"/>
      <c r="B918" s="93"/>
      <c r="C918" s="172" t="s">
        <v>922</v>
      </c>
      <c r="D918" s="126" t="s">
        <v>923</v>
      </c>
      <c r="E918" s="175" t="s">
        <v>942</v>
      </c>
      <c r="F918" s="176" t="s">
        <v>942</v>
      </c>
      <c r="G918" s="176" t="s">
        <v>942</v>
      </c>
      <c r="H918" s="176" t="s">
        <v>942</v>
      </c>
      <c r="I918" s="128">
        <v>0.9</v>
      </c>
      <c r="J918" s="129">
        <v>1</v>
      </c>
      <c r="K918" s="129">
        <v>0.666666666666667</v>
      </c>
      <c r="L918" s="130">
        <v>0.857142857142857</v>
      </c>
      <c r="M918" s="129">
        <v>0.882352941176471</v>
      </c>
      <c r="N918" s="131">
        <v>0.9</v>
      </c>
      <c r="O918" s="129">
        <v>0.976973684210526</v>
      </c>
      <c r="P918" s="129">
        <v>0.982832618025751</v>
      </c>
      <c r="Q918" s="129">
        <v>0.975324675324675</v>
      </c>
      <c r="R918" s="129">
        <v>0.939812468322352</v>
      </c>
      <c r="S918" s="131">
        <v>0.9</v>
      </c>
      <c r="T918" s="129">
        <v>0.947368421052632</v>
      </c>
      <c r="U918" s="129">
        <v>0.86480686695279</v>
      </c>
      <c r="V918" s="129">
        <v>0.87012987012987</v>
      </c>
      <c r="W918" s="129">
        <v>0.867080587937152</v>
      </c>
      <c r="X918" s="131">
        <v>0.92</v>
      </c>
      <c r="Y918" s="131" t="s">
        <v>33</v>
      </c>
      <c r="Z918" s="131" t="s">
        <v>33</v>
      </c>
      <c r="AA918" s="131" t="s">
        <v>33</v>
      </c>
      <c r="AB918" s="131">
        <v>0</v>
      </c>
      <c r="AC918" s="131">
        <v>0.92</v>
      </c>
      <c r="AD918" s="129">
        <v>1</v>
      </c>
      <c r="AE918" s="129">
        <v>0.99825479930192</v>
      </c>
      <c r="AF918" s="129">
        <v>0.996818663838812</v>
      </c>
      <c r="AG918" s="129">
        <v>0.996275417757198</v>
      </c>
      <c r="AH918" s="131">
        <v>0.92</v>
      </c>
      <c r="AI918" s="129">
        <v>0.975877192982456</v>
      </c>
      <c r="AJ918" s="129">
        <v>0.957081545064378</v>
      </c>
      <c r="AK918" s="129">
        <v>0.976653696498054</v>
      </c>
      <c r="AL918" s="129">
        <v>0.959478282892238</v>
      </c>
      <c r="AM918" s="128">
        <v>0.99</v>
      </c>
      <c r="AN918" s="133">
        <v>1</v>
      </c>
      <c r="AO918" s="133">
        <v>1</v>
      </c>
      <c r="AP918" s="133">
        <v>1</v>
      </c>
      <c r="AQ918" s="133">
        <v>1</v>
      </c>
      <c r="AR918" s="153">
        <v>0.0656418488929858</v>
      </c>
      <c r="AS918" s="137">
        <v>0</v>
      </c>
      <c r="AT918" s="137">
        <v>0</v>
      </c>
      <c r="AU918" s="137">
        <v>0</v>
      </c>
      <c r="AV918" s="137">
        <v>0</v>
      </c>
      <c r="AW918" s="93"/>
      <c r="AX918" s="91"/>
    </row>
    <row r="919" ht="14.5" spans="1:50">
      <c r="A919" s="89"/>
      <c r="B919" s="93"/>
      <c r="C919" s="172" t="s">
        <v>922</v>
      </c>
      <c r="D919" s="126" t="s">
        <v>923</v>
      </c>
      <c r="E919" s="175" t="s">
        <v>943</v>
      </c>
      <c r="F919" s="176" t="s">
        <v>943</v>
      </c>
      <c r="G919" s="176" t="s">
        <v>943</v>
      </c>
      <c r="H919" s="176" t="s">
        <v>943</v>
      </c>
      <c r="I919" s="128">
        <v>0.9</v>
      </c>
      <c r="J919" s="129">
        <v>0.972972972972973</v>
      </c>
      <c r="K919" s="129">
        <v>0.933333333333333</v>
      </c>
      <c r="L919" s="130">
        <v>0.916666666666667</v>
      </c>
      <c r="M919" s="129">
        <v>0.929245283018868</v>
      </c>
      <c r="N919" s="131">
        <v>0.9</v>
      </c>
      <c r="O919" s="129">
        <v>0.91812865497076</v>
      </c>
      <c r="P919" s="129">
        <v>0.935297211993688</v>
      </c>
      <c r="Q919" s="129">
        <v>0.932555492316449</v>
      </c>
      <c r="R919" s="129">
        <v>0.94977074854464</v>
      </c>
      <c r="S919" s="131">
        <v>0.9</v>
      </c>
      <c r="T919" s="129">
        <v>0.892397660818713</v>
      </c>
      <c r="U919" s="129">
        <v>0.907417148869016</v>
      </c>
      <c r="V919" s="129">
        <v>0.912350597609562</v>
      </c>
      <c r="W919" s="129">
        <v>0.904487146463345</v>
      </c>
      <c r="X919" s="131">
        <v>0.92</v>
      </c>
      <c r="Y919" s="131" t="s">
        <v>33</v>
      </c>
      <c r="Z919" s="131" t="s">
        <v>33</v>
      </c>
      <c r="AA919" s="131" t="s">
        <v>33</v>
      </c>
      <c r="AB919" s="131" t="s">
        <v>33</v>
      </c>
      <c r="AC919" s="131">
        <v>0.92</v>
      </c>
      <c r="AD919" s="129">
        <v>0.997249914059814</v>
      </c>
      <c r="AE919" s="129">
        <v>0.992</v>
      </c>
      <c r="AF919" s="129">
        <v>0.98686679174484</v>
      </c>
      <c r="AG919" s="129">
        <v>0.994698919197118</v>
      </c>
      <c r="AH919" s="131">
        <v>0.92</v>
      </c>
      <c r="AI919" s="129">
        <v>0.933801169590643</v>
      </c>
      <c r="AJ919" s="129">
        <v>0.924776433456076</v>
      </c>
      <c r="AK919" s="129">
        <v>0.943084803642573</v>
      </c>
      <c r="AL919" s="129">
        <v>0.940782525822322</v>
      </c>
      <c r="AM919" s="128">
        <v>0.99</v>
      </c>
      <c r="AN919" s="133">
        <v>1</v>
      </c>
      <c r="AO919" s="133">
        <v>1</v>
      </c>
      <c r="AP919" s="133">
        <v>1</v>
      </c>
      <c r="AQ919" s="133">
        <v>1</v>
      </c>
      <c r="AR919" s="153">
        <v>0.0656418488929858</v>
      </c>
      <c r="AS919" s="137">
        <v>0</v>
      </c>
      <c r="AT919" s="137">
        <v>0.142857142857143</v>
      </c>
      <c r="AU919" s="137">
        <v>0</v>
      </c>
      <c r="AV919" s="137">
        <v>0.0373134328358209</v>
      </c>
      <c r="AW919" s="93"/>
      <c r="AX919" s="91"/>
    </row>
    <row r="920" ht="14.5" spans="1:50">
      <c r="A920" s="89"/>
      <c r="B920" s="93"/>
      <c r="C920" s="172" t="s">
        <v>922</v>
      </c>
      <c r="D920" s="126" t="s">
        <v>923</v>
      </c>
      <c r="E920" s="179" t="s">
        <v>944</v>
      </c>
      <c r="F920" s="180" t="s">
        <v>944</v>
      </c>
      <c r="G920" s="180" t="s">
        <v>944</v>
      </c>
      <c r="H920" s="180" t="s">
        <v>944</v>
      </c>
      <c r="I920" s="128">
        <v>0.9</v>
      </c>
      <c r="J920" s="129">
        <v>0.904761904761905</v>
      </c>
      <c r="K920" s="129">
        <v>0.857142857142857</v>
      </c>
      <c r="L920" s="130">
        <v>0.75</v>
      </c>
      <c r="M920" s="129">
        <v>0.864485981308411</v>
      </c>
      <c r="N920" s="131">
        <v>0.9</v>
      </c>
      <c r="O920" s="129">
        <v>0.928240740740741</v>
      </c>
      <c r="P920" s="129">
        <v>0.913636363636364</v>
      </c>
      <c r="Q920" s="129">
        <v>0.880794701986755</v>
      </c>
      <c r="R920" s="129">
        <v>0.928535225544856</v>
      </c>
      <c r="S920" s="131">
        <v>0.9</v>
      </c>
      <c r="T920" s="129">
        <v>0.887345679012346</v>
      </c>
      <c r="U920" s="129">
        <v>0.853030303030303</v>
      </c>
      <c r="V920" s="129">
        <v>0.860454115421003</v>
      </c>
      <c r="W920" s="129">
        <v>0.815847271498564</v>
      </c>
      <c r="X920" s="131">
        <v>0.92</v>
      </c>
      <c r="Y920" s="131" t="s">
        <v>33</v>
      </c>
      <c r="Z920" s="131" t="s">
        <v>33</v>
      </c>
      <c r="AA920" s="131" t="s">
        <v>33</v>
      </c>
      <c r="AB920" s="131" t="s">
        <v>33</v>
      </c>
      <c r="AC920" s="131">
        <v>0.92</v>
      </c>
      <c r="AD920" s="129">
        <v>0.996631106120157</v>
      </c>
      <c r="AE920" s="129">
        <v>0.994086727989487</v>
      </c>
      <c r="AF920" s="129">
        <v>0.99412915851272</v>
      </c>
      <c r="AG920" s="129">
        <v>0.977459253265518</v>
      </c>
      <c r="AH920" s="131">
        <v>0.92</v>
      </c>
      <c r="AI920" s="129">
        <v>0.944444444444444</v>
      </c>
      <c r="AJ920" s="129">
        <v>0.921969696969697</v>
      </c>
      <c r="AK920" s="129">
        <v>0.934247871333964</v>
      </c>
      <c r="AL920" s="129">
        <v>0.930061660613227</v>
      </c>
      <c r="AM920" s="128">
        <v>0.99</v>
      </c>
      <c r="AN920" s="133">
        <v>1</v>
      </c>
      <c r="AO920" s="133">
        <v>1</v>
      </c>
      <c r="AP920" s="133">
        <v>1</v>
      </c>
      <c r="AQ920" s="133">
        <v>1</v>
      </c>
      <c r="AR920" s="153">
        <v>0.0656418488929858</v>
      </c>
      <c r="AS920" s="137">
        <v>0</v>
      </c>
      <c r="AT920" s="137">
        <v>0</v>
      </c>
      <c r="AU920" s="137">
        <v>0.111111111111111</v>
      </c>
      <c r="AV920" s="137">
        <v>0.0467289719626168</v>
      </c>
      <c r="AW920" s="93"/>
      <c r="AX920" s="91"/>
    </row>
    <row r="921" ht="14.5" spans="1:50">
      <c r="A921" s="89"/>
      <c r="B921" s="93"/>
      <c r="C921" s="172" t="s">
        <v>922</v>
      </c>
      <c r="D921" s="126" t="s">
        <v>923</v>
      </c>
      <c r="E921" s="175" t="s">
        <v>945</v>
      </c>
      <c r="F921" s="176" t="s">
        <v>945</v>
      </c>
      <c r="G921" s="176" t="s">
        <v>945</v>
      </c>
      <c r="H921" s="176" t="s">
        <v>945</v>
      </c>
      <c r="I921" s="128">
        <v>0.9</v>
      </c>
      <c r="J921" s="129">
        <v>0.918032786885246</v>
      </c>
      <c r="K921" s="129">
        <v>0.96</v>
      </c>
      <c r="L921" s="130">
        <v>0.9375</v>
      </c>
      <c r="M921" s="129">
        <v>0.895332390381895</v>
      </c>
      <c r="N921" s="131">
        <v>0.9</v>
      </c>
      <c r="O921" s="129">
        <v>0.892899880335062</v>
      </c>
      <c r="P921" s="129">
        <v>0.906519742883379</v>
      </c>
      <c r="Q921" s="129">
        <v>0.910358267126368</v>
      </c>
      <c r="R921" s="129">
        <v>0.897863630891068</v>
      </c>
      <c r="S921" s="131">
        <v>0.9</v>
      </c>
      <c r="T921" s="129">
        <v>0.83585959313921</v>
      </c>
      <c r="U921" s="129">
        <v>0.851239669421488</v>
      </c>
      <c r="V921" s="129">
        <v>0.832708739319442</v>
      </c>
      <c r="W921" s="129">
        <v>0.837959680547938</v>
      </c>
      <c r="X921" s="131">
        <v>0.92</v>
      </c>
      <c r="Y921" s="131" t="s">
        <v>33</v>
      </c>
      <c r="Z921" s="131" t="s">
        <v>33</v>
      </c>
      <c r="AA921" s="131" t="s">
        <v>33</v>
      </c>
      <c r="AB921" s="131" t="s">
        <v>33</v>
      </c>
      <c r="AC921" s="131">
        <v>0.92</v>
      </c>
      <c r="AD921" s="129">
        <v>0.994778067885117</v>
      </c>
      <c r="AE921" s="129">
        <v>0.991055456171735</v>
      </c>
      <c r="AF921" s="129">
        <v>0.970425138632163</v>
      </c>
      <c r="AG921" s="129">
        <v>0.983493357885045</v>
      </c>
      <c r="AH921" s="131">
        <v>0.92</v>
      </c>
      <c r="AI921" s="129">
        <v>0.928799361786996</v>
      </c>
      <c r="AJ921" s="129">
        <v>0.902479338842975</v>
      </c>
      <c r="AK921" s="129">
        <v>0.944386149003148</v>
      </c>
      <c r="AL921" s="129">
        <v>0.93015758354068</v>
      </c>
      <c r="AM921" s="128">
        <v>0.99</v>
      </c>
      <c r="AN921" s="133">
        <v>1</v>
      </c>
      <c r="AO921" s="133">
        <v>1</v>
      </c>
      <c r="AP921" s="133">
        <v>1</v>
      </c>
      <c r="AQ921" s="133">
        <v>1</v>
      </c>
      <c r="AR921" s="153">
        <v>0.0656418488929858</v>
      </c>
      <c r="AS921" s="137">
        <v>0.0263157894736842</v>
      </c>
      <c r="AT921" s="137">
        <v>0.222222222222222</v>
      </c>
      <c r="AU921" s="137">
        <v>0</v>
      </c>
      <c r="AV921" s="137">
        <v>0.0420792079207921</v>
      </c>
      <c r="AW921" s="93"/>
      <c r="AX921" s="91"/>
    </row>
    <row r="922" ht="14.5" spans="1:50">
      <c r="A922" s="89"/>
      <c r="B922" s="93"/>
      <c r="C922" s="172" t="s">
        <v>922</v>
      </c>
      <c r="D922" s="126" t="s">
        <v>923</v>
      </c>
      <c r="E922" s="175" t="s">
        <v>946</v>
      </c>
      <c r="F922" s="176" t="s">
        <v>946</v>
      </c>
      <c r="G922" s="176" t="s">
        <v>946</v>
      </c>
      <c r="H922" s="176" t="s">
        <v>946</v>
      </c>
      <c r="I922" s="128">
        <v>0.9</v>
      </c>
      <c r="J922" s="129">
        <v>1</v>
      </c>
      <c r="K922" s="129">
        <v>1</v>
      </c>
      <c r="L922" s="130">
        <v>1</v>
      </c>
      <c r="M922" s="129">
        <v>0.99609375</v>
      </c>
      <c r="N922" s="131">
        <v>0.9</v>
      </c>
      <c r="O922" s="129">
        <v>0.97623862487361</v>
      </c>
      <c r="P922" s="129">
        <v>0.986257073565077</v>
      </c>
      <c r="Q922" s="129">
        <v>0.979224083103668</v>
      </c>
      <c r="R922" s="129">
        <v>0.978198070529242</v>
      </c>
      <c r="S922" s="131">
        <v>0.9</v>
      </c>
      <c r="T922" s="129">
        <v>0.935035389282103</v>
      </c>
      <c r="U922" s="129">
        <v>0.947992454863918</v>
      </c>
      <c r="V922" s="129">
        <v>0.920712317150731</v>
      </c>
      <c r="W922" s="129">
        <v>0.937610145164514</v>
      </c>
      <c r="X922" s="131">
        <v>0.92</v>
      </c>
      <c r="Y922" s="131" t="s">
        <v>33</v>
      </c>
      <c r="Z922" s="131" t="s">
        <v>33</v>
      </c>
      <c r="AA922" s="131" t="s">
        <v>33</v>
      </c>
      <c r="AB922" s="131">
        <v>1</v>
      </c>
      <c r="AC922" s="131">
        <v>0.92</v>
      </c>
      <c r="AD922" s="129">
        <v>0.988245931283906</v>
      </c>
      <c r="AE922" s="129">
        <v>0.998084291187739</v>
      </c>
      <c r="AF922" s="129">
        <v>0.991394148020654</v>
      </c>
      <c r="AG922" s="129">
        <v>0.990672069730102</v>
      </c>
      <c r="AH922" s="131">
        <v>0.92</v>
      </c>
      <c r="AI922" s="129">
        <v>0.976996966632963</v>
      </c>
      <c r="AJ922" s="129">
        <v>0.979520344920507</v>
      </c>
      <c r="AK922" s="129">
        <v>0.975832096671613</v>
      </c>
      <c r="AL922" s="129">
        <v>0.975764402376324</v>
      </c>
      <c r="AM922" s="128">
        <v>0.99</v>
      </c>
      <c r="AN922" s="133">
        <v>1</v>
      </c>
      <c r="AO922" s="133">
        <v>1</v>
      </c>
      <c r="AP922" s="133">
        <v>1</v>
      </c>
      <c r="AQ922" s="133">
        <v>1</v>
      </c>
      <c r="AR922" s="153">
        <v>0.0656418488929858</v>
      </c>
      <c r="AS922" s="137">
        <v>0.0384615384615385</v>
      </c>
      <c r="AT922" s="137">
        <v>0.0952380952380952</v>
      </c>
      <c r="AU922" s="137">
        <v>0.0769230769230769</v>
      </c>
      <c r="AV922" s="137">
        <v>0.0662650602409639</v>
      </c>
      <c r="AW922" s="93"/>
      <c r="AX922" s="91"/>
    </row>
    <row r="923" ht="14.5" spans="1:50">
      <c r="A923" s="89"/>
      <c r="B923" s="93"/>
      <c r="C923" s="172" t="s">
        <v>922</v>
      </c>
      <c r="D923" s="126" t="s">
        <v>923</v>
      </c>
      <c r="E923" s="175" t="s">
        <v>947</v>
      </c>
      <c r="F923" s="176" t="s">
        <v>947</v>
      </c>
      <c r="G923" s="176" t="s">
        <v>947</v>
      </c>
      <c r="H923" s="176" t="s">
        <v>947</v>
      </c>
      <c r="I923" s="128">
        <v>0.9</v>
      </c>
      <c r="J923" s="129">
        <v>0.945945945945946</v>
      </c>
      <c r="K923" s="129">
        <v>0.970588235294118</v>
      </c>
      <c r="L923" s="130">
        <v>0.916666666666667</v>
      </c>
      <c r="M923" s="129">
        <v>0.959619952494062</v>
      </c>
      <c r="N923" s="131">
        <v>0.9</v>
      </c>
      <c r="O923" s="129">
        <v>0.941048034934498</v>
      </c>
      <c r="P923" s="129">
        <v>0.936518114780378</v>
      </c>
      <c r="Q923" s="129">
        <v>0.943460135487233</v>
      </c>
      <c r="R923" s="129">
        <v>0.943622898789232</v>
      </c>
      <c r="S923" s="131">
        <v>0.9</v>
      </c>
      <c r="T923" s="129">
        <v>0.932678311499272</v>
      </c>
      <c r="U923" s="129">
        <v>0.931067649887785</v>
      </c>
      <c r="V923" s="129">
        <v>0.909067222511725</v>
      </c>
      <c r="W923" s="129">
        <v>0.910027036558129</v>
      </c>
      <c r="X923" s="131">
        <v>0.92</v>
      </c>
      <c r="Y923" s="131" t="s">
        <v>33</v>
      </c>
      <c r="Z923" s="131" t="s">
        <v>33</v>
      </c>
      <c r="AA923" s="131" t="s">
        <v>33</v>
      </c>
      <c r="AB923" s="131" t="s">
        <v>33</v>
      </c>
      <c r="AC923" s="131">
        <v>0.92</v>
      </c>
      <c r="AD923" s="129">
        <v>0.997785433070866</v>
      </c>
      <c r="AE923" s="129">
        <v>0.987249945042867</v>
      </c>
      <c r="AF923" s="129">
        <v>0.954283360790774</v>
      </c>
      <c r="AG923" s="129">
        <v>0.983973700431477</v>
      </c>
      <c r="AH923" s="131">
        <v>0.92</v>
      </c>
      <c r="AI923" s="129">
        <v>0.962518195050946</v>
      </c>
      <c r="AJ923" s="129">
        <v>0.962808592497595</v>
      </c>
      <c r="AK923" s="129">
        <v>0.968473163105784</v>
      </c>
      <c r="AL923" s="129">
        <v>0.959118905449245</v>
      </c>
      <c r="AM923" s="128">
        <v>0.99</v>
      </c>
      <c r="AN923" s="133">
        <v>1</v>
      </c>
      <c r="AO923" s="133">
        <v>1</v>
      </c>
      <c r="AP923" s="133">
        <v>1</v>
      </c>
      <c r="AQ923" s="133">
        <v>1</v>
      </c>
      <c r="AR923" s="153">
        <v>0.0656418488929858</v>
      </c>
      <c r="AS923" s="137">
        <v>0</v>
      </c>
      <c r="AT923" s="137">
        <v>0.0714285714285714</v>
      </c>
      <c r="AU923" s="137">
        <v>0.05</v>
      </c>
      <c r="AV923" s="137">
        <v>0.0357142857142857</v>
      </c>
      <c r="AW923" s="93"/>
      <c r="AX923" s="91"/>
    </row>
    <row r="924" ht="14.5" spans="1:50">
      <c r="A924" s="89"/>
      <c r="B924" s="93"/>
      <c r="C924" s="172" t="s">
        <v>922</v>
      </c>
      <c r="D924" s="126" t="s">
        <v>923</v>
      </c>
      <c r="E924" s="179" t="s">
        <v>948</v>
      </c>
      <c r="F924" s="180" t="s">
        <v>948</v>
      </c>
      <c r="G924" s="180" t="s">
        <v>948</v>
      </c>
      <c r="H924" s="180" t="s">
        <v>948</v>
      </c>
      <c r="I924" s="128">
        <v>0.9</v>
      </c>
      <c r="J924" s="129">
        <v>1</v>
      </c>
      <c r="K924" s="129">
        <v>0.921052631578947</v>
      </c>
      <c r="L924" s="130">
        <v>0.955555555555556</v>
      </c>
      <c r="M924" s="129">
        <v>0.926923076923077</v>
      </c>
      <c r="N924" s="131">
        <v>0.9</v>
      </c>
      <c r="O924" s="129">
        <v>0.918652144315861</v>
      </c>
      <c r="P924" s="129">
        <v>0.967164179104478</v>
      </c>
      <c r="Q924" s="129">
        <v>0.965923327486845</v>
      </c>
      <c r="R924" s="129">
        <v>0.945418976198239</v>
      </c>
      <c r="S924" s="131">
        <v>0.9</v>
      </c>
      <c r="T924" s="129">
        <v>0.89074200136147</v>
      </c>
      <c r="U924" s="129">
        <v>0.949253731343284</v>
      </c>
      <c r="V924" s="129">
        <v>0.92658481583563</v>
      </c>
      <c r="W924" s="129">
        <v>0.90931420497772</v>
      </c>
      <c r="X924" s="131">
        <v>0.92</v>
      </c>
      <c r="Y924" s="131" t="s">
        <v>33</v>
      </c>
      <c r="Z924" s="131" t="s">
        <v>33</v>
      </c>
      <c r="AA924" s="131" t="s">
        <v>33</v>
      </c>
      <c r="AB924" s="131" t="s">
        <v>33</v>
      </c>
      <c r="AC924" s="131">
        <v>0.92</v>
      </c>
      <c r="AD924" s="129">
        <v>0.997698504027618</v>
      </c>
      <c r="AE924" s="129">
        <v>0.96096256684492</v>
      </c>
      <c r="AF924" s="129">
        <v>0.816056118472331</v>
      </c>
      <c r="AG924" s="129">
        <v>0.920232796987333</v>
      </c>
      <c r="AH924" s="131">
        <v>0.92</v>
      </c>
      <c r="AI924" s="129">
        <v>0.958134785568414</v>
      </c>
      <c r="AJ924" s="129">
        <v>0.974626865671642</v>
      </c>
      <c r="AK924" s="129">
        <v>0.97293911300426</v>
      </c>
      <c r="AL924" s="129">
        <v>0.969938050211933</v>
      </c>
      <c r="AM924" s="128">
        <v>0.99</v>
      </c>
      <c r="AN924" s="133">
        <v>1</v>
      </c>
      <c r="AO924" s="133">
        <v>1</v>
      </c>
      <c r="AP924" s="133">
        <v>1</v>
      </c>
      <c r="AQ924" s="133">
        <v>1</v>
      </c>
      <c r="AR924" s="153">
        <v>0.0656418488929858</v>
      </c>
      <c r="AS924" s="137">
        <v>0.04</v>
      </c>
      <c r="AT924" s="137">
        <v>0.0555555555555556</v>
      </c>
      <c r="AU924" s="137">
        <v>0.1</v>
      </c>
      <c r="AV924" s="137">
        <v>0.0343347639484979</v>
      </c>
      <c r="AW924" s="93"/>
      <c r="AX924" s="91"/>
    </row>
    <row r="925" ht="14.5" spans="1:50">
      <c r="A925" s="89"/>
      <c r="B925" s="93"/>
      <c r="C925" s="172" t="s">
        <v>922</v>
      </c>
      <c r="D925" s="126" t="s">
        <v>923</v>
      </c>
      <c r="E925" s="175" t="s">
        <v>949</v>
      </c>
      <c r="F925" s="176" t="s">
        <v>949</v>
      </c>
      <c r="G925" s="176" t="s">
        <v>949</v>
      </c>
      <c r="H925" s="176" t="s">
        <v>949</v>
      </c>
      <c r="I925" s="128">
        <v>0.9</v>
      </c>
      <c r="J925" s="129">
        <v>0.985294117647059</v>
      </c>
      <c r="K925" s="129">
        <v>0.954545454545455</v>
      </c>
      <c r="L925" s="130">
        <v>1</v>
      </c>
      <c r="M925" s="129">
        <v>0.978021978021978</v>
      </c>
      <c r="N925" s="131">
        <v>0.9</v>
      </c>
      <c r="O925" s="129">
        <v>0.972131429554447</v>
      </c>
      <c r="P925" s="129">
        <v>0.983644037988041</v>
      </c>
      <c r="Q925" s="129">
        <v>0.985007072135785</v>
      </c>
      <c r="R925" s="129">
        <v>0.979651783136462</v>
      </c>
      <c r="S925" s="131">
        <v>0.9</v>
      </c>
      <c r="T925" s="129">
        <v>0.940994323068983</v>
      </c>
      <c r="U925" s="129">
        <v>0.960253253605346</v>
      </c>
      <c r="V925" s="129">
        <v>0.946110325318246</v>
      </c>
      <c r="W925" s="129">
        <v>0.953792852390696</v>
      </c>
      <c r="X925" s="131">
        <v>0.92</v>
      </c>
      <c r="Y925" s="131" t="s">
        <v>33</v>
      </c>
      <c r="Z925" s="131" t="s">
        <v>33</v>
      </c>
      <c r="AA925" s="131" t="s">
        <v>33</v>
      </c>
      <c r="AB925" s="131">
        <v>1</v>
      </c>
      <c r="AC925" s="131">
        <v>0.92</v>
      </c>
      <c r="AD925" s="129">
        <v>0.989130434782609</v>
      </c>
      <c r="AE925" s="129">
        <v>0.987879632209529</v>
      </c>
      <c r="AF925" s="129">
        <v>0.985536665820858</v>
      </c>
      <c r="AG925" s="129">
        <v>0.982714750742726</v>
      </c>
      <c r="AH925" s="131">
        <v>0.92</v>
      </c>
      <c r="AI925" s="129">
        <v>0.981765009461552</v>
      </c>
      <c r="AJ925" s="129">
        <v>0.984875131902919</v>
      </c>
      <c r="AK925" s="129">
        <v>0.988403337576015</v>
      </c>
      <c r="AL925" s="129">
        <v>0.986206117505303</v>
      </c>
      <c r="AM925" s="128">
        <v>0.99</v>
      </c>
      <c r="AN925" s="133">
        <v>1</v>
      </c>
      <c r="AO925" s="133">
        <v>1</v>
      </c>
      <c r="AP925" s="133">
        <v>1</v>
      </c>
      <c r="AQ925" s="133">
        <v>1</v>
      </c>
      <c r="AR925" s="153">
        <v>0.0656418488929858</v>
      </c>
      <c r="AS925" s="137">
        <v>0</v>
      </c>
      <c r="AT925" s="137">
        <v>0.0714285714285714</v>
      </c>
      <c r="AU925" s="137">
        <v>0.142857142857143</v>
      </c>
      <c r="AV925" s="137">
        <v>0.0393939393939394</v>
      </c>
      <c r="AW925" s="93"/>
      <c r="AX925" s="91"/>
    </row>
    <row r="926" ht="14.5" spans="1:50">
      <c r="A926" s="89"/>
      <c r="B926" s="93"/>
      <c r="C926" s="172" t="s">
        <v>922</v>
      </c>
      <c r="D926" s="126" t="s">
        <v>923</v>
      </c>
      <c r="E926" s="175" t="s">
        <v>950</v>
      </c>
      <c r="F926" s="176" t="s">
        <v>950</v>
      </c>
      <c r="G926" s="176" t="s">
        <v>950</v>
      </c>
      <c r="H926" s="176" t="s">
        <v>950</v>
      </c>
      <c r="I926" s="128">
        <v>0.9</v>
      </c>
      <c r="J926" s="129">
        <v>0.981481481481482</v>
      </c>
      <c r="K926" s="129">
        <v>1</v>
      </c>
      <c r="L926" s="130">
        <v>0.980769230769231</v>
      </c>
      <c r="M926" s="129">
        <v>0.981260647359455</v>
      </c>
      <c r="N926" s="131">
        <v>0.9</v>
      </c>
      <c r="O926" s="129">
        <v>0.980599214145383</v>
      </c>
      <c r="P926" s="129">
        <v>0.981881107491857</v>
      </c>
      <c r="Q926" s="129">
        <v>0.964189794091316</v>
      </c>
      <c r="R926" s="129">
        <v>0.956642274588182</v>
      </c>
      <c r="S926" s="131">
        <v>0.9</v>
      </c>
      <c r="T926" s="129">
        <v>0.946463654223969</v>
      </c>
      <c r="U926" s="129">
        <v>0.952157980456026</v>
      </c>
      <c r="V926" s="129">
        <v>0.938406445837064</v>
      </c>
      <c r="W926" s="129">
        <v>0.923148834660391</v>
      </c>
      <c r="X926" s="131">
        <v>0.92</v>
      </c>
      <c r="Y926" s="131" t="s">
        <v>33</v>
      </c>
      <c r="Z926" s="131" t="s">
        <v>33</v>
      </c>
      <c r="AA926" s="131" t="s">
        <v>33</v>
      </c>
      <c r="AB926" s="131" t="s">
        <v>33</v>
      </c>
      <c r="AC926" s="131">
        <v>0.92</v>
      </c>
      <c r="AD926" s="129">
        <v>0.973194130925508</v>
      </c>
      <c r="AE926" s="129">
        <v>0.808886087915551</v>
      </c>
      <c r="AF926" s="129">
        <v>0.329332129963899</v>
      </c>
      <c r="AG926" s="129">
        <v>0.666217267306197</v>
      </c>
      <c r="AH926" s="131">
        <v>0.92</v>
      </c>
      <c r="AI926" s="129">
        <v>0.98502332433096</v>
      </c>
      <c r="AJ926" s="129">
        <v>0.977610421331162</v>
      </c>
      <c r="AK926" s="129">
        <v>0.989976731698586</v>
      </c>
      <c r="AL926" s="129">
        <v>0.974796551446298</v>
      </c>
      <c r="AM926" s="128">
        <v>0.99</v>
      </c>
      <c r="AN926" s="133">
        <v>1</v>
      </c>
      <c r="AO926" s="133">
        <v>1</v>
      </c>
      <c r="AP926" s="133">
        <v>1</v>
      </c>
      <c r="AQ926" s="133">
        <v>1</v>
      </c>
      <c r="AR926" s="153">
        <v>0.0656418488929858</v>
      </c>
      <c r="AS926" s="137">
        <v>0.0555555555555556</v>
      </c>
      <c r="AT926" s="137">
        <v>0.08</v>
      </c>
      <c r="AU926" s="137">
        <v>0.0454545454545455</v>
      </c>
      <c r="AV926" s="137">
        <v>0.0398550724637681</v>
      </c>
      <c r="AW926" s="93"/>
      <c r="AX926" s="91"/>
    </row>
    <row r="927" ht="14.5" spans="1:50">
      <c r="A927" s="89"/>
      <c r="B927" s="93"/>
      <c r="C927" s="172" t="s">
        <v>922</v>
      </c>
      <c r="D927" s="126" t="s">
        <v>923</v>
      </c>
      <c r="E927" s="175" t="s">
        <v>951</v>
      </c>
      <c r="F927" s="176" t="s">
        <v>951</v>
      </c>
      <c r="G927" s="176" t="s">
        <v>951</v>
      </c>
      <c r="H927" s="176" t="s">
        <v>951</v>
      </c>
      <c r="I927" s="128">
        <v>0.9</v>
      </c>
      <c r="J927" s="129">
        <v>1</v>
      </c>
      <c r="K927" s="129">
        <v>0.957446808510638</v>
      </c>
      <c r="L927" s="130">
        <v>1</v>
      </c>
      <c r="M927" s="129">
        <v>0.991539763113367</v>
      </c>
      <c r="N927" s="131">
        <v>0.9</v>
      </c>
      <c r="O927" s="129">
        <v>0.985559566787004</v>
      </c>
      <c r="P927" s="129">
        <v>0.992547612475849</v>
      </c>
      <c r="Q927" s="129">
        <v>0.990499292500505</v>
      </c>
      <c r="R927" s="129">
        <v>0.986077728062715</v>
      </c>
      <c r="S927" s="131">
        <v>0.9</v>
      </c>
      <c r="T927" s="129">
        <v>0.944301186178442</v>
      </c>
      <c r="U927" s="129">
        <v>0.969638421197902</v>
      </c>
      <c r="V927" s="129">
        <v>0.953911461491813</v>
      </c>
      <c r="W927" s="129">
        <v>0.9546093258884</v>
      </c>
      <c r="X927" s="131">
        <v>0.92</v>
      </c>
      <c r="Y927" s="131" t="s">
        <v>33</v>
      </c>
      <c r="Z927" s="131" t="s">
        <v>33</v>
      </c>
      <c r="AA927" s="131" t="s">
        <v>33</v>
      </c>
      <c r="AB927" s="131">
        <v>0.857142857142857</v>
      </c>
      <c r="AC927" s="131">
        <v>0.92</v>
      </c>
      <c r="AD927" s="129">
        <v>0.990589400693413</v>
      </c>
      <c r="AE927" s="129">
        <v>0.994883274704189</v>
      </c>
      <c r="AF927" s="129">
        <v>0.989110707803993</v>
      </c>
      <c r="AG927" s="129">
        <v>0.988895205609248</v>
      </c>
      <c r="AH927" s="131">
        <v>0.92</v>
      </c>
      <c r="AI927" s="129">
        <v>0.984532095901005</v>
      </c>
      <c r="AJ927" s="129">
        <v>0.9886834115374</v>
      </c>
      <c r="AK927" s="129">
        <v>0.989084293511219</v>
      </c>
      <c r="AL927" s="129">
        <v>0.988094797944319</v>
      </c>
      <c r="AM927" s="128">
        <v>0.99</v>
      </c>
      <c r="AN927" s="133">
        <v>1</v>
      </c>
      <c r="AO927" s="133">
        <v>1</v>
      </c>
      <c r="AP927" s="133">
        <v>1</v>
      </c>
      <c r="AQ927" s="133">
        <v>1</v>
      </c>
      <c r="AR927" s="153">
        <v>0.0656418488929858</v>
      </c>
      <c r="AS927" s="137">
        <v>0.0285714285714286</v>
      </c>
      <c r="AT927" s="137">
        <v>0.0476190476190476</v>
      </c>
      <c r="AU927" s="137">
        <v>0.0434782608695652</v>
      </c>
      <c r="AV927" s="137">
        <v>0.0295566502463054</v>
      </c>
      <c r="AW927" s="93"/>
      <c r="AX927" s="91"/>
    </row>
    <row r="928" ht="14.5" spans="1:50">
      <c r="A928" s="89"/>
      <c r="B928" s="93"/>
      <c r="C928" s="172" t="s">
        <v>922</v>
      </c>
      <c r="D928" s="126" t="s">
        <v>923</v>
      </c>
      <c r="E928" s="175" t="s">
        <v>952</v>
      </c>
      <c r="F928" s="176" t="s">
        <v>952</v>
      </c>
      <c r="G928" s="176" t="s">
        <v>952</v>
      </c>
      <c r="H928" s="176" t="s">
        <v>952</v>
      </c>
      <c r="I928" s="128">
        <v>0.9</v>
      </c>
      <c r="J928" s="129">
        <v>1</v>
      </c>
      <c r="K928" s="129">
        <v>1</v>
      </c>
      <c r="L928" s="130">
        <v>1</v>
      </c>
      <c r="M928" s="129">
        <v>0.985454545454545</v>
      </c>
      <c r="N928" s="131">
        <v>0.9</v>
      </c>
      <c r="O928" s="129">
        <v>0.944990176817289</v>
      </c>
      <c r="P928" s="129">
        <v>0.937699217618082</v>
      </c>
      <c r="Q928" s="129">
        <v>0.923957856161246</v>
      </c>
      <c r="R928" s="129">
        <v>0.939938105708934</v>
      </c>
      <c r="S928" s="131">
        <v>0.9</v>
      </c>
      <c r="T928" s="129">
        <v>0.920853213584058</v>
      </c>
      <c r="U928" s="129">
        <v>0.922920892494929</v>
      </c>
      <c r="V928" s="129">
        <v>0.907924874026569</v>
      </c>
      <c r="W928" s="129">
        <v>0.923018975486603</v>
      </c>
      <c r="X928" s="131">
        <v>0.92</v>
      </c>
      <c r="Y928" s="131" t="s">
        <v>33</v>
      </c>
      <c r="Z928" s="131" t="s">
        <v>33</v>
      </c>
      <c r="AA928" s="131" t="s">
        <v>33</v>
      </c>
      <c r="AB928" s="131" t="s">
        <v>33</v>
      </c>
      <c r="AC928" s="131">
        <v>0.92</v>
      </c>
      <c r="AD928" s="129">
        <v>0.989411764705882</v>
      </c>
      <c r="AE928" s="129">
        <v>0.992601024473534</v>
      </c>
      <c r="AF928" s="129">
        <v>0.952380952380952</v>
      </c>
      <c r="AG928" s="129">
        <v>0.980270212309672</v>
      </c>
      <c r="AH928" s="131">
        <v>0.92</v>
      </c>
      <c r="AI928" s="129">
        <v>0.950884086444008</v>
      </c>
      <c r="AJ928" s="129">
        <v>0.94378441031585</v>
      </c>
      <c r="AK928" s="129">
        <v>0.958772331653688</v>
      </c>
      <c r="AL928" s="129">
        <v>0.956209283387622</v>
      </c>
      <c r="AM928" s="128">
        <v>0.99</v>
      </c>
      <c r="AN928" s="133">
        <v>1</v>
      </c>
      <c r="AO928" s="133">
        <v>1</v>
      </c>
      <c r="AP928" s="133">
        <v>1</v>
      </c>
      <c r="AQ928" s="133">
        <v>1</v>
      </c>
      <c r="AR928" s="153">
        <v>0.0656418488929858</v>
      </c>
      <c r="AS928" s="137">
        <v>0.1</v>
      </c>
      <c r="AT928" s="137">
        <v>0.1</v>
      </c>
      <c r="AU928" s="137">
        <v>0.0769230769230769</v>
      </c>
      <c r="AV928" s="137">
        <v>0.0818181818181818</v>
      </c>
      <c r="AW928" s="93"/>
      <c r="AX928" s="91"/>
    </row>
    <row r="929" ht="14.5" spans="1:50">
      <c r="A929" s="89"/>
      <c r="B929" s="93"/>
      <c r="C929" s="172" t="s">
        <v>922</v>
      </c>
      <c r="D929" s="126" t="s">
        <v>923</v>
      </c>
      <c r="E929" s="175" t="s">
        <v>953</v>
      </c>
      <c r="F929" s="176" t="s">
        <v>953</v>
      </c>
      <c r="G929" s="176" t="s">
        <v>953</v>
      </c>
      <c r="H929" s="176" t="s">
        <v>953</v>
      </c>
      <c r="I929" s="128">
        <v>0.9</v>
      </c>
      <c r="J929" s="129">
        <v>0.926829268292683</v>
      </c>
      <c r="K929" s="129">
        <v>0.974358974358974</v>
      </c>
      <c r="L929" s="130">
        <v>0.923076923076923</v>
      </c>
      <c r="M929" s="129">
        <v>0.950310559006211</v>
      </c>
      <c r="N929" s="131">
        <v>0.9</v>
      </c>
      <c r="O929" s="129">
        <v>0.963558765594222</v>
      </c>
      <c r="P929" s="129">
        <v>0.920935412026726</v>
      </c>
      <c r="Q929" s="129">
        <v>0.964182424916574</v>
      </c>
      <c r="R929" s="129">
        <v>0.9522279878099</v>
      </c>
      <c r="S929" s="131">
        <v>0.9</v>
      </c>
      <c r="T929" s="129">
        <v>0.931713722915299</v>
      </c>
      <c r="U929" s="129">
        <v>0.93847438752784</v>
      </c>
      <c r="V929" s="129">
        <v>0.886095661846496</v>
      </c>
      <c r="W929" s="129">
        <v>0.917037311588831</v>
      </c>
      <c r="X929" s="131">
        <v>0.92</v>
      </c>
      <c r="Y929" s="131">
        <v>0.5</v>
      </c>
      <c r="Z929" s="131" t="s">
        <v>33</v>
      </c>
      <c r="AA929" s="131" t="s">
        <v>33</v>
      </c>
      <c r="AB929" s="131">
        <v>0.6</v>
      </c>
      <c r="AC929" s="131">
        <v>0.92</v>
      </c>
      <c r="AD929" s="129">
        <v>0.990364025695932</v>
      </c>
      <c r="AE929" s="129">
        <v>0.994210357027983</v>
      </c>
      <c r="AF929" s="129">
        <v>0.482745250096937</v>
      </c>
      <c r="AG929" s="129">
        <v>0.954795495167196</v>
      </c>
      <c r="AH929" s="131">
        <v>0.92</v>
      </c>
      <c r="AI929" s="129">
        <v>0.971128608923885</v>
      </c>
      <c r="AJ929" s="129">
        <v>0.96826280623608</v>
      </c>
      <c r="AK929" s="129">
        <v>0.971301446051168</v>
      </c>
      <c r="AL929" s="129">
        <v>0.972640247040659</v>
      </c>
      <c r="AM929" s="128">
        <v>0.99</v>
      </c>
      <c r="AN929" s="133">
        <v>1</v>
      </c>
      <c r="AO929" s="133">
        <v>1</v>
      </c>
      <c r="AP929" s="133">
        <v>1</v>
      </c>
      <c r="AQ929" s="133">
        <v>1</v>
      </c>
      <c r="AR929" s="153">
        <v>0.0656418488929858</v>
      </c>
      <c r="AS929" s="137">
        <v>0.0227272727272727</v>
      </c>
      <c r="AT929" s="137">
        <v>0.0344827586206897</v>
      </c>
      <c r="AU929" s="137">
        <v>0.0588235294117647</v>
      </c>
      <c r="AV929" s="137">
        <v>0.0447761194029851</v>
      </c>
      <c r="AW929" s="93"/>
      <c r="AX929" s="91"/>
    </row>
    <row r="930" ht="14.5" spans="1:50">
      <c r="A930" s="89"/>
      <c r="B930" s="93"/>
      <c r="C930" s="172" t="s">
        <v>922</v>
      </c>
      <c r="D930" s="126" t="s">
        <v>923</v>
      </c>
      <c r="E930" s="175" t="s">
        <v>954</v>
      </c>
      <c r="F930" s="176" t="s">
        <v>954</v>
      </c>
      <c r="G930" s="176" t="s">
        <v>954</v>
      </c>
      <c r="H930" s="176" t="s">
        <v>954</v>
      </c>
      <c r="I930" s="128">
        <v>0.9</v>
      </c>
      <c r="J930" s="129">
        <v>0.956521739130435</v>
      </c>
      <c r="K930" s="129">
        <v>1</v>
      </c>
      <c r="L930" s="130">
        <v>1</v>
      </c>
      <c r="M930" s="129">
        <v>0.99288256227758</v>
      </c>
      <c r="N930" s="131">
        <v>0.9</v>
      </c>
      <c r="O930" s="129">
        <v>0.974815724815725</v>
      </c>
      <c r="P930" s="129">
        <v>0.961912479740681</v>
      </c>
      <c r="Q930" s="129">
        <v>0.963662790697674</v>
      </c>
      <c r="R930" s="129">
        <v>0.971649954421149</v>
      </c>
      <c r="S930" s="131">
        <v>0.9</v>
      </c>
      <c r="T930" s="129">
        <v>0.929361179361179</v>
      </c>
      <c r="U930" s="129">
        <v>0.941653160453809</v>
      </c>
      <c r="V930" s="129">
        <v>0.923934108527132</v>
      </c>
      <c r="W930" s="129">
        <v>0.927347310847767</v>
      </c>
      <c r="X930" s="131">
        <v>0.92</v>
      </c>
      <c r="Y930" s="131">
        <v>0.924145299145299</v>
      </c>
      <c r="Z930" s="131">
        <v>0.875886524822695</v>
      </c>
      <c r="AA930" s="131">
        <v>0.929313929313929</v>
      </c>
      <c r="AB930" s="131">
        <v>0.920536519386835</v>
      </c>
      <c r="AC930" s="131">
        <v>0.92</v>
      </c>
      <c r="AD930" s="129">
        <v>0.992708333333333</v>
      </c>
      <c r="AE930" s="129">
        <v>0.996060407091267</v>
      </c>
      <c r="AF930" s="129">
        <v>0.990343347639485</v>
      </c>
      <c r="AG930" s="129">
        <v>0.993530217689146</v>
      </c>
      <c r="AH930" s="131">
        <v>0.92</v>
      </c>
      <c r="AI930" s="129">
        <v>0.948907956318253</v>
      </c>
      <c r="AJ930" s="129">
        <v>0.945910290237467</v>
      </c>
      <c r="AK930" s="129">
        <v>0.955071027419888</v>
      </c>
      <c r="AL930" s="129">
        <v>0.954471703011423</v>
      </c>
      <c r="AM930" s="128">
        <v>0.99</v>
      </c>
      <c r="AN930" s="133">
        <v>1</v>
      </c>
      <c r="AO930" s="133">
        <v>1</v>
      </c>
      <c r="AP930" s="133">
        <v>1</v>
      </c>
      <c r="AQ930" s="133">
        <v>1</v>
      </c>
      <c r="AR930" s="153">
        <v>0.0656418488929858</v>
      </c>
      <c r="AS930" s="137">
        <v>0</v>
      </c>
      <c r="AT930" s="137">
        <v>0</v>
      </c>
      <c r="AU930" s="137">
        <v>0</v>
      </c>
      <c r="AV930" s="137">
        <v>0.0684931506849315</v>
      </c>
      <c r="AW930" s="93"/>
      <c r="AX930" s="91"/>
    </row>
    <row r="931" ht="14.5" spans="1:50">
      <c r="A931" s="89"/>
      <c r="B931" s="93"/>
      <c r="C931" s="172" t="s">
        <v>922</v>
      </c>
      <c r="D931" s="126" t="s">
        <v>923</v>
      </c>
      <c r="E931" s="175" t="s">
        <v>955</v>
      </c>
      <c r="F931" s="176" t="s">
        <v>955</v>
      </c>
      <c r="G931" s="176" t="s">
        <v>955</v>
      </c>
      <c r="H931" s="176" t="s">
        <v>955</v>
      </c>
      <c r="I931" s="128">
        <v>0.9</v>
      </c>
      <c r="J931" s="129">
        <v>1</v>
      </c>
      <c r="K931" s="129">
        <v>0.971428571428571</v>
      </c>
      <c r="L931" s="130">
        <v>1</v>
      </c>
      <c r="M931" s="129">
        <v>0.951648351648352</v>
      </c>
      <c r="N931" s="131">
        <v>0.9</v>
      </c>
      <c r="O931" s="129">
        <v>0.958843159065628</v>
      </c>
      <c r="P931" s="129">
        <v>0.980085348506401</v>
      </c>
      <c r="Q931" s="129">
        <v>0.972933277381452</v>
      </c>
      <c r="R931" s="129">
        <v>0.962128576057331</v>
      </c>
      <c r="S931" s="131">
        <v>0.9</v>
      </c>
      <c r="T931" s="129">
        <v>0.912124582869855</v>
      </c>
      <c r="U931" s="129">
        <v>0.937885253674727</v>
      </c>
      <c r="V931" s="129">
        <v>0.917960553923626</v>
      </c>
      <c r="W931" s="129">
        <v>0.91672861036461</v>
      </c>
      <c r="X931" s="131">
        <v>0.92</v>
      </c>
      <c r="Y931" s="131" t="s">
        <v>33</v>
      </c>
      <c r="Z931" s="131" t="s">
        <v>33</v>
      </c>
      <c r="AA931" s="131">
        <v>1</v>
      </c>
      <c r="AB931" s="131">
        <v>1</v>
      </c>
      <c r="AC931" s="131">
        <v>0.92</v>
      </c>
      <c r="AD931" s="129">
        <v>0.99520697167756</v>
      </c>
      <c r="AE931" s="129">
        <v>0.997134919256815</v>
      </c>
      <c r="AF931" s="129">
        <v>0.987478656801366</v>
      </c>
      <c r="AG931" s="129">
        <v>0.994307726280148</v>
      </c>
      <c r="AH931" s="131">
        <v>0.92</v>
      </c>
      <c r="AI931" s="129">
        <v>0.967463848720801</v>
      </c>
      <c r="AJ931" s="129">
        <v>0.973447131341868</v>
      </c>
      <c r="AK931" s="129">
        <v>0.972309628697294</v>
      </c>
      <c r="AL931" s="129">
        <v>0.967029406719902</v>
      </c>
      <c r="AM931" s="128">
        <v>0.99</v>
      </c>
      <c r="AN931" s="133">
        <v>1</v>
      </c>
      <c r="AO931" s="133">
        <v>1</v>
      </c>
      <c r="AP931" s="133">
        <v>1</v>
      </c>
      <c r="AQ931" s="133">
        <v>1</v>
      </c>
      <c r="AR931" s="153">
        <v>0.0656418488929858</v>
      </c>
      <c r="AS931" s="137">
        <v>0</v>
      </c>
      <c r="AT931" s="137">
        <v>0</v>
      </c>
      <c r="AU931" s="137">
        <v>0.0714285714285714</v>
      </c>
      <c r="AV931" s="137">
        <v>0.0437956204379562</v>
      </c>
      <c r="AW931" s="93"/>
      <c r="AX931" s="91"/>
    </row>
    <row r="932" ht="14.5" spans="1:50">
      <c r="A932" s="89"/>
      <c r="B932" s="93"/>
      <c r="C932" s="172" t="s">
        <v>922</v>
      </c>
      <c r="D932" s="126" t="s">
        <v>923</v>
      </c>
      <c r="E932" s="179" t="s">
        <v>956</v>
      </c>
      <c r="F932" s="180" t="s">
        <v>956</v>
      </c>
      <c r="G932" s="180" t="s">
        <v>956</v>
      </c>
      <c r="H932" s="180" t="s">
        <v>956</v>
      </c>
      <c r="I932" s="128">
        <v>0.9</v>
      </c>
      <c r="J932" s="129">
        <v>1</v>
      </c>
      <c r="K932" s="129">
        <v>1</v>
      </c>
      <c r="L932" s="130">
        <v>1</v>
      </c>
      <c r="M932" s="129">
        <v>0.996644295302013</v>
      </c>
      <c r="N932" s="131">
        <v>0.9</v>
      </c>
      <c r="O932" s="129">
        <v>0.996007984031936</v>
      </c>
      <c r="P932" s="129">
        <v>0.995348837209302</v>
      </c>
      <c r="Q932" s="129">
        <v>0.991220368744513</v>
      </c>
      <c r="R932" s="129">
        <v>0.989670987038883</v>
      </c>
      <c r="S932" s="131">
        <v>0.9</v>
      </c>
      <c r="T932" s="129">
        <v>0.951596806387226</v>
      </c>
      <c r="U932" s="129">
        <v>0.960797342192691</v>
      </c>
      <c r="V932" s="129">
        <v>0.956979806848112</v>
      </c>
      <c r="W932" s="129">
        <v>0.94727816550349</v>
      </c>
      <c r="X932" s="131">
        <v>0.92</v>
      </c>
      <c r="Y932" s="131">
        <v>0.948096885813149</v>
      </c>
      <c r="Z932" s="131">
        <v>0.893081761006289</v>
      </c>
      <c r="AA932" s="131">
        <v>0.961574507966261</v>
      </c>
      <c r="AB932" s="131">
        <v>0.943459697244145</v>
      </c>
      <c r="AC932" s="131">
        <v>0.92</v>
      </c>
      <c r="AD932" s="129">
        <v>0.995681193561052</v>
      </c>
      <c r="AE932" s="129">
        <v>0.995664739884393</v>
      </c>
      <c r="AF932" s="129">
        <v>0.993537964458804</v>
      </c>
      <c r="AG932" s="129">
        <v>0.991399796310965</v>
      </c>
      <c r="AH932" s="131">
        <v>0.92</v>
      </c>
      <c r="AI932" s="129">
        <v>0.978056426332288</v>
      </c>
      <c r="AJ932" s="129">
        <v>0.972572682391662</v>
      </c>
      <c r="AK932" s="129">
        <v>0.981470412432756</v>
      </c>
      <c r="AL932" s="129">
        <v>0.979637250419143</v>
      </c>
      <c r="AM932" s="128">
        <v>0.99</v>
      </c>
      <c r="AN932" s="133">
        <v>1</v>
      </c>
      <c r="AO932" s="133">
        <v>1</v>
      </c>
      <c r="AP932" s="133">
        <v>1</v>
      </c>
      <c r="AQ932" s="133">
        <v>1</v>
      </c>
      <c r="AR932" s="153">
        <v>0.0656418488929858</v>
      </c>
      <c r="AS932" s="137">
        <v>0.0555555555555556</v>
      </c>
      <c r="AT932" s="137">
        <v>0</v>
      </c>
      <c r="AU932" s="137">
        <v>0.111111111111111</v>
      </c>
      <c r="AV932" s="137">
        <v>0.0598290598290598</v>
      </c>
      <c r="AW932" s="93"/>
      <c r="AX932" s="91"/>
    </row>
    <row r="933" ht="14.5" spans="1:50">
      <c r="A933" s="89"/>
      <c r="B933" s="93"/>
      <c r="C933" s="172" t="s">
        <v>922</v>
      </c>
      <c r="D933" s="126" t="s">
        <v>923</v>
      </c>
      <c r="E933" s="175" t="s">
        <v>957</v>
      </c>
      <c r="F933" s="176" t="s">
        <v>957</v>
      </c>
      <c r="G933" s="176" t="s">
        <v>957</v>
      </c>
      <c r="H933" s="176" t="s">
        <v>957</v>
      </c>
      <c r="I933" s="128">
        <v>0.9</v>
      </c>
      <c r="J933" s="129">
        <v>0.954545454545455</v>
      </c>
      <c r="K933" s="129">
        <v>1</v>
      </c>
      <c r="L933" s="130">
        <v>0.933333333333333</v>
      </c>
      <c r="M933" s="129">
        <v>0.951830443159923</v>
      </c>
      <c r="N933" s="131">
        <v>0.9</v>
      </c>
      <c r="O933" s="129">
        <v>0.974616737873838</v>
      </c>
      <c r="P933" s="129">
        <v>0.954875518672199</v>
      </c>
      <c r="Q933" s="129">
        <v>0.976412289395441</v>
      </c>
      <c r="R933" s="129">
        <v>0.961141764939233</v>
      </c>
      <c r="S933" s="131">
        <v>0.9</v>
      </c>
      <c r="T933" s="129">
        <v>0.92787132445338</v>
      </c>
      <c r="U933" s="129">
        <v>0.911825726141079</v>
      </c>
      <c r="V933" s="129">
        <v>0.915163528245788</v>
      </c>
      <c r="W933" s="129">
        <v>0.929315878682967</v>
      </c>
      <c r="X933" s="131">
        <v>0.92</v>
      </c>
      <c r="Y933" s="131" t="s">
        <v>33</v>
      </c>
      <c r="Z933" s="131" t="s">
        <v>33</v>
      </c>
      <c r="AA933" s="131" t="s">
        <v>33</v>
      </c>
      <c r="AB933" s="131">
        <v>0</v>
      </c>
      <c r="AC933" s="131">
        <v>0.92</v>
      </c>
      <c r="AD933" s="129">
        <v>0.990639625585023</v>
      </c>
      <c r="AE933" s="129">
        <v>0.991448423303046</v>
      </c>
      <c r="AF933" s="129">
        <v>0.964401294498382</v>
      </c>
      <c r="AG933" s="129">
        <v>0.983915287179143</v>
      </c>
      <c r="AH933" s="131">
        <v>0.92</v>
      </c>
      <c r="AI933" s="129">
        <v>0.952010050251256</v>
      </c>
      <c r="AJ933" s="129">
        <v>0.941649377593361</v>
      </c>
      <c r="AK933" s="129">
        <v>0.967294350842418</v>
      </c>
      <c r="AL933" s="129">
        <v>0.956783557198233</v>
      </c>
      <c r="AM933" s="128">
        <v>0.99</v>
      </c>
      <c r="AN933" s="133">
        <v>1</v>
      </c>
      <c r="AO933" s="133">
        <v>1</v>
      </c>
      <c r="AP933" s="133">
        <v>1</v>
      </c>
      <c r="AQ933" s="133">
        <v>1</v>
      </c>
      <c r="AR933" s="153">
        <v>0.0656418488929858</v>
      </c>
      <c r="AS933" s="137">
        <v>0.0344827586206897</v>
      </c>
      <c r="AT933" s="137">
        <v>0.0869565217391304</v>
      </c>
      <c r="AU933" s="137">
        <v>0.0833333333333333</v>
      </c>
      <c r="AV933" s="137">
        <v>0.0742857142857143</v>
      </c>
      <c r="AW933" s="93"/>
      <c r="AX933" s="91"/>
    </row>
    <row r="934" ht="14.5" spans="1:50">
      <c r="A934" s="89"/>
      <c r="B934" s="93"/>
      <c r="C934" s="172" t="s">
        <v>922</v>
      </c>
      <c r="D934" s="126" t="s">
        <v>923</v>
      </c>
      <c r="E934" s="175" t="s">
        <v>958</v>
      </c>
      <c r="F934" s="176" t="s">
        <v>958</v>
      </c>
      <c r="G934" s="176" t="s">
        <v>958</v>
      </c>
      <c r="H934" s="176" t="s">
        <v>958</v>
      </c>
      <c r="I934" s="128">
        <v>0.9</v>
      </c>
      <c r="J934" s="129">
        <v>0.82051282051282</v>
      </c>
      <c r="K934" s="129">
        <v>0.868421052631579</v>
      </c>
      <c r="L934" s="130">
        <v>0.82051282051282</v>
      </c>
      <c r="M934" s="129">
        <v>0.824884792626728</v>
      </c>
      <c r="N934" s="131">
        <v>0.9</v>
      </c>
      <c r="O934" s="129">
        <v>0.916503587736464</v>
      </c>
      <c r="P934" s="129">
        <v>0.958250497017893</v>
      </c>
      <c r="Q934" s="129">
        <v>0.929879236462797</v>
      </c>
      <c r="R934" s="129">
        <v>0.907221127588233</v>
      </c>
      <c r="S934" s="131">
        <v>0.9</v>
      </c>
      <c r="T934" s="129">
        <v>0.881278538812785</v>
      </c>
      <c r="U934" s="129">
        <v>0.911862160371107</v>
      </c>
      <c r="V934" s="129">
        <v>0.913907284768212</v>
      </c>
      <c r="W934" s="129">
        <v>0.883922707317916</v>
      </c>
      <c r="X934" s="131">
        <v>0.92</v>
      </c>
      <c r="Y934" s="131">
        <v>0.904255319148936</v>
      </c>
      <c r="Z934" s="131">
        <v>0.912408759124088</v>
      </c>
      <c r="AA934" s="131">
        <v>0.898203592814371</v>
      </c>
      <c r="AB934" s="131">
        <v>0.868861233774923</v>
      </c>
      <c r="AC934" s="131">
        <v>0.92</v>
      </c>
      <c r="AD934" s="129">
        <v>0.99902755267423</v>
      </c>
      <c r="AE934" s="129">
        <v>0.996445292179643</v>
      </c>
      <c r="AF934" s="129">
        <v>0.949161709031909</v>
      </c>
      <c r="AG934" s="129">
        <v>0.96857205545862</v>
      </c>
      <c r="AH934" s="131">
        <v>0.92</v>
      </c>
      <c r="AI934" s="129">
        <v>0.945807770961145</v>
      </c>
      <c r="AJ934" s="129">
        <v>0.947010209042295</v>
      </c>
      <c r="AK934" s="129">
        <v>0.958292603453894</v>
      </c>
      <c r="AL934" s="129">
        <v>0.935482984976242</v>
      </c>
      <c r="AM934" s="128">
        <v>0.99</v>
      </c>
      <c r="AN934" s="133">
        <v>1</v>
      </c>
      <c r="AO934" s="133">
        <v>1</v>
      </c>
      <c r="AP934" s="133">
        <v>1</v>
      </c>
      <c r="AQ934" s="133">
        <v>1</v>
      </c>
      <c r="AR934" s="153">
        <v>0.0656418488929858</v>
      </c>
      <c r="AS934" s="137">
        <v>0.0666666666666667</v>
      </c>
      <c r="AT934" s="137">
        <v>0.136363636363636</v>
      </c>
      <c r="AU934" s="137">
        <v>0</v>
      </c>
      <c r="AV934" s="137">
        <v>0.0583554376657825</v>
      </c>
      <c r="AW934" s="93"/>
      <c r="AX934" s="91"/>
    </row>
    <row r="935" ht="14.5" spans="1:50">
      <c r="A935" s="89"/>
      <c r="B935" s="93"/>
      <c r="C935" s="172" t="s">
        <v>922</v>
      </c>
      <c r="D935" s="126" t="s">
        <v>923</v>
      </c>
      <c r="E935" s="175" t="s">
        <v>959</v>
      </c>
      <c r="F935" s="176" t="s">
        <v>959</v>
      </c>
      <c r="G935" s="176" t="s">
        <v>959</v>
      </c>
      <c r="H935" s="176" t="s">
        <v>959</v>
      </c>
      <c r="I935" s="128">
        <v>0.9</v>
      </c>
      <c r="J935" s="129">
        <v>0.928571428571429</v>
      </c>
      <c r="K935" s="129">
        <v>1</v>
      </c>
      <c r="L935" s="130">
        <v>0.857142857142857</v>
      </c>
      <c r="M935" s="129">
        <v>0.946843853820598</v>
      </c>
      <c r="N935" s="131">
        <v>0.9</v>
      </c>
      <c r="O935" s="129">
        <v>0.882829373650108</v>
      </c>
      <c r="P935" s="129">
        <v>0.932223543400713</v>
      </c>
      <c r="Q935" s="129">
        <v>0.892904953145917</v>
      </c>
      <c r="R935" s="129">
        <v>0.897513278609367</v>
      </c>
      <c r="S935" s="131">
        <v>0.9</v>
      </c>
      <c r="T935" s="129">
        <v>0.849352051835853</v>
      </c>
      <c r="U935" s="129">
        <v>0.892984542211653</v>
      </c>
      <c r="V935" s="129">
        <v>0.842704149933066</v>
      </c>
      <c r="W935" s="129">
        <v>0.844459198454853</v>
      </c>
      <c r="X935" s="131">
        <v>0.92</v>
      </c>
      <c r="Y935" s="131">
        <v>0.92741935483871</v>
      </c>
      <c r="Z935" s="131">
        <v>0.929203539823009</v>
      </c>
      <c r="AA935" s="131">
        <v>0.964566929133858</v>
      </c>
      <c r="AB935" s="131">
        <v>0.914394278050961</v>
      </c>
      <c r="AC935" s="131">
        <v>0.92</v>
      </c>
      <c r="AD935" s="129">
        <v>0.99228650137741</v>
      </c>
      <c r="AE935" s="129">
        <v>0.988008342022941</v>
      </c>
      <c r="AF935" s="129">
        <v>0.774530271398747</v>
      </c>
      <c r="AG935" s="129">
        <v>0.966829268292683</v>
      </c>
      <c r="AH935" s="131">
        <v>0.92</v>
      </c>
      <c r="AI935" s="129">
        <v>0.943781942078365</v>
      </c>
      <c r="AJ935" s="129">
        <v>0.944915254237288</v>
      </c>
      <c r="AK935" s="129">
        <v>0.95137299771167</v>
      </c>
      <c r="AL935" s="129">
        <v>0.940885763162897</v>
      </c>
      <c r="AM935" s="128">
        <v>0.99</v>
      </c>
      <c r="AN935" s="133">
        <v>1</v>
      </c>
      <c r="AO935" s="133">
        <v>1</v>
      </c>
      <c r="AP935" s="133">
        <v>1</v>
      </c>
      <c r="AQ935" s="133">
        <v>1</v>
      </c>
      <c r="AR935" s="153">
        <v>0.0656418488929858</v>
      </c>
      <c r="AS935" s="137">
        <v>0.0384615384615385</v>
      </c>
      <c r="AT935" s="137">
        <v>0.1</v>
      </c>
      <c r="AU935" s="137">
        <v>0.0645161290322581</v>
      </c>
      <c r="AV935" s="137">
        <v>0.0797101449275362</v>
      </c>
      <c r="AW935" s="93"/>
      <c r="AX935" s="91"/>
    </row>
    <row r="936" ht="14.5" spans="1:50">
      <c r="A936" s="89"/>
      <c r="B936" s="93"/>
      <c r="C936" s="172" t="s">
        <v>922</v>
      </c>
      <c r="D936" s="126" t="s">
        <v>923</v>
      </c>
      <c r="E936" s="175" t="s">
        <v>960</v>
      </c>
      <c r="F936" s="176" t="s">
        <v>960</v>
      </c>
      <c r="G936" s="176" t="s">
        <v>960</v>
      </c>
      <c r="H936" s="176" t="s">
        <v>960</v>
      </c>
      <c r="I936" s="128">
        <v>0.9</v>
      </c>
      <c r="J936" s="129" t="s">
        <v>33</v>
      </c>
      <c r="K936" s="129" t="s">
        <v>33</v>
      </c>
      <c r="L936" s="130" t="s">
        <v>33</v>
      </c>
      <c r="M936" s="129" t="s">
        <v>33</v>
      </c>
      <c r="N936" s="131">
        <v>0.9</v>
      </c>
      <c r="O936" s="129" t="s">
        <v>33</v>
      </c>
      <c r="P936" s="129" t="s">
        <v>33</v>
      </c>
      <c r="Q936" s="129" t="s">
        <v>33</v>
      </c>
      <c r="R936" s="129">
        <v>0</v>
      </c>
      <c r="S936" s="131">
        <v>0.9</v>
      </c>
      <c r="T936" s="129" t="s">
        <v>33</v>
      </c>
      <c r="U936" s="129" t="s">
        <v>33</v>
      </c>
      <c r="V936" s="129" t="s">
        <v>33</v>
      </c>
      <c r="W936" s="129">
        <v>1</v>
      </c>
      <c r="X936" s="131">
        <v>0.92</v>
      </c>
      <c r="Y936" s="131" t="s">
        <v>33</v>
      </c>
      <c r="Z936" s="131" t="s">
        <v>33</v>
      </c>
      <c r="AA936" s="131" t="s">
        <v>33</v>
      </c>
      <c r="AB936" s="131" t="s">
        <v>33</v>
      </c>
      <c r="AC936" s="131">
        <v>0.92</v>
      </c>
      <c r="AD936" s="129">
        <v>1</v>
      </c>
      <c r="AE936" s="129">
        <v>0.997690531177829</v>
      </c>
      <c r="AF936" s="129">
        <v>1</v>
      </c>
      <c r="AG936" s="129">
        <v>0.999049429657795</v>
      </c>
      <c r="AH936" s="131">
        <v>0.92</v>
      </c>
      <c r="AI936" s="129" t="s">
        <v>33</v>
      </c>
      <c r="AJ936" s="129" t="s">
        <v>33</v>
      </c>
      <c r="AK936" s="129" t="s">
        <v>33</v>
      </c>
      <c r="AL936" s="129">
        <v>1</v>
      </c>
      <c r="AM936" s="128">
        <v>0.99</v>
      </c>
      <c r="AN936" s="133">
        <v>1</v>
      </c>
      <c r="AO936" s="133">
        <v>1</v>
      </c>
      <c r="AP936" s="133">
        <v>1</v>
      </c>
      <c r="AQ936" s="133">
        <v>1</v>
      </c>
      <c r="AR936" s="153">
        <v>0.0656418488929858</v>
      </c>
      <c r="AS936" s="137" t="s">
        <v>33</v>
      </c>
      <c r="AT936" s="137" t="s">
        <v>33</v>
      </c>
      <c r="AU936" s="137" t="s">
        <v>33</v>
      </c>
      <c r="AV936" s="137" t="s">
        <v>33</v>
      </c>
      <c r="AW936" s="93"/>
      <c r="AX936" s="91"/>
    </row>
    <row r="937" ht="14.5" spans="1:50">
      <c r="A937" s="89"/>
      <c r="B937" s="93"/>
      <c r="C937" s="172" t="s">
        <v>922</v>
      </c>
      <c r="D937" s="126" t="s">
        <v>923</v>
      </c>
      <c r="E937" s="179" t="s">
        <v>961</v>
      </c>
      <c r="F937" s="180" t="s">
        <v>961</v>
      </c>
      <c r="G937" s="180" t="s">
        <v>961</v>
      </c>
      <c r="H937" s="180" t="s">
        <v>961</v>
      </c>
      <c r="I937" s="128">
        <v>0.9</v>
      </c>
      <c r="J937" s="129">
        <v>0.875</v>
      </c>
      <c r="K937" s="129">
        <v>0.741935483870968</v>
      </c>
      <c r="L937" s="130">
        <v>0.827586206896552</v>
      </c>
      <c r="M937" s="129">
        <v>0.785100286532951</v>
      </c>
      <c r="N937" s="131">
        <v>0.9</v>
      </c>
      <c r="O937" s="129">
        <v>0.892385392385392</v>
      </c>
      <c r="P937" s="129">
        <v>0.935988620199147</v>
      </c>
      <c r="Q937" s="129">
        <v>0.815328169588259</v>
      </c>
      <c r="R937" s="129">
        <v>0.887036062654308</v>
      </c>
      <c r="S937" s="131">
        <v>0.9</v>
      </c>
      <c r="T937" s="129">
        <v>0.866744366744367</v>
      </c>
      <c r="U937" s="129">
        <v>0.886913229018492</v>
      </c>
      <c r="V937" s="129">
        <v>0.819404810436201</v>
      </c>
      <c r="W937" s="129">
        <v>0.847775933945845</v>
      </c>
      <c r="X937" s="131">
        <v>0.92</v>
      </c>
      <c r="Y937" s="131">
        <v>0.918276374442793</v>
      </c>
      <c r="Z937" s="131">
        <v>0.896694214876033</v>
      </c>
      <c r="AA937" s="131">
        <v>0.904255319148936</v>
      </c>
      <c r="AB937" s="131">
        <v>0.897886229406279</v>
      </c>
      <c r="AC937" s="131">
        <v>0.92</v>
      </c>
      <c r="AD937" s="129">
        <v>0.996597031855563</v>
      </c>
      <c r="AE937" s="129">
        <v>0.996596710153148</v>
      </c>
      <c r="AF937" s="129">
        <v>0.962089077412513</v>
      </c>
      <c r="AG937" s="129">
        <v>0.991619496258025</v>
      </c>
      <c r="AH937" s="131">
        <v>0.92</v>
      </c>
      <c r="AI937" s="129">
        <v>0.936884236453202</v>
      </c>
      <c r="AJ937" s="129">
        <v>0.931216931216931</v>
      </c>
      <c r="AK937" s="129">
        <v>0.931071049840933</v>
      </c>
      <c r="AL937" s="129">
        <v>0.933217748667566</v>
      </c>
      <c r="AM937" s="128">
        <v>0.99</v>
      </c>
      <c r="AN937" s="133">
        <v>1</v>
      </c>
      <c r="AO937" s="133">
        <v>1</v>
      </c>
      <c r="AP937" s="133">
        <v>1</v>
      </c>
      <c r="AQ937" s="133">
        <v>0.999726850587271</v>
      </c>
      <c r="AR937" s="153">
        <v>0.0656418488929858</v>
      </c>
      <c r="AS937" s="137">
        <v>0.0952380952380952</v>
      </c>
      <c r="AT937" s="137">
        <v>0</v>
      </c>
      <c r="AU937" s="137">
        <v>0.0571428571428571</v>
      </c>
      <c r="AV937" s="137">
        <v>0.0649651972157773</v>
      </c>
      <c r="AW937" s="93"/>
      <c r="AX937" s="91"/>
    </row>
    <row r="938" ht="14.5" spans="1:50">
      <c r="A938" s="89"/>
      <c r="B938" s="93"/>
      <c r="C938" s="172" t="s">
        <v>922</v>
      </c>
      <c r="D938" s="126" t="s">
        <v>923</v>
      </c>
      <c r="E938" s="179" t="s">
        <v>962</v>
      </c>
      <c r="F938" s="180" t="s">
        <v>962</v>
      </c>
      <c r="G938" s="180" t="s">
        <v>962</v>
      </c>
      <c r="H938" s="180" t="s">
        <v>962</v>
      </c>
      <c r="I938" s="128">
        <v>0.9</v>
      </c>
      <c r="J938" s="129">
        <v>0.954545454545455</v>
      </c>
      <c r="K938" s="129">
        <v>0.909090909090909</v>
      </c>
      <c r="L938" s="130">
        <v>1</v>
      </c>
      <c r="M938" s="129">
        <v>0.951807228915663</v>
      </c>
      <c r="N938" s="131">
        <v>0.9</v>
      </c>
      <c r="O938" s="129">
        <v>0.951942740286299</v>
      </c>
      <c r="P938" s="129">
        <v>0.94572864321608</v>
      </c>
      <c r="Q938" s="129">
        <v>0.933962264150943</v>
      </c>
      <c r="R938" s="129">
        <v>0.928793093720025</v>
      </c>
      <c r="S938" s="131">
        <v>0.9</v>
      </c>
      <c r="T938" s="129">
        <v>0.920756646216769</v>
      </c>
      <c r="U938" s="129">
        <v>0.894472361809045</v>
      </c>
      <c r="V938" s="129">
        <v>0.875471698113208</v>
      </c>
      <c r="W938" s="129">
        <v>0.90142752355696</v>
      </c>
      <c r="X938" s="131">
        <v>0.92</v>
      </c>
      <c r="Y938" s="131">
        <v>0.868</v>
      </c>
      <c r="Z938" s="131">
        <v>0.9375</v>
      </c>
      <c r="AA938" s="131">
        <v>0.857142857142857</v>
      </c>
      <c r="AB938" s="131">
        <v>0.879991027366532</v>
      </c>
      <c r="AC938" s="131">
        <v>0.92</v>
      </c>
      <c r="AD938" s="129">
        <v>0.997308209959623</v>
      </c>
      <c r="AE938" s="129">
        <v>0.994347826086956</v>
      </c>
      <c r="AF938" s="129">
        <v>0.947815533980582</v>
      </c>
      <c r="AG938" s="129">
        <v>0.984286337843736</v>
      </c>
      <c r="AH938" s="131">
        <v>0.92</v>
      </c>
      <c r="AI938" s="129">
        <v>0.937703583061889</v>
      </c>
      <c r="AJ938" s="129">
        <v>0.941673062164236</v>
      </c>
      <c r="AK938" s="129">
        <v>0.94551282051282</v>
      </c>
      <c r="AL938" s="129">
        <v>0.941356359057384</v>
      </c>
      <c r="AM938" s="128">
        <v>0.99</v>
      </c>
      <c r="AN938" s="133">
        <v>1</v>
      </c>
      <c r="AO938" s="133">
        <v>1</v>
      </c>
      <c r="AP938" s="133">
        <v>1</v>
      </c>
      <c r="AQ938" s="133">
        <v>1</v>
      </c>
      <c r="AR938" s="153">
        <v>0.0656418488929858</v>
      </c>
      <c r="AS938" s="137">
        <v>0.0689655172413793</v>
      </c>
      <c r="AT938" s="137">
        <v>0</v>
      </c>
      <c r="AU938" s="137">
        <v>0</v>
      </c>
      <c r="AV938" s="137">
        <v>0</v>
      </c>
      <c r="AW938" s="93"/>
      <c r="AX938" s="91"/>
    </row>
    <row r="939" ht="14.5" spans="1:50">
      <c r="A939" s="89"/>
      <c r="B939" s="93"/>
      <c r="C939" s="172" t="s">
        <v>922</v>
      </c>
      <c r="D939" s="126" t="s">
        <v>923</v>
      </c>
      <c r="E939" s="175" t="s">
        <v>963</v>
      </c>
      <c r="F939" s="176" t="s">
        <v>963</v>
      </c>
      <c r="G939" s="176" t="s">
        <v>963</v>
      </c>
      <c r="H939" s="176" t="s">
        <v>963</v>
      </c>
      <c r="I939" s="128">
        <v>0.9</v>
      </c>
      <c r="J939" s="129" t="s">
        <v>33</v>
      </c>
      <c r="K939" s="129" t="s">
        <v>33</v>
      </c>
      <c r="L939" s="130" t="s">
        <v>33</v>
      </c>
      <c r="M939" s="129" t="s">
        <v>33</v>
      </c>
      <c r="N939" s="131">
        <v>0.9</v>
      </c>
      <c r="O939" s="129">
        <v>0</v>
      </c>
      <c r="P939" s="129" t="s">
        <v>33</v>
      </c>
      <c r="Q939" s="129" t="s">
        <v>33</v>
      </c>
      <c r="R939" s="129">
        <v>0</v>
      </c>
      <c r="S939" s="131">
        <v>0.9</v>
      </c>
      <c r="T939" s="129">
        <v>1</v>
      </c>
      <c r="U939" s="129" t="s">
        <v>33</v>
      </c>
      <c r="V939" s="129" t="s">
        <v>33</v>
      </c>
      <c r="W939" s="129">
        <v>1</v>
      </c>
      <c r="X939" s="131">
        <v>0.92</v>
      </c>
      <c r="Y939" s="131" t="s">
        <v>33</v>
      </c>
      <c r="Z939" s="131" t="s">
        <v>33</v>
      </c>
      <c r="AA939" s="131" t="s">
        <v>33</v>
      </c>
      <c r="AB939" s="131" t="s">
        <v>33</v>
      </c>
      <c r="AC939" s="131">
        <v>0.92</v>
      </c>
      <c r="AD939" s="129">
        <v>1</v>
      </c>
      <c r="AE939" s="129">
        <v>0.979166666666667</v>
      </c>
      <c r="AF939" s="129">
        <v>1</v>
      </c>
      <c r="AG939" s="129">
        <v>0.992895204262877</v>
      </c>
      <c r="AH939" s="131">
        <v>0.92</v>
      </c>
      <c r="AI939" s="129">
        <v>1</v>
      </c>
      <c r="AJ939" s="129" t="s">
        <v>33</v>
      </c>
      <c r="AK939" s="129" t="s">
        <v>33</v>
      </c>
      <c r="AL939" s="129">
        <v>1</v>
      </c>
      <c r="AM939" s="128">
        <v>0.99</v>
      </c>
      <c r="AN939" s="133">
        <v>1</v>
      </c>
      <c r="AO939" s="133">
        <v>1</v>
      </c>
      <c r="AP939" s="133">
        <v>1</v>
      </c>
      <c r="AQ939" s="133">
        <v>1</v>
      </c>
      <c r="AR939" s="153">
        <v>0.0656418488929858</v>
      </c>
      <c r="AS939" s="137" t="s">
        <v>33</v>
      </c>
      <c r="AT939" s="137" t="s">
        <v>33</v>
      </c>
      <c r="AU939" s="137" t="s">
        <v>33</v>
      </c>
      <c r="AV939" s="137" t="s">
        <v>33</v>
      </c>
      <c r="AW939" s="93"/>
      <c r="AX939" s="91"/>
    </row>
    <row r="940" ht="14.5" spans="1:50">
      <c r="A940" s="89"/>
      <c r="B940" s="93"/>
      <c r="C940" s="172" t="s">
        <v>922</v>
      </c>
      <c r="D940" s="126" t="s">
        <v>923</v>
      </c>
      <c r="E940" s="175" t="s">
        <v>964</v>
      </c>
      <c r="F940" s="176" t="s">
        <v>964</v>
      </c>
      <c r="G940" s="176" t="s">
        <v>964</v>
      </c>
      <c r="H940" s="176" t="s">
        <v>964</v>
      </c>
      <c r="I940" s="128">
        <v>0.9</v>
      </c>
      <c r="J940" s="129" t="s">
        <v>33</v>
      </c>
      <c r="K940" s="129" t="s">
        <v>33</v>
      </c>
      <c r="L940" s="130" t="s">
        <v>33</v>
      </c>
      <c r="M940" s="129" t="s">
        <v>33</v>
      </c>
      <c r="N940" s="131">
        <v>0.9</v>
      </c>
      <c r="O940" s="129" t="s">
        <v>33</v>
      </c>
      <c r="P940" s="129" t="s">
        <v>33</v>
      </c>
      <c r="Q940" s="129" t="s">
        <v>33</v>
      </c>
      <c r="R940" s="129" t="s">
        <v>33</v>
      </c>
      <c r="S940" s="131">
        <v>0.9</v>
      </c>
      <c r="T940" s="129" t="s">
        <v>33</v>
      </c>
      <c r="U940" s="129" t="s">
        <v>33</v>
      </c>
      <c r="V940" s="129" t="s">
        <v>33</v>
      </c>
      <c r="W940" s="129" t="s">
        <v>33</v>
      </c>
      <c r="X940" s="131">
        <v>0.92</v>
      </c>
      <c r="Y940" s="131" t="s">
        <v>33</v>
      </c>
      <c r="Z940" s="131" t="s">
        <v>33</v>
      </c>
      <c r="AA940" s="131" t="s">
        <v>33</v>
      </c>
      <c r="AB940" s="131" t="s">
        <v>33</v>
      </c>
      <c r="AC940" s="131">
        <v>0.92</v>
      </c>
      <c r="AD940" s="129">
        <v>1</v>
      </c>
      <c r="AE940" s="129">
        <v>1</v>
      </c>
      <c r="AF940" s="129">
        <v>0.997647058823529</v>
      </c>
      <c r="AG940" s="129">
        <v>0.999451077260876</v>
      </c>
      <c r="AH940" s="131">
        <v>0.92</v>
      </c>
      <c r="AI940" s="129" t="s">
        <v>33</v>
      </c>
      <c r="AJ940" s="129" t="s">
        <v>33</v>
      </c>
      <c r="AK940" s="129" t="s">
        <v>33</v>
      </c>
      <c r="AL940" s="129" t="s">
        <v>33</v>
      </c>
      <c r="AM940" s="128">
        <v>0.99</v>
      </c>
      <c r="AN940" s="133">
        <v>1</v>
      </c>
      <c r="AO940" s="133">
        <v>1</v>
      </c>
      <c r="AP940" s="133">
        <v>1</v>
      </c>
      <c r="AQ940" s="133">
        <v>1</v>
      </c>
      <c r="AR940" s="153">
        <v>0.0656418488929858</v>
      </c>
      <c r="AS940" s="137" t="s">
        <v>33</v>
      </c>
      <c r="AT940" s="137" t="s">
        <v>33</v>
      </c>
      <c r="AU940" s="137" t="s">
        <v>33</v>
      </c>
      <c r="AV940" s="137" t="s">
        <v>33</v>
      </c>
      <c r="AW940" s="93"/>
      <c r="AX940" s="91"/>
    </row>
    <row r="941" ht="14.5" spans="1:50">
      <c r="A941" s="89"/>
      <c r="B941" s="93"/>
      <c r="C941" s="172" t="s">
        <v>922</v>
      </c>
      <c r="D941" s="126" t="s">
        <v>923</v>
      </c>
      <c r="E941" s="175" t="s">
        <v>965</v>
      </c>
      <c r="F941" s="176" t="s">
        <v>965</v>
      </c>
      <c r="G941" s="176" t="s">
        <v>965</v>
      </c>
      <c r="H941" s="176" t="s">
        <v>965</v>
      </c>
      <c r="I941" s="128">
        <v>0.9</v>
      </c>
      <c r="J941" s="129">
        <v>1</v>
      </c>
      <c r="K941" s="129">
        <v>1</v>
      </c>
      <c r="L941" s="130">
        <v>1</v>
      </c>
      <c r="M941" s="129">
        <v>0.945945945945946</v>
      </c>
      <c r="N941" s="131">
        <v>0.9</v>
      </c>
      <c r="O941" s="129">
        <v>0.962531223980017</v>
      </c>
      <c r="P941" s="129">
        <v>0.973913043478261</v>
      </c>
      <c r="Q941" s="129">
        <v>0.969121140142518</v>
      </c>
      <c r="R941" s="129">
        <v>0.961565126960742</v>
      </c>
      <c r="S941" s="131">
        <v>0.9</v>
      </c>
      <c r="T941" s="129">
        <v>0.930058284762698</v>
      </c>
      <c r="U941" s="129">
        <v>0.942608695652174</v>
      </c>
      <c r="V941" s="129">
        <v>0.92874109263658</v>
      </c>
      <c r="W941" s="129">
        <v>0.924300199324032</v>
      </c>
      <c r="X941" s="131">
        <v>0.92</v>
      </c>
      <c r="Y941" s="131">
        <v>0.957627118644068</v>
      </c>
      <c r="Z941" s="131">
        <v>0.924385633270321</v>
      </c>
      <c r="AA941" s="131">
        <v>0.968468468468468</v>
      </c>
      <c r="AB941" s="131">
        <v>0.95244161358811</v>
      </c>
      <c r="AC941" s="131">
        <v>0.92</v>
      </c>
      <c r="AD941" s="129">
        <v>0.996923471349827</v>
      </c>
      <c r="AE941" s="129">
        <v>0.895645323019625</v>
      </c>
      <c r="AF941" s="129">
        <v>0.996129032258064</v>
      </c>
      <c r="AG941" s="129">
        <v>0.979477129813076</v>
      </c>
      <c r="AH941" s="131">
        <v>0.92</v>
      </c>
      <c r="AI941" s="129">
        <v>0.976687543493389</v>
      </c>
      <c r="AJ941" s="129">
        <v>0.964922711058264</v>
      </c>
      <c r="AK941" s="129">
        <v>0.97163730124624</v>
      </c>
      <c r="AL941" s="129">
        <v>0.972836841158482</v>
      </c>
      <c r="AM941" s="128">
        <v>0.99</v>
      </c>
      <c r="AN941" s="133">
        <v>1</v>
      </c>
      <c r="AO941" s="133">
        <v>1</v>
      </c>
      <c r="AP941" s="133">
        <v>1</v>
      </c>
      <c r="AQ941" s="133">
        <v>1</v>
      </c>
      <c r="AR941" s="153">
        <v>0.0656418488929858</v>
      </c>
      <c r="AS941" s="137">
        <v>0</v>
      </c>
      <c r="AT941" s="137">
        <v>0.125</v>
      </c>
      <c r="AU941" s="137">
        <v>-0.166666666666667</v>
      </c>
      <c r="AV941" s="137">
        <v>0.024390243902439</v>
      </c>
      <c r="AW941" s="93"/>
      <c r="AX941" s="91"/>
    </row>
    <row r="942" ht="14.5" spans="1:50">
      <c r="A942" s="89"/>
      <c r="B942" s="93"/>
      <c r="C942" s="172" t="s">
        <v>922</v>
      </c>
      <c r="D942" s="126" t="s">
        <v>923</v>
      </c>
      <c r="E942" s="175" t="s">
        <v>966</v>
      </c>
      <c r="F942" s="176" t="s">
        <v>966</v>
      </c>
      <c r="G942" s="176" t="s">
        <v>966</v>
      </c>
      <c r="H942" s="176" t="s">
        <v>966</v>
      </c>
      <c r="I942" s="128">
        <v>0.9</v>
      </c>
      <c r="J942" s="129">
        <v>1</v>
      </c>
      <c r="K942" s="129">
        <v>0.884615384615385</v>
      </c>
      <c r="L942" s="130">
        <v>1</v>
      </c>
      <c r="M942" s="129">
        <v>0.97953216374269</v>
      </c>
      <c r="N942" s="131">
        <v>0.9</v>
      </c>
      <c r="O942" s="129">
        <v>0.942067499335636</v>
      </c>
      <c r="P942" s="129">
        <v>0.972727272727273</v>
      </c>
      <c r="Q942" s="129">
        <v>0.960036889025515</v>
      </c>
      <c r="R942" s="129">
        <v>0.932978263220504</v>
      </c>
      <c r="S942" s="131">
        <v>0.9</v>
      </c>
      <c r="T942" s="129">
        <v>0.928514483125166</v>
      </c>
      <c r="U942" s="129">
        <v>0.926737967914439</v>
      </c>
      <c r="V942" s="129">
        <v>0.818936366430987</v>
      </c>
      <c r="W942" s="129">
        <v>0.891370174110522</v>
      </c>
      <c r="X942" s="131">
        <v>0.92</v>
      </c>
      <c r="Y942" s="131">
        <v>0.948783610755442</v>
      </c>
      <c r="Z942" s="131">
        <v>0.960992907801418</v>
      </c>
      <c r="AA942" s="131">
        <v>0.964809384164223</v>
      </c>
      <c r="AB942" s="131">
        <v>0.94862087614927</v>
      </c>
      <c r="AC942" s="131">
        <v>0.92</v>
      </c>
      <c r="AD942" s="129">
        <v>0.999211977935382</v>
      </c>
      <c r="AE942" s="129">
        <v>0.97941216307734</v>
      </c>
      <c r="AF942" s="129">
        <v>0.997162754707248</v>
      </c>
      <c r="AG942" s="129">
        <v>0.996516553749871</v>
      </c>
      <c r="AH942" s="131">
        <v>0.92</v>
      </c>
      <c r="AI942" s="129">
        <v>0.973591549295775</v>
      </c>
      <c r="AJ942" s="129">
        <v>0.96980854197349</v>
      </c>
      <c r="AK942" s="129">
        <v>0.969115191986644</v>
      </c>
      <c r="AL942" s="129">
        <v>0.970936127069956</v>
      </c>
      <c r="AM942" s="128">
        <v>0.99</v>
      </c>
      <c r="AN942" s="133">
        <v>1</v>
      </c>
      <c r="AO942" s="133">
        <v>1</v>
      </c>
      <c r="AP942" s="133">
        <v>1</v>
      </c>
      <c r="AQ942" s="133">
        <v>1</v>
      </c>
      <c r="AR942" s="153">
        <v>0.0656418488929858</v>
      </c>
      <c r="AS942" s="137">
        <v>0.0909090909090909</v>
      </c>
      <c r="AT942" s="137">
        <v>0</v>
      </c>
      <c r="AU942" s="137">
        <v>0.15</v>
      </c>
      <c r="AV942" s="137">
        <v>0.050761421319797</v>
      </c>
      <c r="AW942" s="93"/>
      <c r="AX942" s="91"/>
    </row>
    <row r="943" ht="14.5" spans="1:50">
      <c r="A943" s="89"/>
      <c r="B943" s="93"/>
      <c r="C943" s="172" t="s">
        <v>922</v>
      </c>
      <c r="D943" s="126" t="s">
        <v>923</v>
      </c>
      <c r="E943" s="175" t="s">
        <v>967</v>
      </c>
      <c r="F943" s="176" t="s">
        <v>967</v>
      </c>
      <c r="G943" s="176" t="s">
        <v>967</v>
      </c>
      <c r="H943" s="176" t="s">
        <v>967</v>
      </c>
      <c r="I943" s="128">
        <v>0.9</v>
      </c>
      <c r="J943" s="129">
        <v>0.959183673469388</v>
      </c>
      <c r="K943" s="129">
        <v>0.897435897435897</v>
      </c>
      <c r="L943" s="130">
        <v>0.893617021276596</v>
      </c>
      <c r="M943" s="129">
        <v>0.946296296296296</v>
      </c>
      <c r="N943" s="131">
        <v>0.9</v>
      </c>
      <c r="O943" s="129">
        <v>0.956336311941511</v>
      </c>
      <c r="P943" s="129">
        <v>0.910745233968804</v>
      </c>
      <c r="Q943" s="129">
        <v>0.874779984913251</v>
      </c>
      <c r="R943" s="129">
        <v>0.926571075294475</v>
      </c>
      <c r="S943" s="131">
        <v>0.9</v>
      </c>
      <c r="T943" s="129">
        <v>0.897441104792851</v>
      </c>
      <c r="U943" s="129">
        <v>0.881282495667244</v>
      </c>
      <c r="V943" s="129">
        <v>0.844355041488559</v>
      </c>
      <c r="W943" s="129">
        <v>0.88555066270418</v>
      </c>
      <c r="X943" s="131">
        <v>0.92</v>
      </c>
      <c r="Y943" s="131">
        <v>0.906191369606004</v>
      </c>
      <c r="Z943" s="131">
        <v>0.868717948717949</v>
      </c>
      <c r="AA943" s="131">
        <v>0.852941176470588</v>
      </c>
      <c r="AB943" s="131">
        <v>0.848344299428325</v>
      </c>
      <c r="AC943" s="131">
        <v>0.92</v>
      </c>
      <c r="AD943" s="129">
        <v>0.999143101970865</v>
      </c>
      <c r="AE943" s="129">
        <v>0.958109559613319</v>
      </c>
      <c r="AF943" s="129">
        <v>0.996828752642706</v>
      </c>
      <c r="AG943" s="129">
        <v>0.992897337359319</v>
      </c>
      <c r="AH943" s="131">
        <v>0.92</v>
      </c>
      <c r="AI943" s="129">
        <v>0.961782376502003</v>
      </c>
      <c r="AJ943" s="129">
        <v>0.939080109655803</v>
      </c>
      <c r="AK943" s="129">
        <v>0.961618018846242</v>
      </c>
      <c r="AL943" s="129">
        <v>0.947022498284641</v>
      </c>
      <c r="AM943" s="128">
        <v>0.99</v>
      </c>
      <c r="AN943" s="133">
        <v>1</v>
      </c>
      <c r="AO943" s="133">
        <v>1</v>
      </c>
      <c r="AP943" s="133">
        <v>1</v>
      </c>
      <c r="AQ943" s="133">
        <v>1</v>
      </c>
      <c r="AR943" s="153">
        <v>0.0656418488929858</v>
      </c>
      <c r="AS943" s="137">
        <v>0</v>
      </c>
      <c r="AT943" s="137">
        <v>0</v>
      </c>
      <c r="AU943" s="137">
        <v>0.0476190476190476</v>
      </c>
      <c r="AV943" s="137">
        <v>0.0454545454545455</v>
      </c>
      <c r="AW943" s="93"/>
      <c r="AX943" s="91"/>
    </row>
    <row r="944" ht="14.5" spans="1:50">
      <c r="A944" s="89"/>
      <c r="B944" s="93"/>
      <c r="C944" s="172" t="s">
        <v>922</v>
      </c>
      <c r="D944" s="126" t="s">
        <v>923</v>
      </c>
      <c r="E944" s="175" t="s">
        <v>968</v>
      </c>
      <c r="F944" s="176" t="s">
        <v>968</v>
      </c>
      <c r="G944" s="176" t="s">
        <v>968</v>
      </c>
      <c r="H944" s="176" t="s">
        <v>968</v>
      </c>
      <c r="I944" s="128">
        <v>0.9</v>
      </c>
      <c r="J944" s="129">
        <v>0.91304347826087</v>
      </c>
      <c r="K944" s="129">
        <v>0.941176470588235</v>
      </c>
      <c r="L944" s="130">
        <v>0.789473684210526</v>
      </c>
      <c r="M944" s="129">
        <v>0.948936170212766</v>
      </c>
      <c r="N944" s="131">
        <v>0.9</v>
      </c>
      <c r="O944" s="129">
        <v>0.953924914675768</v>
      </c>
      <c r="P944" s="129">
        <v>0.942786069651741</v>
      </c>
      <c r="Q944" s="129">
        <v>0.942517343904856</v>
      </c>
      <c r="R944" s="129">
        <v>0.946873870617998</v>
      </c>
      <c r="S944" s="131">
        <v>0.9</v>
      </c>
      <c r="T944" s="129">
        <v>0.936006825938567</v>
      </c>
      <c r="U944" s="129">
        <v>0.922885572139303</v>
      </c>
      <c r="V944" s="129">
        <v>0.910307234886026</v>
      </c>
      <c r="W944" s="129">
        <v>0.924873509215757</v>
      </c>
      <c r="X944" s="131">
        <v>0.92</v>
      </c>
      <c r="Y944" s="131">
        <v>0.762357414448669</v>
      </c>
      <c r="Z944" s="131">
        <v>0.721951219512195</v>
      </c>
      <c r="AA944" s="131">
        <v>0.734513274336283</v>
      </c>
      <c r="AB944" s="131">
        <v>0.75093370681606</v>
      </c>
      <c r="AC944" s="131">
        <v>0.92</v>
      </c>
      <c r="AD944" s="129">
        <v>0.998922994076467</v>
      </c>
      <c r="AE944" s="129">
        <v>0.999659979598776</v>
      </c>
      <c r="AF944" s="129">
        <v>0.999084249084249</v>
      </c>
      <c r="AG944" s="129">
        <v>0.998883305415969</v>
      </c>
      <c r="AH944" s="131">
        <v>0.92</v>
      </c>
      <c r="AI944" s="129">
        <v>0.936933797909408</v>
      </c>
      <c r="AJ944" s="129">
        <v>0.90779702970297</v>
      </c>
      <c r="AK944" s="129">
        <v>0.938057040998218</v>
      </c>
      <c r="AL944" s="129">
        <v>0.936835332853953</v>
      </c>
      <c r="AM944" s="128">
        <v>0.99</v>
      </c>
      <c r="AN944" s="133">
        <v>1</v>
      </c>
      <c r="AO944" s="133">
        <v>1</v>
      </c>
      <c r="AP944" s="133">
        <v>1</v>
      </c>
      <c r="AQ944" s="133">
        <v>1</v>
      </c>
      <c r="AR944" s="153">
        <v>0.0656418488929858</v>
      </c>
      <c r="AS944" s="137">
        <v>0.0666666666666667</v>
      </c>
      <c r="AT944" s="137">
        <v>0</v>
      </c>
      <c r="AU944" s="137">
        <v>0</v>
      </c>
      <c r="AV944" s="137">
        <v>0.0206185567010309</v>
      </c>
      <c r="AW944" s="93"/>
      <c r="AX944" s="91"/>
    </row>
    <row r="945" ht="14.5" spans="1:50">
      <c r="A945" s="89"/>
      <c r="B945" s="93"/>
      <c r="C945" s="172" t="s">
        <v>922</v>
      </c>
      <c r="D945" s="126" t="s">
        <v>923</v>
      </c>
      <c r="E945" s="175" t="s">
        <v>969</v>
      </c>
      <c r="F945" s="176" t="s">
        <v>969</v>
      </c>
      <c r="G945" s="176" t="s">
        <v>969</v>
      </c>
      <c r="H945" s="176" t="s">
        <v>969</v>
      </c>
      <c r="I945" s="128">
        <v>0.9</v>
      </c>
      <c r="J945" s="129">
        <v>1</v>
      </c>
      <c r="K945" s="129">
        <v>0.848484848484849</v>
      </c>
      <c r="L945" s="130">
        <v>0.918918918918919</v>
      </c>
      <c r="M945" s="129">
        <v>0.9</v>
      </c>
      <c r="N945" s="131">
        <v>0.9</v>
      </c>
      <c r="O945" s="129">
        <v>0.956624946050928</v>
      </c>
      <c r="P945" s="129">
        <v>0.95977549111319</v>
      </c>
      <c r="Q945" s="129">
        <v>0.889773575516298</v>
      </c>
      <c r="R945" s="129">
        <v>0.94398882480173</v>
      </c>
      <c r="S945" s="131">
        <v>0.9</v>
      </c>
      <c r="T945" s="129">
        <v>0.924687095381959</v>
      </c>
      <c r="U945" s="129">
        <v>0.944808231992516</v>
      </c>
      <c r="V945" s="129">
        <v>0.929584473749689</v>
      </c>
      <c r="W945" s="129">
        <v>0.924229452054795</v>
      </c>
      <c r="X945" s="131">
        <v>0.92</v>
      </c>
      <c r="Y945" s="131">
        <v>0.844396082698585</v>
      </c>
      <c r="Z945" s="131">
        <v>0.882758620689655</v>
      </c>
      <c r="AA945" s="131">
        <v>0.803108808290155</v>
      </c>
      <c r="AB945" s="131">
        <v>0.846241718071739</v>
      </c>
      <c r="AC945" s="131">
        <v>0.92</v>
      </c>
      <c r="AD945" s="129">
        <v>0.998108568186117</v>
      </c>
      <c r="AE945" s="129">
        <v>0.998614958448753</v>
      </c>
      <c r="AF945" s="129">
        <v>0.999386000818666</v>
      </c>
      <c r="AG945" s="129">
        <v>0.998861659050624</v>
      </c>
      <c r="AH945" s="131">
        <v>0.92</v>
      </c>
      <c r="AI945" s="129">
        <v>0.9537270435722</v>
      </c>
      <c r="AJ945" s="129">
        <v>0.947986045036473</v>
      </c>
      <c r="AK945" s="129">
        <v>0.955969133000454</v>
      </c>
      <c r="AL945" s="129">
        <v>0.950873033792429</v>
      </c>
      <c r="AM945" s="128">
        <v>0.99</v>
      </c>
      <c r="AN945" s="133">
        <v>1</v>
      </c>
      <c r="AO945" s="133">
        <v>1</v>
      </c>
      <c r="AP945" s="133">
        <v>1</v>
      </c>
      <c r="AQ945" s="133">
        <v>1</v>
      </c>
      <c r="AR945" s="153">
        <v>0.0656418488929858</v>
      </c>
      <c r="AS945" s="137">
        <v>0.208333333333333</v>
      </c>
      <c r="AT945" s="137">
        <v>0</v>
      </c>
      <c r="AU945" s="137">
        <v>0.037037037037037</v>
      </c>
      <c r="AV945" s="137">
        <v>0.0651340996168582</v>
      </c>
      <c r="AW945" s="93"/>
      <c r="AX945" s="91"/>
    </row>
    <row r="946" ht="14.5" spans="1:50">
      <c r="A946" s="89"/>
      <c r="B946" s="93"/>
      <c r="C946" s="172" t="s">
        <v>922</v>
      </c>
      <c r="D946" s="126" t="s">
        <v>923</v>
      </c>
      <c r="E946" s="175" t="s">
        <v>970</v>
      </c>
      <c r="F946" s="176" t="s">
        <v>970</v>
      </c>
      <c r="G946" s="176" t="s">
        <v>970</v>
      </c>
      <c r="H946" s="176" t="s">
        <v>970</v>
      </c>
      <c r="I946" s="128">
        <v>0.9</v>
      </c>
      <c r="J946" s="129">
        <v>1</v>
      </c>
      <c r="K946" s="129">
        <v>1</v>
      </c>
      <c r="L946" s="130">
        <v>1</v>
      </c>
      <c r="M946" s="129">
        <v>0.993333333333333</v>
      </c>
      <c r="N946" s="131">
        <v>0.9</v>
      </c>
      <c r="O946" s="129">
        <v>0.983504597079502</v>
      </c>
      <c r="P946" s="129">
        <v>0.98469387755102</v>
      </c>
      <c r="Q946" s="129">
        <v>0.983486821213084</v>
      </c>
      <c r="R946" s="129">
        <v>0.982831751161382</v>
      </c>
      <c r="S946" s="131">
        <v>0.9</v>
      </c>
      <c r="T946" s="129">
        <v>0.957815035154137</v>
      </c>
      <c r="U946" s="129">
        <v>0.958673469387755</v>
      </c>
      <c r="V946" s="129">
        <v>0.950778024769768</v>
      </c>
      <c r="W946" s="129">
        <v>0.958276827192198</v>
      </c>
      <c r="X946" s="131">
        <v>0.92</v>
      </c>
      <c r="Y946" s="131">
        <v>0.983770287141074</v>
      </c>
      <c r="Z946" s="131">
        <v>0.981458590852905</v>
      </c>
      <c r="AA946" s="131">
        <v>0.994350282485876</v>
      </c>
      <c r="AB946" s="131">
        <v>0.980910222714068</v>
      </c>
      <c r="AC946" s="131">
        <v>0.92</v>
      </c>
      <c r="AD946" s="129">
        <v>0.990876458271014</v>
      </c>
      <c r="AE946" s="129">
        <v>0.993223262690981</v>
      </c>
      <c r="AF946" s="129">
        <v>0.987940026075619</v>
      </c>
      <c r="AG946" s="129">
        <v>0.987778052120042</v>
      </c>
      <c r="AH946" s="131">
        <v>0.92</v>
      </c>
      <c r="AI946" s="129">
        <v>0.987113974672295</v>
      </c>
      <c r="AJ946" s="129">
        <v>0.987003610108303</v>
      </c>
      <c r="AK946" s="129">
        <v>0.992863260062803</v>
      </c>
      <c r="AL946" s="129">
        <v>0.989069473282261</v>
      </c>
      <c r="AM946" s="128">
        <v>0.99</v>
      </c>
      <c r="AN946" s="133">
        <v>1</v>
      </c>
      <c r="AO946" s="133">
        <v>1</v>
      </c>
      <c r="AP946" s="133">
        <v>1</v>
      </c>
      <c r="AQ946" s="133">
        <v>1</v>
      </c>
      <c r="AR946" s="153">
        <v>0.0656418488929858</v>
      </c>
      <c r="AS946" s="137">
        <v>0</v>
      </c>
      <c r="AT946" s="137">
        <v>0</v>
      </c>
      <c r="AU946" s="137">
        <v>-0.0526315789473684</v>
      </c>
      <c r="AV946" s="137">
        <v>0.0153846153846154</v>
      </c>
      <c r="AW946" s="93"/>
      <c r="AX946" s="91"/>
    </row>
    <row r="947" ht="14.5" spans="1:50">
      <c r="A947" s="89"/>
      <c r="B947" s="93"/>
      <c r="C947" s="172" t="s">
        <v>922</v>
      </c>
      <c r="D947" s="126" t="s">
        <v>923</v>
      </c>
      <c r="E947" s="175" t="s">
        <v>971</v>
      </c>
      <c r="F947" s="176" t="s">
        <v>971</v>
      </c>
      <c r="G947" s="176" t="s">
        <v>971</v>
      </c>
      <c r="H947" s="176" t="s">
        <v>971</v>
      </c>
      <c r="I947" s="128">
        <v>0.9</v>
      </c>
      <c r="J947" s="129">
        <v>0.909090909090909</v>
      </c>
      <c r="K947" s="129">
        <v>0.88</v>
      </c>
      <c r="L947" s="130">
        <v>1</v>
      </c>
      <c r="M947" s="129">
        <v>0.922437673130194</v>
      </c>
      <c r="N947" s="131">
        <v>0.9</v>
      </c>
      <c r="O947" s="129">
        <v>0.947036931004867</v>
      </c>
      <c r="P947" s="129">
        <v>0.947663551401869</v>
      </c>
      <c r="Q947" s="129">
        <v>0.946980854197349</v>
      </c>
      <c r="R947" s="129">
        <v>0.927963516074124</v>
      </c>
      <c r="S947" s="131">
        <v>0.9</v>
      </c>
      <c r="T947" s="129">
        <v>0.935012882908674</v>
      </c>
      <c r="U947" s="129">
        <v>0.933956386292835</v>
      </c>
      <c r="V947" s="129">
        <v>0.924889543446245</v>
      </c>
      <c r="W947" s="129">
        <v>0.90972155313614</v>
      </c>
      <c r="X947" s="131">
        <v>0.92</v>
      </c>
      <c r="Y947" s="131">
        <v>0.894165535956581</v>
      </c>
      <c r="Z947" s="131">
        <v>0.909090909090909</v>
      </c>
      <c r="AA947" s="131">
        <v>0.872340425531915</v>
      </c>
      <c r="AB947" s="131">
        <v>0.858535051870481</v>
      </c>
      <c r="AC947" s="131">
        <v>0.92</v>
      </c>
      <c r="AD947" s="129">
        <v>0.976982097186701</v>
      </c>
      <c r="AE947" s="129">
        <v>0.970912296165712</v>
      </c>
      <c r="AF947" s="129">
        <v>0.99850411368736</v>
      </c>
      <c r="AG947" s="129">
        <v>0.992397763019923</v>
      </c>
      <c r="AH947" s="131">
        <v>0.92</v>
      </c>
      <c r="AI947" s="129">
        <v>0.966918714555766</v>
      </c>
      <c r="AJ947" s="129">
        <v>0.956670956670957</v>
      </c>
      <c r="AK947" s="129">
        <v>0.970857336496103</v>
      </c>
      <c r="AL947" s="129">
        <v>0.951842568396352</v>
      </c>
      <c r="AM947" s="128">
        <v>0.99</v>
      </c>
      <c r="AN947" s="133">
        <v>1</v>
      </c>
      <c r="AO947" s="133">
        <v>1</v>
      </c>
      <c r="AP947" s="133">
        <v>1</v>
      </c>
      <c r="AQ947" s="133">
        <v>1</v>
      </c>
      <c r="AR947" s="153">
        <v>0.0656418488929858</v>
      </c>
      <c r="AS947" s="137">
        <v>0.0625</v>
      </c>
      <c r="AT947" s="137">
        <v>0.166666666666667</v>
      </c>
      <c r="AU947" s="137">
        <v>0</v>
      </c>
      <c r="AV947" s="137">
        <v>0.043010752688172</v>
      </c>
      <c r="AW947" s="93"/>
      <c r="AX947" s="91"/>
    </row>
    <row r="948" ht="14.5" spans="1:50">
      <c r="A948" s="89"/>
      <c r="B948" s="93"/>
      <c r="C948" s="172" t="s">
        <v>922</v>
      </c>
      <c r="D948" s="126" t="s">
        <v>923</v>
      </c>
      <c r="E948" s="175" t="s">
        <v>972</v>
      </c>
      <c r="F948" s="176" t="s">
        <v>972</v>
      </c>
      <c r="G948" s="176" t="s">
        <v>972</v>
      </c>
      <c r="H948" s="176" t="s">
        <v>972</v>
      </c>
      <c r="I948" s="128">
        <v>0.9</v>
      </c>
      <c r="J948" s="129">
        <v>0.966666666666667</v>
      </c>
      <c r="K948" s="129">
        <v>0.846153846153846</v>
      </c>
      <c r="L948" s="130">
        <v>0.9</v>
      </c>
      <c r="M948" s="129">
        <v>0.860248447204969</v>
      </c>
      <c r="N948" s="131">
        <v>0.9</v>
      </c>
      <c r="O948" s="129">
        <v>0.961728105189012</v>
      </c>
      <c r="P948" s="129">
        <v>0.958115183246073</v>
      </c>
      <c r="Q948" s="129">
        <v>0.965322580645161</v>
      </c>
      <c r="R948" s="129">
        <v>0.933474331859258</v>
      </c>
      <c r="S948" s="131">
        <v>0.9</v>
      </c>
      <c r="T948" s="129">
        <v>0.913829537450106</v>
      </c>
      <c r="U948" s="129">
        <v>0.927574171029668</v>
      </c>
      <c r="V948" s="129">
        <v>0.923387096774194</v>
      </c>
      <c r="W948" s="129">
        <v>0.897687944626033</v>
      </c>
      <c r="X948" s="131">
        <v>0.92</v>
      </c>
      <c r="Y948" s="131">
        <v>0.917997870074547</v>
      </c>
      <c r="Z948" s="131">
        <v>0.914233576642336</v>
      </c>
      <c r="AA948" s="131">
        <v>0.952164009111617</v>
      </c>
      <c r="AB948" s="131">
        <v>0.914815662926494</v>
      </c>
      <c r="AC948" s="131">
        <v>0.92</v>
      </c>
      <c r="AD948" s="129">
        <v>0.998263260727983</v>
      </c>
      <c r="AE948" s="129">
        <v>0.998296314992428</v>
      </c>
      <c r="AF948" s="129">
        <v>0.998735905344592</v>
      </c>
      <c r="AG948" s="129">
        <v>0.993919723489678</v>
      </c>
      <c r="AH948" s="131">
        <v>0.92</v>
      </c>
      <c r="AI948" s="129">
        <v>0.959792227779915</v>
      </c>
      <c r="AJ948" s="129">
        <v>0.952198288580702</v>
      </c>
      <c r="AK948" s="129">
        <v>0.973070449627314</v>
      </c>
      <c r="AL948" s="129">
        <v>0.955511420059583</v>
      </c>
      <c r="AM948" s="128">
        <v>0.99</v>
      </c>
      <c r="AN948" s="133">
        <v>1</v>
      </c>
      <c r="AO948" s="133">
        <v>1</v>
      </c>
      <c r="AP948" s="133">
        <v>1</v>
      </c>
      <c r="AQ948" s="133">
        <v>1</v>
      </c>
      <c r="AR948" s="153">
        <v>0.0656418488929858</v>
      </c>
      <c r="AS948" s="137">
        <v>0.137931034482759</v>
      </c>
      <c r="AT948" s="137">
        <v>0.105263157894737</v>
      </c>
      <c r="AU948" s="137">
        <v>0.107142857142857</v>
      </c>
      <c r="AV948" s="137">
        <v>0.0943396226415094</v>
      </c>
      <c r="AW948" s="93"/>
      <c r="AX948" s="91"/>
    </row>
    <row r="949" ht="14.5" spans="1:50">
      <c r="A949" s="89"/>
      <c r="B949" s="93"/>
      <c r="C949" s="172" t="s">
        <v>922</v>
      </c>
      <c r="D949" s="126" t="s">
        <v>923</v>
      </c>
      <c r="E949" s="175" t="s">
        <v>973</v>
      </c>
      <c r="F949" s="176" t="s">
        <v>973</v>
      </c>
      <c r="G949" s="176" t="s">
        <v>973</v>
      </c>
      <c r="H949" s="176" t="s">
        <v>973</v>
      </c>
      <c r="I949" s="128">
        <v>0.9</v>
      </c>
      <c r="J949" s="129">
        <v>1</v>
      </c>
      <c r="K949" s="129">
        <v>1</v>
      </c>
      <c r="L949" s="130">
        <v>1</v>
      </c>
      <c r="M949" s="129">
        <v>0.940789473684211</v>
      </c>
      <c r="N949" s="131">
        <v>0.9</v>
      </c>
      <c r="O949" s="129">
        <v>0.933536276002029</v>
      </c>
      <c r="P949" s="129">
        <v>0.930084745762712</v>
      </c>
      <c r="Q949" s="129">
        <v>0.943228858663513</v>
      </c>
      <c r="R949" s="129">
        <v>0.945233483968152</v>
      </c>
      <c r="S949" s="131">
        <v>0.9</v>
      </c>
      <c r="T949" s="129">
        <v>0.909183155758498</v>
      </c>
      <c r="U949" s="129">
        <v>0.895127118644068</v>
      </c>
      <c r="V949" s="129">
        <v>0.906564163217031</v>
      </c>
      <c r="W949" s="129">
        <v>0.918173014848289</v>
      </c>
      <c r="X949" s="131">
        <v>0.92</v>
      </c>
      <c r="Y949" s="131">
        <v>0.940758293838863</v>
      </c>
      <c r="Z949" s="131">
        <v>0.844497607655502</v>
      </c>
      <c r="AA949" s="131">
        <v>0.924242424242424</v>
      </c>
      <c r="AB949" s="131">
        <v>0.914239482200647</v>
      </c>
      <c r="AC949" s="131">
        <v>0.92</v>
      </c>
      <c r="AD949" s="129">
        <v>0.986702127659574</v>
      </c>
      <c r="AE949" s="129">
        <v>0.935146443514644</v>
      </c>
      <c r="AF949" s="129">
        <v>0.902439024390244</v>
      </c>
      <c r="AG949" s="129">
        <v>0.919177427068388</v>
      </c>
      <c r="AH949" s="131">
        <v>0.92</v>
      </c>
      <c r="AI949" s="129">
        <v>0.961972419557041</v>
      </c>
      <c r="AJ949" s="129">
        <v>0.926578560939794</v>
      </c>
      <c r="AK949" s="129">
        <v>0.968184311574328</v>
      </c>
      <c r="AL949" s="129">
        <v>0.959723717258701</v>
      </c>
      <c r="AM949" s="128">
        <v>0.99</v>
      </c>
      <c r="AN949" s="133">
        <v>1</v>
      </c>
      <c r="AO949" s="133">
        <v>1</v>
      </c>
      <c r="AP949" s="133">
        <v>1</v>
      </c>
      <c r="AQ949" s="133">
        <v>1</v>
      </c>
      <c r="AR949" s="153">
        <v>0.0656418488929858</v>
      </c>
      <c r="AS949" s="137">
        <v>0</v>
      </c>
      <c r="AT949" s="137">
        <v>0</v>
      </c>
      <c r="AU949" s="137">
        <v>0</v>
      </c>
      <c r="AV949" s="137">
        <v>0.05</v>
      </c>
      <c r="AW949" s="93"/>
      <c r="AX949" s="91"/>
    </row>
    <row r="950" ht="14.5" spans="1:50">
      <c r="A950" s="89"/>
      <c r="B950" s="93"/>
      <c r="C950" s="172" t="s">
        <v>922</v>
      </c>
      <c r="D950" s="126" t="s">
        <v>923</v>
      </c>
      <c r="E950" s="175" t="s">
        <v>974</v>
      </c>
      <c r="F950" s="176" t="s">
        <v>974</v>
      </c>
      <c r="G950" s="176" t="s">
        <v>974</v>
      </c>
      <c r="H950" s="176" t="s">
        <v>974</v>
      </c>
      <c r="I950" s="128">
        <v>0.9</v>
      </c>
      <c r="J950" s="129">
        <v>1</v>
      </c>
      <c r="K950" s="129">
        <v>0.882352941176471</v>
      </c>
      <c r="L950" s="130">
        <v>0.952380952380952</v>
      </c>
      <c r="M950" s="129">
        <v>0.939655172413793</v>
      </c>
      <c r="N950" s="131">
        <v>0.9</v>
      </c>
      <c r="O950" s="129">
        <v>0.956941649899396</v>
      </c>
      <c r="P950" s="129">
        <v>0.97972972972973</v>
      </c>
      <c r="Q950" s="129">
        <v>0.949539271610355</v>
      </c>
      <c r="R950" s="129">
        <v>0.954228984012378</v>
      </c>
      <c r="S950" s="131">
        <v>0.9</v>
      </c>
      <c r="T950" s="129">
        <v>0.928370221327968</v>
      </c>
      <c r="U950" s="129">
        <v>0.950168918918919</v>
      </c>
      <c r="V950" s="129">
        <v>0.91224221149627</v>
      </c>
      <c r="W950" s="129">
        <v>0.92865738353103</v>
      </c>
      <c r="X950" s="131">
        <v>0.92</v>
      </c>
      <c r="Y950" s="131">
        <v>0.977485928705441</v>
      </c>
      <c r="Z950" s="131">
        <v>0.961608775137112</v>
      </c>
      <c r="AA950" s="131">
        <v>0.955752212389381</v>
      </c>
      <c r="AB950" s="131">
        <v>0.966077594962421</v>
      </c>
      <c r="AC950" s="131">
        <v>0.92</v>
      </c>
      <c r="AD950" s="129">
        <v>0.998826291079812</v>
      </c>
      <c r="AE950" s="129">
        <v>0.999389250814332</v>
      </c>
      <c r="AF950" s="129">
        <v>0.998230088495575</v>
      </c>
      <c r="AG950" s="129">
        <v>0.99800460475825</v>
      </c>
      <c r="AH950" s="131">
        <v>0.92</v>
      </c>
      <c r="AI950" s="129">
        <v>0.979463398476317</v>
      </c>
      <c r="AJ950" s="129">
        <v>0.978625072212594</v>
      </c>
      <c r="AK950" s="129">
        <v>0.987225548902196</v>
      </c>
      <c r="AL950" s="129">
        <v>0.982584947151876</v>
      </c>
      <c r="AM950" s="128">
        <v>0.99</v>
      </c>
      <c r="AN950" s="133">
        <v>1</v>
      </c>
      <c r="AO950" s="133">
        <v>1</v>
      </c>
      <c r="AP950" s="133">
        <v>1</v>
      </c>
      <c r="AQ950" s="133">
        <v>1</v>
      </c>
      <c r="AR950" s="153">
        <v>0.0656418488929858</v>
      </c>
      <c r="AS950" s="137">
        <v>0</v>
      </c>
      <c r="AT950" s="137">
        <v>0</v>
      </c>
      <c r="AU950" s="137">
        <v>0.0909090909090909</v>
      </c>
      <c r="AV950" s="137">
        <v>0.0442477876106195</v>
      </c>
      <c r="AW950" s="93"/>
      <c r="AX950" s="91"/>
    </row>
    <row r="951" ht="14.5" spans="1:50">
      <c r="A951" s="89"/>
      <c r="B951" s="93"/>
      <c r="C951" s="172" t="s">
        <v>922</v>
      </c>
      <c r="D951" s="126" t="s">
        <v>923</v>
      </c>
      <c r="E951" s="175" t="s">
        <v>975</v>
      </c>
      <c r="F951" s="176" t="s">
        <v>975</v>
      </c>
      <c r="G951" s="176" t="s">
        <v>975</v>
      </c>
      <c r="H951" s="176" t="s">
        <v>975</v>
      </c>
      <c r="I951" s="128">
        <v>0.9</v>
      </c>
      <c r="J951" s="129">
        <v>0.944444444444444</v>
      </c>
      <c r="K951" s="129">
        <v>0.857142857142857</v>
      </c>
      <c r="L951" s="130">
        <v>0.916666666666667</v>
      </c>
      <c r="M951" s="129">
        <v>0.938636363636364</v>
      </c>
      <c r="N951" s="131">
        <v>0.9</v>
      </c>
      <c r="O951" s="129">
        <v>0.940304652120214</v>
      </c>
      <c r="P951" s="129">
        <v>0.891483516483517</v>
      </c>
      <c r="Q951" s="129">
        <v>0.815575221238938</v>
      </c>
      <c r="R951" s="129">
        <v>0.896493020088526</v>
      </c>
      <c r="S951" s="131">
        <v>0.9</v>
      </c>
      <c r="T951" s="129">
        <v>0.899135446685879</v>
      </c>
      <c r="U951" s="129">
        <v>0.901785714285714</v>
      </c>
      <c r="V951" s="129">
        <v>0.870088495575221</v>
      </c>
      <c r="W951" s="129">
        <v>0.900272386789241</v>
      </c>
      <c r="X951" s="131">
        <v>0.92</v>
      </c>
      <c r="Y951" s="131">
        <v>0.798004987531172</v>
      </c>
      <c r="Z951" s="131">
        <v>0.801488833746898</v>
      </c>
      <c r="AA951" s="131">
        <v>0.663780663780664</v>
      </c>
      <c r="AB951" s="131">
        <v>0.72687041902918</v>
      </c>
      <c r="AC951" s="131">
        <v>0.92</v>
      </c>
      <c r="AD951" s="129">
        <v>0.982421875</v>
      </c>
      <c r="AE951" s="129">
        <v>0.989330746847721</v>
      </c>
      <c r="AF951" s="129">
        <v>0.987240829346092</v>
      </c>
      <c r="AG951" s="129">
        <v>0.989468599033816</v>
      </c>
      <c r="AH951" s="131">
        <v>0.92</v>
      </c>
      <c r="AI951" s="129">
        <v>0.917982048901269</v>
      </c>
      <c r="AJ951" s="129">
        <v>0.917159763313609</v>
      </c>
      <c r="AK951" s="129">
        <v>0.89169982944855</v>
      </c>
      <c r="AL951" s="129">
        <v>0.907715003824719</v>
      </c>
      <c r="AM951" s="128">
        <v>0.99</v>
      </c>
      <c r="AN951" s="133">
        <v>1</v>
      </c>
      <c r="AO951" s="133">
        <v>1</v>
      </c>
      <c r="AP951" s="133">
        <v>1</v>
      </c>
      <c r="AQ951" s="133">
        <v>1</v>
      </c>
      <c r="AR951" s="153">
        <v>0.0656418488929858</v>
      </c>
      <c r="AS951" s="137">
        <v>0</v>
      </c>
      <c r="AT951" s="137">
        <v>0</v>
      </c>
      <c r="AU951" s="137">
        <v>0</v>
      </c>
      <c r="AV951" s="137">
        <v>0.0263157894736842</v>
      </c>
      <c r="AW951" s="93"/>
      <c r="AX951" s="91"/>
    </row>
    <row r="952" ht="14.5" spans="1:50">
      <c r="A952" s="89"/>
      <c r="B952" s="93"/>
      <c r="C952" s="172" t="s">
        <v>922</v>
      </c>
      <c r="D952" s="126" t="s">
        <v>923</v>
      </c>
      <c r="E952" s="181" t="s">
        <v>976</v>
      </c>
      <c r="F952" s="182" t="s">
        <v>976</v>
      </c>
      <c r="G952" s="182" t="s">
        <v>976</v>
      </c>
      <c r="H952" s="182" t="s">
        <v>976</v>
      </c>
      <c r="I952" s="128">
        <v>0.9</v>
      </c>
      <c r="J952" s="129">
        <v>0.944444444444444</v>
      </c>
      <c r="K952" s="129">
        <v>0.916666666666667</v>
      </c>
      <c r="L952" s="130">
        <v>0.9375</v>
      </c>
      <c r="M952" s="129">
        <v>0.911330049261084</v>
      </c>
      <c r="N952" s="131">
        <v>0.9</v>
      </c>
      <c r="O952" s="129">
        <v>0.912136536030341</v>
      </c>
      <c r="P952" s="129">
        <v>0.716744913928013</v>
      </c>
      <c r="Q952" s="129">
        <v>0.870137299771167</v>
      </c>
      <c r="R952" s="129">
        <v>0.873104847320094</v>
      </c>
      <c r="S952" s="131">
        <v>0.9</v>
      </c>
      <c r="T952" s="129">
        <v>0.791403286978508</v>
      </c>
      <c r="U952" s="129">
        <v>0.640845070422535</v>
      </c>
      <c r="V952" s="129">
        <v>0.826659038901602</v>
      </c>
      <c r="W952" s="129">
        <v>0.788757206918642</v>
      </c>
      <c r="X952" s="131">
        <v>0.92</v>
      </c>
      <c r="Y952" s="131">
        <v>0</v>
      </c>
      <c r="Z952" s="131">
        <v>0</v>
      </c>
      <c r="AA952" s="131">
        <v>0</v>
      </c>
      <c r="AB952" s="131">
        <v>0</v>
      </c>
      <c r="AC952" s="131">
        <v>0.92</v>
      </c>
      <c r="AD952" s="129">
        <v>1</v>
      </c>
      <c r="AE952" s="129">
        <v>0.977777777777778</v>
      </c>
      <c r="AF952" s="129">
        <v>0.821917808219178</v>
      </c>
      <c r="AG952" s="129">
        <v>0.971603990790484</v>
      </c>
      <c r="AH952" s="131">
        <v>0.92</v>
      </c>
      <c r="AI952" s="129">
        <v>0.936868686868687</v>
      </c>
      <c r="AJ952" s="129">
        <v>0.69609375</v>
      </c>
      <c r="AK952" s="129">
        <v>0.853714285714286</v>
      </c>
      <c r="AL952" s="129">
        <v>0.86544</v>
      </c>
      <c r="AM952" s="128">
        <v>0.99</v>
      </c>
      <c r="AN952" s="133">
        <v>1</v>
      </c>
      <c r="AO952" s="133">
        <v>1</v>
      </c>
      <c r="AP952" s="133">
        <v>1</v>
      </c>
      <c r="AQ952" s="133">
        <v>1</v>
      </c>
      <c r="AR952" s="153">
        <v>0.0656418488929858</v>
      </c>
      <c r="AS952" s="137">
        <v>0</v>
      </c>
      <c r="AT952" s="137">
        <v>0.2</v>
      </c>
      <c r="AU952" s="137">
        <v>0</v>
      </c>
      <c r="AV952" s="137">
        <v>0.0892857142857143</v>
      </c>
      <c r="AW952" s="93"/>
      <c r="AX952" s="91"/>
    </row>
    <row r="953" ht="14.5" spans="1:50">
      <c r="A953" s="89"/>
      <c r="B953" s="93"/>
      <c r="C953" s="172" t="s">
        <v>922</v>
      </c>
      <c r="D953" s="126" t="s">
        <v>923</v>
      </c>
      <c r="E953" s="175" t="s">
        <v>977</v>
      </c>
      <c r="F953" s="176" t="s">
        <v>977</v>
      </c>
      <c r="G953" s="176" t="s">
        <v>977</v>
      </c>
      <c r="H953" s="176" t="s">
        <v>977</v>
      </c>
      <c r="I953" s="128">
        <v>0.9</v>
      </c>
      <c r="J953" s="129">
        <v>0.916666666666667</v>
      </c>
      <c r="K953" s="129">
        <v>1</v>
      </c>
      <c r="L953" s="130">
        <v>0.962962962962963</v>
      </c>
      <c r="M953" s="129">
        <v>0.953947368421053</v>
      </c>
      <c r="N953" s="131">
        <v>0.9</v>
      </c>
      <c r="O953" s="129">
        <v>0.984546360917248</v>
      </c>
      <c r="P953" s="129">
        <v>0.988561107766406</v>
      </c>
      <c r="Q953" s="129">
        <v>0.985369711348359</v>
      </c>
      <c r="R953" s="129">
        <v>0.977848334933176</v>
      </c>
      <c r="S953" s="131">
        <v>0.9</v>
      </c>
      <c r="T953" s="129">
        <v>0.856430707876371</v>
      </c>
      <c r="U953" s="129">
        <v>0.855508729680915</v>
      </c>
      <c r="V953" s="129">
        <v>0.890075128509292</v>
      </c>
      <c r="W953" s="129">
        <v>0.90146200989441</v>
      </c>
      <c r="X953" s="131">
        <v>0.92</v>
      </c>
      <c r="Y953" s="131" t="s">
        <v>33</v>
      </c>
      <c r="Z953" s="131">
        <v>0</v>
      </c>
      <c r="AA953" s="131" t="s">
        <v>33</v>
      </c>
      <c r="AB953" s="131">
        <v>0</v>
      </c>
      <c r="AC953" s="131">
        <v>0.92</v>
      </c>
      <c r="AD953" s="129">
        <v>0.995753715498938</v>
      </c>
      <c r="AE953" s="129">
        <v>0.992329817833174</v>
      </c>
      <c r="AF953" s="129">
        <v>0.957661290322581</v>
      </c>
      <c r="AG953" s="129">
        <v>0.987583572110793</v>
      </c>
      <c r="AH953" s="131">
        <v>0.92</v>
      </c>
      <c r="AI953" s="129">
        <v>0.96011964107677</v>
      </c>
      <c r="AJ953" s="129">
        <v>0.962093862815884</v>
      </c>
      <c r="AK953" s="129">
        <v>0.97508896797153</v>
      </c>
      <c r="AL953" s="129">
        <v>0.967846727453948</v>
      </c>
      <c r="AM953" s="128">
        <v>0.99</v>
      </c>
      <c r="AN953" s="133">
        <v>1</v>
      </c>
      <c r="AO953" s="133">
        <v>1</v>
      </c>
      <c r="AP953" s="133">
        <v>1</v>
      </c>
      <c r="AQ953" s="133">
        <v>1</v>
      </c>
      <c r="AR953" s="153">
        <v>0.0656418488929858</v>
      </c>
      <c r="AS953" s="137">
        <v>0</v>
      </c>
      <c r="AT953" s="137">
        <v>0</v>
      </c>
      <c r="AU953" s="137">
        <v>0.428571428571429</v>
      </c>
      <c r="AV953" s="137">
        <v>0.0610687022900763</v>
      </c>
      <c r="AW953" s="93"/>
      <c r="AX953" s="91"/>
    </row>
    <row r="954" ht="14.5" spans="1:50">
      <c r="A954" s="89"/>
      <c r="B954" s="93"/>
      <c r="C954" s="172" t="s">
        <v>922</v>
      </c>
      <c r="D954" s="126" t="s">
        <v>923</v>
      </c>
      <c r="E954" s="177" t="s">
        <v>978</v>
      </c>
      <c r="F954" s="178" t="s">
        <v>978</v>
      </c>
      <c r="G954" s="178" t="s">
        <v>978</v>
      </c>
      <c r="H954" s="178" t="s">
        <v>978</v>
      </c>
      <c r="I954" s="128">
        <v>0.9</v>
      </c>
      <c r="J954" s="129">
        <v>0.894736842105263</v>
      </c>
      <c r="K954" s="129">
        <v>0.891304347826087</v>
      </c>
      <c r="L954" s="130">
        <v>0.981132075471698</v>
      </c>
      <c r="M954" s="129">
        <v>0.951612903225806</v>
      </c>
      <c r="N954" s="131">
        <v>0.9</v>
      </c>
      <c r="O954" s="129">
        <v>0.938770685579196</v>
      </c>
      <c r="P954" s="129">
        <v>0.938654841093865</v>
      </c>
      <c r="Q954" s="129">
        <v>0.940614195647753</v>
      </c>
      <c r="R954" s="129">
        <v>0.936692994847104</v>
      </c>
      <c r="S954" s="131">
        <v>0.9</v>
      </c>
      <c r="T954" s="129">
        <v>0.906146572104019</v>
      </c>
      <c r="U954" s="129">
        <v>0.938654841093865</v>
      </c>
      <c r="V954" s="129">
        <v>0.899938987187309</v>
      </c>
      <c r="W954" s="129">
        <v>0.90975469032887</v>
      </c>
      <c r="X954" s="131">
        <v>0.92</v>
      </c>
      <c r="Y954" s="131">
        <v>0.852470930232558</v>
      </c>
      <c r="Z954" s="131">
        <v>0.848529411764706</v>
      </c>
      <c r="AA954" s="131">
        <v>0.82641196013289</v>
      </c>
      <c r="AB954" s="131">
        <v>0.81090669086709</v>
      </c>
      <c r="AC954" s="131">
        <v>0.92</v>
      </c>
      <c r="AD954" s="129">
        <v>0.942452161587527</v>
      </c>
      <c r="AE954" s="129">
        <v>0.979051565377532</v>
      </c>
      <c r="AF954" s="129">
        <v>0.984476534296029</v>
      </c>
      <c r="AG954" s="129">
        <v>0.967054301764068</v>
      </c>
      <c r="AH954" s="131">
        <v>0.92</v>
      </c>
      <c r="AI954" s="129">
        <v>0.928647877274349</v>
      </c>
      <c r="AJ954" s="129">
        <v>0.94034258712345</v>
      </c>
      <c r="AK954" s="129">
        <v>0.936121548766541</v>
      </c>
      <c r="AL954" s="129">
        <v>0.929214887955631</v>
      </c>
      <c r="AM954" s="128">
        <v>0.99</v>
      </c>
      <c r="AN954" s="133">
        <v>1</v>
      </c>
      <c r="AO954" s="133">
        <v>1</v>
      </c>
      <c r="AP954" s="133">
        <v>1</v>
      </c>
      <c r="AQ954" s="133">
        <v>1</v>
      </c>
      <c r="AR954" s="153">
        <v>0.0656418488929858</v>
      </c>
      <c r="AS954" s="137">
        <v>0.0961538461538462</v>
      </c>
      <c r="AT954" s="137">
        <v>0</v>
      </c>
      <c r="AU954" s="137">
        <v>0</v>
      </c>
      <c r="AV954" s="137">
        <v>0.039039039039039</v>
      </c>
      <c r="AW954" s="93"/>
      <c r="AX954" s="91"/>
    </row>
    <row r="955" ht="14.5" spans="1:50">
      <c r="A955" s="89"/>
      <c r="B955" s="93"/>
      <c r="C955" s="172" t="s">
        <v>922</v>
      </c>
      <c r="D955" s="126" t="s">
        <v>923</v>
      </c>
      <c r="E955" s="175" t="s">
        <v>979</v>
      </c>
      <c r="F955" s="176" t="s">
        <v>979</v>
      </c>
      <c r="G955" s="176" t="s">
        <v>979</v>
      </c>
      <c r="H955" s="176" t="s">
        <v>979</v>
      </c>
      <c r="I955" s="128">
        <v>0.9</v>
      </c>
      <c r="J955" s="129">
        <v>0.970588235294118</v>
      </c>
      <c r="K955" s="129">
        <v>1</v>
      </c>
      <c r="L955" s="130">
        <v>1</v>
      </c>
      <c r="M955" s="129">
        <v>0.984615384615385</v>
      </c>
      <c r="N955" s="131">
        <v>0.9</v>
      </c>
      <c r="O955" s="129">
        <v>0.974349839686498</v>
      </c>
      <c r="P955" s="129">
        <v>0.949360865290069</v>
      </c>
      <c r="Q955" s="129">
        <v>0.932214127336079</v>
      </c>
      <c r="R955" s="129">
        <v>0.963927143491781</v>
      </c>
      <c r="S955" s="131">
        <v>0.9</v>
      </c>
      <c r="T955" s="129">
        <v>0.880299251870324</v>
      </c>
      <c r="U955" s="129">
        <v>0.915929203539823</v>
      </c>
      <c r="V955" s="129">
        <v>0.894836870446627</v>
      </c>
      <c r="W955" s="129">
        <v>0.913638382940915</v>
      </c>
      <c r="X955" s="131">
        <v>0.92</v>
      </c>
      <c r="Y955" s="131">
        <v>0</v>
      </c>
      <c r="Z955" s="131">
        <v>0</v>
      </c>
      <c r="AA955" s="131" t="s">
        <v>33</v>
      </c>
      <c r="AB955" s="131">
        <v>0.1</v>
      </c>
      <c r="AC955" s="131">
        <v>0.92</v>
      </c>
      <c r="AD955" s="129">
        <v>0.988636363636364</v>
      </c>
      <c r="AE955" s="129">
        <v>0.985915492957746</v>
      </c>
      <c r="AF955" s="129">
        <v>0.940414507772021</v>
      </c>
      <c r="AG955" s="129">
        <v>0.974177215189873</v>
      </c>
      <c r="AH955" s="131">
        <v>0.92</v>
      </c>
      <c r="AI955" s="129">
        <v>0.956908831908832</v>
      </c>
      <c r="AJ955" s="129">
        <v>0.956286836935167</v>
      </c>
      <c r="AK955" s="129">
        <v>0.971175166297118</v>
      </c>
      <c r="AL955" s="129">
        <v>0.968181145478763</v>
      </c>
      <c r="AM955" s="128">
        <v>0.99</v>
      </c>
      <c r="AN955" s="133">
        <v>1</v>
      </c>
      <c r="AO955" s="133">
        <v>1</v>
      </c>
      <c r="AP955" s="133">
        <v>1</v>
      </c>
      <c r="AQ955" s="133">
        <v>1</v>
      </c>
      <c r="AR955" s="153">
        <v>0.0656418488929858</v>
      </c>
      <c r="AS955" s="137">
        <v>0.133333333333333</v>
      </c>
      <c r="AT955" s="137">
        <v>0.142857142857143</v>
      </c>
      <c r="AU955" s="137">
        <v>0</v>
      </c>
      <c r="AV955" s="137">
        <v>0.0660377358490566</v>
      </c>
      <c r="AW955" s="93"/>
      <c r="AX955" s="91"/>
    </row>
    <row r="956" ht="14.5" spans="1:50">
      <c r="A956" s="89"/>
      <c r="B956" s="93"/>
      <c r="C956" s="172" t="s">
        <v>922</v>
      </c>
      <c r="D956" s="126" t="s">
        <v>923</v>
      </c>
      <c r="E956" s="175" t="s">
        <v>980</v>
      </c>
      <c r="F956" s="176" t="s">
        <v>980</v>
      </c>
      <c r="G956" s="176" t="s">
        <v>980</v>
      </c>
      <c r="H956" s="176" t="s">
        <v>980</v>
      </c>
      <c r="I956" s="128">
        <v>0.9</v>
      </c>
      <c r="J956" s="129">
        <v>0.934782608695652</v>
      </c>
      <c r="K956" s="129">
        <v>0.974358974358974</v>
      </c>
      <c r="L956" s="130">
        <v>0.977272727272727</v>
      </c>
      <c r="M956" s="129">
        <v>0.950570342205323</v>
      </c>
      <c r="N956" s="131">
        <v>0.9</v>
      </c>
      <c r="O956" s="129">
        <v>0.955736224028907</v>
      </c>
      <c r="P956" s="129">
        <v>0.924010967489228</v>
      </c>
      <c r="Q956" s="129">
        <v>0.913659793814433</v>
      </c>
      <c r="R956" s="129">
        <v>0.925292852020081</v>
      </c>
      <c r="S956" s="131">
        <v>0.9</v>
      </c>
      <c r="T956" s="129">
        <v>0.91358024691358</v>
      </c>
      <c r="U956" s="129">
        <v>0.868781825303564</v>
      </c>
      <c r="V956" s="129">
        <v>0.909278350515464</v>
      </c>
      <c r="W956" s="129">
        <v>0.916088931388955</v>
      </c>
      <c r="X956" s="131">
        <v>0.92</v>
      </c>
      <c r="Y956" s="131">
        <v>0</v>
      </c>
      <c r="Z956" s="131">
        <v>0.25</v>
      </c>
      <c r="AA956" s="131" t="s">
        <v>33</v>
      </c>
      <c r="AB956" s="131">
        <v>0.0952380952380952</v>
      </c>
      <c r="AC956" s="131">
        <v>0.92</v>
      </c>
      <c r="AD956" s="129">
        <v>0.996003996003996</v>
      </c>
      <c r="AE956" s="129">
        <v>0.980555555555556</v>
      </c>
      <c r="AF956" s="129">
        <v>0.991023339317774</v>
      </c>
      <c r="AG956" s="129">
        <v>0.988848859152513</v>
      </c>
      <c r="AH956" s="131">
        <v>0.92</v>
      </c>
      <c r="AI956" s="129">
        <v>0.946750902527076</v>
      </c>
      <c r="AJ956" s="129">
        <v>0.935862338678138</v>
      </c>
      <c r="AK956" s="129">
        <v>0.95360824742268</v>
      </c>
      <c r="AL956" s="129">
        <v>0.956249551982032</v>
      </c>
      <c r="AM956" s="128">
        <v>0.99</v>
      </c>
      <c r="AN956" s="133">
        <v>1</v>
      </c>
      <c r="AO956" s="133">
        <v>1</v>
      </c>
      <c r="AP956" s="133">
        <v>1</v>
      </c>
      <c r="AQ956" s="133">
        <v>1</v>
      </c>
      <c r="AR956" s="153">
        <v>0.0656418488929858</v>
      </c>
      <c r="AS956" s="137">
        <v>0</v>
      </c>
      <c r="AT956" s="137">
        <v>0</v>
      </c>
      <c r="AU956" s="137">
        <v>0</v>
      </c>
      <c r="AV956" s="137">
        <v>0.0152284263959391</v>
      </c>
      <c r="AW956" s="93"/>
      <c r="AX956" s="91"/>
    </row>
    <row r="957" ht="14.5" spans="1:50">
      <c r="A957" s="89"/>
      <c r="B957" s="93"/>
      <c r="C957" s="172" t="s">
        <v>922</v>
      </c>
      <c r="D957" s="126" t="s">
        <v>923</v>
      </c>
      <c r="E957" s="175" t="s">
        <v>981</v>
      </c>
      <c r="F957" s="176" t="s">
        <v>981</v>
      </c>
      <c r="G957" s="176" t="s">
        <v>981</v>
      </c>
      <c r="H957" s="176" t="s">
        <v>981</v>
      </c>
      <c r="I957" s="128">
        <v>0.9</v>
      </c>
      <c r="J957" s="129">
        <v>0.936170212765957</v>
      </c>
      <c r="K957" s="129">
        <v>0.9</v>
      </c>
      <c r="L957" s="130">
        <v>0.9375</v>
      </c>
      <c r="M957" s="129">
        <v>0.924528301886792</v>
      </c>
      <c r="N957" s="131">
        <v>0.9</v>
      </c>
      <c r="O957" s="129">
        <v>0.898707891093678</v>
      </c>
      <c r="P957" s="129">
        <v>0.933353168699792</v>
      </c>
      <c r="Q957" s="129">
        <v>0.87743842364532</v>
      </c>
      <c r="R957" s="129">
        <v>0.906989771946944</v>
      </c>
      <c r="S957" s="131">
        <v>0.9</v>
      </c>
      <c r="T957" s="129">
        <v>0.909552376557453</v>
      </c>
      <c r="U957" s="129">
        <v>0.917286521868491</v>
      </c>
      <c r="V957" s="129">
        <v>0.867980295566502</v>
      </c>
      <c r="W957" s="129">
        <v>0.895876251400484</v>
      </c>
      <c r="X957" s="131">
        <v>0.92</v>
      </c>
      <c r="Y957" s="131" t="s">
        <v>33</v>
      </c>
      <c r="Z957" s="131">
        <v>0</v>
      </c>
      <c r="AA957" s="131">
        <v>0</v>
      </c>
      <c r="AB957" s="131">
        <v>0</v>
      </c>
      <c r="AC957" s="131">
        <v>0.92</v>
      </c>
      <c r="AD957" s="129">
        <v>0.995610184372256</v>
      </c>
      <c r="AE957" s="129">
        <v>0.996098104793757</v>
      </c>
      <c r="AF957" s="129">
        <v>0.978193146417445</v>
      </c>
      <c r="AG957" s="129">
        <v>0.976408345256713</v>
      </c>
      <c r="AH957" s="131">
        <v>0.92</v>
      </c>
      <c r="AI957" s="129">
        <v>0.932395016151361</v>
      </c>
      <c r="AJ957" s="129">
        <v>0.948634204275534</v>
      </c>
      <c r="AK957" s="129">
        <v>0.910774079180618</v>
      </c>
      <c r="AL957" s="129">
        <v>0.93133659699767</v>
      </c>
      <c r="AM957" s="128">
        <v>0.99</v>
      </c>
      <c r="AN957" s="133">
        <v>1</v>
      </c>
      <c r="AO957" s="133">
        <v>1</v>
      </c>
      <c r="AP957" s="133">
        <v>1</v>
      </c>
      <c r="AQ957" s="133">
        <v>1</v>
      </c>
      <c r="AR957" s="153">
        <v>0.0656418488929858</v>
      </c>
      <c r="AS957" s="137">
        <v>0</v>
      </c>
      <c r="AT957" s="137">
        <v>0.15</v>
      </c>
      <c r="AU957" s="137">
        <v>0.157894736842105</v>
      </c>
      <c r="AV957" s="137">
        <v>0.0747663551401869</v>
      </c>
      <c r="AW957" s="93"/>
      <c r="AX957" s="91"/>
    </row>
    <row r="958" ht="14.5" spans="1:50">
      <c r="A958" s="89"/>
      <c r="B958" s="93"/>
      <c r="C958" s="172" t="s">
        <v>922</v>
      </c>
      <c r="D958" s="126" t="s">
        <v>923</v>
      </c>
      <c r="E958" s="175" t="s">
        <v>982</v>
      </c>
      <c r="F958" s="176" t="s">
        <v>982</v>
      </c>
      <c r="G958" s="176" t="s">
        <v>982</v>
      </c>
      <c r="H958" s="176" t="s">
        <v>982</v>
      </c>
      <c r="I958" s="128">
        <v>0.9</v>
      </c>
      <c r="J958" s="129">
        <v>0.945945945945946</v>
      </c>
      <c r="K958" s="129">
        <v>0.909090909090909</v>
      </c>
      <c r="L958" s="130">
        <v>0.942857142857143</v>
      </c>
      <c r="M958" s="129">
        <v>0.923076923076923</v>
      </c>
      <c r="N958" s="131">
        <v>0.9</v>
      </c>
      <c r="O958" s="129">
        <v>0.96485723250706</v>
      </c>
      <c r="P958" s="129">
        <v>0.940803382663848</v>
      </c>
      <c r="Q958" s="129">
        <v>0.971941638608305</v>
      </c>
      <c r="R958" s="129">
        <v>0.946199807585194</v>
      </c>
      <c r="S958" s="131">
        <v>0.9</v>
      </c>
      <c r="T958" s="129">
        <v>0.920301223721368</v>
      </c>
      <c r="U958" s="129">
        <v>0.899365750528541</v>
      </c>
      <c r="V958" s="129">
        <v>0.919472502805836</v>
      </c>
      <c r="W958" s="129">
        <v>0.918375613955137</v>
      </c>
      <c r="X958" s="131">
        <v>0.92</v>
      </c>
      <c r="Y958" s="131" t="s">
        <v>33</v>
      </c>
      <c r="Z958" s="131">
        <v>0</v>
      </c>
      <c r="AA958" s="131">
        <v>0</v>
      </c>
      <c r="AB958" s="131">
        <v>0.0625</v>
      </c>
      <c r="AC958" s="131">
        <v>0.92</v>
      </c>
      <c r="AD958" s="129">
        <v>0.990291262135922</v>
      </c>
      <c r="AE958" s="129">
        <v>0.974509803921569</v>
      </c>
      <c r="AF958" s="129">
        <v>0.974193548387097</v>
      </c>
      <c r="AG958" s="129">
        <v>0.982987185152453</v>
      </c>
      <c r="AH958" s="131">
        <v>0.92</v>
      </c>
      <c r="AI958" s="129">
        <v>0.956071540633825</v>
      </c>
      <c r="AJ958" s="129">
        <v>0.943436048965808</v>
      </c>
      <c r="AK958" s="129">
        <v>0.956533931575996</v>
      </c>
      <c r="AL958" s="129">
        <v>0.957761805942198</v>
      </c>
      <c r="AM958" s="128">
        <v>0.99</v>
      </c>
      <c r="AN958" s="133">
        <v>1</v>
      </c>
      <c r="AO958" s="133">
        <v>1</v>
      </c>
      <c r="AP958" s="133">
        <v>1</v>
      </c>
      <c r="AQ958" s="133">
        <v>1</v>
      </c>
      <c r="AR958" s="153">
        <v>0.0656418488929858</v>
      </c>
      <c r="AS958" s="137">
        <v>0</v>
      </c>
      <c r="AT958" s="137">
        <v>0.111111111111111</v>
      </c>
      <c r="AU958" s="137">
        <v>0.125</v>
      </c>
      <c r="AV958" s="137">
        <v>0.0485436893203883</v>
      </c>
      <c r="AW958" s="93"/>
      <c r="AX958" s="91"/>
    </row>
    <row r="959" ht="14.5" spans="1:50">
      <c r="A959" s="89"/>
      <c r="B959" s="93"/>
      <c r="C959" s="172" t="s">
        <v>922</v>
      </c>
      <c r="D959" s="126" t="s">
        <v>923</v>
      </c>
      <c r="E959" s="183" t="s">
        <v>983</v>
      </c>
      <c r="F959" s="184" t="s">
        <v>983</v>
      </c>
      <c r="G959" s="184" t="s">
        <v>983</v>
      </c>
      <c r="H959" s="184" t="s">
        <v>983</v>
      </c>
      <c r="I959" s="128">
        <v>0.9</v>
      </c>
      <c r="J959" s="129">
        <v>0.951219512195122</v>
      </c>
      <c r="K959" s="129">
        <v>0.972972972972973</v>
      </c>
      <c r="L959" s="130">
        <v>1</v>
      </c>
      <c r="M959" s="129">
        <v>0.959745762711864</v>
      </c>
      <c r="N959" s="131">
        <v>0.9</v>
      </c>
      <c r="O959" s="129">
        <v>0.96048632218845</v>
      </c>
      <c r="P959" s="129">
        <v>0.978450627386798</v>
      </c>
      <c r="Q959" s="129">
        <v>0.97415004214667</v>
      </c>
      <c r="R959" s="129">
        <v>0.962255728598353</v>
      </c>
      <c r="S959" s="131">
        <v>0.9</v>
      </c>
      <c r="T959" s="129">
        <v>0.920466058763931</v>
      </c>
      <c r="U959" s="129">
        <v>0.942989634478996</v>
      </c>
      <c r="V959" s="129">
        <v>0.901095813430739</v>
      </c>
      <c r="W959" s="129">
        <v>0.918014085904176</v>
      </c>
      <c r="X959" s="131">
        <v>0.92</v>
      </c>
      <c r="Y959" s="131" t="s">
        <v>33</v>
      </c>
      <c r="Z959" s="131">
        <v>0</v>
      </c>
      <c r="AA959" s="131">
        <v>0</v>
      </c>
      <c r="AB959" s="131">
        <v>0.0526315789473684</v>
      </c>
      <c r="AC959" s="131">
        <v>0.92</v>
      </c>
      <c r="AD959" s="129">
        <v>0.980952380952381</v>
      </c>
      <c r="AE959" s="129">
        <v>0.915407854984894</v>
      </c>
      <c r="AF959" s="129">
        <v>0.921052631578947</v>
      </c>
      <c r="AG959" s="129">
        <v>0.949754438987533</v>
      </c>
      <c r="AH959" s="131">
        <v>0.92</v>
      </c>
      <c r="AI959" s="129">
        <v>0.955927051671733</v>
      </c>
      <c r="AJ959" s="129">
        <v>0.961832061068702</v>
      </c>
      <c r="AK959" s="129">
        <v>0.965178320696434</v>
      </c>
      <c r="AL959" s="129">
        <v>0.96299234067868</v>
      </c>
      <c r="AM959" s="128">
        <v>0.99</v>
      </c>
      <c r="AN959" s="133">
        <v>1</v>
      </c>
      <c r="AO959" s="133">
        <v>1</v>
      </c>
      <c r="AP959" s="133">
        <v>1</v>
      </c>
      <c r="AQ959" s="133">
        <v>1</v>
      </c>
      <c r="AR959" s="153">
        <v>0.0656418488929858</v>
      </c>
      <c r="AS959" s="137">
        <v>0</v>
      </c>
      <c r="AT959" s="137">
        <v>0</v>
      </c>
      <c r="AU959" s="137">
        <v>0</v>
      </c>
      <c r="AV959" s="137">
        <v>0.0258620689655172</v>
      </c>
      <c r="AW959" s="93"/>
      <c r="AX959" s="91"/>
    </row>
    <row r="960" ht="14.5" spans="1:50">
      <c r="A960" s="89"/>
      <c r="B960" s="93"/>
      <c r="C960" s="172" t="s">
        <v>922</v>
      </c>
      <c r="D960" s="126" t="s">
        <v>923</v>
      </c>
      <c r="E960" s="173" t="s">
        <v>984</v>
      </c>
      <c r="F960" s="174" t="s">
        <v>984</v>
      </c>
      <c r="G960" s="174" t="s">
        <v>984</v>
      </c>
      <c r="H960" s="174" t="s">
        <v>984</v>
      </c>
      <c r="I960" s="128">
        <v>0.9</v>
      </c>
      <c r="J960" s="129">
        <v>0.944444444444444</v>
      </c>
      <c r="K960" s="129">
        <v>1</v>
      </c>
      <c r="L960" s="130">
        <v>1</v>
      </c>
      <c r="M960" s="129">
        <v>0.966981132075472</v>
      </c>
      <c r="N960" s="131">
        <v>0.9</v>
      </c>
      <c r="O960" s="129">
        <v>0.988466467321657</v>
      </c>
      <c r="P960" s="129">
        <v>0.986486486486487</v>
      </c>
      <c r="Q960" s="129">
        <v>0.984</v>
      </c>
      <c r="R960" s="129">
        <v>0.967688072566452</v>
      </c>
      <c r="S960" s="131">
        <v>0.9</v>
      </c>
      <c r="T960" s="129">
        <v>0.927808628791115</v>
      </c>
      <c r="U960" s="129">
        <v>0.94847972972973</v>
      </c>
      <c r="V960" s="129">
        <v>0.939294117647059</v>
      </c>
      <c r="W960" s="129">
        <v>0.930457150593438</v>
      </c>
      <c r="X960" s="131">
        <v>0.92</v>
      </c>
      <c r="Y960" s="131" t="s">
        <v>33</v>
      </c>
      <c r="Z960" s="131" t="s">
        <v>33</v>
      </c>
      <c r="AA960" s="131" t="s">
        <v>33</v>
      </c>
      <c r="AB960" s="131" t="s">
        <v>33</v>
      </c>
      <c r="AC960" s="131">
        <v>0.92</v>
      </c>
      <c r="AD960" s="129">
        <v>0.996894409937888</v>
      </c>
      <c r="AE960" s="129">
        <v>1</v>
      </c>
      <c r="AF960" s="129">
        <v>0.994764397905759</v>
      </c>
      <c r="AG960" s="129">
        <v>0.994893845740392</v>
      </c>
      <c r="AH960" s="131">
        <v>0.92</v>
      </c>
      <c r="AI960" s="129">
        <v>0.952157197778727</v>
      </c>
      <c r="AJ960" s="129">
        <v>0.956081081081081</v>
      </c>
      <c r="AK960" s="129">
        <v>0.959058823529412</v>
      </c>
      <c r="AL960" s="129">
        <v>0.947966966018322</v>
      </c>
      <c r="AM960" s="128">
        <v>0.99</v>
      </c>
      <c r="AN960" s="133">
        <v>1</v>
      </c>
      <c r="AO960" s="133">
        <v>1</v>
      </c>
      <c r="AP960" s="133">
        <v>1</v>
      </c>
      <c r="AQ960" s="133">
        <v>1</v>
      </c>
      <c r="AR960" s="153">
        <v>0.0656418488929858</v>
      </c>
      <c r="AS960" s="137">
        <v>0</v>
      </c>
      <c r="AT960" s="137">
        <v>0.0588235294117647</v>
      </c>
      <c r="AU960" s="137">
        <v>0.0909090909090909</v>
      </c>
      <c r="AV960" s="137">
        <v>0.0443349753694581</v>
      </c>
      <c r="AW960" s="93"/>
      <c r="AX960" s="91"/>
    </row>
    <row r="961" ht="14.5" spans="1:50">
      <c r="A961" s="89"/>
      <c r="B961" s="93"/>
      <c r="C961" s="172" t="s">
        <v>922</v>
      </c>
      <c r="D961" s="126" t="s">
        <v>923</v>
      </c>
      <c r="E961" s="173" t="s">
        <v>985</v>
      </c>
      <c r="F961" s="174" t="s">
        <v>985</v>
      </c>
      <c r="G961" s="174" t="s">
        <v>985</v>
      </c>
      <c r="H961" s="174" t="s">
        <v>985</v>
      </c>
      <c r="I961" s="128">
        <v>0.9</v>
      </c>
      <c r="J961" s="129">
        <v>1</v>
      </c>
      <c r="K961" s="129">
        <v>1</v>
      </c>
      <c r="L961" s="130">
        <v>1</v>
      </c>
      <c r="M961" s="129">
        <v>0.968253968253968</v>
      </c>
      <c r="N961" s="131">
        <v>0.9</v>
      </c>
      <c r="O961" s="129">
        <v>0.983935742971888</v>
      </c>
      <c r="P961" s="129">
        <v>0.989622641509434</v>
      </c>
      <c r="Q961" s="129">
        <v>0.975636166756903</v>
      </c>
      <c r="R961" s="129">
        <v>0.974782968168665</v>
      </c>
      <c r="S961" s="131">
        <v>0.9</v>
      </c>
      <c r="T961" s="129">
        <v>0.913367756741251</v>
      </c>
      <c r="U961" s="129">
        <v>0.921698113207547</v>
      </c>
      <c r="V961" s="129">
        <v>0.931239848402815</v>
      </c>
      <c r="W961" s="129">
        <v>0.926880942538239</v>
      </c>
      <c r="X961" s="131">
        <v>0.92</v>
      </c>
      <c r="Y961" s="131" t="s">
        <v>33</v>
      </c>
      <c r="Z961" s="131" t="s">
        <v>33</v>
      </c>
      <c r="AA961" s="131" t="s">
        <v>33</v>
      </c>
      <c r="AB961" s="131" t="s">
        <v>33</v>
      </c>
      <c r="AC961" s="131">
        <v>0.92</v>
      </c>
      <c r="AD961" s="129">
        <v>1</v>
      </c>
      <c r="AE961" s="129">
        <v>0.993197278911565</v>
      </c>
      <c r="AF961" s="129">
        <v>1</v>
      </c>
      <c r="AG961" s="129">
        <v>0.9975</v>
      </c>
      <c r="AH961" s="131">
        <v>0.92</v>
      </c>
      <c r="AI961" s="129">
        <v>0.951233505450373</v>
      </c>
      <c r="AJ961" s="129">
        <v>0.958490566037736</v>
      </c>
      <c r="AK961" s="129">
        <v>0.974553329723877</v>
      </c>
      <c r="AL961" s="129">
        <v>0.970287308805291</v>
      </c>
      <c r="AM961" s="128">
        <v>0.99</v>
      </c>
      <c r="AN961" s="133">
        <v>1</v>
      </c>
      <c r="AO961" s="133">
        <v>1</v>
      </c>
      <c r="AP961" s="133">
        <v>1</v>
      </c>
      <c r="AQ961" s="133">
        <v>1</v>
      </c>
      <c r="AR961" s="153">
        <v>0.0656418488929858</v>
      </c>
      <c r="AS961" s="137">
        <v>0</v>
      </c>
      <c r="AT961" s="137">
        <v>0.5</v>
      </c>
      <c r="AU961" s="137">
        <v>0</v>
      </c>
      <c r="AV961" s="137">
        <v>0.0485436893203883</v>
      </c>
      <c r="AW961" s="93"/>
      <c r="AX961" s="91"/>
    </row>
    <row r="962" ht="14.5" spans="1:50">
      <c r="A962" s="89"/>
      <c r="B962" s="93"/>
      <c r="C962" s="172" t="s">
        <v>922</v>
      </c>
      <c r="D962" s="126" t="s">
        <v>923</v>
      </c>
      <c r="E962" s="173" t="s">
        <v>986</v>
      </c>
      <c r="F962" s="174" t="s">
        <v>986</v>
      </c>
      <c r="G962" s="174" t="s">
        <v>986</v>
      </c>
      <c r="H962" s="174" t="s">
        <v>986</v>
      </c>
      <c r="I962" s="128">
        <v>0.9</v>
      </c>
      <c r="J962" s="129">
        <v>0.931818181818182</v>
      </c>
      <c r="K962" s="129">
        <v>0.972972972972973</v>
      </c>
      <c r="L962" s="130">
        <v>0.976190476190476</v>
      </c>
      <c r="M962" s="129">
        <v>0.931958762886598</v>
      </c>
      <c r="N962" s="131">
        <v>0.9</v>
      </c>
      <c r="O962" s="129">
        <v>0.947505989980396</v>
      </c>
      <c r="P962" s="129">
        <v>0.95607439651761</v>
      </c>
      <c r="Q962" s="129">
        <v>0.948214658592608</v>
      </c>
      <c r="R962" s="129">
        <v>0.927507932633634</v>
      </c>
      <c r="S962" s="131">
        <v>0.9</v>
      </c>
      <c r="T962" s="129">
        <v>0.928338052711827</v>
      </c>
      <c r="U962" s="129">
        <v>0.933518005540166</v>
      </c>
      <c r="V962" s="129">
        <v>0.934433075798705</v>
      </c>
      <c r="W962" s="129">
        <v>0.932369213245464</v>
      </c>
      <c r="X962" s="131">
        <v>0.92</v>
      </c>
      <c r="Y962" s="131" t="s">
        <v>33</v>
      </c>
      <c r="Z962" s="131" t="s">
        <v>33</v>
      </c>
      <c r="AA962" s="131" t="s">
        <v>33</v>
      </c>
      <c r="AB962" s="131" t="s">
        <v>33</v>
      </c>
      <c r="AC962" s="131">
        <v>0.92</v>
      </c>
      <c r="AD962" s="129">
        <v>0.999492385786802</v>
      </c>
      <c r="AE962" s="129">
        <v>0.996352583586626</v>
      </c>
      <c r="AF962" s="129">
        <v>0.991863303498779</v>
      </c>
      <c r="AG962" s="129">
        <v>0.99496644295302</v>
      </c>
      <c r="AH962" s="131">
        <v>0.92</v>
      </c>
      <c r="AI962" s="129">
        <v>0.947505989980396</v>
      </c>
      <c r="AJ962" s="129">
        <v>0.943411159477641</v>
      </c>
      <c r="AK962" s="129">
        <v>0.95678496868476</v>
      </c>
      <c r="AL962" s="129">
        <v>0.951186771615108</v>
      </c>
      <c r="AM962" s="128">
        <v>0.99</v>
      </c>
      <c r="AN962" s="133">
        <v>1</v>
      </c>
      <c r="AO962" s="133">
        <v>1</v>
      </c>
      <c r="AP962" s="133">
        <v>1</v>
      </c>
      <c r="AQ962" s="133">
        <v>1</v>
      </c>
      <c r="AR962" s="153">
        <v>0.0656418488929858</v>
      </c>
      <c r="AS962" s="137">
        <v>0.0769230769230769</v>
      </c>
      <c r="AT962" s="137">
        <v>0.0666666666666667</v>
      </c>
      <c r="AU962" s="137">
        <v>0.0555555555555556</v>
      </c>
      <c r="AV962" s="137">
        <v>0.0388127853881279</v>
      </c>
      <c r="AW962" s="93"/>
      <c r="AX962" s="91"/>
    </row>
    <row r="963" ht="14.5" spans="1:50">
      <c r="A963" s="89"/>
      <c r="B963" s="93"/>
      <c r="C963" s="172" t="s">
        <v>922</v>
      </c>
      <c r="D963" s="126" t="s">
        <v>923</v>
      </c>
      <c r="E963" s="175" t="s">
        <v>987</v>
      </c>
      <c r="F963" s="176" t="s">
        <v>987</v>
      </c>
      <c r="G963" s="176" t="s">
        <v>987</v>
      </c>
      <c r="H963" s="176" t="s">
        <v>987</v>
      </c>
      <c r="I963" s="128">
        <v>0.9</v>
      </c>
      <c r="J963" s="129">
        <v>0.904761904761905</v>
      </c>
      <c r="K963" s="129">
        <v>0.833333333333333</v>
      </c>
      <c r="L963" s="130">
        <v>0.8</v>
      </c>
      <c r="M963" s="129">
        <v>0.840182648401826</v>
      </c>
      <c r="N963" s="131">
        <v>0.9</v>
      </c>
      <c r="O963" s="129">
        <v>0.984524686809138</v>
      </c>
      <c r="P963" s="129">
        <v>0.983310152990264</v>
      </c>
      <c r="Q963" s="129">
        <v>0.976495726495726</v>
      </c>
      <c r="R963" s="129">
        <v>0.98913825819538</v>
      </c>
      <c r="S963" s="131">
        <v>0.9</v>
      </c>
      <c r="T963" s="129">
        <v>0.910095799557848</v>
      </c>
      <c r="U963" s="129">
        <v>0.927677329624478</v>
      </c>
      <c r="V963" s="129">
        <v>0.878917378917379</v>
      </c>
      <c r="W963" s="129">
        <v>0.89210233592881</v>
      </c>
      <c r="X963" s="131">
        <v>0.92</v>
      </c>
      <c r="Y963" s="131" t="s">
        <v>33</v>
      </c>
      <c r="Z963" s="131" t="s">
        <v>33</v>
      </c>
      <c r="AA963" s="131" t="s">
        <v>33</v>
      </c>
      <c r="AB963" s="131" t="s">
        <v>33</v>
      </c>
      <c r="AC963" s="131">
        <v>0.92</v>
      </c>
      <c r="AD963" s="129">
        <v>1</v>
      </c>
      <c r="AE963" s="129">
        <v>0.994652406417112</v>
      </c>
      <c r="AF963" s="129">
        <v>0.976744186046512</v>
      </c>
      <c r="AG963" s="129">
        <v>0.986905582356995</v>
      </c>
      <c r="AH963" s="131">
        <v>0.92</v>
      </c>
      <c r="AI963" s="129">
        <v>0.954310980103169</v>
      </c>
      <c r="AJ963" s="129">
        <v>0.951321279554937</v>
      </c>
      <c r="AK963" s="129">
        <v>0.923076923076923</v>
      </c>
      <c r="AL963" s="129">
        <v>0.930314728783616</v>
      </c>
      <c r="AM963" s="128">
        <v>0.99</v>
      </c>
      <c r="AN963" s="133">
        <v>1</v>
      </c>
      <c r="AO963" s="133">
        <v>1</v>
      </c>
      <c r="AP963" s="133">
        <v>1</v>
      </c>
      <c r="AQ963" s="133">
        <v>1</v>
      </c>
      <c r="AR963" s="153">
        <v>0.0656418488929858</v>
      </c>
      <c r="AS963" s="137">
        <v>0</v>
      </c>
      <c r="AT963" s="137">
        <v>0</v>
      </c>
      <c r="AU963" s="137">
        <v>0</v>
      </c>
      <c r="AV963" s="137">
        <v>0.0111111111111111</v>
      </c>
      <c r="AW963" s="93"/>
      <c r="AX963" s="91"/>
    </row>
    <row r="964" ht="14.5" spans="1:50">
      <c r="A964" s="89"/>
      <c r="B964" s="93"/>
      <c r="C964" s="172" t="s">
        <v>922</v>
      </c>
      <c r="D964" s="126" t="s">
        <v>923</v>
      </c>
      <c r="E964" s="175" t="s">
        <v>988</v>
      </c>
      <c r="F964" s="176" t="s">
        <v>988</v>
      </c>
      <c r="G964" s="176" t="s">
        <v>988</v>
      </c>
      <c r="H964" s="176" t="s">
        <v>988</v>
      </c>
      <c r="I964" s="128">
        <v>0.9</v>
      </c>
      <c r="J964" s="129">
        <v>0.711111111111111</v>
      </c>
      <c r="K964" s="129">
        <v>0.542857142857143</v>
      </c>
      <c r="L964" s="130">
        <v>0.825</v>
      </c>
      <c r="M964" s="129">
        <v>0.769722814498934</v>
      </c>
      <c r="N964" s="131">
        <v>0.9</v>
      </c>
      <c r="O964" s="129">
        <v>0.957865168539326</v>
      </c>
      <c r="P964" s="129">
        <v>0.956100051046452</v>
      </c>
      <c r="Q964" s="129">
        <v>0.919033627162912</v>
      </c>
      <c r="R964" s="129">
        <v>0.915704090114363</v>
      </c>
      <c r="S964" s="131">
        <v>0.9</v>
      </c>
      <c r="T964" s="129">
        <v>0.847037793667007</v>
      </c>
      <c r="U964" s="129">
        <v>0.89382337927514</v>
      </c>
      <c r="V964" s="129">
        <v>0.83317009467842</v>
      </c>
      <c r="W964" s="129">
        <v>0.843245722147382</v>
      </c>
      <c r="X964" s="131">
        <v>0.92</v>
      </c>
      <c r="Y964" s="131">
        <v>0.912147505422993</v>
      </c>
      <c r="Z964" s="131">
        <v>0.937584803256445</v>
      </c>
      <c r="AA964" s="131">
        <v>0.953316953316953</v>
      </c>
      <c r="AB964" s="131">
        <v>0.91346401857106</v>
      </c>
      <c r="AC964" s="131">
        <v>0.92</v>
      </c>
      <c r="AD964" s="129">
        <v>0.999069983724715</v>
      </c>
      <c r="AE964" s="129">
        <v>0.999239977199316</v>
      </c>
      <c r="AF964" s="129">
        <v>0.996865203761755</v>
      </c>
      <c r="AG964" s="129">
        <v>0.99342406221409</v>
      </c>
      <c r="AH964" s="131">
        <v>0.92</v>
      </c>
      <c r="AI964" s="129">
        <v>0.95721372467962</v>
      </c>
      <c r="AJ964" s="129">
        <v>0.96514645902855</v>
      </c>
      <c r="AK964" s="129">
        <v>0.97463976945245</v>
      </c>
      <c r="AL964" s="129">
        <v>0.953713039604193</v>
      </c>
      <c r="AM964" s="128">
        <v>0.99</v>
      </c>
      <c r="AN964" s="133">
        <v>1</v>
      </c>
      <c r="AO964" s="133">
        <v>1</v>
      </c>
      <c r="AP964" s="133">
        <v>1</v>
      </c>
      <c r="AQ964" s="133">
        <v>1</v>
      </c>
      <c r="AR964" s="153">
        <v>0.0656418488929858</v>
      </c>
      <c r="AS964" s="137">
        <v>0.0555555555555556</v>
      </c>
      <c r="AT964" s="137">
        <v>0</v>
      </c>
      <c r="AU964" s="137">
        <v>0</v>
      </c>
      <c r="AV964" s="137">
        <v>0.0290909090909091</v>
      </c>
      <c r="AW964" s="93"/>
      <c r="AX964" s="91"/>
    </row>
    <row r="965" ht="14.5" spans="1:50">
      <c r="A965" s="89"/>
      <c r="B965" s="93"/>
      <c r="C965" s="172" t="s">
        <v>922</v>
      </c>
      <c r="D965" s="126" t="s">
        <v>923</v>
      </c>
      <c r="E965" s="175" t="s">
        <v>989</v>
      </c>
      <c r="F965" s="176" t="s">
        <v>989</v>
      </c>
      <c r="G965" s="176" t="s">
        <v>989</v>
      </c>
      <c r="H965" s="176" t="s">
        <v>989</v>
      </c>
      <c r="I965" s="128">
        <v>0.9</v>
      </c>
      <c r="J965" s="129">
        <v>0.872340425531915</v>
      </c>
      <c r="K965" s="129">
        <v>0.871794871794872</v>
      </c>
      <c r="L965" s="130">
        <v>0.837209302325581</v>
      </c>
      <c r="M965" s="129">
        <v>0.82341650671785</v>
      </c>
      <c r="N965" s="131">
        <v>0.9</v>
      </c>
      <c r="O965" s="129">
        <v>0.97585848074922</v>
      </c>
      <c r="P965" s="129">
        <v>0.988461538461539</v>
      </c>
      <c r="Q965" s="129">
        <v>0.982981059566292</v>
      </c>
      <c r="R965" s="129">
        <v>0.980273818190358</v>
      </c>
      <c r="S965" s="131">
        <v>0.9</v>
      </c>
      <c r="T965" s="129">
        <v>0.87471383975026</v>
      </c>
      <c r="U965" s="129">
        <v>0.874358974358974</v>
      </c>
      <c r="V965" s="129">
        <v>0.842986549547077</v>
      </c>
      <c r="W965" s="129">
        <v>0.842214029072635</v>
      </c>
      <c r="X965" s="131">
        <v>0.92</v>
      </c>
      <c r="Y965" s="131">
        <v>0.887459807073955</v>
      </c>
      <c r="Z965" s="131">
        <v>0.867619047619048</v>
      </c>
      <c r="AA965" s="131">
        <v>0.830952380952381</v>
      </c>
      <c r="AB965" s="131">
        <v>0.868896827974451</v>
      </c>
      <c r="AC965" s="131">
        <v>0.92</v>
      </c>
      <c r="AD965" s="129">
        <v>0.999413145539906</v>
      </c>
      <c r="AE965" s="129">
        <v>0.993212121212121</v>
      </c>
      <c r="AF965" s="129">
        <v>0.984219754529515</v>
      </c>
      <c r="AG965" s="129">
        <v>0.994605689024551</v>
      </c>
      <c r="AH965" s="131">
        <v>0.92</v>
      </c>
      <c r="AI965" s="129">
        <v>0.956430812129662</v>
      </c>
      <c r="AJ965" s="129">
        <v>0.93598820058997</v>
      </c>
      <c r="AK965" s="129">
        <v>0.951513659857248</v>
      </c>
      <c r="AL965" s="129">
        <v>0.949017791671491</v>
      </c>
      <c r="AM965" s="128">
        <v>0.99</v>
      </c>
      <c r="AN965" s="133">
        <v>1</v>
      </c>
      <c r="AO965" s="133">
        <v>1</v>
      </c>
      <c r="AP965" s="133">
        <v>1</v>
      </c>
      <c r="AQ965" s="133">
        <v>1</v>
      </c>
      <c r="AR965" s="153">
        <v>0.0656418488929858</v>
      </c>
      <c r="AS965" s="137">
        <v>0.0909090909090909</v>
      </c>
      <c r="AT965" s="137">
        <v>0</v>
      </c>
      <c r="AU965" s="137">
        <v>0</v>
      </c>
      <c r="AV965" s="137">
        <v>0.0466926070038911</v>
      </c>
      <c r="AW965" s="93"/>
      <c r="AX965" s="91"/>
    </row>
    <row r="966" ht="14.5" spans="1:50">
      <c r="A966" s="89"/>
      <c r="B966" s="93"/>
      <c r="C966" s="172" t="s">
        <v>922</v>
      </c>
      <c r="D966" s="126" t="s">
        <v>923</v>
      </c>
      <c r="E966" s="175" t="s">
        <v>990</v>
      </c>
      <c r="F966" s="176" t="s">
        <v>990</v>
      </c>
      <c r="G966" s="176" t="s">
        <v>990</v>
      </c>
      <c r="H966" s="176" t="s">
        <v>990</v>
      </c>
      <c r="I966" s="128">
        <v>0.9</v>
      </c>
      <c r="J966" s="129">
        <v>0.91304347826087</v>
      </c>
      <c r="K966" s="129">
        <v>0.842105263157895</v>
      </c>
      <c r="L966" s="130">
        <v>0.95</v>
      </c>
      <c r="M966" s="129">
        <v>0.835390946502058</v>
      </c>
      <c r="N966" s="131">
        <v>0.9</v>
      </c>
      <c r="O966" s="129">
        <v>0.901632970451011</v>
      </c>
      <c r="P966" s="129">
        <v>0.885496183206107</v>
      </c>
      <c r="Q966" s="129">
        <v>0.848739495798319</v>
      </c>
      <c r="R966" s="129">
        <v>0.895374120656576</v>
      </c>
      <c r="S966" s="131">
        <v>0.9</v>
      </c>
      <c r="T966" s="129">
        <v>0.8950233281493</v>
      </c>
      <c r="U966" s="129">
        <v>0.921582234559334</v>
      </c>
      <c r="V966" s="129">
        <v>0.925358378645576</v>
      </c>
      <c r="W966" s="129">
        <v>0.896098912811767</v>
      </c>
      <c r="X966" s="131">
        <v>0.92</v>
      </c>
      <c r="Y966" s="131">
        <v>0.934294871794872</v>
      </c>
      <c r="Z966" s="131">
        <v>0.908745247148289</v>
      </c>
      <c r="AA966" s="131">
        <v>0.897590361445783</v>
      </c>
      <c r="AB966" s="131">
        <v>0.892224658458425</v>
      </c>
      <c r="AC966" s="131">
        <v>0.92</v>
      </c>
      <c r="AD966" s="129">
        <v>0.987879868104447</v>
      </c>
      <c r="AE966" s="129">
        <v>0.998808199586843</v>
      </c>
      <c r="AF966" s="129">
        <v>0.956116163097683</v>
      </c>
      <c r="AG966" s="129">
        <v>0.980328010251861</v>
      </c>
      <c r="AH966" s="131">
        <v>0.92</v>
      </c>
      <c r="AI966" s="129">
        <v>0.969365426695842</v>
      </c>
      <c r="AJ966" s="129">
        <v>0.948901837740923</v>
      </c>
      <c r="AK966" s="129">
        <v>0.96607294317218</v>
      </c>
      <c r="AL966" s="129">
        <v>0.951769144488631</v>
      </c>
      <c r="AM966" s="128">
        <v>0.99</v>
      </c>
      <c r="AN966" s="133">
        <v>1</v>
      </c>
      <c r="AO966" s="133">
        <v>1</v>
      </c>
      <c r="AP966" s="133">
        <v>1</v>
      </c>
      <c r="AQ966" s="133">
        <v>1</v>
      </c>
      <c r="AR966" s="153">
        <v>0.0656418488929858</v>
      </c>
      <c r="AS966" s="137">
        <v>0</v>
      </c>
      <c r="AT966" s="137">
        <v>0</v>
      </c>
      <c r="AU966" s="137">
        <v>0.1</v>
      </c>
      <c r="AV966" s="137">
        <v>0.032967032967033</v>
      </c>
      <c r="AW966" s="93"/>
      <c r="AX966" s="91"/>
    </row>
    <row r="967" ht="14.5" spans="1:50">
      <c r="A967" s="89"/>
      <c r="B967" s="93"/>
      <c r="C967" s="172" t="s">
        <v>922</v>
      </c>
      <c r="D967" s="126" t="s">
        <v>923</v>
      </c>
      <c r="E967" s="175" t="s">
        <v>991</v>
      </c>
      <c r="F967" s="176" t="s">
        <v>991</v>
      </c>
      <c r="G967" s="176" t="s">
        <v>991</v>
      </c>
      <c r="H967" s="176" t="s">
        <v>991</v>
      </c>
      <c r="I967" s="128">
        <v>0.9</v>
      </c>
      <c r="J967" s="129">
        <v>0.8</v>
      </c>
      <c r="K967" s="129">
        <v>0.823529411764706</v>
      </c>
      <c r="L967" s="130">
        <v>0.911764705882353</v>
      </c>
      <c r="M967" s="129">
        <v>0.85</v>
      </c>
      <c r="N967" s="131">
        <v>0.9</v>
      </c>
      <c r="O967" s="129">
        <v>0.899679566181908</v>
      </c>
      <c r="P967" s="129">
        <v>0.801312089971884</v>
      </c>
      <c r="Q967" s="129">
        <v>0.927603203943315</v>
      </c>
      <c r="R967" s="129">
        <v>0.891699183112034</v>
      </c>
      <c r="S967" s="131">
        <v>0.9</v>
      </c>
      <c r="T967" s="129">
        <v>0.809958097116096</v>
      </c>
      <c r="U967" s="129">
        <v>0.885192127460169</v>
      </c>
      <c r="V967" s="129">
        <v>0.883240911891559</v>
      </c>
      <c r="W967" s="129">
        <v>0.871571737360694</v>
      </c>
      <c r="X967" s="131">
        <v>0.92</v>
      </c>
      <c r="Y967" s="131">
        <v>0.905298759864713</v>
      </c>
      <c r="Z967" s="131">
        <v>0.906951871657754</v>
      </c>
      <c r="AA967" s="131">
        <v>0.81447963800905</v>
      </c>
      <c r="AB967" s="131">
        <v>0.889200732153752</v>
      </c>
      <c r="AC967" s="131">
        <v>0.92</v>
      </c>
      <c r="AD967" s="129">
        <v>0.993465255407271</v>
      </c>
      <c r="AE967" s="129">
        <v>0.990492760827689</v>
      </c>
      <c r="AF967" s="129">
        <v>0.991270153362171</v>
      </c>
      <c r="AG967" s="129">
        <v>0.990856031128405</v>
      </c>
      <c r="AH967" s="131">
        <v>0.92</v>
      </c>
      <c r="AI967" s="129">
        <v>0.951485748938751</v>
      </c>
      <c r="AJ967" s="129">
        <v>0.952427500814598</v>
      </c>
      <c r="AK967" s="129">
        <v>0.94632691786392</v>
      </c>
      <c r="AL967" s="129">
        <v>0.951719259817008</v>
      </c>
      <c r="AM967" s="128">
        <v>0.99</v>
      </c>
      <c r="AN967" s="133">
        <v>1</v>
      </c>
      <c r="AO967" s="133">
        <v>1</v>
      </c>
      <c r="AP967" s="133">
        <v>1</v>
      </c>
      <c r="AQ967" s="133">
        <v>1</v>
      </c>
      <c r="AR967" s="153">
        <v>0.0656418488929858</v>
      </c>
      <c r="AS967" s="137">
        <v>0.0789473684210526</v>
      </c>
      <c r="AT967" s="137">
        <v>0.0571428571428571</v>
      </c>
      <c r="AU967" s="137">
        <v>0</v>
      </c>
      <c r="AV967" s="137">
        <v>0.0631578947368421</v>
      </c>
      <c r="AW967" s="93"/>
      <c r="AX967" s="91"/>
    </row>
    <row r="968" ht="14.5" spans="1:50">
      <c r="A968" s="89"/>
      <c r="B968" s="93"/>
      <c r="C968" s="172" t="s">
        <v>922</v>
      </c>
      <c r="D968" s="126" t="s">
        <v>923</v>
      </c>
      <c r="E968" s="175" t="s">
        <v>992</v>
      </c>
      <c r="F968" s="176" t="s">
        <v>992</v>
      </c>
      <c r="G968" s="176" t="s">
        <v>992</v>
      </c>
      <c r="H968" s="176" t="s">
        <v>992</v>
      </c>
      <c r="I968" s="128">
        <v>0.9</v>
      </c>
      <c r="J968" s="129">
        <v>0.954545454545455</v>
      </c>
      <c r="K968" s="129">
        <v>0.95</v>
      </c>
      <c r="L968" s="130">
        <v>0.857142857142857</v>
      </c>
      <c r="M968" s="129">
        <v>0.913793103448276</v>
      </c>
      <c r="N968" s="131">
        <v>0.9</v>
      </c>
      <c r="O968" s="129">
        <v>0.976525821596244</v>
      </c>
      <c r="P968" s="129">
        <v>0.978430197723188</v>
      </c>
      <c r="Q968" s="129">
        <v>0.962845849802372</v>
      </c>
      <c r="R968" s="129">
        <v>0.975342465753425</v>
      </c>
      <c r="S968" s="131">
        <v>0.9</v>
      </c>
      <c r="T968" s="129">
        <v>0.904426559356137</v>
      </c>
      <c r="U968" s="129">
        <v>0.919712402636309</v>
      </c>
      <c r="V968" s="129">
        <v>0.906719367588933</v>
      </c>
      <c r="W968" s="129">
        <v>0.900324441240086</v>
      </c>
      <c r="X968" s="131">
        <v>0.92</v>
      </c>
      <c r="Y968" s="131">
        <v>0.961988304093567</v>
      </c>
      <c r="Z968" s="131">
        <v>0.95729537366548</v>
      </c>
      <c r="AA968" s="131">
        <v>0.966101694915254</v>
      </c>
      <c r="AB968" s="131">
        <v>0.950337937114311</v>
      </c>
      <c r="AC968" s="131">
        <v>0.92</v>
      </c>
      <c r="AD968" s="129">
        <v>0.992626522176293</v>
      </c>
      <c r="AE968" s="129">
        <v>0.96950870595929</v>
      </c>
      <c r="AF968" s="129">
        <v>0.903533987149138</v>
      </c>
      <c r="AG968" s="129">
        <v>0.967990555822907</v>
      </c>
      <c r="AH968" s="131">
        <v>0.92</v>
      </c>
      <c r="AI968" s="129">
        <v>0.973267866884888</v>
      </c>
      <c r="AJ968" s="129">
        <v>0.970553123756466</v>
      </c>
      <c r="AK968" s="129">
        <v>0.980978260869565</v>
      </c>
      <c r="AL968" s="129">
        <v>0.973833507004747</v>
      </c>
      <c r="AM968" s="128">
        <v>0.99</v>
      </c>
      <c r="AN968" s="133">
        <v>1</v>
      </c>
      <c r="AO968" s="133">
        <v>1</v>
      </c>
      <c r="AP968" s="133">
        <v>1</v>
      </c>
      <c r="AQ968" s="133">
        <v>1</v>
      </c>
      <c r="AR968" s="153">
        <v>0.0656418488929858</v>
      </c>
      <c r="AS968" s="137">
        <v>0</v>
      </c>
      <c r="AT968" s="137">
        <v>0</v>
      </c>
      <c r="AU968" s="137">
        <v>0</v>
      </c>
      <c r="AV968" s="137">
        <v>0.0185185185185185</v>
      </c>
      <c r="AW968" s="93"/>
      <c r="AX968" s="91"/>
    </row>
    <row r="969" ht="14.5" spans="1:50">
      <c r="A969" s="89"/>
      <c r="B969" s="93"/>
      <c r="C969" s="172" t="s">
        <v>922</v>
      </c>
      <c r="D969" s="126" t="s">
        <v>923</v>
      </c>
      <c r="E969" s="175" t="s">
        <v>993</v>
      </c>
      <c r="F969" s="176" t="s">
        <v>993</v>
      </c>
      <c r="G969" s="176" t="s">
        <v>993</v>
      </c>
      <c r="H969" s="176" t="s">
        <v>993</v>
      </c>
      <c r="I969" s="128">
        <v>0.9</v>
      </c>
      <c r="J969" s="129" t="s">
        <v>33</v>
      </c>
      <c r="K969" s="129" t="s">
        <v>33</v>
      </c>
      <c r="L969" s="130" t="s">
        <v>33</v>
      </c>
      <c r="M969" s="129" t="s">
        <v>33</v>
      </c>
      <c r="N969" s="131">
        <v>0.9</v>
      </c>
      <c r="O969" s="129" t="s">
        <v>33</v>
      </c>
      <c r="P969" s="129" t="s">
        <v>33</v>
      </c>
      <c r="Q969" s="129" t="s">
        <v>33</v>
      </c>
      <c r="R969" s="129" t="s">
        <v>33</v>
      </c>
      <c r="S969" s="131">
        <v>0.9</v>
      </c>
      <c r="T969" s="129" t="s">
        <v>33</v>
      </c>
      <c r="U969" s="129" t="s">
        <v>33</v>
      </c>
      <c r="V969" s="129" t="s">
        <v>33</v>
      </c>
      <c r="W969" s="129" t="s">
        <v>33</v>
      </c>
      <c r="X969" s="131">
        <v>0.92</v>
      </c>
      <c r="Y969" s="131" t="s">
        <v>33</v>
      </c>
      <c r="Z969" s="131" t="s">
        <v>33</v>
      </c>
      <c r="AA969" s="131" t="s">
        <v>33</v>
      </c>
      <c r="AB969" s="131" t="s">
        <v>33</v>
      </c>
      <c r="AC969" s="131">
        <v>0.92</v>
      </c>
      <c r="AD969" s="129" t="s">
        <v>33</v>
      </c>
      <c r="AE969" s="129" t="s">
        <v>33</v>
      </c>
      <c r="AF969" s="129" t="s">
        <v>33</v>
      </c>
      <c r="AG969" s="129" t="s">
        <v>33</v>
      </c>
      <c r="AH969" s="131">
        <v>0.92</v>
      </c>
      <c r="AI969" s="129" t="s">
        <v>33</v>
      </c>
      <c r="AJ969" s="129" t="s">
        <v>33</v>
      </c>
      <c r="AK969" s="129" t="s">
        <v>33</v>
      </c>
      <c r="AL969" s="129" t="s">
        <v>33</v>
      </c>
      <c r="AM969" s="128">
        <v>0.99</v>
      </c>
      <c r="AN969" s="133" t="s">
        <v>33</v>
      </c>
      <c r="AO969" s="133" t="s">
        <v>33</v>
      </c>
      <c r="AP969" s="133" t="s">
        <v>33</v>
      </c>
      <c r="AQ969" s="133" t="s">
        <v>33</v>
      </c>
      <c r="AR969" s="153">
        <v>0.0656418488929858</v>
      </c>
      <c r="AS969" s="137" t="s">
        <v>33</v>
      </c>
      <c r="AT969" s="137" t="s">
        <v>33</v>
      </c>
      <c r="AU969" s="137" t="s">
        <v>33</v>
      </c>
      <c r="AV969" s="137" t="s">
        <v>33</v>
      </c>
      <c r="AW969" s="93"/>
      <c r="AX969" s="91"/>
    </row>
    <row r="970" ht="14.5" spans="1:50">
      <c r="A970" s="89"/>
      <c r="B970" s="93"/>
      <c r="C970" s="172" t="s">
        <v>922</v>
      </c>
      <c r="D970" s="126" t="s">
        <v>923</v>
      </c>
      <c r="E970" s="175" t="s">
        <v>994</v>
      </c>
      <c r="F970" s="176" t="s">
        <v>994</v>
      </c>
      <c r="G970" s="176" t="s">
        <v>994</v>
      </c>
      <c r="H970" s="176" t="s">
        <v>994</v>
      </c>
      <c r="I970" s="128">
        <v>0.9</v>
      </c>
      <c r="J970" s="129">
        <v>0.933333333333333</v>
      </c>
      <c r="K970" s="129">
        <v>0.846153846153846</v>
      </c>
      <c r="L970" s="130">
        <v>0.807692307692308</v>
      </c>
      <c r="M970" s="129">
        <v>0.873417721518987</v>
      </c>
      <c r="N970" s="131">
        <v>0.9</v>
      </c>
      <c r="O970" s="129">
        <v>0.842835130970724</v>
      </c>
      <c r="P970" s="129">
        <v>0.846385542168675</v>
      </c>
      <c r="Q970" s="129">
        <v>0.813874788494078</v>
      </c>
      <c r="R970" s="129">
        <v>0.849421344532427</v>
      </c>
      <c r="S970" s="131">
        <v>0.9</v>
      </c>
      <c r="T970" s="129">
        <v>0.868721109399076</v>
      </c>
      <c r="U970" s="129">
        <v>0.903112449799197</v>
      </c>
      <c r="V970" s="129">
        <v>0.886294416243655</v>
      </c>
      <c r="W970" s="129">
        <v>0.88526271919982</v>
      </c>
      <c r="X970" s="131">
        <v>0.92</v>
      </c>
      <c r="Y970" s="131">
        <v>0.975826972010178</v>
      </c>
      <c r="Z970" s="131">
        <v>0.906588003933137</v>
      </c>
      <c r="AA970" s="131">
        <v>0.960869565217391</v>
      </c>
      <c r="AB970" s="131">
        <v>0.938117524700988</v>
      </c>
      <c r="AC970" s="131">
        <v>0.92</v>
      </c>
      <c r="AD970" s="129">
        <v>0.996523466600447</v>
      </c>
      <c r="AE970" s="129">
        <v>0.994991834512793</v>
      </c>
      <c r="AF970" s="129">
        <v>0.905031701065695</v>
      </c>
      <c r="AG970" s="129">
        <v>0.693322424234295</v>
      </c>
      <c r="AH970" s="131">
        <v>0.92</v>
      </c>
      <c r="AI970" s="129">
        <v>0.983626891590176</v>
      </c>
      <c r="AJ970" s="129">
        <v>0.956796277833167</v>
      </c>
      <c r="AK970" s="129">
        <v>0.970140515222482</v>
      </c>
      <c r="AL970" s="129">
        <v>0.97429107643263</v>
      </c>
      <c r="AM970" s="128">
        <v>0.99</v>
      </c>
      <c r="AN970" s="133">
        <v>1</v>
      </c>
      <c r="AO970" s="133">
        <v>1</v>
      </c>
      <c r="AP970" s="133">
        <v>1</v>
      </c>
      <c r="AQ970" s="133">
        <v>1</v>
      </c>
      <c r="AR970" s="153">
        <v>0.0656418488929858</v>
      </c>
      <c r="AS970" s="137">
        <v>0</v>
      </c>
      <c r="AT970" s="137">
        <v>0</v>
      </c>
      <c r="AU970" s="137">
        <v>0</v>
      </c>
      <c r="AV970" s="137">
        <v>0.013953488372093</v>
      </c>
      <c r="AW970" s="93"/>
      <c r="AX970" s="91"/>
    </row>
    <row r="971" ht="14.5" spans="1:50">
      <c r="A971" s="89"/>
      <c r="B971" s="93"/>
      <c r="C971" s="172" t="s">
        <v>922</v>
      </c>
      <c r="D971" s="126" t="s">
        <v>923</v>
      </c>
      <c r="E971" s="175" t="s">
        <v>995</v>
      </c>
      <c r="F971" s="176" t="s">
        <v>995</v>
      </c>
      <c r="G971" s="176" t="s">
        <v>995</v>
      </c>
      <c r="H971" s="176" t="s">
        <v>995</v>
      </c>
      <c r="I971" s="128">
        <v>0.9</v>
      </c>
      <c r="J971" s="129" t="s">
        <v>33</v>
      </c>
      <c r="K971" s="129" t="s">
        <v>33</v>
      </c>
      <c r="L971" s="130" t="s">
        <v>33</v>
      </c>
      <c r="M971" s="129" t="s">
        <v>33</v>
      </c>
      <c r="N971" s="131">
        <v>0.9</v>
      </c>
      <c r="O971" s="129" t="s">
        <v>33</v>
      </c>
      <c r="P971" s="129" t="s">
        <v>33</v>
      </c>
      <c r="Q971" s="129" t="s">
        <v>33</v>
      </c>
      <c r="R971" s="129" t="s">
        <v>33</v>
      </c>
      <c r="S971" s="131">
        <v>0.9</v>
      </c>
      <c r="T971" s="129" t="s">
        <v>33</v>
      </c>
      <c r="U971" s="129" t="s">
        <v>33</v>
      </c>
      <c r="V971" s="129" t="s">
        <v>33</v>
      </c>
      <c r="W971" s="129" t="s">
        <v>33</v>
      </c>
      <c r="X971" s="131">
        <v>0.92</v>
      </c>
      <c r="Y971" s="131" t="s">
        <v>33</v>
      </c>
      <c r="Z971" s="131" t="s">
        <v>33</v>
      </c>
      <c r="AA971" s="131" t="s">
        <v>33</v>
      </c>
      <c r="AB971" s="131" t="s">
        <v>33</v>
      </c>
      <c r="AC971" s="131">
        <v>0.92</v>
      </c>
      <c r="AD971" s="129" t="s">
        <v>33</v>
      </c>
      <c r="AE971" s="129" t="s">
        <v>33</v>
      </c>
      <c r="AF971" s="129" t="s">
        <v>33</v>
      </c>
      <c r="AG971" s="129" t="s">
        <v>33</v>
      </c>
      <c r="AH971" s="131">
        <v>0.92</v>
      </c>
      <c r="AI971" s="129" t="s">
        <v>33</v>
      </c>
      <c r="AJ971" s="129" t="s">
        <v>33</v>
      </c>
      <c r="AK971" s="129" t="s">
        <v>33</v>
      </c>
      <c r="AL971" s="129" t="s">
        <v>33</v>
      </c>
      <c r="AM971" s="128">
        <v>0.99</v>
      </c>
      <c r="AN971" s="133" t="s">
        <v>33</v>
      </c>
      <c r="AO971" s="133" t="s">
        <v>33</v>
      </c>
      <c r="AP971" s="133" t="s">
        <v>33</v>
      </c>
      <c r="AQ971" s="133" t="s">
        <v>33</v>
      </c>
      <c r="AR971" s="153">
        <v>0.0656418488929858</v>
      </c>
      <c r="AS971" s="137" t="s">
        <v>33</v>
      </c>
      <c r="AT971" s="137" t="s">
        <v>33</v>
      </c>
      <c r="AU971" s="137" t="s">
        <v>33</v>
      </c>
      <c r="AV971" s="137" t="s">
        <v>33</v>
      </c>
      <c r="AW971" s="93"/>
      <c r="AX971" s="91"/>
    </row>
    <row r="972" ht="14.5" spans="1:50">
      <c r="A972" s="89"/>
      <c r="B972" s="93"/>
      <c r="C972" s="172" t="s">
        <v>922</v>
      </c>
      <c r="D972" s="126" t="s">
        <v>923</v>
      </c>
      <c r="E972" s="175" t="s">
        <v>996</v>
      </c>
      <c r="F972" s="176" t="s">
        <v>996</v>
      </c>
      <c r="G972" s="176" t="s">
        <v>996</v>
      </c>
      <c r="H972" s="176" t="s">
        <v>996</v>
      </c>
      <c r="I972" s="128">
        <v>0.9</v>
      </c>
      <c r="J972" s="129">
        <v>1</v>
      </c>
      <c r="K972" s="129">
        <v>0.857142857142857</v>
      </c>
      <c r="L972" s="130">
        <v>0.857142857142857</v>
      </c>
      <c r="M972" s="129">
        <v>0.870722433460076</v>
      </c>
      <c r="N972" s="131">
        <v>0.9</v>
      </c>
      <c r="O972" s="129">
        <v>0.797497530457689</v>
      </c>
      <c r="P972" s="129">
        <v>0.970535177390259</v>
      </c>
      <c r="Q972" s="129">
        <v>0.737824675324675</v>
      </c>
      <c r="R972" s="129">
        <v>0.87112997574547</v>
      </c>
      <c r="S972" s="131">
        <v>0.9</v>
      </c>
      <c r="T972" s="129">
        <v>0.702337833388212</v>
      </c>
      <c r="U972" s="129">
        <v>0.886951292844257</v>
      </c>
      <c r="V972" s="129">
        <v>0.822646103896104</v>
      </c>
      <c r="W972" s="129">
        <v>0.834284491368241</v>
      </c>
      <c r="X972" s="131">
        <v>0.92</v>
      </c>
      <c r="Y972" s="131">
        <v>0.871584699453552</v>
      </c>
      <c r="Z972" s="131">
        <v>0.903924221921516</v>
      </c>
      <c r="AA972" s="131">
        <v>0.892307692307692</v>
      </c>
      <c r="AB972" s="131">
        <v>0.883160981632968</v>
      </c>
      <c r="AC972" s="131">
        <v>0.92</v>
      </c>
      <c r="AD972" s="129">
        <v>0.999387817569636</v>
      </c>
      <c r="AE972" s="129">
        <v>0.97611978830515</v>
      </c>
      <c r="AF972" s="129">
        <v>0.980916822236051</v>
      </c>
      <c r="AG972" s="129">
        <v>0.988411299691157</v>
      </c>
      <c r="AH972" s="131">
        <v>0.92</v>
      </c>
      <c r="AI972" s="129">
        <v>0.938445210931282</v>
      </c>
      <c r="AJ972" s="129">
        <v>0.954640033291719</v>
      </c>
      <c r="AK972" s="129">
        <v>0.954822517031194</v>
      </c>
      <c r="AL972" s="129">
        <v>0.948241904651567</v>
      </c>
      <c r="AM972" s="128">
        <v>0.99</v>
      </c>
      <c r="AN972" s="133">
        <v>1</v>
      </c>
      <c r="AO972" s="133">
        <v>1</v>
      </c>
      <c r="AP972" s="133">
        <v>1</v>
      </c>
      <c r="AQ972" s="133">
        <v>1</v>
      </c>
      <c r="AR972" s="153">
        <v>0.0656418488929858</v>
      </c>
      <c r="AS972" s="137">
        <v>0</v>
      </c>
      <c r="AT972" s="137">
        <v>0</v>
      </c>
      <c r="AU972" s="137">
        <v>0</v>
      </c>
      <c r="AV972" s="137">
        <v>0.0303030303030303</v>
      </c>
      <c r="AW972" s="93"/>
      <c r="AX972" s="91"/>
    </row>
    <row r="973" ht="14.5" spans="1:50">
      <c r="A973" s="89"/>
      <c r="B973" s="93"/>
      <c r="C973" s="172" t="s">
        <v>922</v>
      </c>
      <c r="D973" s="126" t="s">
        <v>923</v>
      </c>
      <c r="E973" s="175" t="s">
        <v>997</v>
      </c>
      <c r="F973" s="176" t="s">
        <v>997</v>
      </c>
      <c r="G973" s="176" t="s">
        <v>997</v>
      </c>
      <c r="H973" s="176" t="s">
        <v>997</v>
      </c>
      <c r="I973" s="128">
        <v>0.9</v>
      </c>
      <c r="J973" s="129">
        <v>0.894736842105263</v>
      </c>
      <c r="K973" s="129">
        <v>0.95</v>
      </c>
      <c r="L973" s="130">
        <v>0.95</v>
      </c>
      <c r="M973" s="129">
        <v>0.885245901639344</v>
      </c>
      <c r="N973" s="131">
        <v>0.9</v>
      </c>
      <c r="O973" s="129">
        <v>0.905957446808511</v>
      </c>
      <c r="P973" s="129">
        <v>0.890168290522586</v>
      </c>
      <c r="Q973" s="129">
        <v>0.89187609585038</v>
      </c>
      <c r="R973" s="129">
        <v>0.921557264777157</v>
      </c>
      <c r="S973" s="131">
        <v>0.9</v>
      </c>
      <c r="T973" s="129">
        <v>0.827659574468085</v>
      </c>
      <c r="U973" s="129">
        <v>0.902568644818423</v>
      </c>
      <c r="V973" s="129">
        <v>0.868497954412624</v>
      </c>
      <c r="W973" s="129">
        <v>0.86661047307976</v>
      </c>
      <c r="X973" s="131">
        <v>0.92</v>
      </c>
      <c r="Y973" s="131">
        <v>0.926294820717131</v>
      </c>
      <c r="Z973" s="131">
        <v>0.937022900763359</v>
      </c>
      <c r="AA973" s="131">
        <v>0.893939393939394</v>
      </c>
      <c r="AB973" s="131">
        <v>0.91550204257149</v>
      </c>
      <c r="AC973" s="131">
        <v>0.92</v>
      </c>
      <c r="AD973" s="129">
        <v>0.998376184032476</v>
      </c>
      <c r="AE973" s="129">
        <v>0.999703029103148</v>
      </c>
      <c r="AF973" s="129">
        <v>0.999277587141051</v>
      </c>
      <c r="AG973" s="129">
        <v>0.99874654949017</v>
      </c>
      <c r="AH973" s="131">
        <v>0.92</v>
      </c>
      <c r="AI973" s="129">
        <v>0.961781206171108</v>
      </c>
      <c r="AJ973" s="129">
        <v>0.96372430471584</v>
      </c>
      <c r="AK973" s="129">
        <v>0.957974683544304</v>
      </c>
      <c r="AL973" s="129">
        <v>0.962514807920122</v>
      </c>
      <c r="AM973" s="128">
        <v>0.99</v>
      </c>
      <c r="AN973" s="133">
        <v>1</v>
      </c>
      <c r="AO973" s="133">
        <v>1</v>
      </c>
      <c r="AP973" s="133">
        <v>1</v>
      </c>
      <c r="AQ973" s="133">
        <v>1</v>
      </c>
      <c r="AR973" s="153">
        <v>0.0656418488929858</v>
      </c>
      <c r="AS973" s="137">
        <v>0.0909090909090909</v>
      </c>
      <c r="AT973" s="137">
        <v>0.05</v>
      </c>
      <c r="AU973" s="137">
        <v>0</v>
      </c>
      <c r="AV973" s="137">
        <v>0.063953488372093</v>
      </c>
      <c r="AW973" s="93"/>
      <c r="AX973" s="91"/>
    </row>
    <row r="974" ht="14.5" spans="1:50">
      <c r="A974" s="89"/>
      <c r="B974" s="93"/>
      <c r="C974" s="172" t="s">
        <v>922</v>
      </c>
      <c r="D974" s="126" t="s">
        <v>923</v>
      </c>
      <c r="E974" s="177" t="s">
        <v>998</v>
      </c>
      <c r="F974" s="178" t="s">
        <v>998</v>
      </c>
      <c r="G974" s="178" t="s">
        <v>998</v>
      </c>
      <c r="H974" s="178" t="s">
        <v>998</v>
      </c>
      <c r="I974" s="128">
        <v>0.9</v>
      </c>
      <c r="J974" s="129">
        <v>0.933333333333333</v>
      </c>
      <c r="K974" s="129">
        <v>0.857142857142857</v>
      </c>
      <c r="L974" s="130">
        <v>1</v>
      </c>
      <c r="M974" s="129">
        <v>0.864406779661017</v>
      </c>
      <c r="N974" s="131">
        <v>0.9</v>
      </c>
      <c r="O974" s="129">
        <v>0.906659388646288</v>
      </c>
      <c r="P974" s="129">
        <v>0.913085004775549</v>
      </c>
      <c r="Q974" s="129">
        <v>0.927592954990215</v>
      </c>
      <c r="R974" s="129">
        <v>0.91050511310815</v>
      </c>
      <c r="S974" s="131">
        <v>0.9</v>
      </c>
      <c r="T974" s="129">
        <v>0.903930131004367</v>
      </c>
      <c r="U974" s="129">
        <v>0.913085004775549</v>
      </c>
      <c r="V974" s="129">
        <v>0.929549902152642</v>
      </c>
      <c r="W974" s="129">
        <v>0.924511930585683</v>
      </c>
      <c r="X974" s="131">
        <v>0.92</v>
      </c>
      <c r="Y974" s="131">
        <v>0.959401709401709</v>
      </c>
      <c r="Z974" s="131">
        <v>0.936363636363636</v>
      </c>
      <c r="AA974" s="131">
        <v>0.978142076502732</v>
      </c>
      <c r="AB974" s="131">
        <v>0.935329642677403</v>
      </c>
      <c r="AC974" s="131">
        <v>0.92</v>
      </c>
      <c r="AD974" s="129">
        <v>0.998885793871866</v>
      </c>
      <c r="AE974" s="129">
        <v>1</v>
      </c>
      <c r="AF974" s="129">
        <v>0.999416569428238</v>
      </c>
      <c r="AG974" s="129">
        <v>0.999750239353952</v>
      </c>
      <c r="AH974" s="131">
        <v>0.92</v>
      </c>
      <c r="AI974" s="129">
        <v>0.970434782608696</v>
      </c>
      <c r="AJ974" s="129">
        <v>0.967047747141896</v>
      </c>
      <c r="AK974" s="129">
        <v>0.983692486895748</v>
      </c>
      <c r="AL974" s="129">
        <v>0.972408650260999</v>
      </c>
      <c r="AM974" s="128">
        <v>0.99</v>
      </c>
      <c r="AN974" s="133">
        <v>1</v>
      </c>
      <c r="AO974" s="133">
        <v>1</v>
      </c>
      <c r="AP974" s="133">
        <v>1</v>
      </c>
      <c r="AQ974" s="133">
        <v>1</v>
      </c>
      <c r="AR974" s="153">
        <v>0.0656418488929858</v>
      </c>
      <c r="AS974" s="137">
        <v>0</v>
      </c>
      <c r="AT974" s="137">
        <v>0.0555555555555556</v>
      </c>
      <c r="AU974" s="137">
        <v>0</v>
      </c>
      <c r="AV974" s="137">
        <v>0.0378787878787879</v>
      </c>
      <c r="AW974" s="93"/>
      <c r="AX974" s="91"/>
    </row>
    <row r="975" ht="14.5" spans="1:50">
      <c r="A975" s="89"/>
      <c r="B975" s="93"/>
      <c r="C975" s="172" t="s">
        <v>922</v>
      </c>
      <c r="D975" s="126" t="s">
        <v>923</v>
      </c>
      <c r="E975" s="183" t="s">
        <v>999</v>
      </c>
      <c r="F975" s="184" t="s">
        <v>999</v>
      </c>
      <c r="G975" s="184" t="s">
        <v>999</v>
      </c>
      <c r="H975" s="184" t="s">
        <v>999</v>
      </c>
      <c r="I975" s="128">
        <v>0.9</v>
      </c>
      <c r="J975" s="129">
        <v>0.769230769230769</v>
      </c>
      <c r="K975" s="129">
        <v>1</v>
      </c>
      <c r="L975" s="130">
        <v>1</v>
      </c>
      <c r="M975" s="129">
        <v>0.896103896103896</v>
      </c>
      <c r="N975" s="131">
        <v>0.9</v>
      </c>
      <c r="O975" s="129">
        <v>0.973139339675434</v>
      </c>
      <c r="P975" s="129">
        <v>0.994246260069045</v>
      </c>
      <c r="Q975" s="129">
        <v>0.975753122703894</v>
      </c>
      <c r="R975" s="129">
        <v>0.970979522629451</v>
      </c>
      <c r="S975" s="131">
        <v>0.9</v>
      </c>
      <c r="T975" s="129">
        <v>0.844432008953553</v>
      </c>
      <c r="U975" s="129">
        <v>0.944764096662831</v>
      </c>
      <c r="V975" s="129">
        <v>0.864070536370316</v>
      </c>
      <c r="W975" s="129">
        <v>0.842767705751924</v>
      </c>
      <c r="X975" s="131">
        <v>0.92</v>
      </c>
      <c r="Y975" s="131">
        <v>0.816326530612245</v>
      </c>
      <c r="Z975" s="131">
        <v>0.940568475452196</v>
      </c>
      <c r="AA975" s="131">
        <v>0.914572864321608</v>
      </c>
      <c r="AB975" s="131">
        <v>0.861691288843607</v>
      </c>
      <c r="AC975" s="131">
        <v>0.92</v>
      </c>
      <c r="AD975" s="129">
        <v>1</v>
      </c>
      <c r="AE975" s="129">
        <v>0.996842437638143</v>
      </c>
      <c r="AF975" s="129">
        <v>0.999254843517139</v>
      </c>
      <c r="AG975" s="129">
        <v>0.999070044265893</v>
      </c>
      <c r="AH975" s="131">
        <v>0.92</v>
      </c>
      <c r="AI975" s="129">
        <v>0.931328545780969</v>
      </c>
      <c r="AJ975" s="129">
        <v>0.972929936305732</v>
      </c>
      <c r="AK975" s="129">
        <v>0.959615384615385</v>
      </c>
      <c r="AL975" s="129">
        <v>0.949748221979962</v>
      </c>
      <c r="AM975" s="128">
        <v>0.99</v>
      </c>
      <c r="AN975" s="133">
        <v>1</v>
      </c>
      <c r="AO975" s="133">
        <v>1</v>
      </c>
      <c r="AP975" s="133">
        <v>1</v>
      </c>
      <c r="AQ975" s="133">
        <v>1</v>
      </c>
      <c r="AR975" s="153">
        <v>0.0656418488929858</v>
      </c>
      <c r="AS975" s="137">
        <v>0</v>
      </c>
      <c r="AT975" s="137">
        <v>0.111111111111111</v>
      </c>
      <c r="AU975" s="137">
        <v>0.0909090909090909</v>
      </c>
      <c r="AV975" s="137">
        <v>0.0442477876106195</v>
      </c>
      <c r="AW975" s="93"/>
      <c r="AX975" s="91"/>
    </row>
    <row r="976" ht="14.5" spans="1:50">
      <c r="A976" s="89"/>
      <c r="B976" s="93"/>
      <c r="C976" s="172" t="s">
        <v>922</v>
      </c>
      <c r="D976" s="126" t="s">
        <v>923</v>
      </c>
      <c r="E976" s="173" t="s">
        <v>1000</v>
      </c>
      <c r="F976" s="174" t="s">
        <v>1000</v>
      </c>
      <c r="G976" s="174" t="s">
        <v>1000</v>
      </c>
      <c r="H976" s="174" t="s">
        <v>1000</v>
      </c>
      <c r="I976" s="128">
        <v>0.9</v>
      </c>
      <c r="J976" s="129">
        <v>0.897435897435897</v>
      </c>
      <c r="K976" s="129">
        <v>0.888888888888889</v>
      </c>
      <c r="L976" s="130">
        <v>0.947368421052632</v>
      </c>
      <c r="M976" s="129">
        <v>0.915717539863326</v>
      </c>
      <c r="N976" s="131">
        <v>0.9</v>
      </c>
      <c r="O976" s="129">
        <v>0.909274193548387</v>
      </c>
      <c r="P976" s="129">
        <v>0.936729663105998</v>
      </c>
      <c r="Q976" s="129">
        <v>0.931584470094439</v>
      </c>
      <c r="R976" s="129">
        <v>0.91630173317708</v>
      </c>
      <c r="S976" s="131">
        <v>0.9</v>
      </c>
      <c r="T976" s="129">
        <v>0.887544802867383</v>
      </c>
      <c r="U976" s="129">
        <v>0.905094494658997</v>
      </c>
      <c r="V976" s="129">
        <v>0.86694648478489</v>
      </c>
      <c r="W976" s="129">
        <v>0.871173338267645</v>
      </c>
      <c r="X976" s="131">
        <v>0.92</v>
      </c>
      <c r="Y976" s="131" t="s">
        <v>33</v>
      </c>
      <c r="Z976" s="131" t="s">
        <v>33</v>
      </c>
      <c r="AA976" s="131" t="s">
        <v>33</v>
      </c>
      <c r="AB976" s="131" t="s">
        <v>33</v>
      </c>
      <c r="AC976" s="131">
        <v>0.92</v>
      </c>
      <c r="AD976" s="129">
        <v>0.996039603960396</v>
      </c>
      <c r="AE976" s="129">
        <v>0.97582304526749</v>
      </c>
      <c r="AF976" s="129">
        <v>0.959761549925484</v>
      </c>
      <c r="AG976" s="129">
        <v>0.979815310087299</v>
      </c>
      <c r="AH976" s="131">
        <v>0.92</v>
      </c>
      <c r="AI976" s="129">
        <v>0.934154535274356</v>
      </c>
      <c r="AJ976" s="129">
        <v>0.93138866064092</v>
      </c>
      <c r="AK976" s="129">
        <v>0.939349422875131</v>
      </c>
      <c r="AL976" s="129">
        <v>0.924734277666989</v>
      </c>
      <c r="AM976" s="128">
        <v>0.99</v>
      </c>
      <c r="AN976" s="133">
        <v>1</v>
      </c>
      <c r="AO976" s="133">
        <v>1</v>
      </c>
      <c r="AP976" s="133">
        <v>1</v>
      </c>
      <c r="AQ976" s="133">
        <v>1</v>
      </c>
      <c r="AR976" s="153">
        <v>0.0656418488929858</v>
      </c>
      <c r="AS976" s="137">
        <v>0.027027027027027</v>
      </c>
      <c r="AT976" s="137">
        <v>0.0882352941176471</v>
      </c>
      <c r="AU976" s="137">
        <v>0.0303030303030303</v>
      </c>
      <c r="AV976" s="137">
        <v>0.0337423312883436</v>
      </c>
      <c r="AW976" s="93"/>
      <c r="AX976" s="91"/>
    </row>
    <row r="977" ht="14.5" spans="1:50">
      <c r="A977" s="89"/>
      <c r="B977" s="93"/>
      <c r="C977" s="172" t="s">
        <v>922</v>
      </c>
      <c r="D977" s="126" t="s">
        <v>923</v>
      </c>
      <c r="E977" s="173" t="s">
        <v>1001</v>
      </c>
      <c r="F977" s="174" t="s">
        <v>1001</v>
      </c>
      <c r="G977" s="174" t="s">
        <v>1001</v>
      </c>
      <c r="H977" s="174" t="s">
        <v>1001</v>
      </c>
      <c r="I977" s="128">
        <v>0.9</v>
      </c>
      <c r="J977" s="129">
        <v>0.930232558139535</v>
      </c>
      <c r="K977" s="129">
        <v>0.902439024390244</v>
      </c>
      <c r="L977" s="130">
        <v>0.976744186046512</v>
      </c>
      <c r="M977" s="129">
        <v>0.954724409448819</v>
      </c>
      <c r="N977" s="131">
        <v>0.9</v>
      </c>
      <c r="O977" s="129">
        <v>0.962774957698816</v>
      </c>
      <c r="P977" s="129">
        <v>0.9125</v>
      </c>
      <c r="Q977" s="129">
        <v>0.954152960526316</v>
      </c>
      <c r="R977" s="129">
        <v>0.948775575108661</v>
      </c>
      <c r="S977" s="131">
        <v>0.9</v>
      </c>
      <c r="T977" s="129">
        <v>0.912496978486826</v>
      </c>
      <c r="U977" s="129">
        <v>0.874537037037037</v>
      </c>
      <c r="V977" s="129">
        <v>0.902549342105263</v>
      </c>
      <c r="W977" s="129">
        <v>0.90974239372416</v>
      </c>
      <c r="X977" s="131">
        <v>0.92</v>
      </c>
      <c r="Y977" s="131" t="s">
        <v>33</v>
      </c>
      <c r="Z977" s="131" t="s">
        <v>33</v>
      </c>
      <c r="AA977" s="131" t="s">
        <v>33</v>
      </c>
      <c r="AB977" s="131" t="s">
        <v>33</v>
      </c>
      <c r="AC977" s="131">
        <v>0.92</v>
      </c>
      <c r="AD977" s="129">
        <v>0.997750281214848</v>
      </c>
      <c r="AE977" s="129">
        <v>0.989557075981275</v>
      </c>
      <c r="AF977" s="129">
        <v>0.988311688311688</v>
      </c>
      <c r="AG977" s="129">
        <v>0.990899945125297</v>
      </c>
      <c r="AH977" s="131">
        <v>0.92</v>
      </c>
      <c r="AI977" s="129">
        <v>0.948996857626299</v>
      </c>
      <c r="AJ977" s="129">
        <v>0.898148148148148</v>
      </c>
      <c r="AK977" s="129">
        <v>0.950452302631579</v>
      </c>
      <c r="AL977" s="129">
        <v>0.946634156683982</v>
      </c>
      <c r="AM977" s="128">
        <v>0.99</v>
      </c>
      <c r="AN977" s="133">
        <v>1</v>
      </c>
      <c r="AO977" s="133">
        <v>1</v>
      </c>
      <c r="AP977" s="133">
        <v>1</v>
      </c>
      <c r="AQ977" s="133">
        <v>1</v>
      </c>
      <c r="AR977" s="153">
        <v>0.0656418488929858</v>
      </c>
      <c r="AS977" s="137">
        <v>0</v>
      </c>
      <c r="AT977" s="137">
        <v>0.230769230769231</v>
      </c>
      <c r="AU977" s="137">
        <v>0.0526315789473684</v>
      </c>
      <c r="AV977" s="137">
        <v>0.0487804878048781</v>
      </c>
      <c r="AW977" s="93"/>
      <c r="AX977" s="91"/>
    </row>
    <row r="978" ht="14.5" spans="1:50">
      <c r="A978" s="89"/>
      <c r="B978" s="93"/>
      <c r="C978" s="172" t="s">
        <v>922</v>
      </c>
      <c r="D978" s="126" t="s">
        <v>923</v>
      </c>
      <c r="E978" s="175" t="s">
        <v>1002</v>
      </c>
      <c r="F978" s="176" t="s">
        <v>1002</v>
      </c>
      <c r="G978" s="176" t="s">
        <v>1002</v>
      </c>
      <c r="H978" s="176" t="s">
        <v>1002</v>
      </c>
      <c r="I978" s="128">
        <v>0.9</v>
      </c>
      <c r="J978" s="129">
        <v>0.962962962962963</v>
      </c>
      <c r="K978" s="129">
        <v>0.979591836734694</v>
      </c>
      <c r="L978" s="130">
        <v>0.964285714285714</v>
      </c>
      <c r="M978" s="129">
        <v>0.953271028037383</v>
      </c>
      <c r="N978" s="131">
        <v>0.9</v>
      </c>
      <c r="O978" s="129">
        <v>0.9392138063279</v>
      </c>
      <c r="P978" s="129">
        <v>0.949445983379501</v>
      </c>
      <c r="Q978" s="129">
        <v>0.892121212121212</v>
      </c>
      <c r="R978" s="129">
        <v>0.92184637928929</v>
      </c>
      <c r="S978" s="131">
        <v>0.9</v>
      </c>
      <c r="T978" s="129">
        <v>0.900671140939597</v>
      </c>
      <c r="U978" s="129">
        <v>0.911703601108033</v>
      </c>
      <c r="V978" s="129">
        <v>0.863722943722944</v>
      </c>
      <c r="W978" s="129">
        <v>0.895207857230082</v>
      </c>
      <c r="X978" s="131">
        <v>0.92</v>
      </c>
      <c r="Y978" s="131" t="s">
        <v>33</v>
      </c>
      <c r="Z978" s="131" t="s">
        <v>33</v>
      </c>
      <c r="AA978" s="131">
        <v>1</v>
      </c>
      <c r="AB978" s="131">
        <v>1</v>
      </c>
      <c r="AC978" s="131">
        <v>0.92</v>
      </c>
      <c r="AD978" s="129">
        <v>0.978403755868545</v>
      </c>
      <c r="AE978" s="129">
        <v>0.974740932642487</v>
      </c>
      <c r="AF978" s="129">
        <v>0.922033898305085</v>
      </c>
      <c r="AG978" s="129">
        <v>0.961259453619386</v>
      </c>
      <c r="AH978" s="131">
        <v>0.92</v>
      </c>
      <c r="AI978" s="129">
        <v>0.94209012464046</v>
      </c>
      <c r="AJ978" s="129">
        <v>0.94494459833795</v>
      </c>
      <c r="AK978" s="129">
        <v>0.936288088642659</v>
      </c>
      <c r="AL978" s="129">
        <v>0.939398168338421</v>
      </c>
      <c r="AM978" s="128">
        <v>0.99</v>
      </c>
      <c r="AN978" s="133">
        <v>1</v>
      </c>
      <c r="AO978" s="133">
        <v>1</v>
      </c>
      <c r="AP978" s="133">
        <v>1</v>
      </c>
      <c r="AQ978" s="133">
        <v>1</v>
      </c>
      <c r="AR978" s="153">
        <v>0.0656418488929858</v>
      </c>
      <c r="AS978" s="137">
        <v>0.032258064516129</v>
      </c>
      <c r="AT978" s="137">
        <v>0</v>
      </c>
      <c r="AU978" s="137">
        <v>0</v>
      </c>
      <c r="AV978" s="137">
        <v>0.0445205479452055</v>
      </c>
      <c r="AW978" s="93"/>
      <c r="AX978" s="91"/>
    </row>
    <row r="979" ht="14.5" spans="1:50">
      <c r="A979" s="89"/>
      <c r="B979" s="93"/>
      <c r="C979" s="172" t="s">
        <v>922</v>
      </c>
      <c r="D979" s="126" t="s">
        <v>923</v>
      </c>
      <c r="E979" s="175" t="s">
        <v>1003</v>
      </c>
      <c r="F979" s="176" t="s">
        <v>1003</v>
      </c>
      <c r="G979" s="176" t="s">
        <v>1003</v>
      </c>
      <c r="H979" s="176" t="s">
        <v>1003</v>
      </c>
      <c r="I979" s="128">
        <v>0.9</v>
      </c>
      <c r="J979" s="129">
        <v>0.96875</v>
      </c>
      <c r="K979" s="129">
        <v>0.961538461538462</v>
      </c>
      <c r="L979" s="130">
        <v>0.96551724137931</v>
      </c>
      <c r="M979" s="129">
        <v>0.923497267759563</v>
      </c>
      <c r="N979" s="131">
        <v>0.9</v>
      </c>
      <c r="O979" s="129">
        <v>0.912117576484703</v>
      </c>
      <c r="P979" s="129">
        <v>0.915697674418605</v>
      </c>
      <c r="Q979" s="129">
        <v>0.907491486946651</v>
      </c>
      <c r="R979" s="129">
        <v>0.910454519726043</v>
      </c>
      <c r="S979" s="131">
        <v>0.9</v>
      </c>
      <c r="T979" s="129">
        <v>0.91121775644871</v>
      </c>
      <c r="U979" s="129">
        <v>0.927325581395349</v>
      </c>
      <c r="V979" s="129">
        <v>0.903802497162316</v>
      </c>
      <c r="W979" s="129">
        <v>0.914897832116375</v>
      </c>
      <c r="X979" s="131">
        <v>0.92</v>
      </c>
      <c r="Y979" s="131" t="s">
        <v>33</v>
      </c>
      <c r="Z979" s="131" t="s">
        <v>33</v>
      </c>
      <c r="AA979" s="131" t="s">
        <v>33</v>
      </c>
      <c r="AB979" s="131" t="s">
        <v>33</v>
      </c>
      <c r="AC979" s="131">
        <v>0.92</v>
      </c>
      <c r="AD979" s="129">
        <v>0.998655010087424</v>
      </c>
      <c r="AE979" s="129">
        <v>0.986990459670425</v>
      </c>
      <c r="AF979" s="129">
        <v>0.868421052631579</v>
      </c>
      <c r="AG979" s="129">
        <v>0.977727784026997</v>
      </c>
      <c r="AH979" s="131">
        <v>0.92</v>
      </c>
      <c r="AI979" s="129">
        <v>0.951409718056389</v>
      </c>
      <c r="AJ979" s="129">
        <v>0.941860465116279</v>
      </c>
      <c r="AK979" s="129">
        <v>0.954029511918275</v>
      </c>
      <c r="AL979" s="129">
        <v>0.955373818552267</v>
      </c>
      <c r="AM979" s="128">
        <v>0.99</v>
      </c>
      <c r="AN979" s="133">
        <v>1</v>
      </c>
      <c r="AO979" s="133">
        <v>1</v>
      </c>
      <c r="AP979" s="133">
        <v>1</v>
      </c>
      <c r="AQ979" s="133">
        <v>1</v>
      </c>
      <c r="AR979" s="153">
        <v>0.0656418488929858</v>
      </c>
      <c r="AS979" s="137">
        <v>0.0714285714285714</v>
      </c>
      <c r="AT979" s="137">
        <v>0</v>
      </c>
      <c r="AU979" s="137">
        <v>0.05</v>
      </c>
      <c r="AV979" s="137">
        <v>0.0287081339712919</v>
      </c>
      <c r="AW979" s="93"/>
      <c r="AX979" s="91"/>
    </row>
    <row r="980" ht="14.5" spans="1:50">
      <c r="A980" s="89"/>
      <c r="B980" s="93"/>
      <c r="C980" s="172" t="s">
        <v>922</v>
      </c>
      <c r="D980" s="126" t="s">
        <v>923</v>
      </c>
      <c r="E980" s="175" t="s">
        <v>1004</v>
      </c>
      <c r="F980" s="176" t="s">
        <v>1004</v>
      </c>
      <c r="G980" s="176" t="s">
        <v>1004</v>
      </c>
      <c r="H980" s="176" t="s">
        <v>1004</v>
      </c>
      <c r="I980" s="128">
        <v>0.9</v>
      </c>
      <c r="J980" s="129">
        <v>0.916666666666667</v>
      </c>
      <c r="K980" s="129">
        <v>0.871794871794872</v>
      </c>
      <c r="L980" s="130">
        <v>0.934782608695652</v>
      </c>
      <c r="M980" s="129">
        <v>0.912248628884826</v>
      </c>
      <c r="N980" s="131">
        <v>0.9</v>
      </c>
      <c r="O980" s="129">
        <v>0.917456776352482</v>
      </c>
      <c r="P980" s="129">
        <v>0.954282711508145</v>
      </c>
      <c r="Q980" s="129">
        <v>0.926897605705553</v>
      </c>
      <c r="R980" s="129">
        <v>0.936355732842385</v>
      </c>
      <c r="S980" s="131">
        <v>0.9</v>
      </c>
      <c r="T980" s="129">
        <v>0.889849414389292</v>
      </c>
      <c r="U980" s="129">
        <v>0.916973200210194</v>
      </c>
      <c r="V980" s="129">
        <v>0.884360672440143</v>
      </c>
      <c r="W980" s="129">
        <v>0.89534110667894</v>
      </c>
      <c r="X980" s="131">
        <v>0.92</v>
      </c>
      <c r="Y980" s="131" t="s">
        <v>33</v>
      </c>
      <c r="Z980" s="131" t="s">
        <v>33</v>
      </c>
      <c r="AA980" s="131">
        <v>1</v>
      </c>
      <c r="AB980" s="131">
        <v>1</v>
      </c>
      <c r="AC980" s="131">
        <v>0.92</v>
      </c>
      <c r="AD980" s="129">
        <v>0.989414255469301</v>
      </c>
      <c r="AE980" s="129">
        <v>0.979949874686717</v>
      </c>
      <c r="AF980" s="129">
        <v>0.98041958041958</v>
      </c>
      <c r="AG980" s="129">
        <v>0.972853329861337</v>
      </c>
      <c r="AH980" s="131">
        <v>0.92</v>
      </c>
      <c r="AI980" s="129">
        <v>0.957079152731327</v>
      </c>
      <c r="AJ980" s="129">
        <v>0.956955380577428</v>
      </c>
      <c r="AK980" s="129">
        <v>0.959775967413442</v>
      </c>
      <c r="AL980" s="129">
        <v>0.955545898412536</v>
      </c>
      <c r="AM980" s="128">
        <v>0.99</v>
      </c>
      <c r="AN980" s="133">
        <v>1</v>
      </c>
      <c r="AO980" s="133">
        <v>1</v>
      </c>
      <c r="AP980" s="133">
        <v>1</v>
      </c>
      <c r="AQ980" s="133">
        <v>1</v>
      </c>
      <c r="AR980" s="153">
        <v>0.0656418488929858</v>
      </c>
      <c r="AS980" s="137">
        <v>0</v>
      </c>
      <c r="AT980" s="137">
        <v>0.0833333333333333</v>
      </c>
      <c r="AU980" s="137">
        <v>0</v>
      </c>
      <c r="AV980" s="137">
        <v>0.0217391304347826</v>
      </c>
      <c r="AW980" s="93"/>
      <c r="AX980" s="91"/>
    </row>
    <row r="981" ht="14.5" spans="1:50">
      <c r="A981" s="89"/>
      <c r="B981" s="93"/>
      <c r="C981" s="172" t="s">
        <v>922</v>
      </c>
      <c r="D981" s="126" t="s">
        <v>923</v>
      </c>
      <c r="E981" s="175" t="s">
        <v>1005</v>
      </c>
      <c r="F981" s="176" t="s">
        <v>1005</v>
      </c>
      <c r="G981" s="176" t="s">
        <v>1005</v>
      </c>
      <c r="H981" s="176" t="s">
        <v>1005</v>
      </c>
      <c r="I981" s="128">
        <v>0.9</v>
      </c>
      <c r="J981" s="129">
        <v>0.967741935483871</v>
      </c>
      <c r="K981" s="129">
        <v>0.846153846153846</v>
      </c>
      <c r="L981" s="130">
        <v>1</v>
      </c>
      <c r="M981" s="129">
        <v>0.944598337950138</v>
      </c>
      <c r="N981" s="131">
        <v>0.9</v>
      </c>
      <c r="O981" s="129">
        <v>0.926911229347522</v>
      </c>
      <c r="P981" s="129">
        <v>0.940796555435953</v>
      </c>
      <c r="Q981" s="129">
        <v>0.941208640962538</v>
      </c>
      <c r="R981" s="129">
        <v>0.925061456850822</v>
      </c>
      <c r="S981" s="131">
        <v>0.9</v>
      </c>
      <c r="T981" s="129">
        <v>0.904228507420891</v>
      </c>
      <c r="U981" s="129">
        <v>0.896124865446717</v>
      </c>
      <c r="V981" s="129">
        <v>0.90620727372163</v>
      </c>
      <c r="W981" s="129">
        <v>0.902781731142451</v>
      </c>
      <c r="X981" s="131">
        <v>0.92</v>
      </c>
      <c r="Y981" s="131" t="s">
        <v>33</v>
      </c>
      <c r="Z981" s="131" t="s">
        <v>33</v>
      </c>
      <c r="AA981" s="131">
        <v>1</v>
      </c>
      <c r="AB981" s="131">
        <v>1</v>
      </c>
      <c r="AC981" s="131">
        <v>0.92</v>
      </c>
      <c r="AD981" s="129">
        <v>0.980286738351254</v>
      </c>
      <c r="AE981" s="129">
        <v>0.974259974259974</v>
      </c>
      <c r="AF981" s="129">
        <v>0.993055555555556</v>
      </c>
      <c r="AG981" s="129">
        <v>0.979996747438608</v>
      </c>
      <c r="AH981" s="131">
        <v>0.92</v>
      </c>
      <c r="AI981" s="129">
        <v>0.94931391767012</v>
      </c>
      <c r="AJ981" s="129">
        <v>0.942411194833154</v>
      </c>
      <c r="AK981" s="129">
        <v>0.951886276653909</v>
      </c>
      <c r="AL981" s="129">
        <v>0.95034543431573</v>
      </c>
      <c r="AM981" s="128">
        <v>0.99</v>
      </c>
      <c r="AN981" s="133">
        <v>1</v>
      </c>
      <c r="AO981" s="133">
        <v>1</v>
      </c>
      <c r="AP981" s="133">
        <v>1</v>
      </c>
      <c r="AQ981" s="133">
        <v>1</v>
      </c>
      <c r="AR981" s="153">
        <v>0.0656418488929858</v>
      </c>
      <c r="AS981" s="137">
        <v>0.0909090909090909</v>
      </c>
      <c r="AT981" s="137">
        <v>0</v>
      </c>
      <c r="AU981" s="137">
        <v>0</v>
      </c>
      <c r="AV981" s="137">
        <v>0.0384615384615385</v>
      </c>
      <c r="AW981" s="93"/>
      <c r="AX981" s="91"/>
    </row>
    <row r="982" ht="14.5" spans="1:50">
      <c r="A982" s="89"/>
      <c r="B982" s="93"/>
      <c r="C982" s="172" t="s">
        <v>922</v>
      </c>
      <c r="D982" s="126" t="s">
        <v>923</v>
      </c>
      <c r="E982" s="175" t="s">
        <v>1006</v>
      </c>
      <c r="F982" s="176" t="s">
        <v>1006</v>
      </c>
      <c r="G982" s="176" t="s">
        <v>1006</v>
      </c>
      <c r="H982" s="176" t="s">
        <v>1006</v>
      </c>
      <c r="I982" s="128">
        <v>0.9</v>
      </c>
      <c r="J982" s="129" t="s">
        <v>33</v>
      </c>
      <c r="K982" s="129" t="s">
        <v>33</v>
      </c>
      <c r="L982" s="130" t="s">
        <v>33</v>
      </c>
      <c r="M982" s="129" t="s">
        <v>33</v>
      </c>
      <c r="N982" s="131">
        <v>0.9</v>
      </c>
      <c r="O982" s="129" t="s">
        <v>33</v>
      </c>
      <c r="P982" s="129" t="s">
        <v>33</v>
      </c>
      <c r="Q982" s="129" t="s">
        <v>33</v>
      </c>
      <c r="R982" s="129">
        <v>0</v>
      </c>
      <c r="S982" s="131">
        <v>0.9</v>
      </c>
      <c r="T982" s="129" t="s">
        <v>33</v>
      </c>
      <c r="U982" s="129" t="s">
        <v>33</v>
      </c>
      <c r="V982" s="129" t="s">
        <v>33</v>
      </c>
      <c r="W982" s="129">
        <v>1</v>
      </c>
      <c r="X982" s="131">
        <v>0.92</v>
      </c>
      <c r="Y982" s="131" t="s">
        <v>33</v>
      </c>
      <c r="Z982" s="131" t="s">
        <v>33</v>
      </c>
      <c r="AA982" s="131" t="s">
        <v>33</v>
      </c>
      <c r="AB982" s="131" t="s">
        <v>33</v>
      </c>
      <c r="AC982" s="131">
        <v>0.92</v>
      </c>
      <c r="AD982" s="129">
        <v>0.982758620689655</v>
      </c>
      <c r="AE982" s="129">
        <v>0.95703125</v>
      </c>
      <c r="AF982" s="129">
        <v>0.941463414634146</v>
      </c>
      <c r="AG982" s="129">
        <v>0.920036764705882</v>
      </c>
      <c r="AH982" s="131">
        <v>0.92</v>
      </c>
      <c r="AI982" s="129" t="s">
        <v>33</v>
      </c>
      <c r="AJ982" s="129" t="s">
        <v>33</v>
      </c>
      <c r="AK982" s="129" t="s">
        <v>33</v>
      </c>
      <c r="AL982" s="129">
        <v>1</v>
      </c>
      <c r="AM982" s="128">
        <v>0.99</v>
      </c>
      <c r="AN982" s="133">
        <v>1</v>
      </c>
      <c r="AO982" s="133">
        <v>1</v>
      </c>
      <c r="AP982" s="133">
        <v>1</v>
      </c>
      <c r="AQ982" s="133">
        <v>1</v>
      </c>
      <c r="AR982" s="153">
        <v>0.0656418488929858</v>
      </c>
      <c r="AS982" s="137" t="s">
        <v>33</v>
      </c>
      <c r="AT982" s="137" t="s">
        <v>33</v>
      </c>
      <c r="AU982" s="137" t="s">
        <v>33</v>
      </c>
      <c r="AV982" s="137" t="s">
        <v>33</v>
      </c>
      <c r="AW982" s="93"/>
      <c r="AX982" s="91"/>
    </row>
    <row r="983" ht="14.5" spans="1:50">
      <c r="A983" s="89"/>
      <c r="B983" s="93"/>
      <c r="C983" s="172" t="s">
        <v>922</v>
      </c>
      <c r="D983" s="126" t="s">
        <v>923</v>
      </c>
      <c r="E983" s="175" t="s">
        <v>1007</v>
      </c>
      <c r="F983" s="176" t="s">
        <v>1007</v>
      </c>
      <c r="G983" s="176" t="s">
        <v>1007</v>
      </c>
      <c r="H983" s="176" t="s">
        <v>1007</v>
      </c>
      <c r="I983" s="128">
        <v>0.9</v>
      </c>
      <c r="J983" s="129">
        <v>0.918032786885246</v>
      </c>
      <c r="K983" s="129">
        <v>0.96551724137931</v>
      </c>
      <c r="L983" s="130">
        <v>0.979591836734694</v>
      </c>
      <c r="M983" s="129">
        <v>0.916176470588235</v>
      </c>
      <c r="N983" s="131">
        <v>0.9</v>
      </c>
      <c r="O983" s="129">
        <v>0.946306895611883</v>
      </c>
      <c r="P983" s="129">
        <v>0.95045695045695</v>
      </c>
      <c r="Q983" s="129">
        <v>0.950975487743872</v>
      </c>
      <c r="R983" s="129">
        <v>0.945796956847094</v>
      </c>
      <c r="S983" s="131">
        <v>0.9</v>
      </c>
      <c r="T983" s="129">
        <v>0.914963205233034</v>
      </c>
      <c r="U983" s="129">
        <v>0.907166907166907</v>
      </c>
      <c r="V983" s="129">
        <v>0.931215607803902</v>
      </c>
      <c r="W983" s="129">
        <v>0.918982289847842</v>
      </c>
      <c r="X983" s="131">
        <v>0.92</v>
      </c>
      <c r="Y983" s="131">
        <v>0</v>
      </c>
      <c r="Z983" s="131" t="s">
        <v>33</v>
      </c>
      <c r="AA983" s="131" t="s">
        <v>33</v>
      </c>
      <c r="AB983" s="131">
        <v>0</v>
      </c>
      <c r="AC983" s="131">
        <v>0.92</v>
      </c>
      <c r="AD983" s="129">
        <v>0.990836197021764</v>
      </c>
      <c r="AE983" s="129">
        <v>0.984438984438984</v>
      </c>
      <c r="AF983" s="129">
        <v>0.980629539951574</v>
      </c>
      <c r="AG983" s="129">
        <v>0.981477793268273</v>
      </c>
      <c r="AH983" s="131">
        <v>0.92</v>
      </c>
      <c r="AI983" s="129">
        <v>0.955610021786492</v>
      </c>
      <c r="AJ983" s="129">
        <v>0.959114959114959</v>
      </c>
      <c r="AK983" s="129">
        <v>0.96248124062031</v>
      </c>
      <c r="AL983" s="129">
        <v>0.95857235496583</v>
      </c>
      <c r="AM983" s="128">
        <v>0.99</v>
      </c>
      <c r="AN983" s="133">
        <v>1</v>
      </c>
      <c r="AO983" s="133">
        <v>1</v>
      </c>
      <c r="AP983" s="133">
        <v>1</v>
      </c>
      <c r="AQ983" s="133">
        <v>1</v>
      </c>
      <c r="AR983" s="153">
        <v>0.0656418488929858</v>
      </c>
      <c r="AS983" s="137">
        <v>0.05</v>
      </c>
      <c r="AT983" s="137">
        <v>0.0555555555555556</v>
      </c>
      <c r="AU983" s="137">
        <v>0</v>
      </c>
      <c r="AV983" s="137">
        <v>0.0336538461538462</v>
      </c>
      <c r="AW983" s="93"/>
      <c r="AX983" s="91"/>
    </row>
    <row r="984" ht="14.5" spans="1:50">
      <c r="A984" s="89"/>
      <c r="B984" s="93"/>
      <c r="C984" s="172" t="s">
        <v>922</v>
      </c>
      <c r="D984" s="126" t="s">
        <v>923</v>
      </c>
      <c r="E984" s="175" t="s">
        <v>1008</v>
      </c>
      <c r="F984" s="176" t="s">
        <v>1008</v>
      </c>
      <c r="G984" s="176" t="s">
        <v>1008</v>
      </c>
      <c r="H984" s="176" t="s">
        <v>1008</v>
      </c>
      <c r="I984" s="128">
        <v>0.9</v>
      </c>
      <c r="J984" s="129">
        <v>0.982456140350877</v>
      </c>
      <c r="K984" s="129">
        <v>0.962962962962963</v>
      </c>
      <c r="L984" s="130">
        <v>0.948275862068966</v>
      </c>
      <c r="M984" s="129">
        <v>0.986567164179105</v>
      </c>
      <c r="N984" s="131">
        <v>0.9</v>
      </c>
      <c r="O984" s="129">
        <v>0.951060070671378</v>
      </c>
      <c r="P984" s="129">
        <v>0.962800875273523</v>
      </c>
      <c r="Q984" s="129">
        <v>0.937285082691993</v>
      </c>
      <c r="R984" s="129">
        <v>0.957626437243708</v>
      </c>
      <c r="S984" s="131">
        <v>0.9</v>
      </c>
      <c r="T984" s="129">
        <v>0.907950530035336</v>
      </c>
      <c r="U984" s="129">
        <v>0.941544232572679</v>
      </c>
      <c r="V984" s="129">
        <v>0.876535123628623</v>
      </c>
      <c r="W984" s="129">
        <v>0.921009889844818</v>
      </c>
      <c r="X984" s="131">
        <v>0.92</v>
      </c>
      <c r="Y984" s="131" t="s">
        <v>33</v>
      </c>
      <c r="Z984" s="131" t="s">
        <v>33</v>
      </c>
      <c r="AA984" s="131" t="s">
        <v>33</v>
      </c>
      <c r="AB984" s="131" t="s">
        <v>33</v>
      </c>
      <c r="AC984" s="131">
        <v>0.92</v>
      </c>
      <c r="AD984" s="129">
        <v>0.995860927152318</v>
      </c>
      <c r="AE984" s="129">
        <v>0.976325757575758</v>
      </c>
      <c r="AF984" s="129">
        <v>0.967693836978131</v>
      </c>
      <c r="AG984" s="129">
        <v>0.989541679483236</v>
      </c>
      <c r="AH984" s="131">
        <v>0.92</v>
      </c>
      <c r="AI984" s="129">
        <v>0.970848056537102</v>
      </c>
      <c r="AJ984" s="129">
        <v>0.975</v>
      </c>
      <c r="AK984" s="129">
        <v>0.96823317504503</v>
      </c>
      <c r="AL984" s="129">
        <v>0.972325405631402</v>
      </c>
      <c r="AM984" s="128">
        <v>0.99</v>
      </c>
      <c r="AN984" s="133">
        <v>1</v>
      </c>
      <c r="AO984" s="133">
        <v>1</v>
      </c>
      <c r="AP984" s="133">
        <v>1</v>
      </c>
      <c r="AQ984" s="133">
        <v>1</v>
      </c>
      <c r="AR984" s="153">
        <v>0.0656418488929858</v>
      </c>
      <c r="AS984" s="137">
        <v>0.0740740740740741</v>
      </c>
      <c r="AT984" s="137">
        <v>0.0285714285714286</v>
      </c>
      <c r="AU984" s="137">
        <v>0</v>
      </c>
      <c r="AV984" s="137">
        <v>0.0537313432835821</v>
      </c>
      <c r="AW984" s="93"/>
      <c r="AX984" s="91"/>
    </row>
    <row r="985" ht="14.5" spans="1:50">
      <c r="A985" s="89"/>
      <c r="B985" s="93"/>
      <c r="C985" s="172" t="s">
        <v>922</v>
      </c>
      <c r="D985" s="126" t="s">
        <v>923</v>
      </c>
      <c r="E985" s="175" t="s">
        <v>1009</v>
      </c>
      <c r="F985" s="176" t="s">
        <v>1009</v>
      </c>
      <c r="G985" s="176" t="s">
        <v>1009</v>
      </c>
      <c r="H985" s="176" t="s">
        <v>1009</v>
      </c>
      <c r="I985" s="128">
        <v>0.9</v>
      </c>
      <c r="J985" s="129">
        <v>1</v>
      </c>
      <c r="K985" s="129">
        <v>1</v>
      </c>
      <c r="L985" s="130">
        <v>0.956521739130435</v>
      </c>
      <c r="M985" s="129">
        <v>0.95221843003413</v>
      </c>
      <c r="N985" s="131">
        <v>0.9</v>
      </c>
      <c r="O985" s="129">
        <v>0.95919881305638</v>
      </c>
      <c r="P985" s="129">
        <v>0.939207650273224</v>
      </c>
      <c r="Q985" s="129">
        <v>0.940946282461757</v>
      </c>
      <c r="R985" s="129">
        <v>0.950335429033051</v>
      </c>
      <c r="S985" s="131">
        <v>0.9</v>
      </c>
      <c r="T985" s="129">
        <v>0.918026706231454</v>
      </c>
      <c r="U985" s="129">
        <v>0.941256830601093</v>
      </c>
      <c r="V985" s="129">
        <v>0.849519743863394</v>
      </c>
      <c r="W985" s="129">
        <v>0.911207895753574</v>
      </c>
      <c r="X985" s="131">
        <v>0.92</v>
      </c>
      <c r="Y985" s="131" t="s">
        <v>33</v>
      </c>
      <c r="Z985" s="131" t="s">
        <v>33</v>
      </c>
      <c r="AA985" s="131" t="s">
        <v>33</v>
      </c>
      <c r="AB985" s="131" t="s">
        <v>33</v>
      </c>
      <c r="AC985" s="131">
        <v>0.92</v>
      </c>
      <c r="AD985" s="129">
        <v>0.984</v>
      </c>
      <c r="AE985" s="129">
        <v>0.959558823529412</v>
      </c>
      <c r="AF985" s="129">
        <v>0.948186528497409</v>
      </c>
      <c r="AG985" s="129">
        <v>0.96130592503023</v>
      </c>
      <c r="AH985" s="131">
        <v>0.92</v>
      </c>
      <c r="AI985" s="129">
        <v>0.958827893175074</v>
      </c>
      <c r="AJ985" s="129">
        <v>0.965846994535519</v>
      </c>
      <c r="AK985" s="129">
        <v>0.960156527926005</v>
      </c>
      <c r="AL985" s="129">
        <v>0.967687552683338</v>
      </c>
      <c r="AM985" s="128">
        <v>0.99</v>
      </c>
      <c r="AN985" s="133">
        <v>1</v>
      </c>
      <c r="AO985" s="133">
        <v>1</v>
      </c>
      <c r="AP985" s="133">
        <v>1</v>
      </c>
      <c r="AQ985" s="133">
        <v>1</v>
      </c>
      <c r="AR985" s="153">
        <v>0.0656418488929858</v>
      </c>
      <c r="AS985" s="137">
        <v>0.0833333333333333</v>
      </c>
      <c r="AT985" s="137">
        <v>0.0909090909090909</v>
      </c>
      <c r="AU985" s="137">
        <v>0.0869565217391304</v>
      </c>
      <c r="AV985" s="137">
        <v>0.0592592592592593</v>
      </c>
      <c r="AW985" s="93"/>
      <c r="AX985" s="91"/>
    </row>
    <row r="986" ht="14.5" spans="1:50">
      <c r="A986" s="89"/>
      <c r="B986" s="93"/>
      <c r="C986" s="172" t="s">
        <v>922</v>
      </c>
      <c r="D986" s="126" t="s">
        <v>923</v>
      </c>
      <c r="E986" s="175" t="s">
        <v>1010</v>
      </c>
      <c r="F986" s="176" t="s">
        <v>1010</v>
      </c>
      <c r="G986" s="176" t="s">
        <v>1010</v>
      </c>
      <c r="H986" s="176" t="s">
        <v>1010</v>
      </c>
      <c r="I986" s="128">
        <v>0.9</v>
      </c>
      <c r="J986" s="129">
        <v>0.972222222222222</v>
      </c>
      <c r="K986" s="129">
        <v>0.909090909090909</v>
      </c>
      <c r="L986" s="130">
        <v>0.972222222222222</v>
      </c>
      <c r="M986" s="129">
        <v>0.9375</v>
      </c>
      <c r="N986" s="131">
        <v>0.9</v>
      </c>
      <c r="O986" s="129">
        <v>0.951657458563536</v>
      </c>
      <c r="P986" s="129">
        <v>0.953092783505155</v>
      </c>
      <c r="Q986" s="129">
        <v>0.932036247334755</v>
      </c>
      <c r="R986" s="129">
        <v>0.942437952099788</v>
      </c>
      <c r="S986" s="131">
        <v>0.9</v>
      </c>
      <c r="T986" s="129">
        <v>0.908011049723757</v>
      </c>
      <c r="U986" s="129">
        <v>0.931958762886598</v>
      </c>
      <c r="V986" s="129">
        <v>0.885660980810235</v>
      </c>
      <c r="W986" s="129">
        <v>0.902947115507502</v>
      </c>
      <c r="X986" s="131">
        <v>0.92</v>
      </c>
      <c r="Y986" s="131" t="s">
        <v>33</v>
      </c>
      <c r="Z986" s="131" t="s">
        <v>33</v>
      </c>
      <c r="AA986" s="131" t="s">
        <v>33</v>
      </c>
      <c r="AB986" s="131" t="s">
        <v>33</v>
      </c>
      <c r="AC986" s="131">
        <v>0.92</v>
      </c>
      <c r="AD986" s="129">
        <v>0.988157894736842</v>
      </c>
      <c r="AE986" s="129">
        <v>0.983572895277207</v>
      </c>
      <c r="AF986" s="129">
        <v>0.954635108481262</v>
      </c>
      <c r="AG986" s="129">
        <v>0.981290322580645</v>
      </c>
      <c r="AH986" s="131">
        <v>0.92</v>
      </c>
      <c r="AI986" s="129">
        <v>0.956629834254144</v>
      </c>
      <c r="AJ986" s="129">
        <v>0.958762886597938</v>
      </c>
      <c r="AK986" s="129">
        <v>0.954424307036247</v>
      </c>
      <c r="AL986" s="129">
        <v>0.957646397259924</v>
      </c>
      <c r="AM986" s="128">
        <v>0.99</v>
      </c>
      <c r="AN986" s="133">
        <v>1</v>
      </c>
      <c r="AO986" s="133">
        <v>1</v>
      </c>
      <c r="AP986" s="133">
        <v>1</v>
      </c>
      <c r="AQ986" s="133">
        <v>1</v>
      </c>
      <c r="AR986" s="153">
        <v>0.0656418488929858</v>
      </c>
      <c r="AS986" s="137">
        <v>0.0625</v>
      </c>
      <c r="AT986" s="137">
        <v>0</v>
      </c>
      <c r="AU986" s="137">
        <v>0</v>
      </c>
      <c r="AV986" s="137">
        <v>0.0432098765432099</v>
      </c>
      <c r="AW986" s="93"/>
      <c r="AX986" s="91"/>
    </row>
    <row r="987" ht="14.5" spans="1:50">
      <c r="A987" s="89"/>
      <c r="B987" s="93"/>
      <c r="C987" s="172" t="s">
        <v>922</v>
      </c>
      <c r="D987" s="126" t="s">
        <v>923</v>
      </c>
      <c r="E987" s="175" t="s">
        <v>1011</v>
      </c>
      <c r="F987" s="176" t="s">
        <v>1011</v>
      </c>
      <c r="G987" s="176" t="s">
        <v>1011</v>
      </c>
      <c r="H987" s="176" t="s">
        <v>1011</v>
      </c>
      <c r="I987" s="128">
        <v>0.9</v>
      </c>
      <c r="J987" s="129">
        <v>0.885714285714286</v>
      </c>
      <c r="K987" s="129">
        <v>0.870967741935484</v>
      </c>
      <c r="L987" s="130">
        <v>0.971428571428571</v>
      </c>
      <c r="M987" s="129">
        <v>0.933497536945813</v>
      </c>
      <c r="N987" s="131">
        <v>0.9</v>
      </c>
      <c r="O987" s="129">
        <v>0.953271028037383</v>
      </c>
      <c r="P987" s="129">
        <v>0.971620971620972</v>
      </c>
      <c r="Q987" s="129">
        <v>0.97039254823686</v>
      </c>
      <c r="R987" s="129">
        <v>0.962080727686185</v>
      </c>
      <c r="S987" s="131">
        <v>0.9</v>
      </c>
      <c r="T987" s="129">
        <v>0.908878504672897</v>
      </c>
      <c r="U987" s="129">
        <v>0.915824915824916</v>
      </c>
      <c r="V987" s="129">
        <v>0.901197604790419</v>
      </c>
      <c r="W987" s="129">
        <v>0.892950540079591</v>
      </c>
      <c r="X987" s="131">
        <v>0.92</v>
      </c>
      <c r="Y987" s="131" t="s">
        <v>33</v>
      </c>
      <c r="Z987" s="131" t="s">
        <v>33</v>
      </c>
      <c r="AA987" s="131" t="s">
        <v>33</v>
      </c>
      <c r="AB987" s="131">
        <v>0</v>
      </c>
      <c r="AC987" s="131">
        <v>0.92</v>
      </c>
      <c r="AD987" s="129">
        <v>0.995098039215686</v>
      </c>
      <c r="AE987" s="129">
        <v>0.976536312849162</v>
      </c>
      <c r="AF987" s="129">
        <v>0.917721518987342</v>
      </c>
      <c r="AG987" s="129">
        <v>0.972639011473963</v>
      </c>
      <c r="AH987" s="131">
        <v>0.92</v>
      </c>
      <c r="AI987" s="129">
        <v>0.96183800623053</v>
      </c>
      <c r="AJ987" s="129">
        <v>0.957671957671958</v>
      </c>
      <c r="AK987" s="129">
        <v>0.955755156353959</v>
      </c>
      <c r="AL987" s="129">
        <v>0.957735269874655</v>
      </c>
      <c r="AM987" s="128">
        <v>0.99</v>
      </c>
      <c r="AN987" s="133">
        <v>1</v>
      </c>
      <c r="AO987" s="133">
        <v>1</v>
      </c>
      <c r="AP987" s="133">
        <v>1</v>
      </c>
      <c r="AQ987" s="133">
        <v>1</v>
      </c>
      <c r="AR987" s="153">
        <v>0.0656418488929858</v>
      </c>
      <c r="AS987" s="137">
        <v>0</v>
      </c>
      <c r="AT987" s="137">
        <v>0</v>
      </c>
      <c r="AU987" s="137">
        <v>0.0625</v>
      </c>
      <c r="AV987" s="137">
        <v>0.0606060606060606</v>
      </c>
      <c r="AW987" s="93"/>
      <c r="AX987" s="91"/>
    </row>
    <row r="988" ht="14.5" spans="1:50">
      <c r="A988" s="89"/>
      <c r="B988" s="93"/>
      <c r="C988" s="172" t="s">
        <v>922</v>
      </c>
      <c r="D988" s="126" t="s">
        <v>923</v>
      </c>
      <c r="E988" s="175" t="s">
        <v>1012</v>
      </c>
      <c r="F988" s="176" t="s">
        <v>1012</v>
      </c>
      <c r="G988" s="176" t="s">
        <v>1012</v>
      </c>
      <c r="H988" s="176" t="s">
        <v>1012</v>
      </c>
      <c r="I988" s="128">
        <v>0.9</v>
      </c>
      <c r="J988" s="129">
        <v>0.884615384615385</v>
      </c>
      <c r="K988" s="129">
        <v>0.909090909090909</v>
      </c>
      <c r="L988" s="130">
        <v>0.961538461538462</v>
      </c>
      <c r="M988" s="129">
        <v>0.91588785046729</v>
      </c>
      <c r="N988" s="131">
        <v>0.9</v>
      </c>
      <c r="O988" s="129">
        <v>0.96689497716895</v>
      </c>
      <c r="P988" s="129">
        <v>0.973756906077348</v>
      </c>
      <c r="Q988" s="129">
        <v>0.980353634577603</v>
      </c>
      <c r="R988" s="129">
        <v>0.973980463445617</v>
      </c>
      <c r="S988" s="131">
        <v>0.9</v>
      </c>
      <c r="T988" s="129">
        <v>0.877853881278539</v>
      </c>
      <c r="U988" s="129">
        <v>0.919889502762431</v>
      </c>
      <c r="V988" s="129">
        <v>0.932711198428291</v>
      </c>
      <c r="W988" s="129">
        <v>0.918218055981427</v>
      </c>
      <c r="X988" s="131">
        <v>0.92</v>
      </c>
      <c r="Y988" s="131" t="s">
        <v>33</v>
      </c>
      <c r="Z988" s="131" t="s">
        <v>33</v>
      </c>
      <c r="AA988" s="131" t="s">
        <v>33</v>
      </c>
      <c r="AB988" s="131">
        <v>0</v>
      </c>
      <c r="AC988" s="131">
        <v>0.92</v>
      </c>
      <c r="AD988" s="129">
        <v>0.993827160493827</v>
      </c>
      <c r="AE988" s="129">
        <v>0.984042553191489</v>
      </c>
      <c r="AF988" s="129">
        <v>0.996815286624204</v>
      </c>
      <c r="AG988" s="129">
        <v>0.992093299070963</v>
      </c>
      <c r="AH988" s="131">
        <v>0.92</v>
      </c>
      <c r="AI988" s="129">
        <v>0.942351598173516</v>
      </c>
      <c r="AJ988" s="129">
        <v>0.941988950276243</v>
      </c>
      <c r="AK988" s="129">
        <v>0.968565815324165</v>
      </c>
      <c r="AL988" s="129">
        <v>0.956159943940787</v>
      </c>
      <c r="AM988" s="128">
        <v>0.99</v>
      </c>
      <c r="AN988" s="133">
        <v>1</v>
      </c>
      <c r="AO988" s="133">
        <v>1</v>
      </c>
      <c r="AP988" s="133">
        <v>1</v>
      </c>
      <c r="AQ988" s="133">
        <v>1</v>
      </c>
      <c r="AR988" s="153">
        <v>0.0656418488929858</v>
      </c>
      <c r="AS988" s="137">
        <v>0</v>
      </c>
      <c r="AT988" s="137">
        <v>0</v>
      </c>
      <c r="AU988" s="137">
        <v>0.153846153846154</v>
      </c>
      <c r="AV988" s="137">
        <v>0.0689655172413793</v>
      </c>
      <c r="AW988" s="93"/>
      <c r="AX988" s="91"/>
    </row>
    <row r="989" ht="14.5" spans="1:50">
      <c r="A989" s="89"/>
      <c r="B989" s="93"/>
      <c r="C989" s="172" t="s">
        <v>922</v>
      </c>
      <c r="D989" s="126" t="s">
        <v>923</v>
      </c>
      <c r="E989" s="175" t="s">
        <v>1013</v>
      </c>
      <c r="F989" s="176" t="s">
        <v>1013</v>
      </c>
      <c r="G989" s="176" t="s">
        <v>1013</v>
      </c>
      <c r="H989" s="176" t="s">
        <v>1013</v>
      </c>
      <c r="I989" s="128">
        <v>0.9</v>
      </c>
      <c r="J989" s="129">
        <v>0.945945945945946</v>
      </c>
      <c r="K989" s="129">
        <v>0.892857142857143</v>
      </c>
      <c r="L989" s="130">
        <v>0.911764705882353</v>
      </c>
      <c r="M989" s="129">
        <v>0.9321608040201</v>
      </c>
      <c r="N989" s="131">
        <v>0.9</v>
      </c>
      <c r="O989" s="129">
        <v>0.981968444778362</v>
      </c>
      <c r="P989" s="129">
        <v>0.962227602905569</v>
      </c>
      <c r="Q989" s="129">
        <v>0.918387413962635</v>
      </c>
      <c r="R989" s="129">
        <v>0.954388369183102</v>
      </c>
      <c r="S989" s="131">
        <v>0.9</v>
      </c>
      <c r="T989" s="129">
        <v>0.912096168294515</v>
      </c>
      <c r="U989" s="129">
        <v>0.888135593220339</v>
      </c>
      <c r="V989" s="129">
        <v>0.862667977712225</v>
      </c>
      <c r="W989" s="129">
        <v>0.905797533218137</v>
      </c>
      <c r="X989" s="131">
        <v>0.92</v>
      </c>
      <c r="Y989" s="131" t="s">
        <v>33</v>
      </c>
      <c r="Z989" s="131" t="s">
        <v>33</v>
      </c>
      <c r="AA989" s="131" t="s">
        <v>33</v>
      </c>
      <c r="AB989" s="131" t="s">
        <v>33</v>
      </c>
      <c r="AC989" s="131">
        <v>0.92</v>
      </c>
      <c r="AD989" s="129">
        <v>0.995421245421245</v>
      </c>
      <c r="AE989" s="129">
        <v>0.969568294409059</v>
      </c>
      <c r="AF989" s="129">
        <v>0.993178717598909</v>
      </c>
      <c r="AG989" s="129">
        <v>0.984480431848853</v>
      </c>
      <c r="AH989" s="131">
        <v>0.92</v>
      </c>
      <c r="AI989" s="129">
        <v>0.950413223140496</v>
      </c>
      <c r="AJ989" s="129">
        <v>0.949636803874092</v>
      </c>
      <c r="AK989" s="129">
        <v>0.934141546526868</v>
      </c>
      <c r="AL989" s="129">
        <v>0.951471639656816</v>
      </c>
      <c r="AM989" s="128">
        <v>0.99</v>
      </c>
      <c r="AN989" s="133">
        <v>1</v>
      </c>
      <c r="AO989" s="133">
        <v>1</v>
      </c>
      <c r="AP989" s="133">
        <v>1</v>
      </c>
      <c r="AQ989" s="133">
        <v>1</v>
      </c>
      <c r="AR989" s="153">
        <v>0.0656418488929858</v>
      </c>
      <c r="AS989" s="137">
        <v>0</v>
      </c>
      <c r="AT989" s="137">
        <v>0</v>
      </c>
      <c r="AU989" s="137">
        <v>0.25</v>
      </c>
      <c r="AV989" s="137">
        <v>0.0873015873015873</v>
      </c>
      <c r="AW989" s="93"/>
      <c r="AX989" s="91"/>
    </row>
    <row r="990" ht="14.5" spans="1:50">
      <c r="A990" s="89"/>
      <c r="B990" s="93"/>
      <c r="C990" s="172" t="s">
        <v>922</v>
      </c>
      <c r="D990" s="126" t="s">
        <v>923</v>
      </c>
      <c r="E990" s="179" t="s">
        <v>1014</v>
      </c>
      <c r="F990" s="180" t="s">
        <v>1014</v>
      </c>
      <c r="G990" s="180" t="s">
        <v>1014</v>
      </c>
      <c r="H990" s="180" t="s">
        <v>1014</v>
      </c>
      <c r="I990" s="128">
        <v>0.9</v>
      </c>
      <c r="J990" s="129">
        <v>0.96551724137931</v>
      </c>
      <c r="K990" s="129">
        <v>1</v>
      </c>
      <c r="L990" s="130">
        <v>0.966666666666667</v>
      </c>
      <c r="M990" s="129">
        <v>0.96600566572238</v>
      </c>
      <c r="N990" s="131">
        <v>0.9</v>
      </c>
      <c r="O990" s="129">
        <v>0.967542503863988</v>
      </c>
      <c r="P990" s="129">
        <v>0.961119751166407</v>
      </c>
      <c r="Q990" s="129">
        <v>0.974145486415425</v>
      </c>
      <c r="R990" s="129">
        <v>0.963814549566528</v>
      </c>
      <c r="S990" s="131">
        <v>0.9</v>
      </c>
      <c r="T990" s="129">
        <v>0.929933024214323</v>
      </c>
      <c r="U990" s="129">
        <v>0.930015552099533</v>
      </c>
      <c r="V990" s="129">
        <v>0.927256792287467</v>
      </c>
      <c r="W990" s="129">
        <v>0.934078820622356</v>
      </c>
      <c r="X990" s="131">
        <v>0.92</v>
      </c>
      <c r="Y990" s="131">
        <v>0.934402332361516</v>
      </c>
      <c r="Z990" s="131">
        <v>0.932384341637011</v>
      </c>
      <c r="AA990" s="131">
        <v>0.898026315789474</v>
      </c>
      <c r="AB990" s="131">
        <v>0.900651193855402</v>
      </c>
      <c r="AC990" s="131">
        <v>0.92</v>
      </c>
      <c r="AD990" s="129">
        <v>0.997395833333333</v>
      </c>
      <c r="AE990" s="129">
        <v>0.994152046783626</v>
      </c>
      <c r="AF990" s="129">
        <v>1</v>
      </c>
      <c r="AG990" s="129">
        <v>0.979800438062789</v>
      </c>
      <c r="AH990" s="131">
        <v>0.92</v>
      </c>
      <c r="AI990" s="129">
        <v>0.96802436239056</v>
      </c>
      <c r="AJ990" s="129">
        <v>0.966177409061902</v>
      </c>
      <c r="AK990" s="129">
        <v>0.969204152249135</v>
      </c>
      <c r="AL990" s="129">
        <v>0.965750443603736</v>
      </c>
      <c r="AM990" s="128">
        <v>0.99</v>
      </c>
      <c r="AN990" s="133">
        <v>1</v>
      </c>
      <c r="AO990" s="133">
        <v>1</v>
      </c>
      <c r="AP990" s="133">
        <v>1</v>
      </c>
      <c r="AQ990" s="133">
        <v>1</v>
      </c>
      <c r="AR990" s="153">
        <v>0.0656418488929858</v>
      </c>
      <c r="AS990" s="137">
        <v>0</v>
      </c>
      <c r="AT990" s="137">
        <v>0.125</v>
      </c>
      <c r="AU990" s="137">
        <v>0</v>
      </c>
      <c r="AV990" s="137">
        <v>0.0283687943262411</v>
      </c>
      <c r="AW990" s="93"/>
      <c r="AX990" s="91"/>
    </row>
    <row r="991" ht="14.5" spans="1:50">
      <c r="A991" s="89"/>
      <c r="B991" s="93"/>
      <c r="C991" s="172" t="s">
        <v>922</v>
      </c>
      <c r="D991" s="126" t="s">
        <v>923</v>
      </c>
      <c r="E991" s="175" t="s">
        <v>1015</v>
      </c>
      <c r="F991" s="176" t="s">
        <v>1015</v>
      </c>
      <c r="G991" s="176" t="s">
        <v>1015</v>
      </c>
      <c r="H991" s="176" t="s">
        <v>1015</v>
      </c>
      <c r="I991" s="128">
        <v>0.9</v>
      </c>
      <c r="J991" s="129">
        <v>0.942857142857143</v>
      </c>
      <c r="K991" s="129">
        <v>0.928571428571429</v>
      </c>
      <c r="L991" s="130">
        <v>1</v>
      </c>
      <c r="M991" s="129">
        <v>0.950738916256158</v>
      </c>
      <c r="N991" s="131">
        <v>0.9</v>
      </c>
      <c r="O991" s="129">
        <v>0.977678571428571</v>
      </c>
      <c r="P991" s="129">
        <v>0.956964006259781</v>
      </c>
      <c r="Q991" s="129">
        <v>0.902972027972028</v>
      </c>
      <c r="R991" s="129">
        <v>0.956074610708635</v>
      </c>
      <c r="S991" s="131">
        <v>0.9</v>
      </c>
      <c r="T991" s="129">
        <v>0.916666666666667</v>
      </c>
      <c r="U991" s="129">
        <v>0.877151799687011</v>
      </c>
      <c r="V991" s="129">
        <v>0.897727272727273</v>
      </c>
      <c r="W991" s="129">
        <v>0.91252394037805</v>
      </c>
      <c r="X991" s="131">
        <v>0.92</v>
      </c>
      <c r="Y991" s="131">
        <v>0.336065573770492</v>
      </c>
      <c r="Z991" s="131">
        <v>0.299242424242424</v>
      </c>
      <c r="AA991" s="131">
        <v>0.464926590538336</v>
      </c>
      <c r="AB991" s="131">
        <v>0.384278740952702</v>
      </c>
      <c r="AC991" s="131">
        <v>0.92</v>
      </c>
      <c r="AD991" s="129">
        <v>0.99288256227758</v>
      </c>
      <c r="AE991" s="129">
        <v>0.995018679950187</v>
      </c>
      <c r="AF991" s="129">
        <v>0.979423868312757</v>
      </c>
      <c r="AG991" s="129">
        <v>0.983062709966405</v>
      </c>
      <c r="AH991" s="131">
        <v>0.92</v>
      </c>
      <c r="AI991" s="129">
        <v>0.781295487627365</v>
      </c>
      <c r="AJ991" s="129">
        <v>0.82230869001297</v>
      </c>
      <c r="AK991" s="129">
        <v>0.846604619096863</v>
      </c>
      <c r="AL991" s="129">
        <v>0.839807769323188</v>
      </c>
      <c r="AM991" s="128">
        <v>0.99</v>
      </c>
      <c r="AN991" s="133">
        <v>1</v>
      </c>
      <c r="AO991" s="133">
        <v>1</v>
      </c>
      <c r="AP991" s="133">
        <v>1</v>
      </c>
      <c r="AQ991" s="133">
        <v>1</v>
      </c>
      <c r="AR991" s="153">
        <v>0.0656418488929858</v>
      </c>
      <c r="AS991" s="137">
        <v>0</v>
      </c>
      <c r="AT991" s="137">
        <v>0</v>
      </c>
      <c r="AU991" s="137">
        <v>0</v>
      </c>
      <c r="AV991" s="137">
        <v>0.0666666666666667</v>
      </c>
      <c r="AW991" s="93"/>
      <c r="AX991" s="91"/>
    </row>
    <row r="992" ht="14.5" spans="1:50">
      <c r="A992" s="89"/>
      <c r="B992" s="93"/>
      <c r="C992" s="172" t="s">
        <v>922</v>
      </c>
      <c r="D992" s="126" t="s">
        <v>923</v>
      </c>
      <c r="E992" s="179" t="s">
        <v>1016</v>
      </c>
      <c r="F992" s="180" t="s">
        <v>1016</v>
      </c>
      <c r="G992" s="180" t="s">
        <v>1016</v>
      </c>
      <c r="H992" s="180" t="s">
        <v>1016</v>
      </c>
      <c r="I992" s="128">
        <v>0.9</v>
      </c>
      <c r="J992" s="129">
        <v>0.931818181818182</v>
      </c>
      <c r="K992" s="129">
        <v>0.923076923076923</v>
      </c>
      <c r="L992" s="130">
        <v>0.976744186046512</v>
      </c>
      <c r="M992" s="129">
        <v>0.954990215264188</v>
      </c>
      <c r="N992" s="131">
        <v>0.9</v>
      </c>
      <c r="O992" s="129">
        <v>0.98589928057554</v>
      </c>
      <c r="P992" s="129">
        <v>0.988434163701068</v>
      </c>
      <c r="Q992" s="129">
        <v>0.986326109391125</v>
      </c>
      <c r="R992" s="129">
        <v>0.982828568732899</v>
      </c>
      <c r="S992" s="131">
        <v>0.9</v>
      </c>
      <c r="T992" s="129">
        <v>0.922302158273381</v>
      </c>
      <c r="U992" s="129">
        <v>0.923932384341637</v>
      </c>
      <c r="V992" s="129">
        <v>0.87796697626419</v>
      </c>
      <c r="W992" s="129">
        <v>0.915676007170488</v>
      </c>
      <c r="X992" s="131">
        <v>0.92</v>
      </c>
      <c r="Y992" s="131">
        <v>0.916734693877551</v>
      </c>
      <c r="Z992" s="131">
        <v>0.901140684410646</v>
      </c>
      <c r="AA992" s="131">
        <v>0.917203311867525</v>
      </c>
      <c r="AB992" s="131">
        <v>0.905093475772606</v>
      </c>
      <c r="AC992" s="131">
        <v>0.92</v>
      </c>
      <c r="AD992" s="129">
        <v>0.998168498168498</v>
      </c>
      <c r="AE992" s="129">
        <v>0.977777777777778</v>
      </c>
      <c r="AF992" s="129">
        <v>0.985274431057564</v>
      </c>
      <c r="AG992" s="129">
        <v>0.990619469026549</v>
      </c>
      <c r="AH992" s="131">
        <v>0.92</v>
      </c>
      <c r="AI992" s="129">
        <v>0.955531914893617</v>
      </c>
      <c r="AJ992" s="129">
        <v>0.964311463590483</v>
      </c>
      <c r="AK992" s="129">
        <v>0.960104775337497</v>
      </c>
      <c r="AL992" s="129">
        <v>0.960707194856765</v>
      </c>
      <c r="AM992" s="128">
        <v>0.99</v>
      </c>
      <c r="AN992" s="133">
        <v>1</v>
      </c>
      <c r="AO992" s="133">
        <v>1</v>
      </c>
      <c r="AP992" s="133">
        <v>1</v>
      </c>
      <c r="AQ992" s="133">
        <v>1</v>
      </c>
      <c r="AR992" s="153">
        <v>0.0656418488929858</v>
      </c>
      <c r="AS992" s="137">
        <v>0</v>
      </c>
      <c r="AT992" s="137">
        <v>0.0434782608695652</v>
      </c>
      <c r="AU992" s="137">
        <v>0.15</v>
      </c>
      <c r="AV992" s="137">
        <v>0.0298507462686567</v>
      </c>
      <c r="AW992" s="93"/>
      <c r="AX992" s="91"/>
    </row>
    <row r="993" ht="14.5" spans="1:50">
      <c r="A993" s="89"/>
      <c r="B993" s="93"/>
      <c r="C993" s="172" t="s">
        <v>922</v>
      </c>
      <c r="D993" s="126" t="s">
        <v>923</v>
      </c>
      <c r="E993" s="183" t="s">
        <v>1017</v>
      </c>
      <c r="F993" s="184" t="s">
        <v>1017</v>
      </c>
      <c r="G993" s="184" t="s">
        <v>1017</v>
      </c>
      <c r="H993" s="184" t="s">
        <v>1017</v>
      </c>
      <c r="I993" s="128">
        <v>0.9</v>
      </c>
      <c r="J993" s="129">
        <v>0.948717948717949</v>
      </c>
      <c r="K993" s="129">
        <v>0.866666666666667</v>
      </c>
      <c r="L993" s="130">
        <v>0.945945945945946</v>
      </c>
      <c r="M993" s="129">
        <v>0.931764705882353</v>
      </c>
      <c r="N993" s="131">
        <v>0.9</v>
      </c>
      <c r="O993" s="129">
        <v>0.98572184029614</v>
      </c>
      <c r="P993" s="129">
        <v>0.977324263038549</v>
      </c>
      <c r="Q993" s="129">
        <v>0.98343618057811</v>
      </c>
      <c r="R993" s="129">
        <v>0.981853228693377</v>
      </c>
      <c r="S993" s="131">
        <v>0.9</v>
      </c>
      <c r="T993" s="129">
        <v>0.949497620306716</v>
      </c>
      <c r="U993" s="129">
        <v>0.9359410430839</v>
      </c>
      <c r="V993" s="129">
        <v>0.944462487820721</v>
      </c>
      <c r="W993" s="129">
        <v>0.941016109045849</v>
      </c>
      <c r="X993" s="131">
        <v>0.92</v>
      </c>
      <c r="Y993" s="131">
        <v>0.945919370698132</v>
      </c>
      <c r="Z993" s="131">
        <v>0.935672514619883</v>
      </c>
      <c r="AA993" s="131">
        <v>0.953451043338684</v>
      </c>
      <c r="AB993" s="131">
        <v>0.941440430783038</v>
      </c>
      <c r="AC993" s="131">
        <v>0.92</v>
      </c>
      <c r="AD993" s="129">
        <v>0.981831395348837</v>
      </c>
      <c r="AE993" s="129">
        <v>0.981228070175439</v>
      </c>
      <c r="AF993" s="129">
        <v>0.118717504332756</v>
      </c>
      <c r="AG993" s="129">
        <v>0.949906378425698</v>
      </c>
      <c r="AH993" s="131">
        <v>0.92</v>
      </c>
      <c r="AI993" s="129">
        <v>0.974369660345905</v>
      </c>
      <c r="AJ993" s="129">
        <v>0.956290849673203</v>
      </c>
      <c r="AK993" s="129">
        <v>0.972987574284171</v>
      </c>
      <c r="AL993" s="129">
        <v>0.970332051111995</v>
      </c>
      <c r="AM993" s="128">
        <v>0.99</v>
      </c>
      <c r="AN993" s="133">
        <v>1</v>
      </c>
      <c r="AO993" s="133">
        <v>1</v>
      </c>
      <c r="AP993" s="133">
        <v>1</v>
      </c>
      <c r="AQ993" s="133">
        <v>1</v>
      </c>
      <c r="AR993" s="153">
        <v>0.0656418488929858</v>
      </c>
      <c r="AS993" s="137">
        <v>0</v>
      </c>
      <c r="AT993" s="137">
        <v>0</v>
      </c>
      <c r="AU993" s="137">
        <v>0.157894736842105</v>
      </c>
      <c r="AV993" s="137">
        <v>0.032258064516129</v>
      </c>
      <c r="AW993" s="93"/>
      <c r="AX993" s="91"/>
    </row>
    <row r="994" ht="14.5" spans="1:50">
      <c r="A994" s="89"/>
      <c r="B994" s="93"/>
      <c r="C994" s="172" t="s">
        <v>922</v>
      </c>
      <c r="D994" s="126" t="s">
        <v>923</v>
      </c>
      <c r="E994" s="173" t="s">
        <v>1018</v>
      </c>
      <c r="F994" s="174" t="s">
        <v>1018</v>
      </c>
      <c r="G994" s="174" t="s">
        <v>1018</v>
      </c>
      <c r="H994" s="174" t="s">
        <v>1018</v>
      </c>
      <c r="I994" s="128">
        <v>0.9</v>
      </c>
      <c r="J994" s="129">
        <v>0.863636363636364</v>
      </c>
      <c r="K994" s="129">
        <v>0.904761904761905</v>
      </c>
      <c r="L994" s="130">
        <v>0.818181818181818</v>
      </c>
      <c r="M994" s="129">
        <v>0.853281853281853</v>
      </c>
      <c r="N994" s="131">
        <v>0.9</v>
      </c>
      <c r="O994" s="129">
        <v>0.904606793857608</v>
      </c>
      <c r="P994" s="129">
        <v>0.934179222839017</v>
      </c>
      <c r="Q994" s="129">
        <v>0.873626373626374</v>
      </c>
      <c r="R994" s="129">
        <v>0.86498753117207</v>
      </c>
      <c r="S994" s="131">
        <v>0.9</v>
      </c>
      <c r="T994" s="129">
        <v>0.908329455560726</v>
      </c>
      <c r="U994" s="129">
        <v>0.951625693893735</v>
      </c>
      <c r="V994" s="129">
        <v>0.880952380952381</v>
      </c>
      <c r="W994" s="129">
        <v>0.892369077306733</v>
      </c>
      <c r="X994" s="131">
        <v>0.92</v>
      </c>
      <c r="Y994" s="131">
        <v>0.846410684474123</v>
      </c>
      <c r="Z994" s="131">
        <v>0.791348600508906</v>
      </c>
      <c r="AA994" s="131">
        <v>0.727064220183486</v>
      </c>
      <c r="AB994" s="131">
        <v>0.739767179872324</v>
      </c>
      <c r="AC994" s="131">
        <v>0.92</v>
      </c>
      <c r="AD994" s="129">
        <v>0.992561105207226</v>
      </c>
      <c r="AE994" s="129">
        <v>0.96017316017316</v>
      </c>
      <c r="AF994" s="129">
        <v>0.642079806529625</v>
      </c>
      <c r="AG994" s="129">
        <v>0.881747688637041</v>
      </c>
      <c r="AH994" s="131">
        <v>0.92</v>
      </c>
      <c r="AI994" s="129">
        <v>0.945050946142649</v>
      </c>
      <c r="AJ994" s="129">
        <v>0.93409915356711</v>
      </c>
      <c r="AK994" s="129">
        <v>0.922372227579556</v>
      </c>
      <c r="AL994" s="129">
        <v>0.921149071994326</v>
      </c>
      <c r="AM994" s="128">
        <v>0.99</v>
      </c>
      <c r="AN994" s="133">
        <v>1</v>
      </c>
      <c r="AO994" s="133">
        <v>1</v>
      </c>
      <c r="AP994" s="133">
        <v>1</v>
      </c>
      <c r="AQ994" s="133">
        <v>1</v>
      </c>
      <c r="AR994" s="153">
        <v>0.0656418488929858</v>
      </c>
      <c r="AS994" s="137">
        <v>0.0645161290322581</v>
      </c>
      <c r="AT994" s="137">
        <v>0</v>
      </c>
      <c r="AU994" s="137">
        <v>0.0869565217391304</v>
      </c>
      <c r="AV994" s="137">
        <v>0.03125</v>
      </c>
      <c r="AW994" s="93"/>
      <c r="AX994" s="91"/>
    </row>
    <row r="995" ht="14.5" spans="1:50">
      <c r="A995" s="89"/>
      <c r="B995" s="93"/>
      <c r="C995" s="172" t="s">
        <v>922</v>
      </c>
      <c r="D995" s="126" t="s">
        <v>923</v>
      </c>
      <c r="E995" s="173" t="s">
        <v>1019</v>
      </c>
      <c r="F995" s="174" t="s">
        <v>1019</v>
      </c>
      <c r="G995" s="174" t="s">
        <v>1019</v>
      </c>
      <c r="H995" s="174" t="s">
        <v>1019</v>
      </c>
      <c r="I995" s="128">
        <v>0.9</v>
      </c>
      <c r="J995" s="129">
        <v>1</v>
      </c>
      <c r="K995" s="129">
        <v>0.947368421052632</v>
      </c>
      <c r="L995" s="130">
        <v>0.9</v>
      </c>
      <c r="M995" s="129">
        <v>0.942622950819672</v>
      </c>
      <c r="N995" s="131">
        <v>0.9</v>
      </c>
      <c r="O995" s="129">
        <v>0.983074753173484</v>
      </c>
      <c r="P995" s="129">
        <v>0.975074775672981</v>
      </c>
      <c r="Q995" s="129">
        <v>0.971714790807307</v>
      </c>
      <c r="R995" s="129">
        <v>0.928953626634958</v>
      </c>
      <c r="S995" s="131">
        <v>0.9</v>
      </c>
      <c r="T995" s="129">
        <v>0.94875411377527</v>
      </c>
      <c r="U995" s="129">
        <v>0.930209371884347</v>
      </c>
      <c r="V995" s="129">
        <v>0.923983500294638</v>
      </c>
      <c r="W995" s="129">
        <v>0.913099484740388</v>
      </c>
      <c r="X995" s="131">
        <v>0.92</v>
      </c>
      <c r="Y995" s="131">
        <v>0.895027624309392</v>
      </c>
      <c r="Z995" s="131">
        <v>0.925</v>
      </c>
      <c r="AA995" s="131">
        <v>0.918994413407821</v>
      </c>
      <c r="AB995" s="131">
        <v>0.916819571865443</v>
      </c>
      <c r="AC995" s="131">
        <v>0.92</v>
      </c>
      <c r="AD995" s="129">
        <v>0.86986301369863</v>
      </c>
      <c r="AE995" s="129">
        <v>0.870748299319728</v>
      </c>
      <c r="AF995" s="129">
        <v>0.830242510699001</v>
      </c>
      <c r="AG995" s="129">
        <v>0.806607250552838</v>
      </c>
      <c r="AH995" s="131">
        <v>0.92</v>
      </c>
      <c r="AI995" s="129">
        <v>0.952808988764045</v>
      </c>
      <c r="AJ995" s="129">
        <v>0.949376375641966</v>
      </c>
      <c r="AK995" s="129">
        <v>0.955868089233754</v>
      </c>
      <c r="AL995" s="129">
        <v>0.957785742731979</v>
      </c>
      <c r="AM995" s="128">
        <v>0.99</v>
      </c>
      <c r="AN995" s="133">
        <v>1</v>
      </c>
      <c r="AO995" s="133">
        <v>1</v>
      </c>
      <c r="AP995" s="133">
        <v>1</v>
      </c>
      <c r="AQ995" s="133">
        <v>1</v>
      </c>
      <c r="AR995" s="153">
        <v>0.0656418488929858</v>
      </c>
      <c r="AS995" s="137">
        <v>0.04</v>
      </c>
      <c r="AT995" s="137">
        <v>0.0454545454545455</v>
      </c>
      <c r="AU995" s="137">
        <v>0.222222222222222</v>
      </c>
      <c r="AV995" s="137">
        <v>0.0481481481481481</v>
      </c>
      <c r="AW995" s="93"/>
      <c r="AX995" s="91"/>
    </row>
    <row r="996" ht="14.5" spans="1:50">
      <c r="A996" s="89"/>
      <c r="B996" s="93"/>
      <c r="C996" s="172" t="s">
        <v>922</v>
      </c>
      <c r="D996" s="126" t="s">
        <v>923</v>
      </c>
      <c r="E996" s="183" t="s">
        <v>1020</v>
      </c>
      <c r="F996" s="184" t="s">
        <v>1020</v>
      </c>
      <c r="G996" s="184" t="s">
        <v>1020</v>
      </c>
      <c r="H996" s="184" t="s">
        <v>1020</v>
      </c>
      <c r="I996" s="128">
        <v>0.9</v>
      </c>
      <c r="J996" s="129">
        <v>0.818181818181818</v>
      </c>
      <c r="K996" s="129">
        <v>0.9</v>
      </c>
      <c r="L996" s="130">
        <v>0.8</v>
      </c>
      <c r="M996" s="129">
        <v>0.753968253968254</v>
      </c>
      <c r="N996" s="131">
        <v>0.9</v>
      </c>
      <c r="O996" s="129">
        <v>0.962480857580398</v>
      </c>
      <c r="P996" s="129">
        <v>0.930921052631579</v>
      </c>
      <c r="Q996" s="129">
        <v>0.922685656154629</v>
      </c>
      <c r="R996" s="129">
        <v>0.941865472396865</v>
      </c>
      <c r="S996" s="131">
        <v>0.9</v>
      </c>
      <c r="T996" s="129">
        <v>0.915007656967841</v>
      </c>
      <c r="U996" s="129">
        <v>0.904605263157895</v>
      </c>
      <c r="V996" s="129">
        <v>0.90233977619532</v>
      </c>
      <c r="W996" s="129">
        <v>0.918956162259926</v>
      </c>
      <c r="X996" s="131">
        <v>0.92</v>
      </c>
      <c r="Y996" s="131">
        <v>0.897196261682243</v>
      </c>
      <c r="Z996" s="131">
        <v>0.885321100917431</v>
      </c>
      <c r="AA996" s="131">
        <v>0.865979381443299</v>
      </c>
      <c r="AB996" s="131">
        <v>0.874914089347079</v>
      </c>
      <c r="AC996" s="131">
        <v>0.92</v>
      </c>
      <c r="AD996" s="129">
        <v>0.986577181208054</v>
      </c>
      <c r="AE996" s="129">
        <v>0.871287128712871</v>
      </c>
      <c r="AF996" s="129">
        <v>0.71875</v>
      </c>
      <c r="AG996" s="129">
        <v>0.861317567567568</v>
      </c>
      <c r="AH996" s="131">
        <v>0.92</v>
      </c>
      <c r="AI996" s="129">
        <v>0.933620159803319</v>
      </c>
      <c r="AJ996" s="129">
        <v>0.935835351089588</v>
      </c>
      <c r="AK996" s="129">
        <v>0.940526762956669</v>
      </c>
      <c r="AL996" s="129">
        <v>0.948212932993595</v>
      </c>
      <c r="AM996" s="128">
        <v>0.99</v>
      </c>
      <c r="AN996" s="133">
        <v>1</v>
      </c>
      <c r="AO996" s="133">
        <v>1</v>
      </c>
      <c r="AP996" s="133">
        <v>1</v>
      </c>
      <c r="AQ996" s="133">
        <v>1</v>
      </c>
      <c r="AR996" s="153">
        <v>0.0656418488929858</v>
      </c>
      <c r="AS996" s="137">
        <v>0</v>
      </c>
      <c r="AT996" s="137">
        <v>0.0714285714285714</v>
      </c>
      <c r="AU996" s="137">
        <v>0</v>
      </c>
      <c r="AV996" s="137">
        <v>0.0342465753424658</v>
      </c>
      <c r="AW996" s="93"/>
      <c r="AX996" s="91"/>
    </row>
    <row r="997" ht="14.5" spans="1:50">
      <c r="A997" s="89"/>
      <c r="B997" s="93"/>
      <c r="C997" s="172" t="s">
        <v>922</v>
      </c>
      <c r="D997" s="126" t="s">
        <v>923</v>
      </c>
      <c r="E997" s="173" t="s">
        <v>1021</v>
      </c>
      <c r="F997" s="174" t="s">
        <v>1021</v>
      </c>
      <c r="G997" s="174" t="s">
        <v>1021</v>
      </c>
      <c r="H997" s="174" t="s">
        <v>1021</v>
      </c>
      <c r="I997" s="128">
        <v>0.9</v>
      </c>
      <c r="J997" s="129" t="s">
        <v>33</v>
      </c>
      <c r="K997" s="129" t="s">
        <v>33</v>
      </c>
      <c r="L997" s="130" t="s">
        <v>33</v>
      </c>
      <c r="M997" s="129" t="s">
        <v>33</v>
      </c>
      <c r="N997" s="131">
        <v>0.9</v>
      </c>
      <c r="O997" s="129">
        <v>0</v>
      </c>
      <c r="P997" s="129" t="s">
        <v>33</v>
      </c>
      <c r="Q997" s="129" t="s">
        <v>33</v>
      </c>
      <c r="R997" s="129">
        <v>0</v>
      </c>
      <c r="S997" s="131">
        <v>0.9</v>
      </c>
      <c r="T997" s="129">
        <v>0.6</v>
      </c>
      <c r="U997" s="129" t="s">
        <v>33</v>
      </c>
      <c r="V997" s="129" t="s">
        <v>33</v>
      </c>
      <c r="W997" s="129">
        <v>0.6</v>
      </c>
      <c r="X997" s="131">
        <v>0.92</v>
      </c>
      <c r="Y997" s="131">
        <v>0</v>
      </c>
      <c r="Z997" s="131" t="s">
        <v>33</v>
      </c>
      <c r="AA997" s="131" t="s">
        <v>33</v>
      </c>
      <c r="AB997" s="131">
        <v>0</v>
      </c>
      <c r="AC997" s="131">
        <v>0.92</v>
      </c>
      <c r="AD997" s="129">
        <v>0.885608856088561</v>
      </c>
      <c r="AE997" s="129">
        <v>0.87260034904014</v>
      </c>
      <c r="AF997" s="129">
        <v>0.198501872659176</v>
      </c>
      <c r="AG997" s="129">
        <v>0.788549770596449</v>
      </c>
      <c r="AH997" s="131">
        <v>0.92</v>
      </c>
      <c r="AI997" s="129">
        <v>0.666666666666667</v>
      </c>
      <c r="AJ997" s="129" t="s">
        <v>33</v>
      </c>
      <c r="AK997" s="129" t="s">
        <v>33</v>
      </c>
      <c r="AL997" s="129">
        <v>0.666666666666667</v>
      </c>
      <c r="AM997" s="128">
        <v>0.99</v>
      </c>
      <c r="AN997" s="133">
        <v>1</v>
      </c>
      <c r="AO997" s="133">
        <v>1</v>
      </c>
      <c r="AP997" s="133">
        <v>1</v>
      </c>
      <c r="AQ997" s="133">
        <v>1</v>
      </c>
      <c r="AR997" s="153">
        <v>0.0656418488929858</v>
      </c>
      <c r="AS997" s="137" t="s">
        <v>33</v>
      </c>
      <c r="AT997" s="137" t="s">
        <v>33</v>
      </c>
      <c r="AU997" s="137" t="s">
        <v>33</v>
      </c>
      <c r="AV997" s="137" t="s">
        <v>33</v>
      </c>
      <c r="AW997" s="93"/>
      <c r="AX997" s="91"/>
    </row>
    <row r="998" ht="14.5" spans="1:50">
      <c r="A998" s="89"/>
      <c r="B998" s="93"/>
      <c r="C998" s="172" t="s">
        <v>922</v>
      </c>
      <c r="D998" s="126" t="s">
        <v>923</v>
      </c>
      <c r="E998" s="173" t="s">
        <v>1022</v>
      </c>
      <c r="F998" s="174" t="s">
        <v>1022</v>
      </c>
      <c r="G998" s="174" t="s">
        <v>1022</v>
      </c>
      <c r="H998" s="174" t="s">
        <v>1022</v>
      </c>
      <c r="I998" s="128">
        <v>0.9</v>
      </c>
      <c r="J998" s="129">
        <v>0.871794871794872</v>
      </c>
      <c r="K998" s="129">
        <v>1</v>
      </c>
      <c r="L998" s="130">
        <v>0.894736842105263</v>
      </c>
      <c r="M998" s="129">
        <v>0.828125</v>
      </c>
      <c r="N998" s="131">
        <v>0.9</v>
      </c>
      <c r="O998" s="129">
        <v>0.971406882591093</v>
      </c>
      <c r="P998" s="129">
        <v>0.914947156517363</v>
      </c>
      <c r="Q998" s="129">
        <v>0.931722393930879</v>
      </c>
      <c r="R998" s="129">
        <v>0.935758692148285</v>
      </c>
      <c r="S998" s="131">
        <v>0.9</v>
      </c>
      <c r="T998" s="129">
        <v>0.90662955465587</v>
      </c>
      <c r="U998" s="129">
        <v>0.906391545042778</v>
      </c>
      <c r="V998" s="129">
        <v>0.883675189660017</v>
      </c>
      <c r="W998" s="129">
        <v>0.86317061938752</v>
      </c>
      <c r="X998" s="131">
        <v>0.92</v>
      </c>
      <c r="Y998" s="131">
        <v>0.889679715302491</v>
      </c>
      <c r="Z998" s="131">
        <v>0.857997010463378</v>
      </c>
      <c r="AA998" s="131">
        <v>0.921015514809591</v>
      </c>
      <c r="AB998" s="131">
        <v>0.886555607695917</v>
      </c>
      <c r="AC998" s="131">
        <v>0.92</v>
      </c>
      <c r="AD998" s="129">
        <v>0.96932347302109</v>
      </c>
      <c r="AE998" s="129">
        <v>0.97679012345679</v>
      </c>
      <c r="AF998" s="129">
        <v>0.92945109078114</v>
      </c>
      <c r="AG998" s="129">
        <v>0.921285985031887</v>
      </c>
      <c r="AH998" s="131">
        <v>0.92</v>
      </c>
      <c r="AI998" s="129">
        <v>0.938188976377953</v>
      </c>
      <c r="AJ998" s="129">
        <v>0.928114414753481</v>
      </c>
      <c r="AK998" s="129">
        <v>0.949168423518388</v>
      </c>
      <c r="AL998" s="129">
        <v>0.938788228505482</v>
      </c>
      <c r="AM998" s="128">
        <v>0.99</v>
      </c>
      <c r="AN998" s="133">
        <v>1</v>
      </c>
      <c r="AO998" s="133">
        <v>1</v>
      </c>
      <c r="AP998" s="133">
        <v>1</v>
      </c>
      <c r="AQ998" s="133">
        <v>1</v>
      </c>
      <c r="AR998" s="153">
        <v>0.0656418488929858</v>
      </c>
      <c r="AS998" s="137">
        <v>0.0277777777777778</v>
      </c>
      <c r="AT998" s="137">
        <v>0.125</v>
      </c>
      <c r="AU998" s="137">
        <v>0.075</v>
      </c>
      <c r="AV998" s="137">
        <v>0.0340264650283554</v>
      </c>
      <c r="AW998" s="93"/>
      <c r="AX998" s="91"/>
    </row>
    <row r="999" ht="14.5" spans="1:50">
      <c r="A999" s="89"/>
      <c r="B999" s="93"/>
      <c r="C999" s="172" t="s">
        <v>922</v>
      </c>
      <c r="D999" s="126" t="s">
        <v>923</v>
      </c>
      <c r="E999" s="173" t="s">
        <v>1023</v>
      </c>
      <c r="F999" s="174" t="s">
        <v>1023</v>
      </c>
      <c r="G999" s="174" t="s">
        <v>1023</v>
      </c>
      <c r="H999" s="174" t="s">
        <v>1023</v>
      </c>
      <c r="I999" s="128">
        <v>0.9</v>
      </c>
      <c r="J999" s="129" t="s">
        <v>33</v>
      </c>
      <c r="K999" s="129" t="s">
        <v>33</v>
      </c>
      <c r="L999" s="130" t="s">
        <v>33</v>
      </c>
      <c r="M999" s="129" t="s">
        <v>33</v>
      </c>
      <c r="N999" s="131">
        <v>0.9</v>
      </c>
      <c r="O999" s="129" t="s">
        <v>33</v>
      </c>
      <c r="P999" s="129" t="s">
        <v>33</v>
      </c>
      <c r="Q999" s="129">
        <v>0</v>
      </c>
      <c r="R999" s="129">
        <v>0</v>
      </c>
      <c r="S999" s="131">
        <v>0.9</v>
      </c>
      <c r="T999" s="129" t="s">
        <v>33</v>
      </c>
      <c r="U999" s="129" t="s">
        <v>33</v>
      </c>
      <c r="V999" s="129">
        <v>1</v>
      </c>
      <c r="W999" s="129">
        <v>1</v>
      </c>
      <c r="X999" s="131">
        <v>0.92</v>
      </c>
      <c r="Y999" s="131" t="s">
        <v>33</v>
      </c>
      <c r="Z999" s="131" t="s">
        <v>33</v>
      </c>
      <c r="AA999" s="131" t="s">
        <v>33</v>
      </c>
      <c r="AB999" s="131" t="s">
        <v>33</v>
      </c>
      <c r="AC999" s="131">
        <v>0.92</v>
      </c>
      <c r="AD999" s="129">
        <v>0.989473684210526</v>
      </c>
      <c r="AE999" s="129">
        <v>0.974789915966387</v>
      </c>
      <c r="AF999" s="129">
        <v>0.951807228915663</v>
      </c>
      <c r="AG999" s="129">
        <v>0.895157264103844</v>
      </c>
      <c r="AH999" s="131">
        <v>0.92</v>
      </c>
      <c r="AI999" s="129" t="s">
        <v>33</v>
      </c>
      <c r="AJ999" s="129" t="s">
        <v>33</v>
      </c>
      <c r="AK999" s="129">
        <v>1</v>
      </c>
      <c r="AL999" s="129">
        <v>1</v>
      </c>
      <c r="AM999" s="128">
        <v>0.99</v>
      </c>
      <c r="AN999" s="133">
        <v>1</v>
      </c>
      <c r="AO999" s="133">
        <v>1</v>
      </c>
      <c r="AP999" s="133">
        <v>1</v>
      </c>
      <c r="AQ999" s="133">
        <v>1</v>
      </c>
      <c r="AR999" s="153">
        <v>0.0656418488929858</v>
      </c>
      <c r="AS999" s="137" t="s">
        <v>33</v>
      </c>
      <c r="AT999" s="137" t="s">
        <v>33</v>
      </c>
      <c r="AU999" s="137" t="s">
        <v>33</v>
      </c>
      <c r="AV999" s="137" t="s">
        <v>33</v>
      </c>
      <c r="AW999" s="93"/>
      <c r="AX999" s="91"/>
    </row>
    <row r="1000" ht="14.5" spans="1:50">
      <c r="A1000" s="89"/>
      <c r="B1000" s="93"/>
      <c r="C1000" s="172" t="s">
        <v>922</v>
      </c>
      <c r="D1000" s="126" t="s">
        <v>923</v>
      </c>
      <c r="E1000" s="173" t="s">
        <v>1024</v>
      </c>
      <c r="F1000" s="174" t="s">
        <v>1024</v>
      </c>
      <c r="G1000" s="174" t="s">
        <v>1024</v>
      </c>
      <c r="H1000" s="174" t="s">
        <v>1024</v>
      </c>
      <c r="I1000" s="128">
        <v>0.9</v>
      </c>
      <c r="J1000" s="129" t="s">
        <v>33</v>
      </c>
      <c r="K1000" s="129" t="s">
        <v>33</v>
      </c>
      <c r="L1000" s="130" t="s">
        <v>33</v>
      </c>
      <c r="M1000" s="129">
        <v>1</v>
      </c>
      <c r="N1000" s="131">
        <v>0.9</v>
      </c>
      <c r="O1000" s="129">
        <v>0.0355329949238579</v>
      </c>
      <c r="P1000" s="129">
        <v>0.00476190476190476</v>
      </c>
      <c r="Q1000" s="129">
        <v>0.394321766561514</v>
      </c>
      <c r="R1000" s="129">
        <v>0.373028530923268</v>
      </c>
      <c r="S1000" s="131">
        <v>0.9</v>
      </c>
      <c r="T1000" s="129">
        <v>0.99492385786802</v>
      </c>
      <c r="U1000" s="129">
        <v>1</v>
      </c>
      <c r="V1000" s="129">
        <v>0.996845425867508</v>
      </c>
      <c r="W1000" s="129">
        <v>0.961545277334751</v>
      </c>
      <c r="X1000" s="131">
        <v>0.92</v>
      </c>
      <c r="Y1000" s="131">
        <v>1</v>
      </c>
      <c r="Z1000" s="131">
        <v>1</v>
      </c>
      <c r="AA1000" s="131">
        <v>1</v>
      </c>
      <c r="AB1000" s="131">
        <v>0.961940298507463</v>
      </c>
      <c r="AC1000" s="131">
        <v>0.92</v>
      </c>
      <c r="AD1000" s="129">
        <v>0.833333333333333</v>
      </c>
      <c r="AE1000" s="129">
        <v>1</v>
      </c>
      <c r="AF1000" s="129">
        <v>0.875</v>
      </c>
      <c r="AG1000" s="129">
        <v>0.953446075303127</v>
      </c>
      <c r="AH1000" s="131">
        <v>0.92</v>
      </c>
      <c r="AI1000" s="129">
        <v>1</v>
      </c>
      <c r="AJ1000" s="129">
        <v>1</v>
      </c>
      <c r="AK1000" s="129">
        <v>0.997101449275362</v>
      </c>
      <c r="AL1000" s="129">
        <v>0.982012847965739</v>
      </c>
      <c r="AM1000" s="128">
        <v>0.99</v>
      </c>
      <c r="AN1000" s="133">
        <v>1</v>
      </c>
      <c r="AO1000" s="133" t="s">
        <v>33</v>
      </c>
      <c r="AP1000" s="133" t="s">
        <v>33</v>
      </c>
      <c r="AQ1000" s="133">
        <v>1</v>
      </c>
      <c r="AR1000" s="153">
        <v>0.0656418488929858</v>
      </c>
      <c r="AS1000" s="137" t="s">
        <v>33</v>
      </c>
      <c r="AT1000" s="137">
        <v>0</v>
      </c>
      <c r="AU1000" s="137" t="s">
        <v>33</v>
      </c>
      <c r="AV1000" s="137">
        <v>0.0454545454545455</v>
      </c>
      <c r="AW1000" s="93"/>
      <c r="AX1000" s="91"/>
    </row>
    <row r="1001" ht="14.5" spans="1:50">
      <c r="A1001" s="89"/>
      <c r="B1001" s="93"/>
      <c r="C1001" s="172" t="s">
        <v>922</v>
      </c>
      <c r="D1001" s="126" t="s">
        <v>923</v>
      </c>
      <c r="E1001" s="173" t="s">
        <v>1025</v>
      </c>
      <c r="F1001" s="174" t="s">
        <v>1025</v>
      </c>
      <c r="G1001" s="174" t="s">
        <v>1025</v>
      </c>
      <c r="H1001" s="174" t="s">
        <v>1025</v>
      </c>
      <c r="I1001" s="128">
        <v>0.9</v>
      </c>
      <c r="J1001" s="129">
        <v>1</v>
      </c>
      <c r="K1001" s="129">
        <v>0.9375</v>
      </c>
      <c r="L1001" s="130">
        <v>1</v>
      </c>
      <c r="M1001" s="129">
        <v>0.950892857142857</v>
      </c>
      <c r="N1001" s="131">
        <v>0.9</v>
      </c>
      <c r="O1001" s="129">
        <v>0.76760815159099</v>
      </c>
      <c r="P1001" s="129">
        <v>0.911052975801177</v>
      </c>
      <c r="Q1001" s="129">
        <v>0.922437673130194</v>
      </c>
      <c r="R1001" s="129">
        <v>0.85424696116217</v>
      </c>
      <c r="S1001" s="131">
        <v>0.9</v>
      </c>
      <c r="T1001" s="129">
        <v>0.917769038255274</v>
      </c>
      <c r="U1001" s="129">
        <v>0.921517331589274</v>
      </c>
      <c r="V1001" s="129">
        <v>0.934705184012663</v>
      </c>
      <c r="W1001" s="129">
        <v>0.922546694337385</v>
      </c>
      <c r="X1001" s="131">
        <v>0.92</v>
      </c>
      <c r="Y1001" s="131">
        <v>0.936969696969697</v>
      </c>
      <c r="Z1001" s="131">
        <v>0.923791821561338</v>
      </c>
      <c r="AA1001" s="131">
        <v>0.938914027149321</v>
      </c>
      <c r="AB1001" s="131">
        <v>0.93181486348372</v>
      </c>
      <c r="AC1001" s="131">
        <v>0.92</v>
      </c>
      <c r="AD1001" s="129">
        <v>0.981593512678594</v>
      </c>
      <c r="AE1001" s="129">
        <v>0.988526505896101</v>
      </c>
      <c r="AF1001" s="129">
        <v>0.949862005519779</v>
      </c>
      <c r="AG1001" s="129">
        <v>0.972172120587477</v>
      </c>
      <c r="AH1001" s="131">
        <v>0.92</v>
      </c>
      <c r="AI1001" s="129">
        <v>0.964965517241379</v>
      </c>
      <c r="AJ1001" s="129">
        <v>0.96042471042471</v>
      </c>
      <c r="AK1001" s="129">
        <v>0.974755974419387</v>
      </c>
      <c r="AL1001" s="129">
        <v>0.967140031295208</v>
      </c>
      <c r="AM1001" s="128">
        <v>0.99</v>
      </c>
      <c r="AN1001" s="133">
        <v>1</v>
      </c>
      <c r="AO1001" s="133">
        <v>1</v>
      </c>
      <c r="AP1001" s="133">
        <v>1</v>
      </c>
      <c r="AQ1001" s="133">
        <v>1</v>
      </c>
      <c r="AR1001" s="153">
        <v>0.0656418488929858</v>
      </c>
      <c r="AS1001" s="137">
        <v>0.0338983050847458</v>
      </c>
      <c r="AT1001" s="137">
        <v>0.0444444444444444</v>
      </c>
      <c r="AU1001" s="137">
        <v>0.037037037037037</v>
      </c>
      <c r="AV1001" s="137">
        <v>0.03003003003003</v>
      </c>
      <c r="AW1001" s="93"/>
      <c r="AX1001" s="91"/>
    </row>
    <row r="1002" ht="14.5" spans="1:50">
      <c r="A1002" s="89"/>
      <c r="B1002" s="93"/>
      <c r="C1002" s="172" t="s">
        <v>922</v>
      </c>
      <c r="D1002" s="126" t="s">
        <v>923</v>
      </c>
      <c r="E1002" s="183" t="s">
        <v>1026</v>
      </c>
      <c r="F1002" s="184" t="s">
        <v>1026</v>
      </c>
      <c r="G1002" s="184" t="s">
        <v>1026</v>
      </c>
      <c r="H1002" s="184" t="s">
        <v>1026</v>
      </c>
      <c r="I1002" s="128">
        <v>0.9</v>
      </c>
      <c r="J1002" s="129" t="s">
        <v>33</v>
      </c>
      <c r="K1002" s="129" t="s">
        <v>33</v>
      </c>
      <c r="L1002" s="130" t="s">
        <v>33</v>
      </c>
      <c r="M1002" s="129" t="s">
        <v>33</v>
      </c>
      <c r="N1002" s="131">
        <v>0.9</v>
      </c>
      <c r="O1002" s="129">
        <v>0</v>
      </c>
      <c r="P1002" s="129">
        <v>0</v>
      </c>
      <c r="Q1002" s="129" t="s">
        <v>33</v>
      </c>
      <c r="R1002" s="129">
        <v>0</v>
      </c>
      <c r="S1002" s="131">
        <v>0.9</v>
      </c>
      <c r="T1002" s="129">
        <v>1</v>
      </c>
      <c r="U1002" s="129">
        <v>1</v>
      </c>
      <c r="V1002" s="129" t="s">
        <v>33</v>
      </c>
      <c r="W1002" s="129">
        <v>0.6</v>
      </c>
      <c r="X1002" s="131">
        <v>0.92</v>
      </c>
      <c r="Y1002" s="131" t="s">
        <v>33</v>
      </c>
      <c r="Z1002" s="131" t="s">
        <v>33</v>
      </c>
      <c r="AA1002" s="131" t="s">
        <v>33</v>
      </c>
      <c r="AB1002" s="131">
        <v>0</v>
      </c>
      <c r="AC1002" s="131">
        <v>0.92</v>
      </c>
      <c r="AD1002" s="129">
        <v>0.996447602131439</v>
      </c>
      <c r="AE1002" s="129">
        <v>0.93621867881549</v>
      </c>
      <c r="AF1002" s="129">
        <v>0.878186968838527</v>
      </c>
      <c r="AG1002" s="129">
        <v>0.935779816513762</v>
      </c>
      <c r="AH1002" s="131">
        <v>0.92</v>
      </c>
      <c r="AI1002" s="129">
        <v>1</v>
      </c>
      <c r="AJ1002" s="129">
        <v>1</v>
      </c>
      <c r="AK1002" s="129" t="s">
        <v>33</v>
      </c>
      <c r="AL1002" s="129">
        <v>0.571428571428571</v>
      </c>
      <c r="AM1002" s="128">
        <v>0.99</v>
      </c>
      <c r="AN1002" s="133">
        <v>1</v>
      </c>
      <c r="AO1002" s="133">
        <v>1</v>
      </c>
      <c r="AP1002" s="133" t="s">
        <v>33</v>
      </c>
      <c r="AQ1002" s="133">
        <v>1</v>
      </c>
      <c r="AR1002" s="153">
        <v>0.0656418488929858</v>
      </c>
      <c r="AS1002" s="137" t="s">
        <v>33</v>
      </c>
      <c r="AT1002" s="137" t="s">
        <v>33</v>
      </c>
      <c r="AU1002" s="137" t="s">
        <v>33</v>
      </c>
      <c r="AV1002" s="137" t="s">
        <v>33</v>
      </c>
      <c r="AW1002" s="93"/>
      <c r="AX1002" s="91"/>
    </row>
    <row r="1003" ht="14.5" spans="1:50">
      <c r="A1003" s="89"/>
      <c r="B1003" s="93"/>
      <c r="C1003" s="172" t="s">
        <v>922</v>
      </c>
      <c r="D1003" s="126" t="s">
        <v>923</v>
      </c>
      <c r="E1003" s="183" t="s">
        <v>1027</v>
      </c>
      <c r="F1003" s="184" t="s">
        <v>1027</v>
      </c>
      <c r="G1003" s="184" t="s">
        <v>1027</v>
      </c>
      <c r="H1003" s="184" t="s">
        <v>1027</v>
      </c>
      <c r="I1003" s="128">
        <v>0.9</v>
      </c>
      <c r="J1003" s="129">
        <v>0.75</v>
      </c>
      <c r="K1003" s="129">
        <v>0.769230769230769</v>
      </c>
      <c r="L1003" s="130">
        <v>0.6875</v>
      </c>
      <c r="M1003" s="129">
        <v>0.755434782608696</v>
      </c>
      <c r="N1003" s="131">
        <v>0.9</v>
      </c>
      <c r="O1003" s="129">
        <v>0.987692307692308</v>
      </c>
      <c r="P1003" s="129">
        <v>0.987635239567233</v>
      </c>
      <c r="Q1003" s="129">
        <v>0.973811833171678</v>
      </c>
      <c r="R1003" s="129">
        <v>0.979760734185513</v>
      </c>
      <c r="S1003" s="131">
        <v>0.9</v>
      </c>
      <c r="T1003" s="129">
        <v>0.914615384615385</v>
      </c>
      <c r="U1003" s="129">
        <v>0.931993817619784</v>
      </c>
      <c r="V1003" s="129">
        <v>0.841901066925315</v>
      </c>
      <c r="W1003" s="129">
        <v>0.871189773844641</v>
      </c>
      <c r="X1003" s="131">
        <v>0.92</v>
      </c>
      <c r="Y1003" s="131">
        <v>0.86046511627907</v>
      </c>
      <c r="Z1003" s="131">
        <v>0.717842323651452</v>
      </c>
      <c r="AA1003" s="131">
        <v>0.826666666666667</v>
      </c>
      <c r="AB1003" s="131">
        <v>0.71216521458535</v>
      </c>
      <c r="AC1003" s="131">
        <v>0.92</v>
      </c>
      <c r="AD1003" s="129">
        <v>0.986238532110092</v>
      </c>
      <c r="AE1003" s="129">
        <v>0.83920704845815</v>
      </c>
      <c r="AF1003" s="129">
        <v>0.940460081190798</v>
      </c>
      <c r="AG1003" s="129">
        <v>0.897718048164517</v>
      </c>
      <c r="AH1003" s="131">
        <v>0.92</v>
      </c>
      <c r="AI1003" s="129">
        <v>0.942822384428224</v>
      </c>
      <c r="AJ1003" s="129">
        <v>0.900900900900901</v>
      </c>
      <c r="AK1003" s="129">
        <v>0.948248407643312</v>
      </c>
      <c r="AL1003" s="129">
        <v>0.908847360167277</v>
      </c>
      <c r="AM1003" s="128">
        <v>0.99</v>
      </c>
      <c r="AN1003" s="133">
        <v>1</v>
      </c>
      <c r="AO1003" s="133">
        <v>1</v>
      </c>
      <c r="AP1003" s="133">
        <v>1</v>
      </c>
      <c r="AQ1003" s="133">
        <v>1</v>
      </c>
      <c r="AR1003" s="153">
        <v>0.0656418488929858</v>
      </c>
      <c r="AS1003" s="137">
        <v>0</v>
      </c>
      <c r="AT1003" s="137">
        <v>0.125</v>
      </c>
      <c r="AU1003" s="137">
        <v>0</v>
      </c>
      <c r="AV1003" s="137">
        <v>0.0348837209302326</v>
      </c>
      <c r="AW1003" s="93"/>
      <c r="AX1003" s="91"/>
    </row>
    <row r="1004" ht="14.5" spans="1:50">
      <c r="A1004" s="89"/>
      <c r="B1004" s="93"/>
      <c r="C1004" s="172" t="s">
        <v>922</v>
      </c>
      <c r="D1004" s="126" t="s">
        <v>923</v>
      </c>
      <c r="E1004" s="173" t="s">
        <v>1028</v>
      </c>
      <c r="F1004" s="174" t="s">
        <v>1028</v>
      </c>
      <c r="G1004" s="174" t="s">
        <v>1028</v>
      </c>
      <c r="H1004" s="174" t="s">
        <v>1028</v>
      </c>
      <c r="I1004" s="128">
        <v>0.9</v>
      </c>
      <c r="J1004" s="129">
        <v>0.966666666666667</v>
      </c>
      <c r="K1004" s="129">
        <v>0.916666666666667</v>
      </c>
      <c r="L1004" s="130">
        <v>0.962962962962963</v>
      </c>
      <c r="M1004" s="129">
        <v>0.948328267477204</v>
      </c>
      <c r="N1004" s="131">
        <v>0.9</v>
      </c>
      <c r="O1004" s="129">
        <v>0.968006562756358</v>
      </c>
      <c r="P1004" s="129">
        <v>0.966876971608833</v>
      </c>
      <c r="Q1004" s="129">
        <v>0.953249336870027</v>
      </c>
      <c r="R1004" s="129">
        <v>0.969088145896656</v>
      </c>
      <c r="S1004" s="131">
        <v>0.9</v>
      </c>
      <c r="T1004" s="129">
        <v>0.887612797374898</v>
      </c>
      <c r="U1004" s="129">
        <v>0.882229232386961</v>
      </c>
      <c r="V1004" s="129">
        <v>0.872347480106101</v>
      </c>
      <c r="W1004" s="129">
        <v>0.91063829787234</v>
      </c>
      <c r="X1004" s="131">
        <v>0.92</v>
      </c>
      <c r="Y1004" s="131">
        <v>0.917793964620187</v>
      </c>
      <c r="Z1004" s="131">
        <v>0.896381578947368</v>
      </c>
      <c r="AA1004" s="131">
        <v>0.899186991869919</v>
      </c>
      <c r="AB1004" s="131">
        <v>0.913684987089635</v>
      </c>
      <c r="AC1004" s="131">
        <v>0.92</v>
      </c>
      <c r="AD1004" s="129">
        <v>0.945901639344262</v>
      </c>
      <c r="AE1004" s="129">
        <v>0.955366098294885</v>
      </c>
      <c r="AF1004" s="129">
        <v>0.888667992047714</v>
      </c>
      <c r="AG1004" s="129">
        <v>0.926829268292683</v>
      </c>
      <c r="AH1004" s="131">
        <v>0.92</v>
      </c>
      <c r="AI1004" s="129">
        <v>0.940883499350368</v>
      </c>
      <c r="AJ1004" s="129">
        <v>0.939840637450199</v>
      </c>
      <c r="AK1004" s="129">
        <v>0.945759911894273</v>
      </c>
      <c r="AL1004" s="129">
        <v>0.950615178462663</v>
      </c>
      <c r="AM1004" s="128">
        <v>0.99</v>
      </c>
      <c r="AN1004" s="133">
        <v>1</v>
      </c>
      <c r="AO1004" s="133">
        <v>1</v>
      </c>
      <c r="AP1004" s="133">
        <v>1</v>
      </c>
      <c r="AQ1004" s="133">
        <v>1</v>
      </c>
      <c r="AR1004" s="153">
        <v>0.0656418488929858</v>
      </c>
      <c r="AS1004" s="137">
        <v>0.0465116279069767</v>
      </c>
      <c r="AT1004" s="137">
        <v>0.0303030303030303</v>
      </c>
      <c r="AU1004" s="137">
        <v>0</v>
      </c>
      <c r="AV1004" s="137">
        <v>0.0281030444964871</v>
      </c>
      <c r="AW1004" s="93"/>
      <c r="AX1004" s="91"/>
    </row>
    <row r="1005" ht="14.5" spans="1:50">
      <c r="A1005" s="89"/>
      <c r="B1005" s="93"/>
      <c r="C1005" s="172" t="s">
        <v>922</v>
      </c>
      <c r="D1005" s="126" t="s">
        <v>923</v>
      </c>
      <c r="E1005" s="173" t="s">
        <v>1029</v>
      </c>
      <c r="F1005" s="174" t="s">
        <v>1029</v>
      </c>
      <c r="G1005" s="174" t="s">
        <v>1029</v>
      </c>
      <c r="H1005" s="174" t="s">
        <v>1029</v>
      </c>
      <c r="I1005" s="128">
        <v>0.9</v>
      </c>
      <c r="J1005" s="129">
        <v>0.764705882352941</v>
      </c>
      <c r="K1005" s="129">
        <v>0.846153846153846</v>
      </c>
      <c r="L1005" s="130">
        <v>0.75</v>
      </c>
      <c r="M1005" s="129">
        <v>0.811827956989247</v>
      </c>
      <c r="N1005" s="131">
        <v>0.9</v>
      </c>
      <c r="O1005" s="129">
        <v>0.897770527460576</v>
      </c>
      <c r="P1005" s="129">
        <v>0.973060344827586</v>
      </c>
      <c r="Q1005" s="129">
        <v>0.968589743589744</v>
      </c>
      <c r="R1005" s="129">
        <v>0.948636284671955</v>
      </c>
      <c r="S1005" s="131">
        <v>0.9</v>
      </c>
      <c r="T1005" s="129">
        <v>0.912452419793366</v>
      </c>
      <c r="U1005" s="129">
        <v>0.894396551724138</v>
      </c>
      <c r="V1005" s="129">
        <v>0.916025641025641</v>
      </c>
      <c r="W1005" s="129">
        <v>0.915397533151891</v>
      </c>
      <c r="X1005" s="131">
        <v>0.92</v>
      </c>
      <c r="Y1005" s="131" t="s">
        <v>33</v>
      </c>
      <c r="Z1005" s="131" t="s">
        <v>33</v>
      </c>
      <c r="AA1005" s="131">
        <v>0</v>
      </c>
      <c r="AB1005" s="131">
        <v>0</v>
      </c>
      <c r="AC1005" s="131">
        <v>0.92</v>
      </c>
      <c r="AD1005" s="129">
        <v>0.964285714285714</v>
      </c>
      <c r="AE1005" s="129">
        <v>0.974358974358974</v>
      </c>
      <c r="AF1005" s="129">
        <v>0.783333333333333</v>
      </c>
      <c r="AG1005" s="129">
        <v>0.966496163682864</v>
      </c>
      <c r="AH1005" s="131">
        <v>0.92</v>
      </c>
      <c r="AI1005" s="129">
        <v>0.960304513322458</v>
      </c>
      <c r="AJ1005" s="129">
        <v>0.949353448275862</v>
      </c>
      <c r="AK1005" s="129">
        <v>0.95067264573991</v>
      </c>
      <c r="AL1005" s="129">
        <v>0.957913627416927</v>
      </c>
      <c r="AM1005" s="128">
        <v>0.99</v>
      </c>
      <c r="AN1005" s="133">
        <v>1</v>
      </c>
      <c r="AO1005" s="133">
        <v>1</v>
      </c>
      <c r="AP1005" s="133">
        <v>1</v>
      </c>
      <c r="AQ1005" s="133">
        <v>1</v>
      </c>
      <c r="AR1005" s="153">
        <v>0.0656418488929858</v>
      </c>
      <c r="AS1005" s="137">
        <v>0.0952380952380952</v>
      </c>
      <c r="AT1005" s="137">
        <v>0</v>
      </c>
      <c r="AU1005" s="137">
        <v>0</v>
      </c>
      <c r="AV1005" s="137">
        <v>0.0262008733624454</v>
      </c>
      <c r="AW1005" s="93"/>
      <c r="AX1005" s="91"/>
    </row>
    <row r="1006" ht="14.5" spans="1:50">
      <c r="A1006" s="89"/>
      <c r="B1006" s="93"/>
      <c r="C1006" s="172" t="s">
        <v>922</v>
      </c>
      <c r="D1006" s="126" t="s">
        <v>923</v>
      </c>
      <c r="E1006" s="183" t="s">
        <v>1030</v>
      </c>
      <c r="F1006" s="184" t="s">
        <v>1030</v>
      </c>
      <c r="G1006" s="184" t="s">
        <v>1030</v>
      </c>
      <c r="H1006" s="184" t="s">
        <v>1030</v>
      </c>
      <c r="I1006" s="128">
        <v>0.9</v>
      </c>
      <c r="J1006" s="129">
        <v>1</v>
      </c>
      <c r="K1006" s="129">
        <v>0.75</v>
      </c>
      <c r="L1006" s="130">
        <v>0.80952380952381</v>
      </c>
      <c r="M1006" s="129">
        <v>0.911538461538462</v>
      </c>
      <c r="N1006" s="131">
        <v>0.9</v>
      </c>
      <c r="O1006" s="129">
        <v>0.978955572876072</v>
      </c>
      <c r="P1006" s="129">
        <v>0.982940698619009</v>
      </c>
      <c r="Q1006" s="129">
        <v>0.970534904805077</v>
      </c>
      <c r="R1006" s="129">
        <v>0.973199950598987</v>
      </c>
      <c r="S1006" s="131">
        <v>0.9</v>
      </c>
      <c r="T1006" s="129">
        <v>0.93335931410756</v>
      </c>
      <c r="U1006" s="129">
        <v>0.930138099106418</v>
      </c>
      <c r="V1006" s="129">
        <v>0.917497733454216</v>
      </c>
      <c r="W1006" s="129">
        <v>0.928492034086699</v>
      </c>
      <c r="X1006" s="131">
        <v>0.92</v>
      </c>
      <c r="Y1006" s="131">
        <v>0.880747126436782</v>
      </c>
      <c r="Z1006" s="131">
        <v>0.900677200902935</v>
      </c>
      <c r="AA1006" s="131">
        <v>0.870614035087719</v>
      </c>
      <c r="AB1006" s="131">
        <v>0.880282848215754</v>
      </c>
      <c r="AC1006" s="131">
        <v>0.92</v>
      </c>
      <c r="AD1006" s="129">
        <v>0.984838274932615</v>
      </c>
      <c r="AE1006" s="129">
        <v>0.979317952017649</v>
      </c>
      <c r="AF1006" s="129">
        <v>0.886752136752137</v>
      </c>
      <c r="AG1006" s="129">
        <v>0.986169362891951</v>
      </c>
      <c r="AH1006" s="131">
        <v>0.92</v>
      </c>
      <c r="AI1006" s="129">
        <v>0.946094946401225</v>
      </c>
      <c r="AJ1006" s="129">
        <v>0.946236559139785</v>
      </c>
      <c r="AK1006" s="129">
        <v>0.951540195341848</v>
      </c>
      <c r="AL1006" s="129">
        <v>0.950236966824645</v>
      </c>
      <c r="AM1006" s="128">
        <v>0.99</v>
      </c>
      <c r="AN1006" s="133">
        <v>1</v>
      </c>
      <c r="AO1006" s="133">
        <v>1</v>
      </c>
      <c r="AP1006" s="133">
        <v>1</v>
      </c>
      <c r="AQ1006" s="133">
        <v>0.99949083503055</v>
      </c>
      <c r="AR1006" s="153">
        <v>0.0656418488929858</v>
      </c>
      <c r="AS1006" s="137">
        <v>0</v>
      </c>
      <c r="AT1006" s="137">
        <v>0</v>
      </c>
      <c r="AU1006" s="137">
        <v>0.103448275862069</v>
      </c>
      <c r="AV1006" s="137">
        <v>0.0511363636363636</v>
      </c>
      <c r="AW1006" s="93"/>
      <c r="AX1006" s="91"/>
    </row>
    <row r="1007" ht="14.5" spans="1:50">
      <c r="A1007" s="89"/>
      <c r="B1007" s="93"/>
      <c r="C1007" s="172" t="s">
        <v>922</v>
      </c>
      <c r="D1007" s="126" t="s">
        <v>923</v>
      </c>
      <c r="E1007" s="173" t="s">
        <v>1031</v>
      </c>
      <c r="F1007" s="174" t="s">
        <v>1031</v>
      </c>
      <c r="G1007" s="174" t="s">
        <v>1031</v>
      </c>
      <c r="H1007" s="174" t="s">
        <v>1031</v>
      </c>
      <c r="I1007" s="128">
        <v>0.9</v>
      </c>
      <c r="J1007" s="129">
        <v>0.8</v>
      </c>
      <c r="K1007" s="129">
        <v>0.807692307692308</v>
      </c>
      <c r="L1007" s="130">
        <v>0.733333333333333</v>
      </c>
      <c r="M1007" s="129">
        <v>0.781437125748503</v>
      </c>
      <c r="N1007" s="131">
        <v>0.9</v>
      </c>
      <c r="O1007" s="129">
        <v>0.773156342182891</v>
      </c>
      <c r="P1007" s="129">
        <v>0.943896424167694</v>
      </c>
      <c r="Q1007" s="129">
        <v>0.844851904090268</v>
      </c>
      <c r="R1007" s="129">
        <v>0.848821352035847</v>
      </c>
      <c r="S1007" s="131">
        <v>0.9</v>
      </c>
      <c r="T1007" s="129">
        <v>0.859587020648968</v>
      </c>
      <c r="U1007" s="129">
        <v>0.891491985203453</v>
      </c>
      <c r="V1007" s="129">
        <v>0.811001410437236</v>
      </c>
      <c r="W1007" s="129">
        <v>0.831450094161959</v>
      </c>
      <c r="X1007" s="131">
        <v>0.92</v>
      </c>
      <c r="Y1007" s="131">
        <v>0.818791946308725</v>
      </c>
      <c r="Z1007" s="131">
        <v>0.889502762430939</v>
      </c>
      <c r="AA1007" s="131">
        <v>0.826219512195122</v>
      </c>
      <c r="AB1007" s="131">
        <v>0.768311813684084</v>
      </c>
      <c r="AC1007" s="131">
        <v>0.92</v>
      </c>
      <c r="AD1007" s="129">
        <v>0.97737556561086</v>
      </c>
      <c r="AE1007" s="129">
        <v>0.802078626299141</v>
      </c>
      <c r="AF1007" s="129">
        <v>0.489071038251366</v>
      </c>
      <c r="AG1007" s="129">
        <v>0.842238003583991</v>
      </c>
      <c r="AH1007" s="131">
        <v>0.92</v>
      </c>
      <c r="AI1007" s="129">
        <v>0.920168067226891</v>
      </c>
      <c r="AJ1007" s="129">
        <v>0.936258660508083</v>
      </c>
      <c r="AK1007" s="129">
        <v>0.926975945017182</v>
      </c>
      <c r="AL1007" s="129">
        <v>0.893261014173873</v>
      </c>
      <c r="AM1007" s="128">
        <v>0.99</v>
      </c>
      <c r="AN1007" s="133">
        <v>1</v>
      </c>
      <c r="AO1007" s="133">
        <v>1</v>
      </c>
      <c r="AP1007" s="133">
        <v>1</v>
      </c>
      <c r="AQ1007" s="133">
        <v>1</v>
      </c>
      <c r="AR1007" s="153">
        <v>0.0656418488929858</v>
      </c>
      <c r="AS1007" s="137">
        <v>0.0652173913043478</v>
      </c>
      <c r="AT1007" s="137">
        <v>0.0555555555555556</v>
      </c>
      <c r="AU1007" s="137">
        <v>0.0851063829787234</v>
      </c>
      <c r="AV1007" s="137">
        <v>0.0504587155963303</v>
      </c>
      <c r="AW1007" s="93"/>
      <c r="AX1007" s="91"/>
    </row>
    <row r="1008" ht="14.5" spans="1:50">
      <c r="A1008" s="89"/>
      <c r="B1008" s="93"/>
      <c r="C1008" s="172" t="s">
        <v>922</v>
      </c>
      <c r="D1008" s="126" t="s">
        <v>923</v>
      </c>
      <c r="E1008" s="173" t="s">
        <v>1032</v>
      </c>
      <c r="F1008" s="174" t="s">
        <v>1032</v>
      </c>
      <c r="G1008" s="174" t="s">
        <v>1032</v>
      </c>
      <c r="H1008" s="174" t="s">
        <v>1032</v>
      </c>
      <c r="I1008" s="128">
        <v>0.9</v>
      </c>
      <c r="J1008" s="129">
        <v>0.96551724137931</v>
      </c>
      <c r="K1008" s="129">
        <v>0.96</v>
      </c>
      <c r="L1008" s="130">
        <v>0.928571428571429</v>
      </c>
      <c r="M1008" s="129">
        <v>0.915625</v>
      </c>
      <c r="N1008" s="131">
        <v>0.9</v>
      </c>
      <c r="O1008" s="129">
        <v>0.969383849980865</v>
      </c>
      <c r="P1008" s="129">
        <v>0.983100661278472</v>
      </c>
      <c r="Q1008" s="129">
        <v>0.969275084013442</v>
      </c>
      <c r="R1008" s="129">
        <v>0.951079842931937</v>
      </c>
      <c r="S1008" s="131">
        <v>0.9</v>
      </c>
      <c r="T1008" s="129">
        <v>0.835438193647149</v>
      </c>
      <c r="U1008" s="129">
        <v>0.878765613519471</v>
      </c>
      <c r="V1008" s="129">
        <v>0.849255880940951</v>
      </c>
      <c r="W1008" s="129">
        <v>0.833074280104712</v>
      </c>
      <c r="X1008" s="131">
        <v>0.92</v>
      </c>
      <c r="Y1008" s="131">
        <v>0.669376693766938</v>
      </c>
      <c r="Z1008" s="131">
        <v>0.733644859813084</v>
      </c>
      <c r="AA1008" s="131">
        <v>0.716455696202532</v>
      </c>
      <c r="AB1008" s="131">
        <v>0.655901824640723</v>
      </c>
      <c r="AC1008" s="131">
        <v>0.92</v>
      </c>
      <c r="AD1008" s="129">
        <v>0.978969505783386</v>
      </c>
      <c r="AE1008" s="129">
        <v>0.484475110892065</v>
      </c>
      <c r="AF1008" s="129">
        <v>0.218433870363432</v>
      </c>
      <c r="AG1008" s="129">
        <v>0.666109960585209</v>
      </c>
      <c r="AH1008" s="131">
        <v>0.92</v>
      </c>
      <c r="AI1008" s="129">
        <v>0.864518054312146</v>
      </c>
      <c r="AJ1008" s="129">
        <v>0.883733929569592</v>
      </c>
      <c r="AK1008" s="129">
        <v>0.903993545784591</v>
      </c>
      <c r="AL1008" s="129">
        <v>0.863494030921782</v>
      </c>
      <c r="AM1008" s="128">
        <v>0.99</v>
      </c>
      <c r="AN1008" s="133">
        <v>1</v>
      </c>
      <c r="AO1008" s="133">
        <v>1</v>
      </c>
      <c r="AP1008" s="133">
        <v>1</v>
      </c>
      <c r="AQ1008" s="133">
        <v>1</v>
      </c>
      <c r="AR1008" s="153">
        <v>0.0656418488929858</v>
      </c>
      <c r="AS1008" s="137">
        <v>0.024390243902439</v>
      </c>
      <c r="AT1008" s="137">
        <v>0.0652173913043478</v>
      </c>
      <c r="AU1008" s="137">
        <v>0.0350877192982456</v>
      </c>
      <c r="AV1008" s="137">
        <v>0.0327510917030568</v>
      </c>
      <c r="AW1008" s="93"/>
      <c r="AX1008" s="91"/>
    </row>
    <row r="1009" ht="14.5" spans="1:50">
      <c r="A1009" s="89"/>
      <c r="B1009" s="93"/>
      <c r="C1009" s="172" t="s">
        <v>922</v>
      </c>
      <c r="D1009" s="126" t="s">
        <v>923</v>
      </c>
      <c r="E1009" s="173" t="s">
        <v>1033</v>
      </c>
      <c r="F1009" s="174" t="s">
        <v>1033</v>
      </c>
      <c r="G1009" s="174" t="s">
        <v>1033</v>
      </c>
      <c r="H1009" s="174" t="s">
        <v>1033</v>
      </c>
      <c r="I1009" s="128">
        <v>0.9</v>
      </c>
      <c r="J1009" s="129">
        <v>0.714285714285714</v>
      </c>
      <c r="K1009" s="129">
        <v>0.785714285714286</v>
      </c>
      <c r="L1009" s="130">
        <v>0.733333333333333</v>
      </c>
      <c r="M1009" s="129">
        <v>0.770588235294118</v>
      </c>
      <c r="N1009" s="131">
        <v>0.9</v>
      </c>
      <c r="O1009" s="129">
        <v>0.781766381766382</v>
      </c>
      <c r="P1009" s="129">
        <v>0.863013698630137</v>
      </c>
      <c r="Q1009" s="129">
        <v>0.728838951310861</v>
      </c>
      <c r="R1009" s="129">
        <v>0.808978761287041</v>
      </c>
      <c r="S1009" s="131">
        <v>0.9</v>
      </c>
      <c r="T1009" s="129">
        <v>0.868945868945869</v>
      </c>
      <c r="U1009" s="129">
        <v>0.926525529265255</v>
      </c>
      <c r="V1009" s="129">
        <v>0.865917602996255</v>
      </c>
      <c r="W1009" s="129">
        <v>0.843889100852092</v>
      </c>
      <c r="X1009" s="131">
        <v>0.92</v>
      </c>
      <c r="Y1009" s="131">
        <v>0.904534606205251</v>
      </c>
      <c r="Z1009" s="131">
        <v>0.943661971830986</v>
      </c>
      <c r="AA1009" s="131">
        <v>0.855172413793103</v>
      </c>
      <c r="AB1009" s="131">
        <v>0.859847553479223</v>
      </c>
      <c r="AC1009" s="131">
        <v>0.92</v>
      </c>
      <c r="AD1009" s="129">
        <v>0.994731296101159</v>
      </c>
      <c r="AE1009" s="129">
        <v>0.761185734136174</v>
      </c>
      <c r="AF1009" s="129">
        <v>0.938072757567342</v>
      </c>
      <c r="AG1009" s="129">
        <v>0.862920915913027</v>
      </c>
      <c r="AH1009" s="131">
        <v>0.92</v>
      </c>
      <c r="AI1009" s="129">
        <v>0.925482980680773</v>
      </c>
      <c r="AJ1009" s="129">
        <v>0.942095588235294</v>
      </c>
      <c r="AK1009" s="129">
        <v>0.897846153846154</v>
      </c>
      <c r="AL1009" s="129">
        <v>0.904112357279984</v>
      </c>
      <c r="AM1009" s="128">
        <v>0.99</v>
      </c>
      <c r="AN1009" s="133">
        <v>1</v>
      </c>
      <c r="AO1009" s="133">
        <v>1</v>
      </c>
      <c r="AP1009" s="133">
        <v>1</v>
      </c>
      <c r="AQ1009" s="133">
        <v>1</v>
      </c>
      <c r="AR1009" s="153">
        <v>0.0656418488929858</v>
      </c>
      <c r="AS1009" s="137">
        <v>0.0909090909090909</v>
      </c>
      <c r="AT1009" s="137">
        <v>0</v>
      </c>
      <c r="AU1009" s="137">
        <v>0.0714285714285714</v>
      </c>
      <c r="AV1009" s="137">
        <v>0.0315457413249211</v>
      </c>
      <c r="AW1009" s="93"/>
      <c r="AX1009" s="91"/>
    </row>
    <row r="1010" ht="14.5" spans="1:50">
      <c r="A1010" s="89"/>
      <c r="B1010" s="93"/>
      <c r="C1010" s="172" t="s">
        <v>922</v>
      </c>
      <c r="D1010" s="126" t="s">
        <v>923</v>
      </c>
      <c r="E1010" s="173" t="s">
        <v>1034</v>
      </c>
      <c r="F1010" s="174" t="s">
        <v>1034</v>
      </c>
      <c r="G1010" s="174" t="s">
        <v>1034</v>
      </c>
      <c r="H1010" s="174" t="s">
        <v>1034</v>
      </c>
      <c r="I1010" s="128">
        <v>0.9</v>
      </c>
      <c r="J1010" s="129">
        <v>0.7</v>
      </c>
      <c r="K1010" s="129">
        <v>0.875</v>
      </c>
      <c r="L1010" s="130">
        <v>0.625</v>
      </c>
      <c r="M1010" s="129">
        <v>0.74</v>
      </c>
      <c r="N1010" s="131">
        <v>0.9</v>
      </c>
      <c r="O1010" s="129">
        <v>0.498018494055482</v>
      </c>
      <c r="P1010" s="129">
        <v>0.578680203045685</v>
      </c>
      <c r="Q1010" s="129">
        <v>0.319354838709677</v>
      </c>
      <c r="R1010" s="129">
        <v>0.481644054269753</v>
      </c>
      <c r="S1010" s="131">
        <v>0.9</v>
      </c>
      <c r="T1010" s="129">
        <v>0.906208718626156</v>
      </c>
      <c r="U1010" s="129">
        <v>0.926395939086294</v>
      </c>
      <c r="V1010" s="129">
        <v>0.916129032258065</v>
      </c>
      <c r="W1010" s="129">
        <v>0.876961957967545</v>
      </c>
      <c r="X1010" s="131">
        <v>0.92</v>
      </c>
      <c r="Y1010" s="131" t="s">
        <v>33</v>
      </c>
      <c r="Z1010" s="131" t="s">
        <v>33</v>
      </c>
      <c r="AA1010" s="131" t="s">
        <v>33</v>
      </c>
      <c r="AB1010" s="131" t="s">
        <v>33</v>
      </c>
      <c r="AC1010" s="131">
        <v>0.92</v>
      </c>
      <c r="AD1010" s="129">
        <v>0.325581395348837</v>
      </c>
      <c r="AE1010" s="129">
        <v>0.893617021276596</v>
      </c>
      <c r="AF1010" s="129">
        <v>0.96</v>
      </c>
      <c r="AG1010" s="129">
        <v>0.803163444639719</v>
      </c>
      <c r="AH1010" s="131">
        <v>0.92</v>
      </c>
      <c r="AI1010" s="129">
        <v>0.952443857331572</v>
      </c>
      <c r="AJ1010" s="129">
        <v>0.979695431472081</v>
      </c>
      <c r="AK1010" s="129">
        <v>0.964516129032258</v>
      </c>
      <c r="AL1010" s="129">
        <v>0.955573290768821</v>
      </c>
      <c r="AM1010" s="128">
        <v>0.99</v>
      </c>
      <c r="AN1010" s="133">
        <v>1</v>
      </c>
      <c r="AO1010" s="133">
        <v>1</v>
      </c>
      <c r="AP1010" s="133">
        <v>1</v>
      </c>
      <c r="AQ1010" s="133">
        <v>1</v>
      </c>
      <c r="AR1010" s="153">
        <v>0.0656418488929858</v>
      </c>
      <c r="AS1010" s="137">
        <v>0.125</v>
      </c>
      <c r="AT1010" s="137">
        <v>0</v>
      </c>
      <c r="AU1010" s="137">
        <v>0</v>
      </c>
      <c r="AV1010" s="137">
        <v>0.0153846153846154</v>
      </c>
      <c r="AW1010" s="93"/>
      <c r="AX1010" s="91"/>
    </row>
    <row r="1011" ht="14.5" spans="1:50">
      <c r="A1011" s="89"/>
      <c r="B1011" s="93"/>
      <c r="C1011" s="172" t="s">
        <v>922</v>
      </c>
      <c r="D1011" s="126" t="s">
        <v>923</v>
      </c>
      <c r="E1011" s="175" t="s">
        <v>1035</v>
      </c>
      <c r="F1011" s="176" t="s">
        <v>1035</v>
      </c>
      <c r="G1011" s="176" t="s">
        <v>1035</v>
      </c>
      <c r="H1011" s="176" t="s">
        <v>1035</v>
      </c>
      <c r="I1011" s="128">
        <v>0.9</v>
      </c>
      <c r="J1011" s="129">
        <v>0.821428571428571</v>
      </c>
      <c r="K1011" s="129">
        <v>0.772727272727273</v>
      </c>
      <c r="L1011" s="130">
        <v>0.88</v>
      </c>
      <c r="M1011" s="129">
        <v>0.830449826989619</v>
      </c>
      <c r="N1011" s="131">
        <v>0.9</v>
      </c>
      <c r="O1011" s="129">
        <v>0.946014697569248</v>
      </c>
      <c r="P1011" s="129">
        <v>0.974617067833698</v>
      </c>
      <c r="Q1011" s="129">
        <v>0.917462272867262</v>
      </c>
      <c r="R1011" s="129">
        <v>0.924487563334869</v>
      </c>
      <c r="S1011" s="131">
        <v>0.9</v>
      </c>
      <c r="T1011" s="129">
        <v>0.887789711701526</v>
      </c>
      <c r="U1011" s="129">
        <v>0.936105032822757</v>
      </c>
      <c r="V1011" s="129">
        <v>0.907607021866338</v>
      </c>
      <c r="W1011" s="129">
        <v>0.890171579917089</v>
      </c>
      <c r="X1011" s="131">
        <v>0.92</v>
      </c>
      <c r="Y1011" s="131">
        <v>0.953007518796993</v>
      </c>
      <c r="Z1011" s="131">
        <v>0.974506578947368</v>
      </c>
      <c r="AA1011" s="131">
        <v>1</v>
      </c>
      <c r="AB1011" s="131">
        <v>0.945405471721261</v>
      </c>
      <c r="AC1011" s="131">
        <v>0.92</v>
      </c>
      <c r="AD1011" s="129">
        <v>0.999004125764689</v>
      </c>
      <c r="AE1011" s="129">
        <v>0.997263691601948</v>
      </c>
      <c r="AF1011" s="129">
        <v>0.996468737944746</v>
      </c>
      <c r="AG1011" s="129">
        <v>0.996511784059625</v>
      </c>
      <c r="AH1011" s="131">
        <v>0.92</v>
      </c>
      <c r="AI1011" s="129">
        <v>0.964184935967007</v>
      </c>
      <c r="AJ1011" s="129">
        <v>0.974878675421068</v>
      </c>
      <c r="AK1011" s="129">
        <v>0.973411698852505</v>
      </c>
      <c r="AL1011" s="129">
        <v>0.958190669182214</v>
      </c>
      <c r="AM1011" s="128">
        <v>0.99</v>
      </c>
      <c r="AN1011" s="133">
        <v>1</v>
      </c>
      <c r="AO1011" s="133">
        <v>1</v>
      </c>
      <c r="AP1011" s="133">
        <v>1</v>
      </c>
      <c r="AQ1011" s="133">
        <v>1</v>
      </c>
      <c r="AR1011" s="153">
        <v>0.0656418488929858</v>
      </c>
      <c r="AS1011" s="137">
        <v>0.0222222222222222</v>
      </c>
      <c r="AT1011" s="137">
        <v>0.0666666666666667</v>
      </c>
      <c r="AU1011" s="137">
        <v>0</v>
      </c>
      <c r="AV1011" s="137">
        <v>0.0337423312883436</v>
      </c>
      <c r="AW1011" s="93"/>
      <c r="AX1011" s="91"/>
    </row>
    <row r="1012" ht="14.5" spans="1:50">
      <c r="A1012" s="89"/>
      <c r="B1012" s="93"/>
      <c r="C1012" s="172" t="s">
        <v>922</v>
      </c>
      <c r="D1012" s="126" t="s">
        <v>923</v>
      </c>
      <c r="E1012" s="175" t="s">
        <v>1036</v>
      </c>
      <c r="F1012" s="176" t="s">
        <v>1036</v>
      </c>
      <c r="G1012" s="176" t="s">
        <v>1036</v>
      </c>
      <c r="H1012" s="176" t="s">
        <v>1036</v>
      </c>
      <c r="I1012" s="128">
        <v>0.9</v>
      </c>
      <c r="J1012" s="129" t="s">
        <v>33</v>
      </c>
      <c r="K1012" s="129" t="s">
        <v>33</v>
      </c>
      <c r="L1012" s="130" t="s">
        <v>33</v>
      </c>
      <c r="M1012" s="129" t="s">
        <v>33</v>
      </c>
      <c r="N1012" s="131">
        <v>0.9</v>
      </c>
      <c r="O1012" s="129" t="s">
        <v>33</v>
      </c>
      <c r="P1012" s="129" t="s">
        <v>33</v>
      </c>
      <c r="Q1012" s="129" t="s">
        <v>33</v>
      </c>
      <c r="R1012" s="129" t="s">
        <v>33</v>
      </c>
      <c r="S1012" s="131">
        <v>0.9</v>
      </c>
      <c r="T1012" s="129" t="s">
        <v>33</v>
      </c>
      <c r="U1012" s="129" t="s">
        <v>33</v>
      </c>
      <c r="V1012" s="129" t="s">
        <v>33</v>
      </c>
      <c r="W1012" s="129" t="s">
        <v>33</v>
      </c>
      <c r="X1012" s="131">
        <v>0.92</v>
      </c>
      <c r="Y1012" s="131" t="s">
        <v>33</v>
      </c>
      <c r="Z1012" s="131" t="s">
        <v>33</v>
      </c>
      <c r="AA1012" s="131" t="s">
        <v>33</v>
      </c>
      <c r="AB1012" s="131" t="s">
        <v>33</v>
      </c>
      <c r="AC1012" s="131">
        <v>0.92</v>
      </c>
      <c r="AD1012" s="129" t="s">
        <v>33</v>
      </c>
      <c r="AE1012" s="129" t="s">
        <v>33</v>
      </c>
      <c r="AF1012" s="129" t="s">
        <v>33</v>
      </c>
      <c r="AG1012" s="129" t="s">
        <v>33</v>
      </c>
      <c r="AH1012" s="131">
        <v>0.92</v>
      </c>
      <c r="AI1012" s="129" t="s">
        <v>33</v>
      </c>
      <c r="AJ1012" s="129" t="s">
        <v>33</v>
      </c>
      <c r="AK1012" s="129" t="s">
        <v>33</v>
      </c>
      <c r="AL1012" s="129" t="s">
        <v>33</v>
      </c>
      <c r="AM1012" s="128">
        <v>0.99</v>
      </c>
      <c r="AN1012" s="133" t="s">
        <v>33</v>
      </c>
      <c r="AO1012" s="133" t="s">
        <v>33</v>
      </c>
      <c r="AP1012" s="133" t="s">
        <v>33</v>
      </c>
      <c r="AQ1012" s="133" t="s">
        <v>33</v>
      </c>
      <c r="AR1012" s="153">
        <v>0.0656418488929858</v>
      </c>
      <c r="AS1012" s="137" t="s">
        <v>33</v>
      </c>
      <c r="AT1012" s="137" t="s">
        <v>33</v>
      </c>
      <c r="AU1012" s="137" t="s">
        <v>33</v>
      </c>
      <c r="AV1012" s="137" t="s">
        <v>33</v>
      </c>
      <c r="AW1012" s="93"/>
      <c r="AX1012" s="91"/>
    </row>
    <row r="1013" ht="14.5" spans="1:50">
      <c r="A1013" s="89"/>
      <c r="B1013" s="93"/>
      <c r="C1013" s="172" t="s">
        <v>922</v>
      </c>
      <c r="D1013" s="126" t="s">
        <v>923</v>
      </c>
      <c r="E1013" s="177" t="s">
        <v>1037</v>
      </c>
      <c r="F1013" s="178" t="s">
        <v>1037</v>
      </c>
      <c r="G1013" s="178" t="s">
        <v>1037</v>
      </c>
      <c r="H1013" s="178" t="s">
        <v>1037</v>
      </c>
      <c r="I1013" s="128">
        <v>0.9</v>
      </c>
      <c r="J1013" s="129" t="s">
        <v>33</v>
      </c>
      <c r="K1013" s="129" t="s">
        <v>33</v>
      </c>
      <c r="L1013" s="130" t="s">
        <v>33</v>
      </c>
      <c r="M1013" s="129" t="s">
        <v>33</v>
      </c>
      <c r="N1013" s="131">
        <v>0.9</v>
      </c>
      <c r="O1013" s="129" t="s">
        <v>33</v>
      </c>
      <c r="P1013" s="129" t="s">
        <v>33</v>
      </c>
      <c r="Q1013" s="129" t="s">
        <v>33</v>
      </c>
      <c r="R1013" s="129">
        <v>0</v>
      </c>
      <c r="S1013" s="131">
        <v>0.9</v>
      </c>
      <c r="T1013" s="129" t="s">
        <v>33</v>
      </c>
      <c r="U1013" s="129" t="s">
        <v>33</v>
      </c>
      <c r="V1013" s="129" t="s">
        <v>33</v>
      </c>
      <c r="W1013" s="129">
        <v>1</v>
      </c>
      <c r="X1013" s="131">
        <v>0.92</v>
      </c>
      <c r="Y1013" s="131" t="s">
        <v>33</v>
      </c>
      <c r="Z1013" s="131" t="s">
        <v>33</v>
      </c>
      <c r="AA1013" s="131" t="s">
        <v>33</v>
      </c>
      <c r="AB1013" s="131" t="s">
        <v>33</v>
      </c>
      <c r="AC1013" s="131">
        <v>0.92</v>
      </c>
      <c r="AD1013" s="129">
        <v>1</v>
      </c>
      <c r="AE1013" s="129">
        <v>0.992283950617284</v>
      </c>
      <c r="AF1013" s="129">
        <v>0.987421383647799</v>
      </c>
      <c r="AG1013" s="129">
        <v>0.991756826378156</v>
      </c>
      <c r="AH1013" s="131">
        <v>0.92</v>
      </c>
      <c r="AI1013" s="129" t="s">
        <v>33</v>
      </c>
      <c r="AJ1013" s="129" t="s">
        <v>33</v>
      </c>
      <c r="AK1013" s="129" t="s">
        <v>33</v>
      </c>
      <c r="AL1013" s="129">
        <v>1</v>
      </c>
      <c r="AM1013" s="128">
        <v>0.99</v>
      </c>
      <c r="AN1013" s="133">
        <v>1</v>
      </c>
      <c r="AO1013" s="133" t="s">
        <v>33</v>
      </c>
      <c r="AP1013" s="133" t="s">
        <v>33</v>
      </c>
      <c r="AQ1013" s="133">
        <v>1</v>
      </c>
      <c r="AR1013" s="153">
        <v>0.0656418488929858</v>
      </c>
      <c r="AS1013" s="137" t="s">
        <v>33</v>
      </c>
      <c r="AT1013" s="137" t="s">
        <v>33</v>
      </c>
      <c r="AU1013" s="137" t="s">
        <v>33</v>
      </c>
      <c r="AV1013" s="137" t="s">
        <v>33</v>
      </c>
      <c r="AW1013" s="93"/>
      <c r="AX1013" s="91"/>
    </row>
    <row r="1014" ht="14.5" spans="1:50">
      <c r="A1014" s="89"/>
      <c r="B1014" s="93"/>
      <c r="C1014" s="172" t="s">
        <v>922</v>
      </c>
      <c r="D1014" s="126" t="s">
        <v>923</v>
      </c>
      <c r="E1014" s="177" t="s">
        <v>1038</v>
      </c>
      <c r="F1014" s="178" t="s">
        <v>1038</v>
      </c>
      <c r="G1014" s="178" t="s">
        <v>1038</v>
      </c>
      <c r="H1014" s="178" t="s">
        <v>1038</v>
      </c>
      <c r="I1014" s="128">
        <v>0.9</v>
      </c>
      <c r="J1014" s="129" t="s">
        <v>33</v>
      </c>
      <c r="K1014" s="129" t="s">
        <v>33</v>
      </c>
      <c r="L1014" s="130" t="s">
        <v>33</v>
      </c>
      <c r="M1014" s="129" t="s">
        <v>33</v>
      </c>
      <c r="N1014" s="131">
        <v>0.9</v>
      </c>
      <c r="O1014" s="129" t="s">
        <v>33</v>
      </c>
      <c r="P1014" s="129" t="s">
        <v>33</v>
      </c>
      <c r="Q1014" s="129">
        <v>0</v>
      </c>
      <c r="R1014" s="129">
        <v>0</v>
      </c>
      <c r="S1014" s="131">
        <v>0.9</v>
      </c>
      <c r="T1014" s="129" t="s">
        <v>33</v>
      </c>
      <c r="U1014" s="129" t="s">
        <v>33</v>
      </c>
      <c r="V1014" s="129">
        <v>1</v>
      </c>
      <c r="W1014" s="129">
        <v>1</v>
      </c>
      <c r="X1014" s="131">
        <v>0.92</v>
      </c>
      <c r="Y1014" s="131" t="s">
        <v>33</v>
      </c>
      <c r="Z1014" s="131" t="s">
        <v>33</v>
      </c>
      <c r="AA1014" s="131" t="s">
        <v>33</v>
      </c>
      <c r="AB1014" s="131" t="s">
        <v>33</v>
      </c>
      <c r="AC1014" s="131">
        <v>0.92</v>
      </c>
      <c r="AD1014" s="129">
        <v>1</v>
      </c>
      <c r="AE1014" s="129">
        <v>0.908888888888889</v>
      </c>
      <c r="AF1014" s="129">
        <v>1</v>
      </c>
      <c r="AG1014" s="129">
        <v>0.990304709141274</v>
      </c>
      <c r="AH1014" s="131">
        <v>0.92</v>
      </c>
      <c r="AI1014" s="129" t="s">
        <v>33</v>
      </c>
      <c r="AJ1014" s="129" t="s">
        <v>33</v>
      </c>
      <c r="AK1014" s="129">
        <v>1</v>
      </c>
      <c r="AL1014" s="129">
        <v>1</v>
      </c>
      <c r="AM1014" s="128">
        <v>0.99</v>
      </c>
      <c r="AN1014" s="133">
        <v>1</v>
      </c>
      <c r="AO1014" s="133">
        <v>1</v>
      </c>
      <c r="AP1014" s="133">
        <v>1</v>
      </c>
      <c r="AQ1014" s="133">
        <v>1</v>
      </c>
      <c r="AR1014" s="153">
        <v>0.0656418488929858</v>
      </c>
      <c r="AS1014" s="137" t="s">
        <v>33</v>
      </c>
      <c r="AT1014" s="137" t="s">
        <v>33</v>
      </c>
      <c r="AU1014" s="137" t="s">
        <v>33</v>
      </c>
      <c r="AV1014" s="137" t="s">
        <v>33</v>
      </c>
      <c r="AW1014" s="93"/>
      <c r="AX1014" s="91"/>
    </row>
    <row r="1015" ht="14.5" spans="1:50">
      <c r="A1015" s="89"/>
      <c r="B1015" s="93"/>
      <c r="C1015" s="172" t="s">
        <v>922</v>
      </c>
      <c r="D1015" s="126" t="s">
        <v>923</v>
      </c>
      <c r="E1015" s="175" t="s">
        <v>1039</v>
      </c>
      <c r="F1015" s="176" t="s">
        <v>1039</v>
      </c>
      <c r="G1015" s="176" t="s">
        <v>1039</v>
      </c>
      <c r="H1015" s="176" t="s">
        <v>1039</v>
      </c>
      <c r="I1015" s="128">
        <v>0.9</v>
      </c>
      <c r="J1015" s="129">
        <v>0.904761904761905</v>
      </c>
      <c r="K1015" s="129">
        <v>0.902439024390244</v>
      </c>
      <c r="L1015" s="130">
        <v>0.888888888888889</v>
      </c>
      <c r="M1015" s="129">
        <v>0.873949579831933</v>
      </c>
      <c r="N1015" s="131">
        <v>0.9</v>
      </c>
      <c r="O1015" s="129">
        <v>0.942310862040547</v>
      </c>
      <c r="P1015" s="129">
        <v>0.955400485436893</v>
      </c>
      <c r="Q1015" s="129">
        <v>0.947517462714744</v>
      </c>
      <c r="R1015" s="129">
        <v>0.906377440347072</v>
      </c>
      <c r="S1015" s="131">
        <v>0.9</v>
      </c>
      <c r="T1015" s="129">
        <v>0.874072853139937</v>
      </c>
      <c r="U1015" s="129">
        <v>0.935983009708738</v>
      </c>
      <c r="V1015" s="129">
        <v>0.905984519539362</v>
      </c>
      <c r="W1015" s="129">
        <v>0.888295010845987</v>
      </c>
      <c r="X1015" s="131">
        <v>0.92</v>
      </c>
      <c r="Y1015" s="131">
        <v>0.917155903457273</v>
      </c>
      <c r="Z1015" s="131">
        <v>0.930571761960327</v>
      </c>
      <c r="AA1015" s="131">
        <v>0.940366972477064</v>
      </c>
      <c r="AB1015" s="131">
        <v>0.903581060833084</v>
      </c>
      <c r="AC1015" s="131">
        <v>0.92</v>
      </c>
      <c r="AD1015" s="129">
        <v>0.99906103286385</v>
      </c>
      <c r="AE1015" s="129">
        <v>0.992823523929354</v>
      </c>
      <c r="AF1015" s="129">
        <v>0.994024135530285</v>
      </c>
      <c r="AG1015" s="129">
        <v>0.991671001122396</v>
      </c>
      <c r="AH1015" s="131">
        <v>0.92</v>
      </c>
      <c r="AI1015" s="129">
        <v>0.948309877679863</v>
      </c>
      <c r="AJ1015" s="129">
        <v>0.954011546884332</v>
      </c>
      <c r="AK1015" s="129">
        <v>0.963556851311953</v>
      </c>
      <c r="AL1015" s="129">
        <v>0.946518341195522</v>
      </c>
      <c r="AM1015" s="128">
        <v>0.99</v>
      </c>
      <c r="AN1015" s="133">
        <v>1</v>
      </c>
      <c r="AO1015" s="133">
        <v>1</v>
      </c>
      <c r="AP1015" s="133">
        <v>1</v>
      </c>
      <c r="AQ1015" s="133">
        <v>1</v>
      </c>
      <c r="AR1015" s="153">
        <v>0.0656418488929858</v>
      </c>
      <c r="AS1015" s="137">
        <v>0.09375</v>
      </c>
      <c r="AT1015" s="137">
        <v>0.0909090909090909</v>
      </c>
      <c r="AU1015" s="137">
        <v>0</v>
      </c>
      <c r="AV1015" s="137">
        <v>0.0742574257425743</v>
      </c>
      <c r="AW1015" s="93"/>
      <c r="AX1015" s="91"/>
    </row>
    <row r="1016" ht="14.5" spans="1:50">
      <c r="A1016" s="89"/>
      <c r="B1016" s="93"/>
      <c r="C1016" s="172" t="s">
        <v>922</v>
      </c>
      <c r="D1016" s="126" t="s">
        <v>923</v>
      </c>
      <c r="E1016" s="177" t="s">
        <v>1040</v>
      </c>
      <c r="F1016" s="178" t="s">
        <v>1040</v>
      </c>
      <c r="G1016" s="178" t="s">
        <v>1040</v>
      </c>
      <c r="H1016" s="178" t="s">
        <v>1040</v>
      </c>
      <c r="I1016" s="128">
        <v>0.9</v>
      </c>
      <c r="J1016" s="129" t="s">
        <v>33</v>
      </c>
      <c r="K1016" s="129" t="s">
        <v>33</v>
      </c>
      <c r="L1016" s="130" t="s">
        <v>33</v>
      </c>
      <c r="M1016" s="129" t="s">
        <v>33</v>
      </c>
      <c r="N1016" s="131">
        <v>0.9</v>
      </c>
      <c r="O1016" s="129">
        <v>0</v>
      </c>
      <c r="P1016" s="129" t="s">
        <v>33</v>
      </c>
      <c r="Q1016" s="129" t="s">
        <v>33</v>
      </c>
      <c r="R1016" s="129">
        <v>0</v>
      </c>
      <c r="S1016" s="131">
        <v>0.9</v>
      </c>
      <c r="T1016" s="129">
        <v>1</v>
      </c>
      <c r="U1016" s="129" t="s">
        <v>33</v>
      </c>
      <c r="V1016" s="129" t="s">
        <v>33</v>
      </c>
      <c r="W1016" s="129">
        <v>1</v>
      </c>
      <c r="X1016" s="131">
        <v>0.92</v>
      </c>
      <c r="Y1016" s="131" t="s">
        <v>33</v>
      </c>
      <c r="Z1016" s="131" t="s">
        <v>33</v>
      </c>
      <c r="AA1016" s="131" t="s">
        <v>33</v>
      </c>
      <c r="AB1016" s="131" t="s">
        <v>33</v>
      </c>
      <c r="AC1016" s="131">
        <v>0.92</v>
      </c>
      <c r="AD1016" s="129">
        <v>1</v>
      </c>
      <c r="AE1016" s="129">
        <v>1</v>
      </c>
      <c r="AF1016" s="129">
        <v>0.996913580246914</v>
      </c>
      <c r="AG1016" s="129">
        <v>0.999752597723899</v>
      </c>
      <c r="AH1016" s="131">
        <v>0.92</v>
      </c>
      <c r="AI1016" s="129">
        <v>1</v>
      </c>
      <c r="AJ1016" s="129" t="s">
        <v>33</v>
      </c>
      <c r="AK1016" s="129" t="s">
        <v>33</v>
      </c>
      <c r="AL1016" s="129">
        <v>1</v>
      </c>
      <c r="AM1016" s="128">
        <v>0.99</v>
      </c>
      <c r="AN1016" s="133">
        <v>1</v>
      </c>
      <c r="AO1016" s="133">
        <v>1</v>
      </c>
      <c r="AP1016" s="133">
        <v>1</v>
      </c>
      <c r="AQ1016" s="133">
        <v>1</v>
      </c>
      <c r="AR1016" s="153">
        <v>0.0656418488929858</v>
      </c>
      <c r="AS1016" s="137" t="s">
        <v>33</v>
      </c>
      <c r="AT1016" s="137" t="s">
        <v>33</v>
      </c>
      <c r="AU1016" s="137" t="s">
        <v>33</v>
      </c>
      <c r="AV1016" s="137" t="s">
        <v>33</v>
      </c>
      <c r="AW1016" s="93"/>
      <c r="AX1016" s="91"/>
    </row>
    <row r="1017" ht="14.5" spans="1:50">
      <c r="A1017" s="89"/>
      <c r="B1017" s="93"/>
      <c r="C1017" s="172" t="s">
        <v>922</v>
      </c>
      <c r="D1017" s="126" t="s">
        <v>923</v>
      </c>
      <c r="E1017" s="177" t="s">
        <v>1041</v>
      </c>
      <c r="F1017" s="178" t="s">
        <v>1041</v>
      </c>
      <c r="G1017" s="178" t="s">
        <v>1041</v>
      </c>
      <c r="H1017" s="178" t="s">
        <v>1041</v>
      </c>
      <c r="I1017" s="128">
        <v>0.9</v>
      </c>
      <c r="J1017" s="129">
        <v>1</v>
      </c>
      <c r="K1017" s="129">
        <v>0.96551724137931</v>
      </c>
      <c r="L1017" s="130">
        <v>0.939393939393939</v>
      </c>
      <c r="M1017" s="129">
        <v>0.925064599483204</v>
      </c>
      <c r="N1017" s="131">
        <v>0.9</v>
      </c>
      <c r="O1017" s="129">
        <v>0.949848024316109</v>
      </c>
      <c r="P1017" s="129">
        <v>0.9485174323884</v>
      </c>
      <c r="Q1017" s="129">
        <v>0.917411664538101</v>
      </c>
      <c r="R1017" s="129">
        <v>0.924741878369507</v>
      </c>
      <c r="S1017" s="131">
        <v>0.9</v>
      </c>
      <c r="T1017" s="129">
        <v>0.927811550151976</v>
      </c>
      <c r="U1017" s="129">
        <v>0.911045943304008</v>
      </c>
      <c r="V1017" s="129">
        <v>0.904427415921669</v>
      </c>
      <c r="W1017" s="129">
        <v>0.907215469393439</v>
      </c>
      <c r="X1017" s="131">
        <v>0.92</v>
      </c>
      <c r="Y1017" s="131">
        <v>0.898940505297473</v>
      </c>
      <c r="Z1017" s="131">
        <v>0.91371237458194</v>
      </c>
      <c r="AA1017" s="131">
        <v>0.907172995780591</v>
      </c>
      <c r="AB1017" s="131">
        <v>0.85750502666317</v>
      </c>
      <c r="AC1017" s="131">
        <v>0.92</v>
      </c>
      <c r="AD1017" s="129">
        <v>0.999092029314482</v>
      </c>
      <c r="AE1017" s="129">
        <v>0.997015227399201</v>
      </c>
      <c r="AF1017" s="129">
        <v>0.99267167856466</v>
      </c>
      <c r="AG1017" s="129">
        <v>0.969806876364407</v>
      </c>
      <c r="AH1017" s="131">
        <v>0.92</v>
      </c>
      <c r="AI1017" s="129">
        <v>0.951159576101981</v>
      </c>
      <c r="AJ1017" s="129">
        <v>0.936109899694723</v>
      </c>
      <c r="AK1017" s="129">
        <v>0.964753644583872</v>
      </c>
      <c r="AL1017" s="129">
        <v>0.940655074807926</v>
      </c>
      <c r="AM1017" s="128">
        <v>0.99</v>
      </c>
      <c r="AN1017" s="133">
        <v>1</v>
      </c>
      <c r="AO1017" s="133">
        <v>1</v>
      </c>
      <c r="AP1017" s="133">
        <v>1</v>
      </c>
      <c r="AQ1017" s="133">
        <v>1</v>
      </c>
      <c r="AR1017" s="153">
        <v>0.0656418488929858</v>
      </c>
      <c r="AS1017" s="137">
        <v>0.0731707317073171</v>
      </c>
      <c r="AT1017" s="137">
        <v>0</v>
      </c>
      <c r="AU1017" s="137">
        <v>0.0285714285714286</v>
      </c>
      <c r="AV1017" s="137">
        <v>0.0727272727272727</v>
      </c>
      <c r="AW1017" s="93"/>
      <c r="AX1017" s="91"/>
    </row>
    <row r="1018" ht="14.5" spans="1:50">
      <c r="A1018" s="89"/>
      <c r="B1018" s="93"/>
      <c r="C1018" s="172" t="s">
        <v>922</v>
      </c>
      <c r="D1018" s="126" t="s">
        <v>923</v>
      </c>
      <c r="E1018" s="177" t="s">
        <v>1042</v>
      </c>
      <c r="F1018" s="178" t="s">
        <v>1042</v>
      </c>
      <c r="G1018" s="178" t="s">
        <v>1042</v>
      </c>
      <c r="H1018" s="178" t="s">
        <v>1042</v>
      </c>
      <c r="I1018" s="128">
        <v>0.9</v>
      </c>
      <c r="J1018" s="129" t="s">
        <v>33</v>
      </c>
      <c r="K1018" s="129" t="s">
        <v>33</v>
      </c>
      <c r="L1018" s="130" t="s">
        <v>33</v>
      </c>
      <c r="M1018" s="129" t="s">
        <v>33</v>
      </c>
      <c r="N1018" s="131">
        <v>0.9</v>
      </c>
      <c r="O1018" s="129" t="s">
        <v>33</v>
      </c>
      <c r="P1018" s="129" t="s">
        <v>33</v>
      </c>
      <c r="Q1018" s="129" t="s">
        <v>33</v>
      </c>
      <c r="R1018" s="129">
        <v>0</v>
      </c>
      <c r="S1018" s="131">
        <v>0.9</v>
      </c>
      <c r="T1018" s="129" t="s">
        <v>33</v>
      </c>
      <c r="U1018" s="129" t="s">
        <v>33</v>
      </c>
      <c r="V1018" s="129" t="s">
        <v>33</v>
      </c>
      <c r="W1018" s="129">
        <v>1</v>
      </c>
      <c r="X1018" s="131">
        <v>0.92</v>
      </c>
      <c r="Y1018" s="131" t="s">
        <v>33</v>
      </c>
      <c r="Z1018" s="131" t="s">
        <v>33</v>
      </c>
      <c r="AA1018" s="131" t="s">
        <v>33</v>
      </c>
      <c r="AB1018" s="131">
        <v>1</v>
      </c>
      <c r="AC1018" s="131">
        <v>0.92</v>
      </c>
      <c r="AD1018" s="129">
        <v>0.997685185185185</v>
      </c>
      <c r="AE1018" s="129">
        <v>0.992957746478873</v>
      </c>
      <c r="AF1018" s="129">
        <v>1</v>
      </c>
      <c r="AG1018" s="129">
        <v>0.998448008277289</v>
      </c>
      <c r="AH1018" s="131">
        <v>0.92</v>
      </c>
      <c r="AI1018" s="129" t="s">
        <v>33</v>
      </c>
      <c r="AJ1018" s="129">
        <v>1</v>
      </c>
      <c r="AK1018" s="129">
        <v>1</v>
      </c>
      <c r="AL1018" s="129">
        <v>1</v>
      </c>
      <c r="AM1018" s="128">
        <v>0.99</v>
      </c>
      <c r="AN1018" s="133">
        <v>1</v>
      </c>
      <c r="AO1018" s="133">
        <v>1</v>
      </c>
      <c r="AP1018" s="133">
        <v>1</v>
      </c>
      <c r="AQ1018" s="133">
        <v>1</v>
      </c>
      <c r="AR1018" s="153">
        <v>0.0656418488929858</v>
      </c>
      <c r="AS1018" s="137" t="s">
        <v>33</v>
      </c>
      <c r="AT1018" s="137" t="s">
        <v>33</v>
      </c>
      <c r="AU1018" s="137" t="s">
        <v>33</v>
      </c>
      <c r="AV1018" s="137" t="s">
        <v>33</v>
      </c>
      <c r="AW1018" s="93"/>
      <c r="AX1018" s="91"/>
    </row>
    <row r="1019" ht="14.5" spans="1:50">
      <c r="A1019" s="89"/>
      <c r="B1019" s="93"/>
      <c r="C1019" s="172" t="s">
        <v>922</v>
      </c>
      <c r="D1019" s="126" t="s">
        <v>923</v>
      </c>
      <c r="E1019" s="177" t="s">
        <v>1043</v>
      </c>
      <c r="F1019" s="178" t="s">
        <v>1043</v>
      </c>
      <c r="G1019" s="178" t="s">
        <v>1043</v>
      </c>
      <c r="H1019" s="178" t="s">
        <v>1043</v>
      </c>
      <c r="I1019" s="128">
        <v>0.9</v>
      </c>
      <c r="J1019" s="129" t="s">
        <v>33</v>
      </c>
      <c r="K1019" s="129" t="s">
        <v>33</v>
      </c>
      <c r="L1019" s="130" t="s">
        <v>33</v>
      </c>
      <c r="M1019" s="129" t="s">
        <v>33</v>
      </c>
      <c r="N1019" s="131">
        <v>0.9</v>
      </c>
      <c r="O1019" s="129" t="s">
        <v>33</v>
      </c>
      <c r="P1019" s="129">
        <v>0</v>
      </c>
      <c r="Q1019" s="129" t="s">
        <v>33</v>
      </c>
      <c r="R1019" s="129">
        <v>0</v>
      </c>
      <c r="S1019" s="131">
        <v>0.9</v>
      </c>
      <c r="T1019" s="129" t="s">
        <v>33</v>
      </c>
      <c r="U1019" s="129">
        <v>1</v>
      </c>
      <c r="V1019" s="129" t="s">
        <v>33</v>
      </c>
      <c r="W1019" s="129">
        <v>1</v>
      </c>
      <c r="X1019" s="131">
        <v>0.92</v>
      </c>
      <c r="Y1019" s="131" t="s">
        <v>33</v>
      </c>
      <c r="Z1019" s="131" t="s">
        <v>33</v>
      </c>
      <c r="AA1019" s="131" t="s">
        <v>33</v>
      </c>
      <c r="AB1019" s="131" t="s">
        <v>33</v>
      </c>
      <c r="AC1019" s="131">
        <v>0.92</v>
      </c>
      <c r="AD1019" s="129">
        <v>1</v>
      </c>
      <c r="AE1019" s="129">
        <v>1</v>
      </c>
      <c r="AF1019" s="129">
        <v>1</v>
      </c>
      <c r="AG1019" s="129">
        <v>1</v>
      </c>
      <c r="AH1019" s="131">
        <v>0.92</v>
      </c>
      <c r="AI1019" s="129" t="s">
        <v>33</v>
      </c>
      <c r="AJ1019" s="129">
        <v>1</v>
      </c>
      <c r="AK1019" s="129" t="s">
        <v>33</v>
      </c>
      <c r="AL1019" s="129">
        <v>1</v>
      </c>
      <c r="AM1019" s="128">
        <v>0.99</v>
      </c>
      <c r="AN1019" s="133">
        <v>1</v>
      </c>
      <c r="AO1019" s="133">
        <v>1</v>
      </c>
      <c r="AP1019" s="133">
        <v>1</v>
      </c>
      <c r="AQ1019" s="133">
        <v>1</v>
      </c>
      <c r="AR1019" s="153">
        <v>0.0656418488929858</v>
      </c>
      <c r="AS1019" s="137" t="s">
        <v>33</v>
      </c>
      <c r="AT1019" s="137" t="s">
        <v>33</v>
      </c>
      <c r="AU1019" s="137" t="s">
        <v>33</v>
      </c>
      <c r="AV1019" s="137" t="s">
        <v>33</v>
      </c>
      <c r="AW1019" s="93"/>
      <c r="AX1019" s="91"/>
    </row>
    <row r="1020" ht="14.5" spans="1:50">
      <c r="A1020" s="89"/>
      <c r="B1020" s="93"/>
      <c r="C1020" s="172" t="s">
        <v>922</v>
      </c>
      <c r="D1020" s="126" t="s">
        <v>923</v>
      </c>
      <c r="E1020" s="177" t="s">
        <v>1044</v>
      </c>
      <c r="F1020" s="178" t="s">
        <v>1044</v>
      </c>
      <c r="G1020" s="178" t="s">
        <v>1044</v>
      </c>
      <c r="H1020" s="178" t="s">
        <v>1044</v>
      </c>
      <c r="I1020" s="128">
        <v>0.9</v>
      </c>
      <c r="J1020" s="129" t="s">
        <v>33</v>
      </c>
      <c r="K1020" s="129" t="s">
        <v>33</v>
      </c>
      <c r="L1020" s="130" t="s">
        <v>33</v>
      </c>
      <c r="M1020" s="129" t="s">
        <v>33</v>
      </c>
      <c r="N1020" s="131">
        <v>0.9</v>
      </c>
      <c r="O1020" s="129" t="s">
        <v>33</v>
      </c>
      <c r="P1020" s="129" t="s">
        <v>33</v>
      </c>
      <c r="Q1020" s="129">
        <v>0</v>
      </c>
      <c r="R1020" s="129">
        <v>0</v>
      </c>
      <c r="S1020" s="131">
        <v>0.9</v>
      </c>
      <c r="T1020" s="129" t="s">
        <v>33</v>
      </c>
      <c r="U1020" s="129" t="s">
        <v>33</v>
      </c>
      <c r="V1020" s="129">
        <v>1</v>
      </c>
      <c r="W1020" s="129">
        <v>1</v>
      </c>
      <c r="X1020" s="131">
        <v>0.92</v>
      </c>
      <c r="Y1020" s="131" t="s">
        <v>33</v>
      </c>
      <c r="Z1020" s="131" t="s">
        <v>33</v>
      </c>
      <c r="AA1020" s="131" t="s">
        <v>33</v>
      </c>
      <c r="AB1020" s="131" t="s">
        <v>33</v>
      </c>
      <c r="AC1020" s="131">
        <v>0.92</v>
      </c>
      <c r="AD1020" s="129">
        <v>1</v>
      </c>
      <c r="AE1020" s="129">
        <v>1</v>
      </c>
      <c r="AF1020" s="129">
        <v>1</v>
      </c>
      <c r="AG1020" s="129">
        <v>1</v>
      </c>
      <c r="AH1020" s="131">
        <v>0.92</v>
      </c>
      <c r="AI1020" s="129" t="s">
        <v>33</v>
      </c>
      <c r="AJ1020" s="129" t="s">
        <v>33</v>
      </c>
      <c r="AK1020" s="129">
        <v>1</v>
      </c>
      <c r="AL1020" s="129">
        <v>1</v>
      </c>
      <c r="AM1020" s="128">
        <v>0.99</v>
      </c>
      <c r="AN1020" s="133" t="s">
        <v>33</v>
      </c>
      <c r="AO1020" s="133" t="s">
        <v>33</v>
      </c>
      <c r="AP1020" s="133" t="s">
        <v>33</v>
      </c>
      <c r="AQ1020" s="133" t="s">
        <v>33</v>
      </c>
      <c r="AR1020" s="153">
        <v>0.0656418488929858</v>
      </c>
      <c r="AS1020" s="137" t="s">
        <v>33</v>
      </c>
      <c r="AT1020" s="137" t="s">
        <v>33</v>
      </c>
      <c r="AU1020" s="137" t="s">
        <v>33</v>
      </c>
      <c r="AV1020" s="137" t="s">
        <v>33</v>
      </c>
      <c r="AW1020" s="93"/>
      <c r="AX1020" s="91"/>
    </row>
    <row r="1021" ht="14.5" spans="1:50">
      <c r="A1021" s="89"/>
      <c r="B1021" s="93"/>
      <c r="C1021" s="172" t="s">
        <v>922</v>
      </c>
      <c r="D1021" s="126" t="s">
        <v>923</v>
      </c>
      <c r="E1021" s="177" t="s">
        <v>1045</v>
      </c>
      <c r="F1021" s="178" t="s">
        <v>1045</v>
      </c>
      <c r="G1021" s="178" t="s">
        <v>1045</v>
      </c>
      <c r="H1021" s="178" t="s">
        <v>1045</v>
      </c>
      <c r="I1021" s="128">
        <v>0.9</v>
      </c>
      <c r="J1021" s="129">
        <v>0.866666666666667</v>
      </c>
      <c r="K1021" s="129">
        <v>0.875</v>
      </c>
      <c r="L1021" s="130">
        <v>1</v>
      </c>
      <c r="M1021" s="129">
        <v>0.940860215053763</v>
      </c>
      <c r="N1021" s="131">
        <v>0.9</v>
      </c>
      <c r="O1021" s="129">
        <v>0.947402180885183</v>
      </c>
      <c r="P1021" s="129">
        <v>0.973550356052899</v>
      </c>
      <c r="Q1021" s="129">
        <v>0.970336189848385</v>
      </c>
      <c r="R1021" s="129">
        <v>0.933589931573803</v>
      </c>
      <c r="S1021" s="131">
        <v>0.9</v>
      </c>
      <c r="T1021" s="129">
        <v>0.791533033996151</v>
      </c>
      <c r="U1021" s="129">
        <v>0.928789420142421</v>
      </c>
      <c r="V1021" s="129">
        <v>0.825972313777192</v>
      </c>
      <c r="W1021" s="129">
        <v>0.849523460410557</v>
      </c>
      <c r="X1021" s="131">
        <v>0.92</v>
      </c>
      <c r="Y1021" s="131">
        <v>0.840085287846482</v>
      </c>
      <c r="Z1021" s="131">
        <v>0.93542757417103</v>
      </c>
      <c r="AA1021" s="131">
        <v>0.933085501858736</v>
      </c>
      <c r="AB1021" s="131">
        <v>0.860655737704918</v>
      </c>
      <c r="AC1021" s="131">
        <v>0.92</v>
      </c>
      <c r="AD1021" s="129">
        <v>0.992697242697243</v>
      </c>
      <c r="AE1021" s="129">
        <v>0.98978167904569</v>
      </c>
      <c r="AF1021" s="129">
        <v>0.984957593214914</v>
      </c>
      <c r="AG1021" s="129">
        <v>0.98563647544584</v>
      </c>
      <c r="AH1021" s="131">
        <v>0.92</v>
      </c>
      <c r="AI1021" s="129">
        <v>0.910300640709709</v>
      </c>
      <c r="AJ1021" s="129">
        <v>0.950577663671374</v>
      </c>
      <c r="AK1021" s="129">
        <v>0.952993844432009</v>
      </c>
      <c r="AL1021" s="129">
        <v>0.92044182764829</v>
      </c>
      <c r="AM1021" s="128">
        <v>0.99</v>
      </c>
      <c r="AN1021" s="133">
        <v>1</v>
      </c>
      <c r="AO1021" s="133">
        <v>1</v>
      </c>
      <c r="AP1021" s="133">
        <v>1</v>
      </c>
      <c r="AQ1021" s="133">
        <v>1</v>
      </c>
      <c r="AR1021" s="153">
        <v>0.0656418488929858</v>
      </c>
      <c r="AS1021" s="137">
        <v>0</v>
      </c>
      <c r="AT1021" s="137">
        <v>0</v>
      </c>
      <c r="AU1021" s="137">
        <v>0</v>
      </c>
      <c r="AV1021" s="137">
        <v>0.0368098159509202</v>
      </c>
      <c r="AW1021" s="93"/>
      <c r="AX1021" s="91"/>
    </row>
    <row r="1022" ht="14.5" spans="1:50">
      <c r="A1022" s="89"/>
      <c r="B1022" s="93"/>
      <c r="C1022" s="172" t="s">
        <v>922</v>
      </c>
      <c r="D1022" s="126" t="s">
        <v>923</v>
      </c>
      <c r="E1022" s="175" t="s">
        <v>1046</v>
      </c>
      <c r="F1022" s="176" t="s">
        <v>1046</v>
      </c>
      <c r="G1022" s="176" t="s">
        <v>1046</v>
      </c>
      <c r="H1022" s="176" t="s">
        <v>1046</v>
      </c>
      <c r="I1022" s="128">
        <v>0.9</v>
      </c>
      <c r="J1022" s="129" t="s">
        <v>33</v>
      </c>
      <c r="K1022" s="129" t="s">
        <v>33</v>
      </c>
      <c r="L1022" s="130" t="s">
        <v>33</v>
      </c>
      <c r="M1022" s="129" t="s">
        <v>33</v>
      </c>
      <c r="N1022" s="131">
        <v>0.9</v>
      </c>
      <c r="O1022" s="129">
        <v>1</v>
      </c>
      <c r="P1022" s="129" t="s">
        <v>33</v>
      </c>
      <c r="Q1022" s="129" t="s">
        <v>33</v>
      </c>
      <c r="R1022" s="129">
        <v>1</v>
      </c>
      <c r="S1022" s="131">
        <v>0.9</v>
      </c>
      <c r="T1022" s="129">
        <v>1</v>
      </c>
      <c r="U1022" s="129" t="s">
        <v>33</v>
      </c>
      <c r="V1022" s="129" t="s">
        <v>33</v>
      </c>
      <c r="W1022" s="129">
        <v>1</v>
      </c>
      <c r="X1022" s="131">
        <v>0.92</v>
      </c>
      <c r="Y1022" s="131">
        <v>0</v>
      </c>
      <c r="Z1022" s="131" t="s">
        <v>33</v>
      </c>
      <c r="AA1022" s="131" t="s">
        <v>33</v>
      </c>
      <c r="AB1022" s="131">
        <v>0</v>
      </c>
      <c r="AC1022" s="131">
        <v>0.92</v>
      </c>
      <c r="AD1022" s="129">
        <v>0.998810939357907</v>
      </c>
      <c r="AE1022" s="129">
        <v>0.994773519163763</v>
      </c>
      <c r="AF1022" s="129">
        <v>0.995398773006135</v>
      </c>
      <c r="AG1022" s="129">
        <v>0.995953159979335</v>
      </c>
      <c r="AH1022" s="131">
        <v>0.92</v>
      </c>
      <c r="AI1022" s="129">
        <v>0.5</v>
      </c>
      <c r="AJ1022" s="129" t="s">
        <v>33</v>
      </c>
      <c r="AK1022" s="129" t="s">
        <v>33</v>
      </c>
      <c r="AL1022" s="129">
        <v>0.666666666666667</v>
      </c>
      <c r="AM1022" s="128">
        <v>0.99</v>
      </c>
      <c r="AN1022" s="133">
        <v>1</v>
      </c>
      <c r="AO1022" s="133">
        <v>1</v>
      </c>
      <c r="AP1022" s="133">
        <v>1</v>
      </c>
      <c r="AQ1022" s="133">
        <v>1</v>
      </c>
      <c r="AR1022" s="153">
        <v>0.0656418488929858</v>
      </c>
      <c r="AS1022" s="137" t="s">
        <v>33</v>
      </c>
      <c r="AT1022" s="137">
        <v>0</v>
      </c>
      <c r="AU1022" s="137">
        <v>0</v>
      </c>
      <c r="AV1022" s="137">
        <v>0.0454545454545455</v>
      </c>
      <c r="AW1022" s="93"/>
      <c r="AX1022" s="91"/>
    </row>
    <row r="1023" ht="14.5" spans="1:50">
      <c r="A1023" s="89"/>
      <c r="B1023" s="93"/>
      <c r="C1023" s="172" t="s">
        <v>922</v>
      </c>
      <c r="D1023" s="126" t="s">
        <v>923</v>
      </c>
      <c r="E1023" s="175" t="s">
        <v>1047</v>
      </c>
      <c r="F1023" s="176" t="s">
        <v>1047</v>
      </c>
      <c r="G1023" s="176" t="s">
        <v>1047</v>
      </c>
      <c r="H1023" s="176" t="s">
        <v>1047</v>
      </c>
      <c r="I1023" s="128">
        <v>0.9</v>
      </c>
      <c r="J1023" s="129" t="s">
        <v>33</v>
      </c>
      <c r="K1023" s="129" t="s">
        <v>33</v>
      </c>
      <c r="L1023" s="130" t="s">
        <v>33</v>
      </c>
      <c r="M1023" s="129" t="s">
        <v>33</v>
      </c>
      <c r="N1023" s="131">
        <v>0.9</v>
      </c>
      <c r="O1023" s="129" t="s">
        <v>33</v>
      </c>
      <c r="P1023" s="129" t="s">
        <v>33</v>
      </c>
      <c r="Q1023" s="129" t="s">
        <v>33</v>
      </c>
      <c r="R1023" s="129" t="s">
        <v>33</v>
      </c>
      <c r="S1023" s="131">
        <v>0.9</v>
      </c>
      <c r="T1023" s="129" t="s">
        <v>33</v>
      </c>
      <c r="U1023" s="129" t="s">
        <v>33</v>
      </c>
      <c r="V1023" s="129" t="s">
        <v>33</v>
      </c>
      <c r="W1023" s="129" t="s">
        <v>33</v>
      </c>
      <c r="X1023" s="131">
        <v>0.92</v>
      </c>
      <c r="Y1023" s="131" t="s">
        <v>33</v>
      </c>
      <c r="Z1023" s="131" t="s">
        <v>33</v>
      </c>
      <c r="AA1023" s="131" t="s">
        <v>33</v>
      </c>
      <c r="AB1023" s="131" t="s">
        <v>33</v>
      </c>
      <c r="AC1023" s="131">
        <v>0.92</v>
      </c>
      <c r="AD1023" s="129">
        <v>1</v>
      </c>
      <c r="AE1023" s="129">
        <v>1</v>
      </c>
      <c r="AF1023" s="129">
        <v>1</v>
      </c>
      <c r="AG1023" s="129">
        <v>0.999721448467967</v>
      </c>
      <c r="AH1023" s="131">
        <v>0.92</v>
      </c>
      <c r="AI1023" s="129" t="s">
        <v>33</v>
      </c>
      <c r="AJ1023" s="129" t="s">
        <v>33</v>
      </c>
      <c r="AK1023" s="129" t="s">
        <v>33</v>
      </c>
      <c r="AL1023" s="129" t="s">
        <v>33</v>
      </c>
      <c r="AM1023" s="128">
        <v>0.99</v>
      </c>
      <c r="AN1023" s="133">
        <v>1</v>
      </c>
      <c r="AO1023" s="133">
        <v>1</v>
      </c>
      <c r="AP1023" s="133">
        <v>1</v>
      </c>
      <c r="AQ1023" s="133">
        <v>1</v>
      </c>
      <c r="AR1023" s="153">
        <v>0.0656418488929858</v>
      </c>
      <c r="AS1023" s="137" t="s">
        <v>33</v>
      </c>
      <c r="AT1023" s="137" t="s">
        <v>33</v>
      </c>
      <c r="AU1023" s="137" t="s">
        <v>33</v>
      </c>
      <c r="AV1023" s="137" t="s">
        <v>33</v>
      </c>
      <c r="AW1023" s="93"/>
      <c r="AX1023" s="91"/>
    </row>
    <row r="1024" ht="14.5" spans="1:50">
      <c r="A1024" s="89"/>
      <c r="B1024" s="93"/>
      <c r="C1024" s="172" t="s">
        <v>922</v>
      </c>
      <c r="D1024" s="126" t="s">
        <v>923</v>
      </c>
      <c r="E1024" s="175" t="s">
        <v>1048</v>
      </c>
      <c r="F1024" s="176" t="s">
        <v>1048</v>
      </c>
      <c r="G1024" s="176" t="s">
        <v>1048</v>
      </c>
      <c r="H1024" s="176" t="s">
        <v>1048</v>
      </c>
      <c r="I1024" s="128">
        <v>0.9</v>
      </c>
      <c r="J1024" s="129" t="s">
        <v>33</v>
      </c>
      <c r="K1024" s="129" t="s">
        <v>33</v>
      </c>
      <c r="L1024" s="130" t="s">
        <v>33</v>
      </c>
      <c r="M1024" s="129" t="s">
        <v>33</v>
      </c>
      <c r="N1024" s="131">
        <v>0.9</v>
      </c>
      <c r="O1024" s="129">
        <v>0</v>
      </c>
      <c r="P1024" s="129" t="s">
        <v>33</v>
      </c>
      <c r="Q1024" s="129" t="s">
        <v>33</v>
      </c>
      <c r="R1024" s="129">
        <v>0</v>
      </c>
      <c r="S1024" s="131">
        <v>0.9</v>
      </c>
      <c r="T1024" s="129">
        <v>0</v>
      </c>
      <c r="U1024" s="129" t="s">
        <v>33</v>
      </c>
      <c r="V1024" s="129" t="s">
        <v>33</v>
      </c>
      <c r="W1024" s="129">
        <v>0</v>
      </c>
      <c r="X1024" s="131">
        <v>0.92</v>
      </c>
      <c r="Y1024" s="131" t="s">
        <v>33</v>
      </c>
      <c r="Z1024" s="131" t="s">
        <v>33</v>
      </c>
      <c r="AA1024" s="131" t="s">
        <v>33</v>
      </c>
      <c r="AB1024" s="131" t="s">
        <v>33</v>
      </c>
      <c r="AC1024" s="131">
        <v>0.92</v>
      </c>
      <c r="AD1024" s="129">
        <v>1</v>
      </c>
      <c r="AE1024" s="129">
        <v>1</v>
      </c>
      <c r="AF1024" s="129">
        <v>0.997703788748565</v>
      </c>
      <c r="AG1024" s="129">
        <v>0.999843468732879</v>
      </c>
      <c r="AH1024" s="131">
        <v>0.92</v>
      </c>
      <c r="AI1024" s="129">
        <v>0</v>
      </c>
      <c r="AJ1024" s="129" t="s">
        <v>33</v>
      </c>
      <c r="AK1024" s="129" t="s">
        <v>33</v>
      </c>
      <c r="AL1024" s="129">
        <v>0</v>
      </c>
      <c r="AM1024" s="128">
        <v>0.99</v>
      </c>
      <c r="AN1024" s="133">
        <v>1</v>
      </c>
      <c r="AO1024" s="133">
        <v>1</v>
      </c>
      <c r="AP1024" s="133">
        <v>1</v>
      </c>
      <c r="AQ1024" s="133">
        <v>1</v>
      </c>
      <c r="AR1024" s="153">
        <v>0.0656418488929858</v>
      </c>
      <c r="AS1024" s="137" t="s">
        <v>33</v>
      </c>
      <c r="AT1024" s="137" t="s">
        <v>33</v>
      </c>
      <c r="AU1024" s="137" t="s">
        <v>33</v>
      </c>
      <c r="AV1024" s="137" t="s">
        <v>33</v>
      </c>
      <c r="AW1024" s="93"/>
      <c r="AX1024" s="91"/>
    </row>
    <row r="1025" ht="14.5" spans="1:50">
      <c r="A1025" s="89"/>
      <c r="B1025" s="93"/>
      <c r="C1025" s="172" t="s">
        <v>922</v>
      </c>
      <c r="D1025" s="126" t="s">
        <v>923</v>
      </c>
      <c r="E1025" s="177" t="s">
        <v>1049</v>
      </c>
      <c r="F1025" s="178" t="s">
        <v>1049</v>
      </c>
      <c r="G1025" s="178" t="s">
        <v>1049</v>
      </c>
      <c r="H1025" s="178" t="s">
        <v>1049</v>
      </c>
      <c r="I1025" s="128">
        <v>0.9</v>
      </c>
      <c r="J1025" s="129" t="s">
        <v>33</v>
      </c>
      <c r="K1025" s="129" t="s">
        <v>33</v>
      </c>
      <c r="L1025" s="130" t="s">
        <v>33</v>
      </c>
      <c r="M1025" s="129" t="s">
        <v>33</v>
      </c>
      <c r="N1025" s="131">
        <v>0.9</v>
      </c>
      <c r="O1025" s="129" t="s">
        <v>33</v>
      </c>
      <c r="P1025" s="129" t="s">
        <v>33</v>
      </c>
      <c r="Q1025" s="129">
        <v>0</v>
      </c>
      <c r="R1025" s="129">
        <v>0</v>
      </c>
      <c r="S1025" s="131">
        <v>0.9</v>
      </c>
      <c r="T1025" s="129" t="s">
        <v>33</v>
      </c>
      <c r="U1025" s="129" t="s">
        <v>33</v>
      </c>
      <c r="V1025" s="129">
        <v>1</v>
      </c>
      <c r="W1025" s="129">
        <v>1</v>
      </c>
      <c r="X1025" s="131">
        <v>0.92</v>
      </c>
      <c r="Y1025" s="131" t="s">
        <v>33</v>
      </c>
      <c r="Z1025" s="131" t="s">
        <v>33</v>
      </c>
      <c r="AA1025" s="131" t="s">
        <v>33</v>
      </c>
      <c r="AB1025" s="131" t="s">
        <v>33</v>
      </c>
      <c r="AC1025" s="131">
        <v>0.92</v>
      </c>
      <c r="AD1025" s="129">
        <v>1</v>
      </c>
      <c r="AE1025" s="129">
        <v>1</v>
      </c>
      <c r="AF1025" s="129">
        <v>1</v>
      </c>
      <c r="AG1025" s="129">
        <v>0.999825235931493</v>
      </c>
      <c r="AH1025" s="131">
        <v>0.92</v>
      </c>
      <c r="AI1025" s="129" t="s">
        <v>33</v>
      </c>
      <c r="AJ1025" s="129" t="s">
        <v>33</v>
      </c>
      <c r="AK1025" s="129">
        <v>1</v>
      </c>
      <c r="AL1025" s="129">
        <v>1</v>
      </c>
      <c r="AM1025" s="128">
        <v>0.99</v>
      </c>
      <c r="AN1025" s="133" t="s">
        <v>33</v>
      </c>
      <c r="AO1025" s="133" t="s">
        <v>33</v>
      </c>
      <c r="AP1025" s="133" t="s">
        <v>33</v>
      </c>
      <c r="AQ1025" s="133" t="s">
        <v>33</v>
      </c>
      <c r="AR1025" s="153">
        <v>0.0656418488929858</v>
      </c>
      <c r="AS1025" s="137" t="s">
        <v>33</v>
      </c>
      <c r="AT1025" s="137" t="s">
        <v>33</v>
      </c>
      <c r="AU1025" s="137" t="s">
        <v>33</v>
      </c>
      <c r="AV1025" s="137" t="s">
        <v>33</v>
      </c>
      <c r="AW1025" s="93"/>
      <c r="AX1025" s="91"/>
    </row>
    <row r="1026" ht="14.5" spans="1:50">
      <c r="A1026" s="89"/>
      <c r="B1026" s="93"/>
      <c r="C1026" s="172" t="s">
        <v>922</v>
      </c>
      <c r="D1026" s="126" t="s">
        <v>923</v>
      </c>
      <c r="E1026" s="177" t="s">
        <v>1050</v>
      </c>
      <c r="F1026" s="178" t="s">
        <v>1050</v>
      </c>
      <c r="G1026" s="178" t="s">
        <v>1050</v>
      </c>
      <c r="H1026" s="178" t="s">
        <v>1050</v>
      </c>
      <c r="I1026" s="128">
        <v>0.9</v>
      </c>
      <c r="J1026" s="129">
        <v>1</v>
      </c>
      <c r="K1026" s="129">
        <v>1</v>
      </c>
      <c r="L1026" s="130">
        <v>0.9</v>
      </c>
      <c r="M1026" s="129">
        <v>0.938864628820961</v>
      </c>
      <c r="N1026" s="131">
        <v>0.9</v>
      </c>
      <c r="O1026" s="129">
        <v>0.979901558654635</v>
      </c>
      <c r="P1026" s="129">
        <v>0.979219143576826</v>
      </c>
      <c r="Q1026" s="129">
        <v>0.980299785867238</v>
      </c>
      <c r="R1026" s="129">
        <v>0.962685675600334</v>
      </c>
      <c r="S1026" s="131">
        <v>0.9</v>
      </c>
      <c r="T1026" s="129">
        <v>0.892945036915505</v>
      </c>
      <c r="U1026" s="129">
        <v>0.922544080604534</v>
      </c>
      <c r="V1026" s="129">
        <v>0.891648822269807</v>
      </c>
      <c r="W1026" s="129">
        <v>0.871211819521325</v>
      </c>
      <c r="X1026" s="131">
        <v>0.92</v>
      </c>
      <c r="Y1026" s="131">
        <v>0.932846715328467</v>
      </c>
      <c r="Z1026" s="131">
        <v>0.938752783964365</v>
      </c>
      <c r="AA1026" s="131">
        <v>0.964285714285714</v>
      </c>
      <c r="AB1026" s="131">
        <v>0.907927958256186</v>
      </c>
      <c r="AC1026" s="131">
        <v>0.92</v>
      </c>
      <c r="AD1026" s="129">
        <v>0.990005765904286</v>
      </c>
      <c r="AE1026" s="129">
        <v>0.989211100717181</v>
      </c>
      <c r="AF1026" s="129">
        <v>0.994613290995691</v>
      </c>
      <c r="AG1026" s="129">
        <v>0.98240744936336</v>
      </c>
      <c r="AH1026" s="131">
        <v>0.92</v>
      </c>
      <c r="AI1026" s="129">
        <v>0.95744</v>
      </c>
      <c r="AJ1026" s="129">
        <v>0.952189634391322</v>
      </c>
      <c r="AK1026" s="129">
        <v>0.962962962962963</v>
      </c>
      <c r="AL1026" s="129">
        <v>0.935037342261138</v>
      </c>
      <c r="AM1026" s="128">
        <v>0.99</v>
      </c>
      <c r="AN1026" s="133">
        <v>1</v>
      </c>
      <c r="AO1026" s="133">
        <v>1</v>
      </c>
      <c r="AP1026" s="133">
        <v>1</v>
      </c>
      <c r="AQ1026" s="133">
        <v>1</v>
      </c>
      <c r="AR1026" s="153">
        <v>0.0656418488929858</v>
      </c>
      <c r="AS1026" s="137">
        <v>0.037037037037037</v>
      </c>
      <c r="AT1026" s="137">
        <v>0.315789473684211</v>
      </c>
      <c r="AU1026" s="137">
        <v>0.032258064516129</v>
      </c>
      <c r="AV1026" s="137">
        <v>0.0678733031674208</v>
      </c>
      <c r="AW1026" s="93"/>
      <c r="AX1026" s="91"/>
    </row>
    <row r="1027" ht="14.5" spans="1:50">
      <c r="A1027" s="89"/>
      <c r="B1027" s="93"/>
      <c r="C1027" s="172" t="s">
        <v>922</v>
      </c>
      <c r="D1027" s="126" t="s">
        <v>923</v>
      </c>
      <c r="E1027" s="175" t="s">
        <v>1051</v>
      </c>
      <c r="F1027" s="176" t="s">
        <v>1051</v>
      </c>
      <c r="G1027" s="176" t="s">
        <v>1051</v>
      </c>
      <c r="H1027" s="176" t="s">
        <v>1051</v>
      </c>
      <c r="I1027" s="128">
        <v>0.9</v>
      </c>
      <c r="J1027" s="129">
        <v>0.970588235294118</v>
      </c>
      <c r="K1027" s="129">
        <v>0.923076923076923</v>
      </c>
      <c r="L1027" s="130">
        <v>1</v>
      </c>
      <c r="M1027" s="129">
        <v>0.974789915966387</v>
      </c>
      <c r="N1027" s="131">
        <v>0.9</v>
      </c>
      <c r="O1027" s="129">
        <v>0.980875831485588</v>
      </c>
      <c r="P1027" s="129">
        <v>0.980994969256568</v>
      </c>
      <c r="Q1027" s="129">
        <v>0.944813829787234</v>
      </c>
      <c r="R1027" s="129">
        <v>0.978144305863154</v>
      </c>
      <c r="S1027" s="131">
        <v>0.9</v>
      </c>
      <c r="T1027" s="129">
        <v>0.930709534368071</v>
      </c>
      <c r="U1027" s="129">
        <v>0.921743991056456</v>
      </c>
      <c r="V1027" s="129">
        <v>0.910904255319149</v>
      </c>
      <c r="W1027" s="129">
        <v>0.922980533861755</v>
      </c>
      <c r="X1027" s="131">
        <v>0.92</v>
      </c>
      <c r="Y1027" s="131">
        <v>0.936061381074169</v>
      </c>
      <c r="Z1027" s="131">
        <v>0.945833333333333</v>
      </c>
      <c r="AA1027" s="131">
        <v>0.871710526315789</v>
      </c>
      <c r="AB1027" s="131">
        <v>0.930149784962183</v>
      </c>
      <c r="AC1027" s="131">
        <v>0.92</v>
      </c>
      <c r="AD1027" s="129">
        <v>0.996793937627514</v>
      </c>
      <c r="AE1027" s="129">
        <v>0.997477687233217</v>
      </c>
      <c r="AF1027" s="129">
        <v>0.998176845943482</v>
      </c>
      <c r="AG1027" s="129">
        <v>0.991442681899907</v>
      </c>
      <c r="AH1027" s="131">
        <v>0.92</v>
      </c>
      <c r="AI1027" s="129">
        <v>0.966765308445254</v>
      </c>
      <c r="AJ1027" s="129">
        <v>0.963346613545817</v>
      </c>
      <c r="AK1027" s="129">
        <v>0.962616822429907</v>
      </c>
      <c r="AL1027" s="129">
        <v>0.964993427138614</v>
      </c>
      <c r="AM1027" s="128">
        <v>0.99</v>
      </c>
      <c r="AN1027" s="133">
        <v>1</v>
      </c>
      <c r="AO1027" s="133">
        <v>1</v>
      </c>
      <c r="AP1027" s="133">
        <v>1</v>
      </c>
      <c r="AQ1027" s="133">
        <v>1</v>
      </c>
      <c r="AR1027" s="153">
        <v>0.0656418488929858</v>
      </c>
      <c r="AS1027" s="137">
        <v>0.032258064516129</v>
      </c>
      <c r="AT1027" s="137">
        <v>0</v>
      </c>
      <c r="AU1027" s="137">
        <v>-0.1</v>
      </c>
      <c r="AV1027" s="137">
        <v>0.026431718061674</v>
      </c>
      <c r="AW1027" s="93"/>
      <c r="AX1027" s="91"/>
    </row>
    <row r="1028" ht="14.5" spans="1:50">
      <c r="A1028" s="89"/>
      <c r="B1028" s="93"/>
      <c r="C1028" s="172" t="s">
        <v>922</v>
      </c>
      <c r="D1028" s="126" t="s">
        <v>923</v>
      </c>
      <c r="E1028" s="175" t="s">
        <v>1052</v>
      </c>
      <c r="F1028" s="176" t="s">
        <v>1052</v>
      </c>
      <c r="G1028" s="176" t="s">
        <v>1052</v>
      </c>
      <c r="H1028" s="176" t="s">
        <v>1052</v>
      </c>
      <c r="I1028" s="128">
        <v>0.9</v>
      </c>
      <c r="J1028" s="129">
        <v>0.884615384615385</v>
      </c>
      <c r="K1028" s="129">
        <v>0.76</v>
      </c>
      <c r="L1028" s="130">
        <v>0.925925925925926</v>
      </c>
      <c r="M1028" s="129">
        <v>0.790163934426229</v>
      </c>
      <c r="N1028" s="131">
        <v>0.9</v>
      </c>
      <c r="O1028" s="129">
        <v>0.314195736434109</v>
      </c>
      <c r="P1028" s="129">
        <v>0.454152249134948</v>
      </c>
      <c r="Q1028" s="129">
        <v>0.36006168080185</v>
      </c>
      <c r="R1028" s="129">
        <v>0.35459008229184</v>
      </c>
      <c r="S1028" s="131">
        <v>0.9</v>
      </c>
      <c r="T1028" s="129">
        <v>0.541908914728682</v>
      </c>
      <c r="U1028" s="129">
        <v>0.603373702422145</v>
      </c>
      <c r="V1028" s="129">
        <v>0.520431765612953</v>
      </c>
      <c r="W1028" s="129">
        <v>0.523039343562501</v>
      </c>
      <c r="X1028" s="131">
        <v>0.92</v>
      </c>
      <c r="Y1028" s="131">
        <v>0.656637168141593</v>
      </c>
      <c r="Z1028" s="131">
        <v>0.645669291338583</v>
      </c>
      <c r="AA1028" s="131">
        <v>0.672764227642276</v>
      </c>
      <c r="AB1028" s="131">
        <v>0.606618072428555</v>
      </c>
      <c r="AC1028" s="131">
        <v>0.92</v>
      </c>
      <c r="AD1028" s="129">
        <v>0.998224852071006</v>
      </c>
      <c r="AE1028" s="129">
        <v>0.993978321959053</v>
      </c>
      <c r="AF1028" s="129">
        <v>0.837033812218836</v>
      </c>
      <c r="AG1028" s="129">
        <v>0.977946514126426</v>
      </c>
      <c r="AH1028" s="131">
        <v>0.92</v>
      </c>
      <c r="AI1028" s="129">
        <v>0.813117870722433</v>
      </c>
      <c r="AJ1028" s="129">
        <v>0.782693558880937</v>
      </c>
      <c r="AK1028" s="129">
        <v>0.828428017339722</v>
      </c>
      <c r="AL1028" s="129">
        <v>0.790956672307269</v>
      </c>
      <c r="AM1028" s="128">
        <v>0.99</v>
      </c>
      <c r="AN1028" s="133">
        <v>1</v>
      </c>
      <c r="AO1028" s="133">
        <v>1</v>
      </c>
      <c r="AP1028" s="133">
        <v>1</v>
      </c>
      <c r="AQ1028" s="133">
        <v>1</v>
      </c>
      <c r="AR1028" s="153">
        <v>0.0656418488929858</v>
      </c>
      <c r="AS1028" s="137">
        <v>0.0476190476190476</v>
      </c>
      <c r="AT1028" s="137">
        <v>0.133333333333333</v>
      </c>
      <c r="AU1028" s="137">
        <v>0</v>
      </c>
      <c r="AV1028" s="137">
        <v>0.0489130434782609</v>
      </c>
      <c r="AW1028" s="93"/>
      <c r="AX1028" s="91"/>
    </row>
    <row r="1029" ht="14.5" spans="1:50">
      <c r="A1029" s="89"/>
      <c r="B1029" s="93"/>
      <c r="C1029" s="172" t="s">
        <v>922</v>
      </c>
      <c r="D1029" s="126" t="s">
        <v>923</v>
      </c>
      <c r="E1029" s="175" t="s">
        <v>1053</v>
      </c>
      <c r="F1029" s="176" t="s">
        <v>1053</v>
      </c>
      <c r="G1029" s="176" t="s">
        <v>1053</v>
      </c>
      <c r="H1029" s="176" t="s">
        <v>1053</v>
      </c>
      <c r="I1029" s="128">
        <v>0.9</v>
      </c>
      <c r="J1029" s="129">
        <v>0.9</v>
      </c>
      <c r="K1029" s="129">
        <v>0.958333333333333</v>
      </c>
      <c r="L1029" s="130">
        <v>0.92</v>
      </c>
      <c r="M1029" s="129">
        <v>0.929936305732484</v>
      </c>
      <c r="N1029" s="131">
        <v>0.9</v>
      </c>
      <c r="O1029" s="129">
        <v>0.845074017355794</v>
      </c>
      <c r="P1029" s="129">
        <v>0.967880085653105</v>
      </c>
      <c r="Q1029" s="129">
        <v>0.713513513513514</v>
      </c>
      <c r="R1029" s="129">
        <v>0.889260858074179</v>
      </c>
      <c r="S1029" s="131">
        <v>0.9</v>
      </c>
      <c r="T1029" s="129">
        <v>0.828483920367534</v>
      </c>
      <c r="U1029" s="129">
        <v>0.890792291220557</v>
      </c>
      <c r="V1029" s="129">
        <v>0.796820349761526</v>
      </c>
      <c r="W1029" s="129">
        <v>0.852435908730508</v>
      </c>
      <c r="X1029" s="131">
        <v>0.92</v>
      </c>
      <c r="Y1029" s="131">
        <v>0.863694267515924</v>
      </c>
      <c r="Z1029" s="131">
        <v>0.839352428393524</v>
      </c>
      <c r="AA1029" s="131">
        <v>0.792517006802721</v>
      </c>
      <c r="AB1029" s="131">
        <v>0.865850102070575</v>
      </c>
      <c r="AC1029" s="131">
        <v>0.92</v>
      </c>
      <c r="AD1029" s="129">
        <v>0.996538703587162</v>
      </c>
      <c r="AE1029" s="129">
        <v>0.996122599704579</v>
      </c>
      <c r="AF1029" s="129">
        <v>0.994050570153694</v>
      </c>
      <c r="AG1029" s="129">
        <v>0.996359111438842</v>
      </c>
      <c r="AH1029" s="131">
        <v>0.92</v>
      </c>
      <c r="AI1029" s="129">
        <v>0.951318027210884</v>
      </c>
      <c r="AJ1029" s="129">
        <v>0.919880194683639</v>
      </c>
      <c r="AK1029" s="129">
        <v>0.948837209302326</v>
      </c>
      <c r="AL1029" s="129">
        <v>0.951338140046438</v>
      </c>
      <c r="AM1029" s="128">
        <v>0.99</v>
      </c>
      <c r="AN1029" s="133">
        <v>1</v>
      </c>
      <c r="AO1029" s="133">
        <v>1</v>
      </c>
      <c r="AP1029" s="133">
        <v>1</v>
      </c>
      <c r="AQ1029" s="133">
        <v>1</v>
      </c>
      <c r="AR1029" s="153">
        <v>0.0656418488929858</v>
      </c>
      <c r="AS1029" s="137">
        <v>0</v>
      </c>
      <c r="AT1029" s="137">
        <v>0</v>
      </c>
      <c r="AU1029" s="137">
        <v>0</v>
      </c>
      <c r="AV1029" s="137">
        <v>0</v>
      </c>
      <c r="AW1029" s="93"/>
      <c r="AX1029" s="91"/>
    </row>
    <row r="1030" ht="14.5" spans="1:50">
      <c r="A1030" s="89"/>
      <c r="B1030" s="93"/>
      <c r="C1030" s="172" t="s">
        <v>922</v>
      </c>
      <c r="D1030" s="126" t="s">
        <v>923</v>
      </c>
      <c r="E1030" s="175" t="s">
        <v>1054</v>
      </c>
      <c r="F1030" s="176" t="s">
        <v>1054</v>
      </c>
      <c r="G1030" s="176" t="s">
        <v>1054</v>
      </c>
      <c r="H1030" s="176" t="s">
        <v>1054</v>
      </c>
      <c r="I1030" s="128">
        <v>0.9</v>
      </c>
      <c r="J1030" s="129">
        <v>1</v>
      </c>
      <c r="K1030" s="129">
        <v>0.875</v>
      </c>
      <c r="L1030" s="130">
        <v>0.939393939393939</v>
      </c>
      <c r="M1030" s="129">
        <v>0.964735516372796</v>
      </c>
      <c r="N1030" s="131">
        <v>0.9</v>
      </c>
      <c r="O1030" s="129">
        <v>0.926589737294378</v>
      </c>
      <c r="P1030" s="129">
        <v>0.957345971563981</v>
      </c>
      <c r="Q1030" s="129">
        <v>0.915783754414561</v>
      </c>
      <c r="R1030" s="129">
        <v>0.93934728286933</v>
      </c>
      <c r="S1030" s="131">
        <v>0.9</v>
      </c>
      <c r="T1030" s="129">
        <v>0.844586300024552</v>
      </c>
      <c r="U1030" s="129">
        <v>0.930633347694959</v>
      </c>
      <c r="V1030" s="129">
        <v>0.887530562347188</v>
      </c>
      <c r="W1030" s="129">
        <v>0.887150104747722</v>
      </c>
      <c r="X1030" s="131">
        <v>0.92</v>
      </c>
      <c r="Y1030" s="131">
        <v>0.925501432664756</v>
      </c>
      <c r="Z1030" s="131">
        <v>0.881773399014778</v>
      </c>
      <c r="AA1030" s="131">
        <v>0.958997722095672</v>
      </c>
      <c r="AB1030" s="131">
        <v>0.932817182817183</v>
      </c>
      <c r="AC1030" s="131">
        <v>0.92</v>
      </c>
      <c r="AD1030" s="129">
        <v>0.996845425867508</v>
      </c>
      <c r="AE1030" s="129">
        <v>0.998183469573115</v>
      </c>
      <c r="AF1030" s="129">
        <v>0.996592844974446</v>
      </c>
      <c r="AG1030" s="129">
        <v>0.992442563482467</v>
      </c>
      <c r="AH1030" s="131">
        <v>0.92</v>
      </c>
      <c r="AI1030" s="129">
        <v>0.9611328125</v>
      </c>
      <c r="AJ1030" s="129">
        <v>0.956655290102389</v>
      </c>
      <c r="AK1030" s="129">
        <v>0.972822130550837</v>
      </c>
      <c r="AL1030" s="129">
        <v>0.969536006718455</v>
      </c>
      <c r="AM1030" s="128">
        <v>0.99</v>
      </c>
      <c r="AN1030" s="133">
        <v>1</v>
      </c>
      <c r="AO1030" s="133">
        <v>1</v>
      </c>
      <c r="AP1030" s="133">
        <v>1</v>
      </c>
      <c r="AQ1030" s="133">
        <v>1</v>
      </c>
      <c r="AR1030" s="153">
        <v>0.0656418488929858</v>
      </c>
      <c r="AS1030" s="137">
        <v>0</v>
      </c>
      <c r="AT1030" s="137">
        <v>0</v>
      </c>
      <c r="AU1030" s="137">
        <v>0</v>
      </c>
      <c r="AV1030" s="137">
        <v>0.0460526315789474</v>
      </c>
      <c r="AW1030" s="93"/>
      <c r="AX1030" s="91"/>
    </row>
    <row r="1031" ht="14.5" spans="1:50">
      <c r="A1031" s="89"/>
      <c r="B1031" s="93"/>
      <c r="C1031" s="172" t="s">
        <v>922</v>
      </c>
      <c r="D1031" s="126" t="s">
        <v>923</v>
      </c>
      <c r="E1031" s="175" t="s">
        <v>1055</v>
      </c>
      <c r="F1031" s="176" t="s">
        <v>1055</v>
      </c>
      <c r="G1031" s="176" t="s">
        <v>1055</v>
      </c>
      <c r="H1031" s="176" t="s">
        <v>1055</v>
      </c>
      <c r="I1031" s="128">
        <v>0.9</v>
      </c>
      <c r="J1031" s="129">
        <v>0.956521739130435</v>
      </c>
      <c r="K1031" s="129">
        <v>0.916666666666667</v>
      </c>
      <c r="L1031" s="130">
        <v>0.923076923076923</v>
      </c>
      <c r="M1031" s="129">
        <v>0.858527131782946</v>
      </c>
      <c r="N1031" s="131">
        <v>0.9</v>
      </c>
      <c r="O1031" s="129">
        <v>0.963285625388923</v>
      </c>
      <c r="P1031" s="129">
        <v>0.979422502489213</v>
      </c>
      <c r="Q1031" s="129">
        <v>0.95323460639127</v>
      </c>
      <c r="R1031" s="129">
        <v>0.969400538880022</v>
      </c>
      <c r="S1031" s="131">
        <v>0.9</v>
      </c>
      <c r="T1031" s="129">
        <v>0.935905413814561</v>
      </c>
      <c r="U1031" s="129">
        <v>0.954530368403585</v>
      </c>
      <c r="V1031" s="129">
        <v>0.901013250194856</v>
      </c>
      <c r="W1031" s="129">
        <v>0.939161475226965</v>
      </c>
      <c r="X1031" s="131">
        <v>0.92</v>
      </c>
      <c r="Y1031" s="131">
        <v>0</v>
      </c>
      <c r="Z1031" s="131" t="s">
        <v>33</v>
      </c>
      <c r="AA1031" s="131" t="s">
        <v>33</v>
      </c>
      <c r="AB1031" s="131">
        <v>0.25</v>
      </c>
      <c r="AC1031" s="131">
        <v>0.92</v>
      </c>
      <c r="AD1031" s="129">
        <v>0.996959165942659</v>
      </c>
      <c r="AE1031" s="129">
        <v>0.982109423757021</v>
      </c>
      <c r="AF1031" s="129">
        <v>0.999381698268755</v>
      </c>
      <c r="AG1031" s="129">
        <v>0.997176419482706</v>
      </c>
      <c r="AH1031" s="131">
        <v>0.92</v>
      </c>
      <c r="AI1031" s="129">
        <v>0.986018331520895</v>
      </c>
      <c r="AJ1031" s="129">
        <v>0.986737400530504</v>
      </c>
      <c r="AK1031" s="129">
        <v>0.977215189873418</v>
      </c>
      <c r="AL1031" s="129">
        <v>0.985197001663836</v>
      </c>
      <c r="AM1031" s="128">
        <v>0.99</v>
      </c>
      <c r="AN1031" s="133">
        <v>1</v>
      </c>
      <c r="AO1031" s="133">
        <v>1</v>
      </c>
      <c r="AP1031" s="133">
        <v>1</v>
      </c>
      <c r="AQ1031" s="133">
        <v>1</v>
      </c>
      <c r="AR1031" s="153">
        <v>0.0656418488929858</v>
      </c>
      <c r="AS1031" s="137">
        <v>0</v>
      </c>
      <c r="AT1031" s="137">
        <v>0</v>
      </c>
      <c r="AU1031" s="137">
        <v>0</v>
      </c>
      <c r="AV1031" s="137">
        <v>0.102564102564103</v>
      </c>
      <c r="AW1031" s="93"/>
      <c r="AX1031" s="91"/>
    </row>
    <row r="1032" ht="14.5" spans="1:50">
      <c r="A1032" s="89"/>
      <c r="B1032" s="93"/>
      <c r="C1032" s="172" t="s">
        <v>922</v>
      </c>
      <c r="D1032" s="126" t="s">
        <v>923</v>
      </c>
      <c r="E1032" s="175" t="s">
        <v>1056</v>
      </c>
      <c r="F1032" s="176" t="s">
        <v>1056</v>
      </c>
      <c r="G1032" s="176" t="s">
        <v>1056</v>
      </c>
      <c r="H1032" s="176" t="s">
        <v>1056</v>
      </c>
      <c r="I1032" s="128">
        <v>0.9</v>
      </c>
      <c r="J1032" s="129">
        <v>0.923076923076923</v>
      </c>
      <c r="K1032" s="129">
        <v>0.878787878787879</v>
      </c>
      <c r="L1032" s="130">
        <v>0.823529411764706</v>
      </c>
      <c r="M1032" s="129">
        <v>0.875</v>
      </c>
      <c r="N1032" s="131">
        <v>0.9</v>
      </c>
      <c r="O1032" s="129">
        <v>0.909178372137772</v>
      </c>
      <c r="P1032" s="129">
        <v>0.836514522821577</v>
      </c>
      <c r="Q1032" s="129">
        <v>0.907860975040821</v>
      </c>
      <c r="R1032" s="129">
        <v>0.898846033891257</v>
      </c>
      <c r="S1032" s="131">
        <v>0.9</v>
      </c>
      <c r="T1032" s="129">
        <v>0.8223975370406</v>
      </c>
      <c r="U1032" s="129">
        <v>0.802074688796681</v>
      </c>
      <c r="V1032" s="129">
        <v>0.710753440634476</v>
      </c>
      <c r="W1032" s="129">
        <v>0.780600894063832</v>
      </c>
      <c r="X1032" s="131">
        <v>0.92</v>
      </c>
      <c r="Y1032" s="131" t="s">
        <v>33</v>
      </c>
      <c r="Z1032" s="131" t="s">
        <v>33</v>
      </c>
      <c r="AA1032" s="131" t="s">
        <v>33</v>
      </c>
      <c r="AB1032" s="131" t="s">
        <v>33</v>
      </c>
      <c r="AC1032" s="131">
        <v>0.92</v>
      </c>
      <c r="AD1032" s="129">
        <v>0.996617812852311</v>
      </c>
      <c r="AE1032" s="129">
        <v>0.997147871873629</v>
      </c>
      <c r="AF1032" s="129">
        <v>0.992048929663609</v>
      </c>
      <c r="AG1032" s="129">
        <v>0.991144952058658</v>
      </c>
      <c r="AH1032" s="131">
        <v>0.92</v>
      </c>
      <c r="AI1032" s="129">
        <v>0.969411312043093</v>
      </c>
      <c r="AJ1032" s="129">
        <v>0.951887183741186</v>
      </c>
      <c r="AK1032" s="129">
        <v>0.953602238283982</v>
      </c>
      <c r="AL1032" s="129">
        <v>0.954971623391472</v>
      </c>
      <c r="AM1032" s="128">
        <v>0.99</v>
      </c>
      <c r="AN1032" s="133">
        <v>1</v>
      </c>
      <c r="AO1032" s="133">
        <v>1</v>
      </c>
      <c r="AP1032" s="133">
        <v>1</v>
      </c>
      <c r="AQ1032" s="133">
        <v>1</v>
      </c>
      <c r="AR1032" s="153">
        <v>0.0656418488929858</v>
      </c>
      <c r="AS1032" s="137">
        <v>0</v>
      </c>
      <c r="AT1032" s="137">
        <v>0</v>
      </c>
      <c r="AU1032" s="137">
        <v>0.0588235294117647</v>
      </c>
      <c r="AV1032" s="137">
        <v>0.028735632183908</v>
      </c>
      <c r="AW1032" s="93"/>
      <c r="AX1032" s="91"/>
    </row>
    <row r="1033" ht="14.5" spans="1:50">
      <c r="A1033" s="89"/>
      <c r="B1033" s="93"/>
      <c r="C1033" s="172" t="s">
        <v>922</v>
      </c>
      <c r="D1033" s="126" t="s">
        <v>923</v>
      </c>
      <c r="E1033" s="179" t="s">
        <v>1057</v>
      </c>
      <c r="F1033" s="180" t="s">
        <v>1057</v>
      </c>
      <c r="G1033" s="180" t="s">
        <v>1057</v>
      </c>
      <c r="H1033" s="180" t="s">
        <v>1057</v>
      </c>
      <c r="I1033" s="128">
        <v>0.9</v>
      </c>
      <c r="J1033" s="129">
        <v>1</v>
      </c>
      <c r="K1033" s="129">
        <v>0.782608695652174</v>
      </c>
      <c r="L1033" s="130">
        <v>1</v>
      </c>
      <c r="M1033" s="129">
        <v>0.945255474452555</v>
      </c>
      <c r="N1033" s="131">
        <v>0.9</v>
      </c>
      <c r="O1033" s="129">
        <v>0.949488875526158</v>
      </c>
      <c r="P1033" s="129">
        <v>0.941144997324773</v>
      </c>
      <c r="Q1033" s="129">
        <v>0.943698854337152</v>
      </c>
      <c r="R1033" s="129">
        <v>0.946587807097361</v>
      </c>
      <c r="S1033" s="131">
        <v>0.9</v>
      </c>
      <c r="T1033" s="129">
        <v>0.904990980156344</v>
      </c>
      <c r="U1033" s="129">
        <v>0.906902086677368</v>
      </c>
      <c r="V1033" s="129">
        <v>0.867430441898527</v>
      </c>
      <c r="W1033" s="129">
        <v>0.896239005156203</v>
      </c>
      <c r="X1033" s="131">
        <v>0.92</v>
      </c>
      <c r="Y1033" s="131">
        <v>0.914425427872861</v>
      </c>
      <c r="Z1033" s="131">
        <v>0.934391534391534</v>
      </c>
      <c r="AA1033" s="131">
        <v>0.87335092348285</v>
      </c>
      <c r="AB1033" s="131">
        <v>0.903306822938468</v>
      </c>
      <c r="AC1033" s="131">
        <v>0.92</v>
      </c>
      <c r="AD1033" s="129">
        <v>0.959237536656891</v>
      </c>
      <c r="AE1033" s="129">
        <v>0.970388390235718</v>
      </c>
      <c r="AF1033" s="129">
        <v>0.855712522287752</v>
      </c>
      <c r="AG1033" s="129">
        <v>0.926996555284112</v>
      </c>
      <c r="AH1033" s="131">
        <v>0.92</v>
      </c>
      <c r="AI1033" s="129">
        <v>0.963588136001929</v>
      </c>
      <c r="AJ1033" s="129">
        <v>0.957741477272727</v>
      </c>
      <c r="AK1033" s="129">
        <v>0.960128055878929</v>
      </c>
      <c r="AL1033" s="129">
        <v>0.95857929213679</v>
      </c>
      <c r="AM1033" s="128">
        <v>0.99</v>
      </c>
      <c r="AN1033" s="133">
        <v>1</v>
      </c>
      <c r="AO1033" s="133">
        <v>1</v>
      </c>
      <c r="AP1033" s="133">
        <v>1</v>
      </c>
      <c r="AQ1033" s="133">
        <v>1</v>
      </c>
      <c r="AR1033" s="153">
        <v>0.0656418488929858</v>
      </c>
      <c r="AS1033" s="137">
        <v>0</v>
      </c>
      <c r="AT1033" s="137">
        <v>0</v>
      </c>
      <c r="AU1033" s="137">
        <v>0</v>
      </c>
      <c r="AV1033" s="137">
        <v>0.00980392156862745</v>
      </c>
      <c r="AW1033" s="93"/>
      <c r="AX1033" s="91"/>
    </row>
    <row r="1034" ht="14.5" spans="1:50">
      <c r="A1034" s="89"/>
      <c r="B1034" s="93"/>
      <c r="C1034" s="172" t="s">
        <v>922</v>
      </c>
      <c r="D1034" s="126" t="s">
        <v>923</v>
      </c>
      <c r="E1034" s="175" t="s">
        <v>1058</v>
      </c>
      <c r="F1034" s="176" t="s">
        <v>1058</v>
      </c>
      <c r="G1034" s="176" t="s">
        <v>1058</v>
      </c>
      <c r="H1034" s="176" t="s">
        <v>1058</v>
      </c>
      <c r="I1034" s="128">
        <v>0.9</v>
      </c>
      <c r="J1034" s="129">
        <v>0.976744186046512</v>
      </c>
      <c r="K1034" s="129">
        <v>0.916666666666667</v>
      </c>
      <c r="L1034" s="130">
        <v>0.916666666666667</v>
      </c>
      <c r="M1034" s="129">
        <v>0.966244725738397</v>
      </c>
      <c r="N1034" s="131">
        <v>0.9</v>
      </c>
      <c r="O1034" s="129">
        <v>0.950686324351805</v>
      </c>
      <c r="P1034" s="129">
        <v>0.966702470461869</v>
      </c>
      <c r="Q1034" s="129">
        <v>0.919434326119563</v>
      </c>
      <c r="R1034" s="129">
        <v>0.937492946089312</v>
      </c>
      <c r="S1034" s="131">
        <v>0.9</v>
      </c>
      <c r="T1034" s="129">
        <v>0.924080664294187</v>
      </c>
      <c r="U1034" s="129">
        <v>0.929824561403509</v>
      </c>
      <c r="V1034" s="129">
        <v>0.8842939790015</v>
      </c>
      <c r="W1034" s="129">
        <v>0.908186298483879</v>
      </c>
      <c r="X1034" s="131">
        <v>0.92</v>
      </c>
      <c r="Y1034" s="131" t="s">
        <v>33</v>
      </c>
      <c r="Z1034" s="131" t="s">
        <v>33</v>
      </c>
      <c r="AA1034" s="131" t="s">
        <v>33</v>
      </c>
      <c r="AB1034" s="131">
        <v>0</v>
      </c>
      <c r="AC1034" s="131">
        <v>0.92</v>
      </c>
      <c r="AD1034" s="129">
        <v>0.994398506268338</v>
      </c>
      <c r="AE1034" s="129">
        <v>0.995499073338629</v>
      </c>
      <c r="AF1034" s="129">
        <v>0.999106344950849</v>
      </c>
      <c r="AG1034" s="129">
        <v>0.996728685340421</v>
      </c>
      <c r="AH1034" s="131">
        <v>0.92</v>
      </c>
      <c r="AI1034" s="129">
        <v>0.972885951533638</v>
      </c>
      <c r="AJ1034" s="129">
        <v>0.974937343358396</v>
      </c>
      <c r="AK1034" s="129">
        <v>0.980085653104925</v>
      </c>
      <c r="AL1034" s="129">
        <v>0.972809326814592</v>
      </c>
      <c r="AM1034" s="128">
        <v>0.99</v>
      </c>
      <c r="AN1034" s="133">
        <v>1</v>
      </c>
      <c r="AO1034" s="133">
        <v>1</v>
      </c>
      <c r="AP1034" s="133">
        <v>1</v>
      </c>
      <c r="AQ1034" s="133">
        <v>1</v>
      </c>
      <c r="AR1034" s="153">
        <v>0.0656418488929858</v>
      </c>
      <c r="AS1034" s="137">
        <v>0</v>
      </c>
      <c r="AT1034" s="137">
        <v>0.0555555555555556</v>
      </c>
      <c r="AU1034" s="137">
        <v>0</v>
      </c>
      <c r="AV1034" s="137">
        <v>0.041025641025641</v>
      </c>
      <c r="AW1034" s="93"/>
      <c r="AX1034" s="91"/>
    </row>
    <row r="1035" ht="14.5" spans="1:50">
      <c r="A1035" s="89"/>
      <c r="B1035" s="93"/>
      <c r="C1035" s="172" t="s">
        <v>922</v>
      </c>
      <c r="D1035" s="126" t="s">
        <v>923</v>
      </c>
      <c r="E1035" s="175" t="s">
        <v>1059</v>
      </c>
      <c r="F1035" s="176" t="s">
        <v>1059</v>
      </c>
      <c r="G1035" s="176" t="s">
        <v>1059</v>
      </c>
      <c r="H1035" s="176" t="s">
        <v>1059</v>
      </c>
      <c r="I1035" s="128">
        <v>0.9</v>
      </c>
      <c r="J1035" s="129" t="s">
        <v>33</v>
      </c>
      <c r="K1035" s="129" t="s">
        <v>33</v>
      </c>
      <c r="L1035" s="130" t="s">
        <v>33</v>
      </c>
      <c r="M1035" s="129" t="s">
        <v>33</v>
      </c>
      <c r="N1035" s="131">
        <v>0.9</v>
      </c>
      <c r="O1035" s="129">
        <v>0</v>
      </c>
      <c r="P1035" s="129" t="s">
        <v>33</v>
      </c>
      <c r="Q1035" s="129" t="s">
        <v>33</v>
      </c>
      <c r="R1035" s="129">
        <v>0.666666666666667</v>
      </c>
      <c r="S1035" s="131">
        <v>0.9</v>
      </c>
      <c r="T1035" s="129">
        <v>1</v>
      </c>
      <c r="U1035" s="129" t="s">
        <v>33</v>
      </c>
      <c r="V1035" s="129" t="s">
        <v>33</v>
      </c>
      <c r="W1035" s="129">
        <v>1</v>
      </c>
      <c r="X1035" s="131">
        <v>0.92</v>
      </c>
      <c r="Y1035" s="131" t="s">
        <v>33</v>
      </c>
      <c r="Z1035" s="131" t="s">
        <v>33</v>
      </c>
      <c r="AA1035" s="131" t="s">
        <v>33</v>
      </c>
      <c r="AB1035" s="131" t="s">
        <v>33</v>
      </c>
      <c r="AC1035" s="131">
        <v>0.92</v>
      </c>
      <c r="AD1035" s="129">
        <v>1</v>
      </c>
      <c r="AE1035" s="129">
        <v>1</v>
      </c>
      <c r="AF1035" s="129">
        <v>0.997361477572559</v>
      </c>
      <c r="AG1035" s="129">
        <v>0.999215891270256</v>
      </c>
      <c r="AH1035" s="131">
        <v>0.92</v>
      </c>
      <c r="AI1035" s="129">
        <v>1</v>
      </c>
      <c r="AJ1035" s="129" t="s">
        <v>33</v>
      </c>
      <c r="AK1035" s="129">
        <v>1</v>
      </c>
      <c r="AL1035" s="129">
        <v>1</v>
      </c>
      <c r="AM1035" s="128">
        <v>0.99</v>
      </c>
      <c r="AN1035" s="133">
        <v>1</v>
      </c>
      <c r="AO1035" s="133">
        <v>1</v>
      </c>
      <c r="AP1035" s="133">
        <v>1</v>
      </c>
      <c r="AQ1035" s="133">
        <v>1</v>
      </c>
      <c r="AR1035" s="153">
        <v>0.0656418488929858</v>
      </c>
      <c r="AS1035" s="137" t="s">
        <v>33</v>
      </c>
      <c r="AT1035" s="137" t="s">
        <v>33</v>
      </c>
      <c r="AU1035" s="137" t="s">
        <v>33</v>
      </c>
      <c r="AV1035" s="137" t="s">
        <v>33</v>
      </c>
      <c r="AW1035" s="93"/>
      <c r="AX1035" s="91"/>
    </row>
    <row r="1036" ht="14.5" spans="1:50">
      <c r="A1036" s="89"/>
      <c r="B1036" s="93"/>
      <c r="C1036" s="172" t="s">
        <v>922</v>
      </c>
      <c r="D1036" s="126" t="s">
        <v>923</v>
      </c>
      <c r="E1036" s="175" t="s">
        <v>1060</v>
      </c>
      <c r="F1036" s="176" t="s">
        <v>1060</v>
      </c>
      <c r="G1036" s="176" t="s">
        <v>1060</v>
      </c>
      <c r="H1036" s="176" t="s">
        <v>1060</v>
      </c>
      <c r="I1036" s="128">
        <v>0.9</v>
      </c>
      <c r="J1036" s="129">
        <v>1</v>
      </c>
      <c r="K1036" s="129">
        <v>1</v>
      </c>
      <c r="L1036" s="130">
        <v>1</v>
      </c>
      <c r="M1036" s="129">
        <v>0.977443609022556</v>
      </c>
      <c r="N1036" s="131">
        <v>0.9</v>
      </c>
      <c r="O1036" s="129">
        <v>0.99251497005988</v>
      </c>
      <c r="P1036" s="129">
        <v>0.988926746166951</v>
      </c>
      <c r="Q1036" s="129">
        <v>0.994579945799458</v>
      </c>
      <c r="R1036" s="129">
        <v>0.993624350866368</v>
      </c>
      <c r="S1036" s="131">
        <v>0.9</v>
      </c>
      <c r="T1036" s="129">
        <v>0.901696606786427</v>
      </c>
      <c r="U1036" s="129">
        <v>0.948892674616695</v>
      </c>
      <c r="V1036" s="129">
        <v>0.936043360433604</v>
      </c>
      <c r="W1036" s="129">
        <v>0.93058769088385</v>
      </c>
      <c r="X1036" s="131">
        <v>0.92</v>
      </c>
      <c r="Y1036" s="131">
        <v>0.945578231292517</v>
      </c>
      <c r="Z1036" s="131">
        <v>0.954081632653061</v>
      </c>
      <c r="AA1036" s="131">
        <v>0.965277777777778</v>
      </c>
      <c r="AB1036" s="131">
        <v>0.953596287703016</v>
      </c>
      <c r="AC1036" s="131">
        <v>0.92</v>
      </c>
      <c r="AD1036" s="129">
        <v>0.998215679714509</v>
      </c>
      <c r="AE1036" s="129">
        <v>0.998562529947293</v>
      </c>
      <c r="AF1036" s="129">
        <v>0.994101633393829</v>
      </c>
      <c r="AG1036" s="129">
        <v>0.998398091949522</v>
      </c>
      <c r="AH1036" s="131">
        <v>0.92</v>
      </c>
      <c r="AI1036" s="129">
        <v>0.959100204498977</v>
      </c>
      <c r="AJ1036" s="129">
        <v>0.960839954597049</v>
      </c>
      <c r="AK1036" s="129">
        <v>0.983122362869198</v>
      </c>
      <c r="AL1036" s="129">
        <v>0.972016699045178</v>
      </c>
      <c r="AM1036" s="128">
        <v>0.99</v>
      </c>
      <c r="AN1036" s="133">
        <v>1</v>
      </c>
      <c r="AO1036" s="133">
        <v>1</v>
      </c>
      <c r="AP1036" s="133">
        <v>1</v>
      </c>
      <c r="AQ1036" s="133">
        <v>1</v>
      </c>
      <c r="AR1036" s="153">
        <v>0.0656418488929858</v>
      </c>
      <c r="AS1036" s="137">
        <v>0.0588235294117647</v>
      </c>
      <c r="AT1036" s="137">
        <v>0.0333333333333333</v>
      </c>
      <c r="AU1036" s="137">
        <v>0</v>
      </c>
      <c r="AV1036" s="137">
        <v>0.0299625468164794</v>
      </c>
      <c r="AW1036" s="93"/>
      <c r="AX1036" s="91"/>
    </row>
    <row r="1037" ht="14.5" spans="1:50">
      <c r="A1037" s="89"/>
      <c r="B1037" s="93"/>
      <c r="C1037" s="172" t="s">
        <v>922</v>
      </c>
      <c r="D1037" s="126" t="s">
        <v>923</v>
      </c>
      <c r="E1037" s="175" t="s">
        <v>1061</v>
      </c>
      <c r="F1037" s="176" t="s">
        <v>1061</v>
      </c>
      <c r="G1037" s="176" t="s">
        <v>1061</v>
      </c>
      <c r="H1037" s="176" t="s">
        <v>1061</v>
      </c>
      <c r="I1037" s="128">
        <v>0.9</v>
      </c>
      <c r="J1037" s="129">
        <v>0.84375</v>
      </c>
      <c r="K1037" s="129">
        <v>0.964285714285714</v>
      </c>
      <c r="L1037" s="130">
        <v>0.96875</v>
      </c>
      <c r="M1037" s="129">
        <v>0.911845730027548</v>
      </c>
      <c r="N1037" s="131">
        <v>0.9</v>
      </c>
      <c r="O1037" s="129">
        <v>0.88189738625363</v>
      </c>
      <c r="P1037" s="129">
        <v>0.789565217391304</v>
      </c>
      <c r="Q1037" s="129">
        <v>0.736042092955276</v>
      </c>
      <c r="R1037" s="129">
        <v>0.804943357363543</v>
      </c>
      <c r="S1037" s="131">
        <v>0.9</v>
      </c>
      <c r="T1037" s="129">
        <v>0.850193610842207</v>
      </c>
      <c r="U1037" s="129">
        <v>0.811739130434783</v>
      </c>
      <c r="V1037" s="129">
        <v>0.821397252265419</v>
      </c>
      <c r="W1037" s="129">
        <v>0.829608650875386</v>
      </c>
      <c r="X1037" s="131">
        <v>0.92</v>
      </c>
      <c r="Y1037" s="131">
        <v>0.92789598108747</v>
      </c>
      <c r="Z1037" s="131">
        <v>0.919843597262952</v>
      </c>
      <c r="AA1037" s="131">
        <v>0.888888888888889</v>
      </c>
      <c r="AB1037" s="131">
        <v>0.88439642151737</v>
      </c>
      <c r="AC1037" s="131">
        <v>0.92</v>
      </c>
      <c r="AD1037" s="129">
        <v>0.995955056179775</v>
      </c>
      <c r="AE1037" s="129">
        <v>0.716431688486069</v>
      </c>
      <c r="AF1037" s="129">
        <v>0.934363525091799</v>
      </c>
      <c r="AG1037" s="129">
        <v>0.904616606610097</v>
      </c>
      <c r="AH1037" s="131">
        <v>0.92</v>
      </c>
      <c r="AI1037" s="129">
        <v>0.96368378812199</v>
      </c>
      <c r="AJ1037" s="129">
        <v>0.943174984966927</v>
      </c>
      <c r="AK1037" s="129">
        <v>0.941025641025641</v>
      </c>
      <c r="AL1037" s="129">
        <v>0.937222280720227</v>
      </c>
      <c r="AM1037" s="128">
        <v>0.99</v>
      </c>
      <c r="AN1037" s="133">
        <v>1</v>
      </c>
      <c r="AO1037" s="133">
        <v>1</v>
      </c>
      <c r="AP1037" s="133">
        <v>1</v>
      </c>
      <c r="AQ1037" s="133">
        <v>1</v>
      </c>
      <c r="AR1037" s="153">
        <v>0.0656418488929858</v>
      </c>
      <c r="AS1037" s="137">
        <v>0.03125</v>
      </c>
      <c r="AT1037" s="137">
        <v>0.03125</v>
      </c>
      <c r="AU1037" s="137">
        <v>0</v>
      </c>
      <c r="AV1037" s="137">
        <v>0.0206489675516224</v>
      </c>
      <c r="AW1037" s="93"/>
      <c r="AX1037" s="91"/>
    </row>
    <row r="1038" ht="14.5" spans="1:50">
      <c r="A1038" s="89"/>
      <c r="B1038" s="93"/>
      <c r="C1038" s="172" t="s">
        <v>922</v>
      </c>
      <c r="D1038" s="126" t="s">
        <v>923</v>
      </c>
      <c r="E1038" s="175" t="s">
        <v>1062</v>
      </c>
      <c r="F1038" s="176" t="s">
        <v>1062</v>
      </c>
      <c r="G1038" s="176" t="s">
        <v>1062</v>
      </c>
      <c r="H1038" s="176" t="s">
        <v>1062</v>
      </c>
      <c r="I1038" s="128">
        <v>0.9</v>
      </c>
      <c r="J1038" s="129">
        <v>0.925925925925926</v>
      </c>
      <c r="K1038" s="129">
        <v>1</v>
      </c>
      <c r="L1038" s="130">
        <v>0.928571428571429</v>
      </c>
      <c r="M1038" s="129">
        <v>0.945121951219512</v>
      </c>
      <c r="N1038" s="131">
        <v>0.9</v>
      </c>
      <c r="O1038" s="129">
        <v>0.963394342762063</v>
      </c>
      <c r="P1038" s="129">
        <v>0.901468788249694</v>
      </c>
      <c r="Q1038" s="129">
        <v>0.910814606741573</v>
      </c>
      <c r="R1038" s="129">
        <v>0.946512492815363</v>
      </c>
      <c r="S1038" s="131">
        <v>0.9</v>
      </c>
      <c r="T1038" s="129">
        <v>0.924792013311148</v>
      </c>
      <c r="U1038" s="129">
        <v>0.824969400244798</v>
      </c>
      <c r="V1038" s="129">
        <v>0.888342696629214</v>
      </c>
      <c r="W1038" s="129">
        <v>0.864861209723772</v>
      </c>
      <c r="X1038" s="131">
        <v>0.92</v>
      </c>
      <c r="Y1038" s="131">
        <v>0.886479591836735</v>
      </c>
      <c r="Z1038" s="131">
        <v>0.939182452642074</v>
      </c>
      <c r="AA1038" s="131">
        <v>0.904382470119522</v>
      </c>
      <c r="AB1038" s="131">
        <v>0.904293136450643</v>
      </c>
      <c r="AC1038" s="131">
        <v>0.92</v>
      </c>
      <c r="AD1038" s="129">
        <v>0.997666822211853</v>
      </c>
      <c r="AE1038" s="129">
        <v>0.994856781136256</v>
      </c>
      <c r="AF1038" s="129">
        <v>0.980900697723589</v>
      </c>
      <c r="AG1038" s="129">
        <v>0.969720861134279</v>
      </c>
      <c r="AH1038" s="131">
        <v>0.92</v>
      </c>
      <c r="AI1038" s="129">
        <v>0.950395778364116</v>
      </c>
      <c r="AJ1038" s="129">
        <v>0.959423587409935</v>
      </c>
      <c r="AK1038" s="129">
        <v>0.961217183770883</v>
      </c>
      <c r="AL1038" s="129">
        <v>0.954116754295626</v>
      </c>
      <c r="AM1038" s="128">
        <v>0.99</v>
      </c>
      <c r="AN1038" s="133">
        <v>1</v>
      </c>
      <c r="AO1038" s="133">
        <v>1</v>
      </c>
      <c r="AP1038" s="133">
        <v>1</v>
      </c>
      <c r="AQ1038" s="133">
        <v>1</v>
      </c>
      <c r="AR1038" s="153">
        <v>0.0656418488929858</v>
      </c>
      <c r="AS1038" s="137">
        <v>0</v>
      </c>
      <c r="AT1038" s="137">
        <v>0.0357142857142857</v>
      </c>
      <c r="AU1038" s="137">
        <v>0</v>
      </c>
      <c r="AV1038" s="137">
        <v>0.0196078431372549</v>
      </c>
      <c r="AW1038" s="93"/>
      <c r="AX1038" s="91"/>
    </row>
    <row r="1039" ht="14.5" spans="1:50">
      <c r="A1039" s="89"/>
      <c r="B1039" s="93"/>
      <c r="C1039" s="172" t="s">
        <v>922</v>
      </c>
      <c r="D1039" s="126" t="s">
        <v>923</v>
      </c>
      <c r="E1039" s="175" t="s">
        <v>1063</v>
      </c>
      <c r="F1039" s="176" t="s">
        <v>1063</v>
      </c>
      <c r="G1039" s="176" t="s">
        <v>1063</v>
      </c>
      <c r="H1039" s="176" t="s">
        <v>1063</v>
      </c>
      <c r="I1039" s="128">
        <v>0.9</v>
      </c>
      <c r="J1039" s="129" t="s">
        <v>33</v>
      </c>
      <c r="K1039" s="129" t="s">
        <v>33</v>
      </c>
      <c r="L1039" s="130" t="s">
        <v>33</v>
      </c>
      <c r="M1039" s="129" t="s">
        <v>33</v>
      </c>
      <c r="N1039" s="131">
        <v>0.9</v>
      </c>
      <c r="O1039" s="129" t="s">
        <v>33</v>
      </c>
      <c r="P1039" s="129" t="s">
        <v>33</v>
      </c>
      <c r="Q1039" s="129" t="s">
        <v>33</v>
      </c>
      <c r="R1039" s="129" t="s">
        <v>33</v>
      </c>
      <c r="S1039" s="131">
        <v>0.9</v>
      </c>
      <c r="T1039" s="129" t="s">
        <v>33</v>
      </c>
      <c r="U1039" s="129" t="s">
        <v>33</v>
      </c>
      <c r="V1039" s="129" t="s">
        <v>33</v>
      </c>
      <c r="W1039" s="129" t="s">
        <v>33</v>
      </c>
      <c r="X1039" s="131">
        <v>0.92</v>
      </c>
      <c r="Y1039" s="131" t="s">
        <v>33</v>
      </c>
      <c r="Z1039" s="131" t="s">
        <v>33</v>
      </c>
      <c r="AA1039" s="131" t="s">
        <v>33</v>
      </c>
      <c r="AB1039" s="131" t="s">
        <v>33</v>
      </c>
      <c r="AC1039" s="131">
        <v>0.92</v>
      </c>
      <c r="AD1039" s="129">
        <v>1</v>
      </c>
      <c r="AE1039" s="129">
        <v>0.988394584139265</v>
      </c>
      <c r="AF1039" s="129">
        <v>1</v>
      </c>
      <c r="AG1039" s="129">
        <v>0.99761010583817</v>
      </c>
      <c r="AH1039" s="131">
        <v>0.92</v>
      </c>
      <c r="AI1039" s="129" t="s">
        <v>33</v>
      </c>
      <c r="AJ1039" s="129" t="s">
        <v>33</v>
      </c>
      <c r="AK1039" s="129" t="s">
        <v>33</v>
      </c>
      <c r="AL1039" s="129" t="s">
        <v>33</v>
      </c>
      <c r="AM1039" s="128">
        <v>0.99</v>
      </c>
      <c r="AN1039" s="133" t="s">
        <v>33</v>
      </c>
      <c r="AO1039" s="133" t="s">
        <v>33</v>
      </c>
      <c r="AP1039" s="133" t="s">
        <v>33</v>
      </c>
      <c r="AQ1039" s="133">
        <v>1</v>
      </c>
      <c r="AR1039" s="153">
        <v>0.0656418488929858</v>
      </c>
      <c r="AS1039" s="137" t="s">
        <v>33</v>
      </c>
      <c r="AT1039" s="137" t="s">
        <v>33</v>
      </c>
      <c r="AU1039" s="137" t="s">
        <v>33</v>
      </c>
      <c r="AV1039" s="137" t="s">
        <v>33</v>
      </c>
      <c r="AW1039" s="93"/>
      <c r="AX1039" s="91"/>
    </row>
    <row r="1040" ht="14.5" spans="1:50">
      <c r="A1040" s="89"/>
      <c r="B1040" s="93"/>
      <c r="C1040" s="172" t="s">
        <v>922</v>
      </c>
      <c r="D1040" s="126" t="s">
        <v>923</v>
      </c>
      <c r="E1040" s="175" t="s">
        <v>1064</v>
      </c>
      <c r="F1040" s="176" t="s">
        <v>1064</v>
      </c>
      <c r="G1040" s="176" t="s">
        <v>1064</v>
      </c>
      <c r="H1040" s="176" t="s">
        <v>1064</v>
      </c>
      <c r="I1040" s="128">
        <v>0.9</v>
      </c>
      <c r="J1040" s="129">
        <v>0.833333333333333</v>
      </c>
      <c r="K1040" s="129">
        <v>0.882352941176471</v>
      </c>
      <c r="L1040" s="130">
        <v>0.888888888888889</v>
      </c>
      <c r="M1040" s="129">
        <v>0.865566037735849</v>
      </c>
      <c r="N1040" s="131">
        <v>0.9</v>
      </c>
      <c r="O1040" s="129">
        <v>0.693087748344371</v>
      </c>
      <c r="P1040" s="129">
        <v>0.798161764705882</v>
      </c>
      <c r="Q1040" s="129">
        <v>0.906469408224674</v>
      </c>
      <c r="R1040" s="129">
        <v>0.780389401391691</v>
      </c>
      <c r="S1040" s="131">
        <v>0.9</v>
      </c>
      <c r="T1040" s="129">
        <v>0.840645695364238</v>
      </c>
      <c r="U1040" s="129">
        <v>0.875</v>
      </c>
      <c r="V1040" s="129">
        <v>0.824724172517553</v>
      </c>
      <c r="W1040" s="129">
        <v>0.821686801604751</v>
      </c>
      <c r="X1040" s="131">
        <v>0.92</v>
      </c>
      <c r="Y1040" s="131">
        <v>0.896044158233671</v>
      </c>
      <c r="Z1040" s="131">
        <v>0.903481012658228</v>
      </c>
      <c r="AA1040" s="131">
        <v>0.907504363001745</v>
      </c>
      <c r="AB1040" s="131">
        <v>0.890249975102081</v>
      </c>
      <c r="AC1040" s="131">
        <v>0.92</v>
      </c>
      <c r="AD1040" s="129">
        <v>0.984489972586928</v>
      </c>
      <c r="AE1040" s="129">
        <v>0.993327067669173</v>
      </c>
      <c r="AF1040" s="129">
        <v>0.804201387156329</v>
      </c>
      <c r="AG1040" s="129">
        <v>0.963466150953996</v>
      </c>
      <c r="AH1040" s="131">
        <v>0.92</v>
      </c>
      <c r="AI1040" s="129">
        <v>0.945119891928403</v>
      </c>
      <c r="AJ1040" s="129">
        <v>0.938831787415392</v>
      </c>
      <c r="AK1040" s="129">
        <v>0.953997809419496</v>
      </c>
      <c r="AL1040" s="129">
        <v>0.944951927512964</v>
      </c>
      <c r="AM1040" s="128">
        <v>0.99</v>
      </c>
      <c r="AN1040" s="133">
        <v>1</v>
      </c>
      <c r="AO1040" s="133">
        <v>1</v>
      </c>
      <c r="AP1040" s="133">
        <v>1</v>
      </c>
      <c r="AQ1040" s="133">
        <v>1</v>
      </c>
      <c r="AR1040" s="153">
        <v>0.0656418488929858</v>
      </c>
      <c r="AS1040" s="137">
        <v>0</v>
      </c>
      <c r="AT1040" s="137">
        <v>0.0256410256410256</v>
      </c>
      <c r="AU1040" s="137">
        <v>0.0681818181818182</v>
      </c>
      <c r="AV1040" s="137">
        <v>0.0454545454545455</v>
      </c>
      <c r="AW1040" s="93"/>
      <c r="AX1040" s="91"/>
    </row>
    <row r="1041" ht="14.5" spans="1:50">
      <c r="A1041" s="89"/>
      <c r="B1041" s="93"/>
      <c r="C1041" s="172" t="s">
        <v>922</v>
      </c>
      <c r="D1041" s="126" t="s">
        <v>923</v>
      </c>
      <c r="E1041" s="175" t="s">
        <v>1065</v>
      </c>
      <c r="F1041" s="176" t="s">
        <v>1065</v>
      </c>
      <c r="G1041" s="176" t="s">
        <v>1065</v>
      </c>
      <c r="H1041" s="176" t="s">
        <v>1065</v>
      </c>
      <c r="I1041" s="128">
        <v>0.9</v>
      </c>
      <c r="J1041" s="129">
        <v>0.954545454545455</v>
      </c>
      <c r="K1041" s="129">
        <v>1</v>
      </c>
      <c r="L1041" s="130">
        <v>0.952380952380952</v>
      </c>
      <c r="M1041" s="129">
        <v>0.952191235059761</v>
      </c>
      <c r="N1041" s="131">
        <v>0.9</v>
      </c>
      <c r="O1041" s="129">
        <v>0.995090634441088</v>
      </c>
      <c r="P1041" s="129">
        <v>0.98957654723127</v>
      </c>
      <c r="Q1041" s="129">
        <v>0.996879179670085</v>
      </c>
      <c r="R1041" s="129">
        <v>0.991250643335049</v>
      </c>
      <c r="S1041" s="131">
        <v>0.9</v>
      </c>
      <c r="T1041" s="129">
        <v>0.907477341389728</v>
      </c>
      <c r="U1041" s="129">
        <v>0.893159609120521</v>
      </c>
      <c r="V1041" s="129">
        <v>0.927329469460544</v>
      </c>
      <c r="W1041" s="129">
        <v>0.897501880517835</v>
      </c>
      <c r="X1041" s="131">
        <v>0.92</v>
      </c>
      <c r="Y1041" s="131">
        <v>0.933560477001704</v>
      </c>
      <c r="Z1041" s="131">
        <v>0.930769230769231</v>
      </c>
      <c r="AA1041" s="131">
        <v>0.941358024691358</v>
      </c>
      <c r="AB1041" s="131">
        <v>0.922062141989238</v>
      </c>
      <c r="AC1041" s="131">
        <v>0.92</v>
      </c>
      <c r="AD1041" s="129">
        <v>0.9954464963319</v>
      </c>
      <c r="AE1041" s="129">
        <v>0.997058447371787</v>
      </c>
      <c r="AF1041" s="129">
        <v>0.990453860324904</v>
      </c>
      <c r="AG1041" s="129">
        <v>0.949876927608188</v>
      </c>
      <c r="AH1041" s="131">
        <v>0.92</v>
      </c>
      <c r="AI1041" s="129">
        <v>0.962287480680062</v>
      </c>
      <c r="AJ1041" s="129">
        <v>0.954254345837146</v>
      </c>
      <c r="AK1041" s="129">
        <v>0.975467289719626</v>
      </c>
      <c r="AL1041" s="129">
        <v>0.96173929860753</v>
      </c>
      <c r="AM1041" s="128">
        <v>0.99</v>
      </c>
      <c r="AN1041" s="133">
        <v>1</v>
      </c>
      <c r="AO1041" s="133">
        <v>1</v>
      </c>
      <c r="AP1041" s="133">
        <v>1</v>
      </c>
      <c r="AQ1041" s="133">
        <v>1</v>
      </c>
      <c r="AR1041" s="153">
        <v>0.0656418488929858</v>
      </c>
      <c r="AS1041" s="137">
        <v>0.04</v>
      </c>
      <c r="AT1041" s="137">
        <v>0</v>
      </c>
      <c r="AU1041" s="137">
        <v>0</v>
      </c>
      <c r="AV1041" s="137">
        <v>0.0331491712707182</v>
      </c>
      <c r="AW1041" s="93"/>
      <c r="AX1041" s="91"/>
    </row>
    <row r="1042" ht="14.5" spans="1:50">
      <c r="A1042" s="89"/>
      <c r="B1042" s="93"/>
      <c r="C1042" s="172" t="s">
        <v>922</v>
      </c>
      <c r="D1042" s="126" t="s">
        <v>923</v>
      </c>
      <c r="E1042" s="175" t="s">
        <v>1066</v>
      </c>
      <c r="F1042" s="176" t="s">
        <v>1066</v>
      </c>
      <c r="G1042" s="176" t="s">
        <v>1066</v>
      </c>
      <c r="H1042" s="176" t="s">
        <v>1066</v>
      </c>
      <c r="I1042" s="128">
        <v>0.9</v>
      </c>
      <c r="J1042" s="129">
        <v>0.952380952380952</v>
      </c>
      <c r="K1042" s="129">
        <v>0.939393939393939</v>
      </c>
      <c r="L1042" s="130">
        <v>0.975609756097561</v>
      </c>
      <c r="M1042" s="129">
        <v>0.962962962962963</v>
      </c>
      <c r="N1042" s="131">
        <v>0.9</v>
      </c>
      <c r="O1042" s="129">
        <v>0.867410426947007</v>
      </c>
      <c r="P1042" s="129">
        <v>0.847050254916242</v>
      </c>
      <c r="Q1042" s="129">
        <v>0.891885143570537</v>
      </c>
      <c r="R1042" s="129">
        <v>0.835310457888385</v>
      </c>
      <c r="S1042" s="131">
        <v>0.9</v>
      </c>
      <c r="T1042" s="129">
        <v>0.843810341128513</v>
      </c>
      <c r="U1042" s="129">
        <v>0.828477785870357</v>
      </c>
      <c r="V1042" s="129">
        <v>0.86916354556804</v>
      </c>
      <c r="W1042" s="129">
        <v>0.839773218880211</v>
      </c>
      <c r="X1042" s="131">
        <v>0.92</v>
      </c>
      <c r="Y1042" s="131">
        <v>0.938154138915319</v>
      </c>
      <c r="Z1042" s="131">
        <v>0.860445912469034</v>
      </c>
      <c r="AA1042" s="131">
        <v>0.937022900763359</v>
      </c>
      <c r="AB1042" s="131">
        <v>0.884027983052518</v>
      </c>
      <c r="AC1042" s="131">
        <v>0.92</v>
      </c>
      <c r="AD1042" s="129">
        <v>0.99885270496867</v>
      </c>
      <c r="AE1042" s="129">
        <v>0.980179605717626</v>
      </c>
      <c r="AF1042" s="129">
        <v>0.968537484637444</v>
      </c>
      <c r="AG1042" s="129">
        <v>0.975806939986677</v>
      </c>
      <c r="AH1042" s="131">
        <v>0.92</v>
      </c>
      <c r="AI1042" s="129">
        <v>0.962535014005602</v>
      </c>
      <c r="AJ1042" s="129">
        <v>0.92064695476371</v>
      </c>
      <c r="AK1042" s="129">
        <v>0.9719646799117</v>
      </c>
      <c r="AL1042" s="129">
        <v>0.941760680599223</v>
      </c>
      <c r="AM1042" s="128">
        <v>0.99</v>
      </c>
      <c r="AN1042" s="133">
        <v>1</v>
      </c>
      <c r="AO1042" s="133">
        <v>1</v>
      </c>
      <c r="AP1042" s="133">
        <v>1</v>
      </c>
      <c r="AQ1042" s="133">
        <v>1</v>
      </c>
      <c r="AR1042" s="153">
        <v>0.0656418488929858</v>
      </c>
      <c r="AS1042" s="137">
        <v>0.0789473684210526</v>
      </c>
      <c r="AT1042" s="137">
        <v>0.0769230769230769</v>
      </c>
      <c r="AU1042" s="137">
        <v>0.0857142857142857</v>
      </c>
      <c r="AV1042" s="137">
        <v>0.0438356164383562</v>
      </c>
      <c r="AW1042" s="93"/>
      <c r="AX1042" s="91"/>
    </row>
    <row r="1043" ht="14.5" spans="1:50">
      <c r="A1043" s="89"/>
      <c r="B1043" s="93"/>
      <c r="C1043" s="172" t="s">
        <v>922</v>
      </c>
      <c r="D1043" s="126" t="s">
        <v>923</v>
      </c>
      <c r="E1043" s="175" t="s">
        <v>1067</v>
      </c>
      <c r="F1043" s="176" t="s">
        <v>1067</v>
      </c>
      <c r="G1043" s="176" t="s">
        <v>1067</v>
      </c>
      <c r="H1043" s="176" t="s">
        <v>1067</v>
      </c>
      <c r="I1043" s="128">
        <v>0.9</v>
      </c>
      <c r="J1043" s="129">
        <v>1</v>
      </c>
      <c r="K1043" s="129">
        <v>1</v>
      </c>
      <c r="L1043" s="130">
        <v>0.926829268292683</v>
      </c>
      <c r="M1043" s="129">
        <v>0.969574036511156</v>
      </c>
      <c r="N1043" s="131">
        <v>0.9</v>
      </c>
      <c r="O1043" s="129">
        <v>0.937666793747617</v>
      </c>
      <c r="P1043" s="129">
        <v>0.947204968944099</v>
      </c>
      <c r="Q1043" s="129">
        <v>0.895202608290638</v>
      </c>
      <c r="R1043" s="129">
        <v>0.907345185004175</v>
      </c>
      <c r="S1043" s="131">
        <v>0.9</v>
      </c>
      <c r="T1043" s="129">
        <v>0.727411361036981</v>
      </c>
      <c r="U1043" s="129">
        <v>0.876811594202899</v>
      </c>
      <c r="V1043" s="129">
        <v>0.73660922217047</v>
      </c>
      <c r="W1043" s="129">
        <v>0.777587716618812</v>
      </c>
      <c r="X1043" s="131">
        <v>0.92</v>
      </c>
      <c r="Y1043" s="131">
        <v>0.895359417652411</v>
      </c>
      <c r="Z1043" s="131">
        <v>0.930817610062893</v>
      </c>
      <c r="AA1043" s="131">
        <v>0.820359281437126</v>
      </c>
      <c r="AB1043" s="131">
        <v>0.85744966442953</v>
      </c>
      <c r="AC1043" s="131">
        <v>0.92</v>
      </c>
      <c r="AD1043" s="129">
        <v>0.99894477664439</v>
      </c>
      <c r="AE1043" s="129">
        <v>0.992285744478495</v>
      </c>
      <c r="AF1043" s="129">
        <v>0.993327335432599</v>
      </c>
      <c r="AG1043" s="129">
        <v>0.982956627432054</v>
      </c>
      <c r="AH1043" s="131">
        <v>0.92</v>
      </c>
      <c r="AI1043" s="129">
        <v>0.959338061465721</v>
      </c>
      <c r="AJ1043" s="129">
        <v>0.961897915168943</v>
      </c>
      <c r="AK1043" s="129">
        <v>0.935737308622079</v>
      </c>
      <c r="AL1043" s="129">
        <v>0.940177460817647</v>
      </c>
      <c r="AM1043" s="128">
        <v>0.99</v>
      </c>
      <c r="AN1043" s="133">
        <v>1</v>
      </c>
      <c r="AO1043" s="133">
        <v>1</v>
      </c>
      <c r="AP1043" s="133">
        <v>1</v>
      </c>
      <c r="AQ1043" s="133">
        <v>1</v>
      </c>
      <c r="AR1043" s="153">
        <v>0.0656418488929858</v>
      </c>
      <c r="AS1043" s="137">
        <v>0.0227272727272727</v>
      </c>
      <c r="AT1043" s="137">
        <v>0.0256410256410256</v>
      </c>
      <c r="AU1043" s="137">
        <v>0.0857142857142857</v>
      </c>
      <c r="AV1043" s="137">
        <v>0.0371428571428571</v>
      </c>
      <c r="AW1043" s="93"/>
      <c r="AX1043" s="91"/>
    </row>
    <row r="1044" ht="14.5" spans="1:50">
      <c r="A1044" s="89"/>
      <c r="B1044" s="93"/>
      <c r="C1044" s="172" t="s">
        <v>922</v>
      </c>
      <c r="D1044" s="126" t="s">
        <v>923</v>
      </c>
      <c r="E1044" s="175" t="s">
        <v>1068</v>
      </c>
      <c r="F1044" s="176" t="s">
        <v>1068</v>
      </c>
      <c r="G1044" s="176" t="s">
        <v>1068</v>
      </c>
      <c r="H1044" s="176" t="s">
        <v>1068</v>
      </c>
      <c r="I1044" s="128">
        <v>0.9</v>
      </c>
      <c r="J1044" s="129">
        <v>1</v>
      </c>
      <c r="K1044" s="129">
        <v>0.9375</v>
      </c>
      <c r="L1044" s="130">
        <v>1</v>
      </c>
      <c r="M1044" s="129">
        <v>0.898550724637681</v>
      </c>
      <c r="N1044" s="131">
        <v>0.9</v>
      </c>
      <c r="O1044" s="129">
        <v>0.860480866915002</v>
      </c>
      <c r="P1044" s="129">
        <v>0.891871737509321</v>
      </c>
      <c r="Q1044" s="129">
        <v>0.902777777777778</v>
      </c>
      <c r="R1044" s="129">
        <v>0.888146298472385</v>
      </c>
      <c r="S1044" s="131">
        <v>0.9</v>
      </c>
      <c r="T1044" s="129">
        <v>0.805282763291568</v>
      </c>
      <c r="U1044" s="129">
        <v>0.809843400447427</v>
      </c>
      <c r="V1044" s="129">
        <v>0.838541666666667</v>
      </c>
      <c r="W1044" s="129">
        <v>0.795534665099882</v>
      </c>
      <c r="X1044" s="131">
        <v>0.92</v>
      </c>
      <c r="Y1044" s="131" t="s">
        <v>33</v>
      </c>
      <c r="Z1044" s="131" t="s">
        <v>33</v>
      </c>
      <c r="AA1044" s="131" t="s">
        <v>33</v>
      </c>
      <c r="AB1044" s="131" t="s">
        <v>33</v>
      </c>
      <c r="AC1044" s="131">
        <v>0.92</v>
      </c>
      <c r="AD1044" s="129">
        <v>0.997995991983968</v>
      </c>
      <c r="AE1044" s="129">
        <v>1</v>
      </c>
      <c r="AF1044" s="129">
        <v>0.988795518207283</v>
      </c>
      <c r="AG1044" s="129">
        <v>0.995739162652834</v>
      </c>
      <c r="AH1044" s="131">
        <v>0.92</v>
      </c>
      <c r="AI1044" s="129">
        <v>0.958686081950559</v>
      </c>
      <c r="AJ1044" s="129">
        <v>0.953765846383296</v>
      </c>
      <c r="AK1044" s="129">
        <v>0.966145833333333</v>
      </c>
      <c r="AL1044" s="129">
        <v>0.947563617669739</v>
      </c>
      <c r="AM1044" s="128">
        <v>0.99</v>
      </c>
      <c r="AN1044" s="133">
        <v>1</v>
      </c>
      <c r="AO1044" s="133">
        <v>1</v>
      </c>
      <c r="AP1044" s="133">
        <v>1</v>
      </c>
      <c r="AQ1044" s="133">
        <v>1</v>
      </c>
      <c r="AR1044" s="153">
        <v>0.0656418488929858</v>
      </c>
      <c r="AS1044" s="137">
        <v>0.2</v>
      </c>
      <c r="AT1044" s="137">
        <v>0.125</v>
      </c>
      <c r="AU1044" s="137">
        <v>0</v>
      </c>
      <c r="AV1044" s="137">
        <v>0.0649350649350649</v>
      </c>
      <c r="AW1044" s="93"/>
      <c r="AX1044" s="91"/>
    </row>
    <row r="1045" ht="14.5" spans="1:50">
      <c r="A1045" s="89"/>
      <c r="B1045" s="93"/>
      <c r="C1045" s="172" t="s">
        <v>922</v>
      </c>
      <c r="D1045" s="126" t="s">
        <v>923</v>
      </c>
      <c r="E1045" s="175" t="s">
        <v>1069</v>
      </c>
      <c r="F1045" s="176" t="s">
        <v>1069</v>
      </c>
      <c r="G1045" s="176" t="s">
        <v>1069</v>
      </c>
      <c r="H1045" s="176" t="s">
        <v>1069</v>
      </c>
      <c r="I1045" s="128">
        <v>0.9</v>
      </c>
      <c r="J1045" s="129">
        <v>1</v>
      </c>
      <c r="K1045" s="129">
        <v>0.96551724137931</v>
      </c>
      <c r="L1045" s="130">
        <v>1</v>
      </c>
      <c r="M1045" s="129">
        <v>0.97239263803681</v>
      </c>
      <c r="N1045" s="131">
        <v>0.9</v>
      </c>
      <c r="O1045" s="129">
        <v>0.937201708113539</v>
      </c>
      <c r="P1045" s="129">
        <v>0.93314606741573</v>
      </c>
      <c r="Q1045" s="129">
        <v>0.945945945945946</v>
      </c>
      <c r="R1045" s="129">
        <v>0.944960725743998</v>
      </c>
      <c r="S1045" s="131">
        <v>0.9</v>
      </c>
      <c r="T1045" s="129">
        <v>0.926651595076614</v>
      </c>
      <c r="U1045" s="129">
        <v>0.932584269662921</v>
      </c>
      <c r="V1045" s="129">
        <v>0.95045045045045</v>
      </c>
      <c r="W1045" s="129">
        <v>0.920040933731607</v>
      </c>
      <c r="X1045" s="131">
        <v>0.92</v>
      </c>
      <c r="Y1045" s="131" t="s">
        <v>33</v>
      </c>
      <c r="Z1045" s="131" t="s">
        <v>33</v>
      </c>
      <c r="AA1045" s="131" t="s">
        <v>33</v>
      </c>
      <c r="AB1045" s="131" t="s">
        <v>33</v>
      </c>
      <c r="AC1045" s="131">
        <v>0.92</v>
      </c>
      <c r="AD1045" s="129">
        <v>0.997478991596639</v>
      </c>
      <c r="AE1045" s="129">
        <v>0.991773308957952</v>
      </c>
      <c r="AF1045" s="129">
        <v>0.99228543876567</v>
      </c>
      <c r="AG1045" s="129">
        <v>0.990097477951416</v>
      </c>
      <c r="AH1045" s="131">
        <v>0.92</v>
      </c>
      <c r="AI1045" s="129">
        <v>0.964079377040944</v>
      </c>
      <c r="AJ1045" s="129">
        <v>0.964606741573034</v>
      </c>
      <c r="AK1045" s="129">
        <v>0.975744975744976</v>
      </c>
      <c r="AL1045" s="129">
        <v>0.963605188196576</v>
      </c>
      <c r="AM1045" s="128">
        <v>0.99</v>
      </c>
      <c r="AN1045" s="133">
        <v>1</v>
      </c>
      <c r="AO1045" s="133">
        <v>1</v>
      </c>
      <c r="AP1045" s="133">
        <v>1</v>
      </c>
      <c r="AQ1045" s="133">
        <v>1</v>
      </c>
      <c r="AR1045" s="153">
        <v>0.0656418488929858</v>
      </c>
      <c r="AS1045" s="137">
        <v>0.125</v>
      </c>
      <c r="AT1045" s="137">
        <v>0.0769230769230769</v>
      </c>
      <c r="AU1045" s="137">
        <v>0</v>
      </c>
      <c r="AV1045" s="137">
        <v>0.0714285714285714</v>
      </c>
      <c r="AW1045" s="93"/>
      <c r="AX1045" s="91"/>
    </row>
    <row r="1046" ht="14.5" spans="1:50">
      <c r="A1046" s="89"/>
      <c r="B1046" s="93"/>
      <c r="C1046" s="172" t="s">
        <v>922</v>
      </c>
      <c r="D1046" s="126" t="s">
        <v>923</v>
      </c>
      <c r="E1046" s="179" t="s">
        <v>1070</v>
      </c>
      <c r="F1046" s="180" t="s">
        <v>1070</v>
      </c>
      <c r="G1046" s="180" t="s">
        <v>1070</v>
      </c>
      <c r="H1046" s="180" t="s">
        <v>1070</v>
      </c>
      <c r="I1046" s="128">
        <v>0.9</v>
      </c>
      <c r="J1046" s="129">
        <v>0.967741935483871</v>
      </c>
      <c r="K1046" s="129">
        <v>1</v>
      </c>
      <c r="L1046" s="130">
        <v>1</v>
      </c>
      <c r="M1046" s="129">
        <v>0.982905982905983</v>
      </c>
      <c r="N1046" s="131">
        <v>0.9</v>
      </c>
      <c r="O1046" s="129">
        <v>0.954310190969124</v>
      </c>
      <c r="P1046" s="129">
        <v>0.957048028114018</v>
      </c>
      <c r="Q1046" s="129">
        <v>0.948370273794003</v>
      </c>
      <c r="R1046" s="129">
        <v>0.948219241933092</v>
      </c>
      <c r="S1046" s="131">
        <v>0.9</v>
      </c>
      <c r="T1046" s="129">
        <v>0.912725325718365</v>
      </c>
      <c r="U1046" s="129">
        <v>0.934400624755955</v>
      </c>
      <c r="V1046" s="129">
        <v>0.910039113428944</v>
      </c>
      <c r="W1046" s="129">
        <v>0.912434585478506</v>
      </c>
      <c r="X1046" s="131">
        <v>0.92</v>
      </c>
      <c r="Y1046" s="131" t="s">
        <v>33</v>
      </c>
      <c r="Z1046" s="131" t="s">
        <v>33</v>
      </c>
      <c r="AA1046" s="131" t="s">
        <v>33</v>
      </c>
      <c r="AB1046" s="131">
        <v>1</v>
      </c>
      <c r="AC1046" s="131">
        <v>0.92</v>
      </c>
      <c r="AD1046" s="129">
        <v>0.999085588880761</v>
      </c>
      <c r="AE1046" s="129">
        <v>0.99009900990099</v>
      </c>
      <c r="AF1046" s="129">
        <v>0.998485995457986</v>
      </c>
      <c r="AG1046" s="129">
        <v>0.996788334857116</v>
      </c>
      <c r="AH1046" s="131">
        <v>0.92</v>
      </c>
      <c r="AI1046" s="129">
        <v>0.972336248438337</v>
      </c>
      <c r="AJ1046" s="129">
        <v>0.971885982038266</v>
      </c>
      <c r="AK1046" s="129">
        <v>0.96844850065189</v>
      </c>
      <c r="AL1046" s="129">
        <v>0.971187051121798</v>
      </c>
      <c r="AM1046" s="128">
        <v>0.99</v>
      </c>
      <c r="AN1046" s="133">
        <v>1</v>
      </c>
      <c r="AO1046" s="133">
        <v>1</v>
      </c>
      <c r="AP1046" s="133">
        <v>1</v>
      </c>
      <c r="AQ1046" s="133">
        <v>1</v>
      </c>
      <c r="AR1046" s="153">
        <v>0.0656418488929858</v>
      </c>
      <c r="AS1046" s="137">
        <v>0.222222222222222</v>
      </c>
      <c r="AT1046" s="137">
        <v>0</v>
      </c>
      <c r="AU1046" s="137">
        <v>0.3</v>
      </c>
      <c r="AV1046" s="137">
        <v>0.0769230769230769</v>
      </c>
      <c r="AW1046" s="93"/>
      <c r="AX1046" s="91"/>
    </row>
    <row r="1047" ht="14.5" spans="1:50">
      <c r="A1047" s="89"/>
      <c r="B1047" s="93"/>
      <c r="C1047" s="172" t="s">
        <v>922</v>
      </c>
      <c r="D1047" s="126" t="s">
        <v>923</v>
      </c>
      <c r="E1047" s="175" t="s">
        <v>1071</v>
      </c>
      <c r="F1047" s="176" t="s">
        <v>1071</v>
      </c>
      <c r="G1047" s="176" t="s">
        <v>1071</v>
      </c>
      <c r="H1047" s="176" t="s">
        <v>1071</v>
      </c>
      <c r="I1047" s="128">
        <v>0.9</v>
      </c>
      <c r="J1047" s="129">
        <v>0.823529411764706</v>
      </c>
      <c r="K1047" s="129">
        <v>1</v>
      </c>
      <c r="L1047" s="130">
        <v>1</v>
      </c>
      <c r="M1047" s="129">
        <v>0.880208333333333</v>
      </c>
      <c r="N1047" s="131">
        <v>0.9</v>
      </c>
      <c r="O1047" s="129">
        <v>0.923672177277524</v>
      </c>
      <c r="P1047" s="129">
        <v>0.972286374133949</v>
      </c>
      <c r="Q1047" s="129">
        <v>0.961278703286808</v>
      </c>
      <c r="R1047" s="129">
        <v>0.938346209745276</v>
      </c>
      <c r="S1047" s="131">
        <v>0.9</v>
      </c>
      <c r="T1047" s="129">
        <v>0.928244811818502</v>
      </c>
      <c r="U1047" s="129">
        <v>0.904541955350269</v>
      </c>
      <c r="V1047" s="129">
        <v>0.877532642953625</v>
      </c>
      <c r="W1047" s="129">
        <v>0.893520997475713</v>
      </c>
      <c r="X1047" s="131">
        <v>0.92</v>
      </c>
      <c r="Y1047" s="131" t="s">
        <v>33</v>
      </c>
      <c r="Z1047" s="131" t="s">
        <v>33</v>
      </c>
      <c r="AA1047" s="131" t="s">
        <v>33</v>
      </c>
      <c r="AB1047" s="131" t="s">
        <v>33</v>
      </c>
      <c r="AC1047" s="131">
        <v>0.92</v>
      </c>
      <c r="AD1047" s="129">
        <v>1</v>
      </c>
      <c r="AE1047" s="129">
        <v>0.990783410138249</v>
      </c>
      <c r="AF1047" s="129">
        <v>0.994565217391304</v>
      </c>
      <c r="AG1047" s="129">
        <v>0.993434550677062</v>
      </c>
      <c r="AH1047" s="131">
        <v>0.92</v>
      </c>
      <c r="AI1047" s="129">
        <v>0.974322898346817</v>
      </c>
      <c r="AJ1047" s="129">
        <v>0.965357967667437</v>
      </c>
      <c r="AK1047" s="129">
        <v>0.923457901846015</v>
      </c>
      <c r="AL1047" s="129">
        <v>0.962403426910426</v>
      </c>
      <c r="AM1047" s="128">
        <v>0.99</v>
      </c>
      <c r="AN1047" s="133">
        <v>1</v>
      </c>
      <c r="AO1047" s="133">
        <v>1</v>
      </c>
      <c r="AP1047" s="133">
        <v>1</v>
      </c>
      <c r="AQ1047" s="133">
        <v>1</v>
      </c>
      <c r="AR1047" s="153">
        <v>0.0656418488929858</v>
      </c>
      <c r="AS1047" s="137">
        <v>0.125</v>
      </c>
      <c r="AT1047" s="137">
        <v>0</v>
      </c>
      <c r="AU1047" s="137">
        <v>0</v>
      </c>
      <c r="AV1047" s="137">
        <v>0.0298507462686567</v>
      </c>
      <c r="AW1047" s="93"/>
      <c r="AX1047" s="91"/>
    </row>
    <row r="1048" ht="14.5" spans="1:50">
      <c r="A1048" s="89"/>
      <c r="B1048" s="93"/>
      <c r="C1048" s="172" t="s">
        <v>922</v>
      </c>
      <c r="D1048" s="126" t="s">
        <v>923</v>
      </c>
      <c r="E1048" s="175" t="s">
        <v>1072</v>
      </c>
      <c r="F1048" s="176" t="s">
        <v>1072</v>
      </c>
      <c r="G1048" s="176" t="s">
        <v>1072</v>
      </c>
      <c r="H1048" s="176" t="s">
        <v>1072</v>
      </c>
      <c r="I1048" s="128">
        <v>0.9</v>
      </c>
      <c r="J1048" s="129">
        <v>1</v>
      </c>
      <c r="K1048" s="129">
        <v>1</v>
      </c>
      <c r="L1048" s="130">
        <v>1</v>
      </c>
      <c r="M1048" s="129">
        <v>0.984615384615385</v>
      </c>
      <c r="N1048" s="131">
        <v>0.9</v>
      </c>
      <c r="O1048" s="129">
        <v>0.907794361525705</v>
      </c>
      <c r="P1048" s="129">
        <v>0.930618401206637</v>
      </c>
      <c r="Q1048" s="129">
        <v>0.902758932609679</v>
      </c>
      <c r="R1048" s="129">
        <v>0.93014357692162</v>
      </c>
      <c r="S1048" s="131">
        <v>0.9</v>
      </c>
      <c r="T1048" s="129">
        <v>0.890547263681592</v>
      </c>
      <c r="U1048" s="129">
        <v>0.909502262443439</v>
      </c>
      <c r="V1048" s="129">
        <v>0.905020352781547</v>
      </c>
      <c r="W1048" s="129">
        <v>0.907262188885101</v>
      </c>
      <c r="X1048" s="131">
        <v>0.92</v>
      </c>
      <c r="Y1048" s="131" t="s">
        <v>33</v>
      </c>
      <c r="Z1048" s="131" t="s">
        <v>33</v>
      </c>
      <c r="AA1048" s="131" t="s">
        <v>33</v>
      </c>
      <c r="AB1048" s="131" t="s">
        <v>33</v>
      </c>
      <c r="AC1048" s="131">
        <v>0.92</v>
      </c>
      <c r="AD1048" s="129">
        <v>1</v>
      </c>
      <c r="AE1048" s="129">
        <v>0.996373056994819</v>
      </c>
      <c r="AF1048" s="129">
        <v>0.998793727382388</v>
      </c>
      <c r="AG1048" s="129">
        <v>0.995778062266772</v>
      </c>
      <c r="AH1048" s="131">
        <v>0.92</v>
      </c>
      <c r="AI1048" s="129">
        <v>0.963515754560531</v>
      </c>
      <c r="AJ1048" s="129">
        <v>0.961538461538462</v>
      </c>
      <c r="AK1048" s="129">
        <v>0.963817277250113</v>
      </c>
      <c r="AL1048" s="129">
        <v>0.964203189514754</v>
      </c>
      <c r="AM1048" s="128">
        <v>0.99</v>
      </c>
      <c r="AN1048" s="133">
        <v>1</v>
      </c>
      <c r="AO1048" s="133">
        <v>1</v>
      </c>
      <c r="AP1048" s="133">
        <v>1</v>
      </c>
      <c r="AQ1048" s="133">
        <v>1</v>
      </c>
      <c r="AR1048" s="153">
        <v>0.0656418488929858</v>
      </c>
      <c r="AS1048" s="137">
        <v>0</v>
      </c>
      <c r="AT1048" s="137">
        <v>0</v>
      </c>
      <c r="AU1048" s="137">
        <v>0.125</v>
      </c>
      <c r="AV1048" s="137">
        <v>0.0533333333333333</v>
      </c>
      <c r="AW1048" s="93"/>
      <c r="AX1048" s="91"/>
    </row>
    <row r="1049" ht="14.5" spans="1:50">
      <c r="A1049" s="89"/>
      <c r="B1049" s="93"/>
      <c r="C1049" s="172" t="s">
        <v>922</v>
      </c>
      <c r="D1049" s="126" t="s">
        <v>923</v>
      </c>
      <c r="E1049" s="175" t="s">
        <v>1073</v>
      </c>
      <c r="F1049" s="176" t="s">
        <v>1073</v>
      </c>
      <c r="G1049" s="176" t="s">
        <v>1073</v>
      </c>
      <c r="H1049" s="176" t="s">
        <v>1073</v>
      </c>
      <c r="I1049" s="128">
        <v>0.9</v>
      </c>
      <c r="J1049" s="129">
        <v>1</v>
      </c>
      <c r="K1049" s="129">
        <v>1</v>
      </c>
      <c r="L1049" s="130">
        <v>0.972222222222222</v>
      </c>
      <c r="M1049" s="129">
        <v>0.962686567164179</v>
      </c>
      <c r="N1049" s="131">
        <v>0.9</v>
      </c>
      <c r="O1049" s="129">
        <v>0.955418629938383</v>
      </c>
      <c r="P1049" s="129">
        <v>0.965130260521042</v>
      </c>
      <c r="Q1049" s="129">
        <v>0.961092150170648</v>
      </c>
      <c r="R1049" s="129">
        <v>0.955035902891228</v>
      </c>
      <c r="S1049" s="131">
        <v>0.9</v>
      </c>
      <c r="T1049" s="129">
        <v>0.919354838709677</v>
      </c>
      <c r="U1049" s="129">
        <v>0.943887775551102</v>
      </c>
      <c r="V1049" s="129">
        <v>0.937883959044369</v>
      </c>
      <c r="W1049" s="129">
        <v>0.919379962767372</v>
      </c>
      <c r="X1049" s="131">
        <v>0.92</v>
      </c>
      <c r="Y1049" s="131" t="s">
        <v>33</v>
      </c>
      <c r="Z1049" s="131" t="s">
        <v>33</v>
      </c>
      <c r="AA1049" s="131" t="s">
        <v>33</v>
      </c>
      <c r="AB1049" s="131" t="s">
        <v>33</v>
      </c>
      <c r="AC1049" s="131">
        <v>0.92</v>
      </c>
      <c r="AD1049" s="129">
        <v>0.995791245791246</v>
      </c>
      <c r="AE1049" s="129">
        <v>0.998085513720485</v>
      </c>
      <c r="AF1049" s="129">
        <v>0.998367346938775</v>
      </c>
      <c r="AG1049" s="129">
        <v>0.995166884630693</v>
      </c>
      <c r="AH1049" s="131">
        <v>0.92</v>
      </c>
      <c r="AI1049" s="129">
        <v>0.960855382384922</v>
      </c>
      <c r="AJ1049" s="129">
        <v>0.971543086172345</v>
      </c>
      <c r="AK1049" s="129">
        <v>0.969517743403094</v>
      </c>
      <c r="AL1049" s="129">
        <v>0.961743755342388</v>
      </c>
      <c r="AM1049" s="128">
        <v>0.99</v>
      </c>
      <c r="AN1049" s="133">
        <v>1</v>
      </c>
      <c r="AO1049" s="133">
        <v>1</v>
      </c>
      <c r="AP1049" s="133">
        <v>1</v>
      </c>
      <c r="AQ1049" s="133">
        <v>1</v>
      </c>
      <c r="AR1049" s="153">
        <v>0.0656418488929858</v>
      </c>
      <c r="AS1049" s="137">
        <v>0.0434782608695652</v>
      </c>
      <c r="AT1049" s="137">
        <v>0</v>
      </c>
      <c r="AU1049" s="137">
        <v>0.12</v>
      </c>
      <c r="AV1049" s="137">
        <v>0.0738916256157636</v>
      </c>
      <c r="AW1049" s="93"/>
      <c r="AX1049" s="91"/>
    </row>
    <row r="1050" ht="14.5" spans="1:50">
      <c r="A1050" s="89"/>
      <c r="B1050" s="93"/>
      <c r="C1050" s="172" t="s">
        <v>922</v>
      </c>
      <c r="D1050" s="126" t="s">
        <v>923</v>
      </c>
      <c r="E1050" s="175" t="s">
        <v>1074</v>
      </c>
      <c r="F1050" s="176" t="s">
        <v>1074</v>
      </c>
      <c r="G1050" s="176" t="s">
        <v>1074</v>
      </c>
      <c r="H1050" s="176" t="s">
        <v>1074</v>
      </c>
      <c r="I1050" s="128">
        <v>0.9</v>
      </c>
      <c r="J1050" s="129">
        <v>0.964285714285714</v>
      </c>
      <c r="K1050" s="129">
        <v>1</v>
      </c>
      <c r="L1050" s="130">
        <v>1</v>
      </c>
      <c r="M1050" s="129">
        <v>0.987301587301587</v>
      </c>
      <c r="N1050" s="131">
        <v>0.9</v>
      </c>
      <c r="O1050" s="129">
        <v>0.956510209493503</v>
      </c>
      <c r="P1050" s="129">
        <v>0.950087057457922</v>
      </c>
      <c r="Q1050" s="129">
        <v>0.965743944636678</v>
      </c>
      <c r="R1050" s="129">
        <v>0.957725947521866</v>
      </c>
      <c r="S1050" s="131">
        <v>0.9</v>
      </c>
      <c r="T1050" s="129">
        <v>0.908512330946698</v>
      </c>
      <c r="U1050" s="129">
        <v>0.8984329657574</v>
      </c>
      <c r="V1050" s="129">
        <v>0.937024221453287</v>
      </c>
      <c r="W1050" s="129">
        <v>0.92080680668769</v>
      </c>
      <c r="X1050" s="131">
        <v>0.92</v>
      </c>
      <c r="Y1050" s="131" t="s">
        <v>33</v>
      </c>
      <c r="Z1050" s="131" t="s">
        <v>33</v>
      </c>
      <c r="AA1050" s="131" t="s">
        <v>33</v>
      </c>
      <c r="AB1050" s="131" t="s">
        <v>33</v>
      </c>
      <c r="AC1050" s="131">
        <v>0.92</v>
      </c>
      <c r="AD1050" s="129">
        <v>0.99889339727038</v>
      </c>
      <c r="AE1050" s="129">
        <v>0.995729716151721</v>
      </c>
      <c r="AF1050" s="129">
        <v>0.993342210386152</v>
      </c>
      <c r="AG1050" s="129">
        <v>0.995498828462203</v>
      </c>
      <c r="AH1050" s="131">
        <v>0.92</v>
      </c>
      <c r="AI1050" s="129">
        <v>0.967117475470697</v>
      </c>
      <c r="AJ1050" s="129">
        <v>0.958792803250145</v>
      </c>
      <c r="AK1050" s="129">
        <v>0.966782006920415</v>
      </c>
      <c r="AL1050" s="129">
        <v>0.964925328732076</v>
      </c>
      <c r="AM1050" s="128">
        <v>0.99</v>
      </c>
      <c r="AN1050" s="133">
        <v>1</v>
      </c>
      <c r="AO1050" s="133">
        <v>1</v>
      </c>
      <c r="AP1050" s="133">
        <v>1</v>
      </c>
      <c r="AQ1050" s="133">
        <v>1</v>
      </c>
      <c r="AR1050" s="153">
        <v>0.0656418488929858</v>
      </c>
      <c r="AS1050" s="137">
        <v>0</v>
      </c>
      <c r="AT1050" s="137">
        <v>0</v>
      </c>
      <c r="AU1050" s="137">
        <v>0.3</v>
      </c>
      <c r="AV1050" s="137">
        <v>0.1</v>
      </c>
      <c r="AW1050" s="93"/>
      <c r="AX1050" s="91"/>
    </row>
    <row r="1051" ht="14.5" spans="1:50">
      <c r="A1051" s="89"/>
      <c r="B1051" s="93"/>
      <c r="C1051" s="172" t="s">
        <v>922</v>
      </c>
      <c r="D1051" s="126" t="s">
        <v>923</v>
      </c>
      <c r="E1051" s="179" t="s">
        <v>1075</v>
      </c>
      <c r="F1051" s="180" t="s">
        <v>1075</v>
      </c>
      <c r="G1051" s="180" t="s">
        <v>1075</v>
      </c>
      <c r="H1051" s="180" t="s">
        <v>1075</v>
      </c>
      <c r="I1051" s="128">
        <v>0.9</v>
      </c>
      <c r="J1051" s="129">
        <v>0.947368421052632</v>
      </c>
      <c r="K1051" s="129">
        <v>0.947368421052632</v>
      </c>
      <c r="L1051" s="130">
        <v>1</v>
      </c>
      <c r="M1051" s="129">
        <v>0.898617511520737</v>
      </c>
      <c r="N1051" s="131">
        <v>0.9</v>
      </c>
      <c r="O1051" s="129">
        <v>0.91977760127085</v>
      </c>
      <c r="P1051" s="129">
        <v>0.964285714285714</v>
      </c>
      <c r="Q1051" s="129">
        <v>0.959720730397422</v>
      </c>
      <c r="R1051" s="129">
        <v>0.93810480189885</v>
      </c>
      <c r="S1051" s="131">
        <v>0.9</v>
      </c>
      <c r="T1051" s="129">
        <v>0.884432088959492</v>
      </c>
      <c r="U1051" s="129">
        <v>0.931467181467181</v>
      </c>
      <c r="V1051" s="129">
        <v>0.921052631578947</v>
      </c>
      <c r="W1051" s="129">
        <v>0.887027569837502</v>
      </c>
      <c r="X1051" s="131">
        <v>0.92</v>
      </c>
      <c r="Y1051" s="131" t="s">
        <v>33</v>
      </c>
      <c r="Z1051" s="131" t="s">
        <v>33</v>
      </c>
      <c r="AA1051" s="131" t="s">
        <v>33</v>
      </c>
      <c r="AB1051" s="131" t="s">
        <v>33</v>
      </c>
      <c r="AC1051" s="131">
        <v>0.92</v>
      </c>
      <c r="AD1051" s="129">
        <v>1</v>
      </c>
      <c r="AE1051" s="129">
        <v>0.963106796116505</v>
      </c>
      <c r="AF1051" s="129">
        <v>0.919117647058823</v>
      </c>
      <c r="AG1051" s="129">
        <v>0.972818311874106</v>
      </c>
      <c r="AH1051" s="131">
        <v>0.92</v>
      </c>
      <c r="AI1051" s="129">
        <v>0.935266084193805</v>
      </c>
      <c r="AJ1051" s="129">
        <v>0.959459459459459</v>
      </c>
      <c r="AK1051" s="129">
        <v>0.963480128893663</v>
      </c>
      <c r="AL1051" s="129">
        <v>0.936735439109001</v>
      </c>
      <c r="AM1051" s="128">
        <v>0.99</v>
      </c>
      <c r="AN1051" s="133">
        <v>1</v>
      </c>
      <c r="AO1051" s="133">
        <v>1</v>
      </c>
      <c r="AP1051" s="133">
        <v>1</v>
      </c>
      <c r="AQ1051" s="133">
        <v>1</v>
      </c>
      <c r="AR1051" s="153">
        <v>0.0656418488929858</v>
      </c>
      <c r="AS1051" s="137">
        <v>0</v>
      </c>
      <c r="AT1051" s="137">
        <v>0</v>
      </c>
      <c r="AU1051" s="137">
        <v>0</v>
      </c>
      <c r="AV1051" s="137">
        <v>0.0526315789473684</v>
      </c>
      <c r="AW1051" s="93"/>
      <c r="AX1051" s="91"/>
    </row>
    <row r="1052" ht="14.5" spans="1:50">
      <c r="A1052" s="89"/>
      <c r="B1052" s="93"/>
      <c r="C1052" s="172" t="s">
        <v>922</v>
      </c>
      <c r="D1052" s="126" t="s">
        <v>923</v>
      </c>
      <c r="E1052" s="177" t="s">
        <v>1076</v>
      </c>
      <c r="F1052" s="178" t="s">
        <v>1076</v>
      </c>
      <c r="G1052" s="178" t="s">
        <v>1076</v>
      </c>
      <c r="H1052" s="178" t="s">
        <v>1076</v>
      </c>
      <c r="I1052" s="128">
        <v>0.9</v>
      </c>
      <c r="J1052" s="129">
        <v>1</v>
      </c>
      <c r="K1052" s="129">
        <v>1</v>
      </c>
      <c r="L1052" s="130">
        <v>1</v>
      </c>
      <c r="M1052" s="129">
        <v>0.988461538461539</v>
      </c>
      <c r="N1052" s="131">
        <v>0.9</v>
      </c>
      <c r="O1052" s="129">
        <v>0.957970746158119</v>
      </c>
      <c r="P1052" s="129">
        <v>0.957216737188528</v>
      </c>
      <c r="Q1052" s="129">
        <v>0.933989577301679</v>
      </c>
      <c r="R1052" s="129">
        <v>0.953119399775394</v>
      </c>
      <c r="S1052" s="131">
        <v>0.9</v>
      </c>
      <c r="T1052" s="129">
        <v>0.919459359377893</v>
      </c>
      <c r="U1052" s="129">
        <v>0.893747061589093</v>
      </c>
      <c r="V1052" s="129">
        <v>0.890272148233932</v>
      </c>
      <c r="W1052" s="129">
        <v>0.891519915892093</v>
      </c>
      <c r="X1052" s="131">
        <v>0.92</v>
      </c>
      <c r="Y1052" s="131" t="s">
        <v>33</v>
      </c>
      <c r="Z1052" s="131" t="s">
        <v>33</v>
      </c>
      <c r="AA1052" s="131" t="s">
        <v>33</v>
      </c>
      <c r="AB1052" s="131" t="s">
        <v>33</v>
      </c>
      <c r="AC1052" s="131">
        <v>0.92</v>
      </c>
      <c r="AD1052" s="129">
        <v>0.999327052489906</v>
      </c>
      <c r="AE1052" s="129">
        <v>0.990288315629742</v>
      </c>
      <c r="AF1052" s="129">
        <v>1</v>
      </c>
      <c r="AG1052" s="129">
        <v>0.965409784979745</v>
      </c>
      <c r="AH1052" s="131">
        <v>0.92</v>
      </c>
      <c r="AI1052" s="129">
        <v>0.978152194038141</v>
      </c>
      <c r="AJ1052" s="129">
        <v>0.973214285714286</v>
      </c>
      <c r="AK1052" s="129">
        <v>0.974522292993631</v>
      </c>
      <c r="AL1052" s="129">
        <v>0.975987958140202</v>
      </c>
      <c r="AM1052" s="128">
        <v>0.99</v>
      </c>
      <c r="AN1052" s="133">
        <v>1</v>
      </c>
      <c r="AO1052" s="133">
        <v>1</v>
      </c>
      <c r="AP1052" s="133">
        <v>1</v>
      </c>
      <c r="AQ1052" s="133">
        <v>1</v>
      </c>
      <c r="AR1052" s="153">
        <v>0.0656418488929858</v>
      </c>
      <c r="AS1052" s="137">
        <v>0</v>
      </c>
      <c r="AT1052" s="137">
        <v>0</v>
      </c>
      <c r="AU1052" s="137">
        <v>0</v>
      </c>
      <c r="AV1052" s="137">
        <v>0.0315789473684211</v>
      </c>
      <c r="AW1052" s="93"/>
      <c r="AX1052" s="91"/>
    </row>
    <row r="1053" ht="14.5" spans="1:50">
      <c r="A1053" s="89"/>
      <c r="B1053" s="93"/>
      <c r="C1053" s="172" t="s">
        <v>922</v>
      </c>
      <c r="D1053" s="126" t="s">
        <v>923</v>
      </c>
      <c r="E1053" s="175" t="s">
        <v>1077</v>
      </c>
      <c r="F1053" s="176" t="s">
        <v>1077</v>
      </c>
      <c r="G1053" s="176" t="s">
        <v>1077</v>
      </c>
      <c r="H1053" s="176" t="s">
        <v>1077</v>
      </c>
      <c r="I1053" s="128">
        <v>0.9</v>
      </c>
      <c r="J1053" s="129">
        <v>0.884057971014493</v>
      </c>
      <c r="K1053" s="129">
        <v>0.867647058823529</v>
      </c>
      <c r="L1053" s="130">
        <v>0.898550724637681</v>
      </c>
      <c r="M1053" s="129">
        <v>0.84863523573201</v>
      </c>
      <c r="N1053" s="131">
        <v>0.9</v>
      </c>
      <c r="O1053" s="129">
        <v>0.919203367875648</v>
      </c>
      <c r="P1053" s="129">
        <v>0.915082771305947</v>
      </c>
      <c r="Q1053" s="129">
        <v>0.896914095079233</v>
      </c>
      <c r="R1053" s="129">
        <v>0.928986970527429</v>
      </c>
      <c r="S1053" s="131">
        <v>0.9</v>
      </c>
      <c r="T1053" s="129">
        <v>0.908354922279793</v>
      </c>
      <c r="U1053" s="129">
        <v>0.888412017167382</v>
      </c>
      <c r="V1053" s="129">
        <v>0.86138448707256</v>
      </c>
      <c r="W1053" s="129">
        <v>0.874609356219049</v>
      </c>
      <c r="X1053" s="131">
        <v>0.92</v>
      </c>
      <c r="Y1053" s="131" t="s">
        <v>33</v>
      </c>
      <c r="Z1053" s="131" t="s">
        <v>33</v>
      </c>
      <c r="AA1053" s="131" t="s">
        <v>33</v>
      </c>
      <c r="AB1053" s="131">
        <v>1</v>
      </c>
      <c r="AC1053" s="131">
        <v>0.92</v>
      </c>
      <c r="AD1053" s="129">
        <v>0.967241379310345</v>
      </c>
      <c r="AE1053" s="129">
        <v>0.97724039829303</v>
      </c>
      <c r="AF1053" s="129">
        <v>0.950549450549451</v>
      </c>
      <c r="AG1053" s="129">
        <v>0.968801571709234</v>
      </c>
      <c r="AH1053" s="131">
        <v>0.92</v>
      </c>
      <c r="AI1053" s="129">
        <v>0.943490932642487</v>
      </c>
      <c r="AJ1053" s="129">
        <v>0.936235438381361</v>
      </c>
      <c r="AK1053" s="129">
        <v>0.934445371142619</v>
      </c>
      <c r="AL1053" s="129">
        <v>0.943878205128205</v>
      </c>
      <c r="AM1053" s="128">
        <v>0.99</v>
      </c>
      <c r="AN1053" s="133">
        <v>1</v>
      </c>
      <c r="AO1053" s="133">
        <v>1</v>
      </c>
      <c r="AP1053" s="133">
        <v>1</v>
      </c>
      <c r="AQ1053" s="133">
        <v>1</v>
      </c>
      <c r="AR1053" s="153">
        <v>0.0656418488929858</v>
      </c>
      <c r="AS1053" s="137">
        <v>0</v>
      </c>
      <c r="AT1053" s="137">
        <v>0.176470588235294</v>
      </c>
      <c r="AU1053" s="137">
        <v>0</v>
      </c>
      <c r="AV1053" s="137">
        <v>0.0333333333333333</v>
      </c>
      <c r="AW1053" s="93"/>
      <c r="AX1053" s="91"/>
    </row>
    <row r="1054" ht="14.5" spans="1:50">
      <c r="A1054" s="89"/>
      <c r="B1054" s="93"/>
      <c r="C1054" s="172" t="s">
        <v>922</v>
      </c>
      <c r="D1054" s="126" t="s">
        <v>923</v>
      </c>
      <c r="E1054" s="175" t="s">
        <v>1078</v>
      </c>
      <c r="F1054" s="176" t="s">
        <v>1078</v>
      </c>
      <c r="G1054" s="176" t="s">
        <v>1078</v>
      </c>
      <c r="H1054" s="176" t="s">
        <v>1078</v>
      </c>
      <c r="I1054" s="128">
        <v>0.9</v>
      </c>
      <c r="J1054" s="129">
        <v>0.979166666666667</v>
      </c>
      <c r="K1054" s="129">
        <v>1</v>
      </c>
      <c r="L1054" s="130">
        <v>1</v>
      </c>
      <c r="M1054" s="129">
        <v>0.986641221374046</v>
      </c>
      <c r="N1054" s="131">
        <v>0.9</v>
      </c>
      <c r="O1054" s="129">
        <v>0.975282781734395</v>
      </c>
      <c r="P1054" s="129">
        <v>0.944444444444444</v>
      </c>
      <c r="Q1054" s="129">
        <v>0.939083106552229</v>
      </c>
      <c r="R1054" s="129">
        <v>0.95704845814978</v>
      </c>
      <c r="S1054" s="131">
        <v>0.9</v>
      </c>
      <c r="T1054" s="129">
        <v>0.920821114369501</v>
      </c>
      <c r="U1054" s="129">
        <v>0.910471622701839</v>
      </c>
      <c r="V1054" s="129">
        <v>0.918986811806573</v>
      </c>
      <c r="W1054" s="129">
        <v>0.927553063676412</v>
      </c>
      <c r="X1054" s="131">
        <v>0.92</v>
      </c>
      <c r="Y1054" s="131" t="s">
        <v>33</v>
      </c>
      <c r="Z1054" s="131" t="s">
        <v>33</v>
      </c>
      <c r="AA1054" s="131" t="s">
        <v>33</v>
      </c>
      <c r="AB1054" s="131" t="s">
        <v>33</v>
      </c>
      <c r="AC1054" s="131">
        <v>0.92</v>
      </c>
      <c r="AD1054" s="129">
        <v>0.99737532808399</v>
      </c>
      <c r="AE1054" s="129">
        <v>1</v>
      </c>
      <c r="AF1054" s="129">
        <v>0.995283018867924</v>
      </c>
      <c r="AG1054" s="129">
        <v>0.99610642439974</v>
      </c>
      <c r="AH1054" s="131">
        <v>0.92</v>
      </c>
      <c r="AI1054" s="129">
        <v>0.95978215333054</v>
      </c>
      <c r="AJ1054" s="129">
        <v>0.936051159072742</v>
      </c>
      <c r="AK1054" s="129">
        <v>0.955830018840276</v>
      </c>
      <c r="AL1054" s="129">
        <v>0.956710650141161</v>
      </c>
      <c r="AM1054" s="128">
        <v>0.99</v>
      </c>
      <c r="AN1054" s="133">
        <v>1</v>
      </c>
      <c r="AO1054" s="133">
        <v>1</v>
      </c>
      <c r="AP1054" s="133">
        <v>1</v>
      </c>
      <c r="AQ1054" s="133">
        <v>1</v>
      </c>
      <c r="AR1054" s="153">
        <v>0.0656418488929858</v>
      </c>
      <c r="AS1054" s="137">
        <v>0.125</v>
      </c>
      <c r="AT1054" s="137">
        <v>0</v>
      </c>
      <c r="AU1054" s="137">
        <v>0</v>
      </c>
      <c r="AV1054" s="137">
        <v>0.0502092050209205</v>
      </c>
      <c r="AW1054" s="93"/>
      <c r="AX1054" s="91"/>
    </row>
    <row r="1055" ht="14.5" spans="1:50">
      <c r="A1055" s="89"/>
      <c r="B1055" s="93"/>
      <c r="C1055" s="172" t="s">
        <v>922</v>
      </c>
      <c r="D1055" s="126" t="s">
        <v>923</v>
      </c>
      <c r="E1055" s="175" t="s">
        <v>1079</v>
      </c>
      <c r="F1055" s="176" t="s">
        <v>1079</v>
      </c>
      <c r="G1055" s="176" t="s">
        <v>1079</v>
      </c>
      <c r="H1055" s="176" t="s">
        <v>1079</v>
      </c>
      <c r="I1055" s="128">
        <v>0.9</v>
      </c>
      <c r="J1055" s="129">
        <v>0.935483870967742</v>
      </c>
      <c r="K1055" s="129">
        <v>0.964285714285714</v>
      </c>
      <c r="L1055" s="130">
        <v>0.96969696969697</v>
      </c>
      <c r="M1055" s="129">
        <v>0.920980926430518</v>
      </c>
      <c r="N1055" s="131">
        <v>0.9</v>
      </c>
      <c r="O1055" s="129">
        <v>0.929538354737938</v>
      </c>
      <c r="P1055" s="129">
        <v>0.937709310113865</v>
      </c>
      <c r="Q1055" s="129">
        <v>0.967623252391464</v>
      </c>
      <c r="R1055" s="129">
        <v>0.965704740919753</v>
      </c>
      <c r="S1055" s="131">
        <v>0.9</v>
      </c>
      <c r="T1055" s="129">
        <v>0.903852828878862</v>
      </c>
      <c r="U1055" s="129">
        <v>0.914266577361018</v>
      </c>
      <c r="V1055" s="129">
        <v>0.881530537159676</v>
      </c>
      <c r="W1055" s="129">
        <v>0.881192693155164</v>
      </c>
      <c r="X1055" s="131">
        <v>0.92</v>
      </c>
      <c r="Y1055" s="131" t="s">
        <v>33</v>
      </c>
      <c r="Z1055" s="131" t="s">
        <v>33</v>
      </c>
      <c r="AA1055" s="131" t="s">
        <v>33</v>
      </c>
      <c r="AB1055" s="131" t="s">
        <v>33</v>
      </c>
      <c r="AC1055" s="131">
        <v>0.92</v>
      </c>
      <c r="AD1055" s="129">
        <v>0.997679814385151</v>
      </c>
      <c r="AE1055" s="129">
        <v>0.990439770554493</v>
      </c>
      <c r="AF1055" s="129">
        <v>1</v>
      </c>
      <c r="AG1055" s="129">
        <v>0.995652173913044</v>
      </c>
      <c r="AH1055" s="131">
        <v>0.92</v>
      </c>
      <c r="AI1055" s="129">
        <v>0.948976049982645</v>
      </c>
      <c r="AJ1055" s="129">
        <v>0.951774949765573</v>
      </c>
      <c r="AK1055" s="129">
        <v>0.967623252391464</v>
      </c>
      <c r="AL1055" s="129">
        <v>0.960197590532713</v>
      </c>
      <c r="AM1055" s="128">
        <v>0.99</v>
      </c>
      <c r="AN1055" s="133">
        <v>1</v>
      </c>
      <c r="AO1055" s="133">
        <v>1</v>
      </c>
      <c r="AP1055" s="133">
        <v>1</v>
      </c>
      <c r="AQ1055" s="133">
        <v>1</v>
      </c>
      <c r="AR1055" s="153">
        <v>0.0656418488929858</v>
      </c>
      <c r="AS1055" s="137">
        <v>0</v>
      </c>
      <c r="AT1055" s="137">
        <v>0</v>
      </c>
      <c r="AU1055" s="137">
        <v>0</v>
      </c>
      <c r="AV1055" s="137">
        <v>0.0451612903225806</v>
      </c>
      <c r="AW1055" s="93"/>
      <c r="AX1055" s="91"/>
    </row>
    <row r="1056" ht="14.5" spans="1:50">
      <c r="A1056" s="89"/>
      <c r="B1056" s="93"/>
      <c r="C1056" s="150"/>
      <c r="D1056" s="151"/>
      <c r="E1056" s="151"/>
      <c r="F1056" s="151"/>
      <c r="G1056" s="151"/>
      <c r="H1056" s="151"/>
      <c r="I1056" s="142"/>
      <c r="J1056" s="185"/>
      <c r="K1056" s="185"/>
      <c r="L1056" s="185"/>
      <c r="M1056" s="185"/>
      <c r="N1056" s="146"/>
      <c r="O1056" s="143"/>
      <c r="P1056" s="143"/>
      <c r="Q1056" s="129"/>
      <c r="R1056" s="143"/>
      <c r="S1056" s="146"/>
      <c r="T1056" s="143"/>
      <c r="U1056" s="143"/>
      <c r="V1056" s="129"/>
      <c r="W1056" s="143"/>
      <c r="X1056" s="146"/>
      <c r="Y1056" s="146"/>
      <c r="Z1056" s="146"/>
      <c r="AA1056" s="131"/>
      <c r="AB1056" s="146"/>
      <c r="AC1056" s="143"/>
      <c r="AD1056" s="143"/>
      <c r="AE1056" s="143"/>
      <c r="AF1056" s="129"/>
      <c r="AG1056" s="143"/>
      <c r="AH1056" s="143"/>
      <c r="AI1056" s="143"/>
      <c r="AJ1056" s="143"/>
      <c r="AK1056" s="129"/>
      <c r="AL1056" s="143"/>
      <c r="AM1056" s="142"/>
      <c r="AN1056" s="142"/>
      <c r="AO1056" s="142"/>
      <c r="AP1056" s="133"/>
      <c r="AQ1056" s="142"/>
      <c r="AR1056" s="143"/>
      <c r="AS1056" s="142"/>
      <c r="AT1056" s="142"/>
      <c r="AU1056" s="137"/>
      <c r="AV1056" s="142"/>
      <c r="AW1056" s="93"/>
      <c r="AX1056" s="91"/>
    </row>
    <row r="1057" ht="14.5" spans="1:50">
      <c r="A1057" s="89"/>
      <c r="B1057" s="93"/>
      <c r="C1057" s="148" t="s">
        <v>1080</v>
      </c>
      <c r="D1057" s="126" t="s">
        <v>1081</v>
      </c>
      <c r="E1057" s="186" t="s">
        <v>1082</v>
      </c>
      <c r="F1057" s="186" t="s">
        <v>1082</v>
      </c>
      <c r="G1057" s="186" t="s">
        <v>1082</v>
      </c>
      <c r="H1057" s="186" t="s">
        <v>1082</v>
      </c>
      <c r="I1057" s="128">
        <v>0.9</v>
      </c>
      <c r="J1057" s="129">
        <v>0.933333333333333</v>
      </c>
      <c r="K1057" s="129">
        <v>0.961538461538462</v>
      </c>
      <c r="L1057" s="130">
        <v>1</v>
      </c>
      <c r="M1057" s="129">
        <v>0.943452380952381</v>
      </c>
      <c r="N1057" s="131">
        <v>0.9</v>
      </c>
      <c r="O1057" s="129">
        <v>0.93647828117702</v>
      </c>
      <c r="P1057" s="129">
        <v>0.985871271585557</v>
      </c>
      <c r="Q1057" s="129">
        <v>0.989247311827957</v>
      </c>
      <c r="R1057" s="129">
        <v>0.968806184825602</v>
      </c>
      <c r="S1057" s="131">
        <v>0.9</v>
      </c>
      <c r="T1057" s="129">
        <v>0.914992993928071</v>
      </c>
      <c r="U1057" s="129">
        <v>0.934850863422292</v>
      </c>
      <c r="V1057" s="129">
        <v>0.931573802541544</v>
      </c>
      <c r="W1057" s="129">
        <v>0.927184466019418</v>
      </c>
      <c r="X1057" s="131">
        <v>0.92</v>
      </c>
      <c r="Y1057" s="131">
        <v>0.953590192644483</v>
      </c>
      <c r="Z1057" s="131">
        <v>0.955394190871369</v>
      </c>
      <c r="AA1057" s="131">
        <v>0.952326901248581</v>
      </c>
      <c r="AB1057" s="131">
        <v>0.956012881941717</v>
      </c>
      <c r="AC1057" s="131">
        <v>0.92</v>
      </c>
      <c r="AD1057" s="129">
        <v>1</v>
      </c>
      <c r="AE1057" s="129">
        <v>0.997849462365591</v>
      </c>
      <c r="AF1057" s="129">
        <v>0.998500749625187</v>
      </c>
      <c r="AG1057" s="129">
        <v>0.995534156723187</v>
      </c>
      <c r="AH1057" s="131">
        <v>0.92</v>
      </c>
      <c r="AI1057" s="129">
        <v>0.97228144989339</v>
      </c>
      <c r="AJ1057" s="129">
        <v>0.971849865951743</v>
      </c>
      <c r="AK1057" s="129">
        <v>0.97574308165357</v>
      </c>
      <c r="AL1057" s="129">
        <v>0.972470769846488</v>
      </c>
      <c r="AM1057" s="128">
        <v>0.99</v>
      </c>
      <c r="AN1057" s="133">
        <v>1</v>
      </c>
      <c r="AO1057" s="133">
        <v>1</v>
      </c>
      <c r="AP1057" s="133">
        <v>1</v>
      </c>
      <c r="AQ1057" s="133">
        <v>1</v>
      </c>
      <c r="AR1057" s="153">
        <v>0.0721861525408278</v>
      </c>
      <c r="AS1057" s="137">
        <v>0</v>
      </c>
      <c r="AT1057" s="137">
        <v>0.2</v>
      </c>
      <c r="AU1057" s="137">
        <v>0.25</v>
      </c>
      <c r="AV1057" s="137">
        <v>0.0987654320987654</v>
      </c>
      <c r="AW1057" s="93"/>
      <c r="AX1057" s="91"/>
    </row>
    <row r="1058" ht="14.5" spans="1:50">
      <c r="A1058" s="89"/>
      <c r="B1058" s="93"/>
      <c r="C1058" s="148" t="s">
        <v>1080</v>
      </c>
      <c r="D1058" s="126" t="s">
        <v>1081</v>
      </c>
      <c r="E1058" s="186" t="s">
        <v>1083</v>
      </c>
      <c r="F1058" s="186" t="s">
        <v>1083</v>
      </c>
      <c r="G1058" s="186" t="s">
        <v>1083</v>
      </c>
      <c r="H1058" s="186" t="s">
        <v>1083</v>
      </c>
      <c r="I1058" s="128">
        <v>0.9</v>
      </c>
      <c r="J1058" s="129">
        <v>0.957446808510638</v>
      </c>
      <c r="K1058" s="129">
        <v>0.894736842105263</v>
      </c>
      <c r="L1058" s="130">
        <v>0.956521739130435</v>
      </c>
      <c r="M1058" s="129">
        <v>0.937614678899083</v>
      </c>
      <c r="N1058" s="131">
        <v>0.9</v>
      </c>
      <c r="O1058" s="129">
        <v>0.9860450364732</v>
      </c>
      <c r="P1058" s="129">
        <v>0.987051792828685</v>
      </c>
      <c r="Q1058" s="129">
        <v>0.990780375370431</v>
      </c>
      <c r="R1058" s="129">
        <v>0.981852391357126</v>
      </c>
      <c r="S1058" s="131">
        <v>0.9</v>
      </c>
      <c r="T1058" s="129">
        <v>0.894703457025055</v>
      </c>
      <c r="U1058" s="129">
        <v>0.871513944223108</v>
      </c>
      <c r="V1058" s="129">
        <v>0.910437932169905</v>
      </c>
      <c r="W1058" s="129">
        <v>0.898154891964069</v>
      </c>
      <c r="X1058" s="131">
        <v>0.92</v>
      </c>
      <c r="Y1058" s="131">
        <v>0.935374149659864</v>
      </c>
      <c r="Z1058" s="131">
        <v>0.930555555555556</v>
      </c>
      <c r="AA1058" s="131">
        <v>0.962934947049924</v>
      </c>
      <c r="AB1058" s="131">
        <v>0.944129340047707</v>
      </c>
      <c r="AC1058" s="131">
        <v>0.92</v>
      </c>
      <c r="AD1058" s="129">
        <v>0.950720242608036</v>
      </c>
      <c r="AE1058" s="129">
        <v>0.992300288739172</v>
      </c>
      <c r="AF1058" s="129">
        <v>0.995444191343964</v>
      </c>
      <c r="AG1058" s="129">
        <v>0.883613343072802</v>
      </c>
      <c r="AH1058" s="131">
        <v>0.92</v>
      </c>
      <c r="AI1058" s="129">
        <v>0.961765304047183</v>
      </c>
      <c r="AJ1058" s="129">
        <v>0.954829545454545</v>
      </c>
      <c r="AK1058" s="129">
        <v>0.976141316815783</v>
      </c>
      <c r="AL1058" s="129">
        <v>0.965069378775305</v>
      </c>
      <c r="AM1058" s="128">
        <v>0.99</v>
      </c>
      <c r="AN1058" s="133">
        <v>1</v>
      </c>
      <c r="AO1058" s="133">
        <v>1</v>
      </c>
      <c r="AP1058" s="133">
        <v>1</v>
      </c>
      <c r="AQ1058" s="133">
        <v>1</v>
      </c>
      <c r="AR1058" s="153">
        <v>0.0721861525408278</v>
      </c>
      <c r="AS1058" s="137">
        <v>0.0666666666666667</v>
      </c>
      <c r="AT1058" s="137">
        <v>0</v>
      </c>
      <c r="AU1058" s="137">
        <v>-0.1</v>
      </c>
      <c r="AV1058" s="137">
        <v>0.0352112676056338</v>
      </c>
      <c r="AW1058" s="93"/>
      <c r="AX1058" s="91"/>
    </row>
    <row r="1059" ht="14.5" spans="1:50">
      <c r="A1059" s="89"/>
      <c r="B1059" s="93"/>
      <c r="C1059" s="148" t="s">
        <v>1080</v>
      </c>
      <c r="D1059" s="126" t="s">
        <v>1081</v>
      </c>
      <c r="E1059" s="186" t="s">
        <v>1084</v>
      </c>
      <c r="F1059" s="186" t="s">
        <v>1084</v>
      </c>
      <c r="G1059" s="186" t="s">
        <v>1084</v>
      </c>
      <c r="H1059" s="186" t="s">
        <v>1084</v>
      </c>
      <c r="I1059" s="128">
        <v>0.9</v>
      </c>
      <c r="J1059" s="129">
        <v>0.833333333333333</v>
      </c>
      <c r="K1059" s="129">
        <v>0.80952380952381</v>
      </c>
      <c r="L1059" s="130">
        <v>0.930232558139535</v>
      </c>
      <c r="M1059" s="129">
        <v>0.828519855595668</v>
      </c>
      <c r="N1059" s="131">
        <v>0.9</v>
      </c>
      <c r="O1059" s="129">
        <v>0.973260198834419</v>
      </c>
      <c r="P1059" s="129">
        <v>0.880122950819672</v>
      </c>
      <c r="Q1059" s="129">
        <v>0.901472650771388</v>
      </c>
      <c r="R1059" s="129">
        <v>0.950703316556975</v>
      </c>
      <c r="S1059" s="131">
        <v>0.9</v>
      </c>
      <c r="T1059" s="129">
        <v>0.921151868357902</v>
      </c>
      <c r="U1059" s="129">
        <v>0.946209016393443</v>
      </c>
      <c r="V1059" s="129">
        <v>0.939340813464236</v>
      </c>
      <c r="W1059" s="129">
        <v>0.941573106207253</v>
      </c>
      <c r="X1059" s="131">
        <v>0.92</v>
      </c>
      <c r="Y1059" s="131">
        <v>0.969455511288181</v>
      </c>
      <c r="Z1059" s="131">
        <v>0.939622641509434</v>
      </c>
      <c r="AA1059" s="131">
        <v>0.957367240089753</v>
      </c>
      <c r="AB1059" s="131">
        <v>0.958109997669541</v>
      </c>
      <c r="AC1059" s="131">
        <v>0.92</v>
      </c>
      <c r="AD1059" s="129">
        <v>0.993425378040763</v>
      </c>
      <c r="AE1059" s="129">
        <v>0.999122807017544</v>
      </c>
      <c r="AF1059" s="129">
        <v>0.951020408163265</v>
      </c>
      <c r="AG1059" s="129">
        <v>0.973793103448276</v>
      </c>
      <c r="AH1059" s="131">
        <v>0.92</v>
      </c>
      <c r="AI1059" s="129">
        <v>0.973773456929686</v>
      </c>
      <c r="AJ1059" s="129">
        <v>0.965506715506716</v>
      </c>
      <c r="AK1059" s="129">
        <v>0.975173072332299</v>
      </c>
      <c r="AL1059" s="129">
        <v>0.9736098999211</v>
      </c>
      <c r="AM1059" s="128">
        <v>0.99</v>
      </c>
      <c r="AN1059" s="133">
        <v>1</v>
      </c>
      <c r="AO1059" s="133">
        <v>1</v>
      </c>
      <c r="AP1059" s="133">
        <v>1</v>
      </c>
      <c r="AQ1059" s="133">
        <v>1</v>
      </c>
      <c r="AR1059" s="153">
        <v>0.0721861525408278</v>
      </c>
      <c r="AS1059" s="137">
        <v>0</v>
      </c>
      <c r="AT1059" s="137">
        <v>0</v>
      </c>
      <c r="AU1059" s="137">
        <v>0</v>
      </c>
      <c r="AV1059" s="137">
        <v>0.0145985401459854</v>
      </c>
      <c r="AW1059" s="93"/>
      <c r="AX1059" s="91"/>
    </row>
    <row r="1060" ht="14.5" spans="1:50">
      <c r="A1060" s="89"/>
      <c r="B1060" s="93"/>
      <c r="C1060" s="148" t="s">
        <v>1080</v>
      </c>
      <c r="D1060" s="126" t="s">
        <v>1081</v>
      </c>
      <c r="E1060" s="186" t="s">
        <v>1085</v>
      </c>
      <c r="F1060" s="186" t="s">
        <v>1085</v>
      </c>
      <c r="G1060" s="186" t="s">
        <v>1085</v>
      </c>
      <c r="H1060" s="186" t="s">
        <v>1085</v>
      </c>
      <c r="I1060" s="128">
        <v>0.9</v>
      </c>
      <c r="J1060" s="129">
        <v>0.978260869565217</v>
      </c>
      <c r="K1060" s="129">
        <v>0.861111111111111</v>
      </c>
      <c r="L1060" s="130">
        <v>0.931818181818182</v>
      </c>
      <c r="M1060" s="129">
        <v>0.930097087378641</v>
      </c>
      <c r="N1060" s="131">
        <v>0.9</v>
      </c>
      <c r="O1060" s="129">
        <v>0.952310862525758</v>
      </c>
      <c r="P1060" s="129">
        <v>0.966292134831461</v>
      </c>
      <c r="Q1060" s="129">
        <v>0.962906658558833</v>
      </c>
      <c r="R1060" s="129">
        <v>0.963078694186333</v>
      </c>
      <c r="S1060" s="131">
        <v>0.9</v>
      </c>
      <c r="T1060" s="129">
        <v>0.927877539005004</v>
      </c>
      <c r="U1060" s="129">
        <v>0.919101123595506</v>
      </c>
      <c r="V1060" s="129">
        <v>0.944968075402858</v>
      </c>
      <c r="W1060" s="129">
        <v>0.938162980018091</v>
      </c>
      <c r="X1060" s="131">
        <v>0.92</v>
      </c>
      <c r="Y1060" s="131">
        <v>0.945581896551724</v>
      </c>
      <c r="Z1060" s="131">
        <v>0.957382953181273</v>
      </c>
      <c r="AA1060" s="131">
        <v>0.964833759590793</v>
      </c>
      <c r="AB1060" s="131">
        <v>0.955911041747952</v>
      </c>
      <c r="AC1060" s="131">
        <v>0.92</v>
      </c>
      <c r="AD1060" s="129">
        <v>0.990819209039548</v>
      </c>
      <c r="AE1060" s="129">
        <v>0.994134897360704</v>
      </c>
      <c r="AF1060" s="129">
        <v>0.985822306238185</v>
      </c>
      <c r="AG1060" s="129">
        <v>0.98910095181733</v>
      </c>
      <c r="AH1060" s="131">
        <v>0.92</v>
      </c>
      <c r="AI1060" s="129">
        <v>0.960022844089092</v>
      </c>
      <c r="AJ1060" s="129">
        <v>0.969408740359897</v>
      </c>
      <c r="AK1060" s="129">
        <v>0.978157840511024</v>
      </c>
      <c r="AL1060" s="129">
        <v>0.973418254553111</v>
      </c>
      <c r="AM1060" s="128">
        <v>0.99</v>
      </c>
      <c r="AN1060" s="133">
        <v>1</v>
      </c>
      <c r="AO1060" s="133">
        <v>1</v>
      </c>
      <c r="AP1060" s="133">
        <v>1</v>
      </c>
      <c r="AQ1060" s="133">
        <v>1</v>
      </c>
      <c r="AR1060" s="153">
        <v>0.0721861525408278</v>
      </c>
      <c r="AS1060" s="137">
        <v>0</v>
      </c>
      <c r="AT1060" s="137">
        <v>0</v>
      </c>
      <c r="AU1060" s="137">
        <v>0</v>
      </c>
      <c r="AV1060" s="137">
        <v>0.0274725274725275</v>
      </c>
      <c r="AW1060" s="93"/>
      <c r="AX1060" s="91"/>
    </row>
    <row r="1061" ht="14.5" spans="1:50">
      <c r="A1061" s="89"/>
      <c r="B1061" s="93"/>
      <c r="C1061" s="148" t="s">
        <v>1080</v>
      </c>
      <c r="D1061" s="126" t="s">
        <v>1081</v>
      </c>
      <c r="E1061" s="186" t="s">
        <v>1086</v>
      </c>
      <c r="F1061" s="186" t="s">
        <v>1086</v>
      </c>
      <c r="G1061" s="186" t="s">
        <v>1086</v>
      </c>
      <c r="H1061" s="186" t="s">
        <v>1086</v>
      </c>
      <c r="I1061" s="128">
        <v>0.9</v>
      </c>
      <c r="J1061" s="129">
        <v>0.903846153846154</v>
      </c>
      <c r="K1061" s="129">
        <v>0.976190476190476</v>
      </c>
      <c r="L1061" s="130">
        <v>1</v>
      </c>
      <c r="M1061" s="129">
        <v>0.949090909090909</v>
      </c>
      <c r="N1061" s="131">
        <v>0.9</v>
      </c>
      <c r="O1061" s="129">
        <v>0.978912053678409</v>
      </c>
      <c r="P1061" s="129">
        <v>0.921940928270042</v>
      </c>
      <c r="Q1061" s="129">
        <v>0.979485847831732</v>
      </c>
      <c r="R1061" s="129">
        <v>0.971221049746471</v>
      </c>
      <c r="S1061" s="131">
        <v>0.9</v>
      </c>
      <c r="T1061" s="129">
        <v>0.926911095135394</v>
      </c>
      <c r="U1061" s="129">
        <v>0.850210970464135</v>
      </c>
      <c r="V1061" s="129">
        <v>0.897169566346404</v>
      </c>
      <c r="W1061" s="129">
        <v>0.913457585309031</v>
      </c>
      <c r="X1061" s="131">
        <v>0.92</v>
      </c>
      <c r="Y1061" s="131">
        <v>0.932835820895522</v>
      </c>
      <c r="Z1061" s="131">
        <v>0.920515574650913</v>
      </c>
      <c r="AA1061" s="131">
        <v>0.947117927022739</v>
      </c>
      <c r="AB1061" s="131">
        <v>0.938370335004376</v>
      </c>
      <c r="AC1061" s="131">
        <v>0.92</v>
      </c>
      <c r="AD1061" s="129">
        <v>0.938053097345133</v>
      </c>
      <c r="AE1061" s="129">
        <v>0.970292285577384</v>
      </c>
      <c r="AF1061" s="129">
        <v>0.996621621621622</v>
      </c>
      <c r="AG1061" s="129">
        <v>0.97630483509446</v>
      </c>
      <c r="AH1061" s="131">
        <v>0.92</v>
      </c>
      <c r="AI1061" s="129">
        <v>0.952255464269106</v>
      </c>
      <c r="AJ1061" s="129">
        <v>0.942626434339142</v>
      </c>
      <c r="AK1061" s="129">
        <v>0.967781260884709</v>
      </c>
      <c r="AL1061" s="129">
        <v>0.960481074729069</v>
      </c>
      <c r="AM1061" s="128">
        <v>0.99</v>
      </c>
      <c r="AN1061" s="133">
        <v>1</v>
      </c>
      <c r="AO1061" s="133">
        <v>1</v>
      </c>
      <c r="AP1061" s="133">
        <v>1</v>
      </c>
      <c r="AQ1061" s="133">
        <v>1</v>
      </c>
      <c r="AR1061" s="153">
        <v>0.0721861525408278</v>
      </c>
      <c r="AS1061" s="137">
        <v>0.0540540540540541</v>
      </c>
      <c r="AT1061" s="137">
        <v>0.0769230769230769</v>
      </c>
      <c r="AU1061" s="137">
        <v>0.0384615384615385</v>
      </c>
      <c r="AV1061" s="137">
        <v>0.0298507462686567</v>
      </c>
      <c r="AW1061" s="93"/>
      <c r="AX1061" s="91"/>
    </row>
    <row r="1062" ht="14.5" spans="1:50">
      <c r="A1062" s="89"/>
      <c r="B1062" s="93"/>
      <c r="C1062" s="148" t="s">
        <v>1080</v>
      </c>
      <c r="D1062" s="126" t="s">
        <v>1081</v>
      </c>
      <c r="E1062" s="186" t="s">
        <v>1087</v>
      </c>
      <c r="F1062" s="186" t="s">
        <v>1087</v>
      </c>
      <c r="G1062" s="186" t="s">
        <v>1087</v>
      </c>
      <c r="H1062" s="186" t="s">
        <v>1087</v>
      </c>
      <c r="I1062" s="128">
        <v>0.9</v>
      </c>
      <c r="J1062" s="129">
        <v>0.952380952380952</v>
      </c>
      <c r="K1062" s="129">
        <v>1</v>
      </c>
      <c r="L1062" s="130">
        <v>0.894736842105263</v>
      </c>
      <c r="M1062" s="129">
        <v>0.975103734439834</v>
      </c>
      <c r="N1062" s="131">
        <v>0.9</v>
      </c>
      <c r="O1062" s="129">
        <v>0.98390092879257</v>
      </c>
      <c r="P1062" s="129">
        <v>0.993076162215628</v>
      </c>
      <c r="Q1062" s="129">
        <v>0.917355371900826</v>
      </c>
      <c r="R1062" s="129">
        <v>0.967821928322607</v>
      </c>
      <c r="S1062" s="131">
        <v>0.9</v>
      </c>
      <c r="T1062" s="129">
        <v>0.942414860681115</v>
      </c>
      <c r="U1062" s="129">
        <v>0.95351137487636</v>
      </c>
      <c r="V1062" s="129">
        <v>0.929434202161475</v>
      </c>
      <c r="W1062" s="129">
        <v>0.946979984648993</v>
      </c>
      <c r="X1062" s="131">
        <v>0.92</v>
      </c>
      <c r="Y1062" s="131">
        <v>0.967082860385925</v>
      </c>
      <c r="Z1062" s="131">
        <v>0.966952264381885</v>
      </c>
      <c r="AA1062" s="131">
        <v>0.951824817518248</v>
      </c>
      <c r="AB1062" s="131">
        <v>0.962409886714727</v>
      </c>
      <c r="AC1062" s="131">
        <v>0.92</v>
      </c>
      <c r="AD1062" s="129">
        <v>1</v>
      </c>
      <c r="AE1062" s="129">
        <v>1</v>
      </c>
      <c r="AF1062" s="129">
        <v>1</v>
      </c>
      <c r="AG1062" s="129">
        <v>0.98139880952381</v>
      </c>
      <c r="AH1062" s="131">
        <v>0.92</v>
      </c>
      <c r="AI1062" s="129">
        <v>0.975560897435897</v>
      </c>
      <c r="AJ1062" s="129">
        <v>0.981400437636761</v>
      </c>
      <c r="AK1062" s="129">
        <v>0.977856510186005</v>
      </c>
      <c r="AL1062" s="129">
        <v>0.978348968105066</v>
      </c>
      <c r="AM1062" s="128">
        <v>0.99</v>
      </c>
      <c r="AN1062" s="133">
        <v>1</v>
      </c>
      <c r="AO1062" s="133">
        <v>1</v>
      </c>
      <c r="AP1062" s="133">
        <v>1</v>
      </c>
      <c r="AQ1062" s="133">
        <v>1</v>
      </c>
      <c r="AR1062" s="153">
        <v>0.0721861525408278</v>
      </c>
      <c r="AS1062" s="137">
        <v>0</v>
      </c>
      <c r="AT1062" s="137">
        <v>0</v>
      </c>
      <c r="AU1062" s="137">
        <v>0</v>
      </c>
      <c r="AV1062" s="137">
        <v>0.0208333333333333</v>
      </c>
      <c r="AW1062" s="93"/>
      <c r="AX1062" s="91"/>
    </row>
    <row r="1063" ht="14.5" spans="1:50">
      <c r="A1063" s="89"/>
      <c r="B1063" s="93"/>
      <c r="C1063" s="148" t="s">
        <v>1080</v>
      </c>
      <c r="D1063" s="126" t="s">
        <v>1081</v>
      </c>
      <c r="E1063" s="186" t="s">
        <v>1088</v>
      </c>
      <c r="F1063" s="186" t="s">
        <v>1088</v>
      </c>
      <c r="G1063" s="186" t="s">
        <v>1088</v>
      </c>
      <c r="H1063" s="186" t="s">
        <v>1088</v>
      </c>
      <c r="I1063" s="128">
        <v>0.9</v>
      </c>
      <c r="J1063" s="129">
        <v>0.9375</v>
      </c>
      <c r="K1063" s="129">
        <v>0.972222222222222</v>
      </c>
      <c r="L1063" s="130">
        <v>0.909090909090909</v>
      </c>
      <c r="M1063" s="129">
        <v>0.958174904942966</v>
      </c>
      <c r="N1063" s="131">
        <v>0.9</v>
      </c>
      <c r="O1063" s="129">
        <v>0.914975105323631</v>
      </c>
      <c r="P1063" s="129">
        <v>0.973844282238443</v>
      </c>
      <c r="Q1063" s="129">
        <v>0.983299389002037</v>
      </c>
      <c r="R1063" s="129">
        <v>0.94374484671314</v>
      </c>
      <c r="S1063" s="131">
        <v>0.9</v>
      </c>
      <c r="T1063" s="129">
        <v>0.928379931060896</v>
      </c>
      <c r="U1063" s="129">
        <v>0.91970802919708</v>
      </c>
      <c r="V1063" s="129">
        <v>0.930753564154786</v>
      </c>
      <c r="W1063" s="129">
        <v>0.907877970167154</v>
      </c>
      <c r="X1063" s="131">
        <v>0.92</v>
      </c>
      <c r="Y1063" s="131">
        <v>0.970238095238095</v>
      </c>
      <c r="Z1063" s="131">
        <v>0.964430072756669</v>
      </c>
      <c r="AA1063" s="131">
        <v>0.966985230234579</v>
      </c>
      <c r="AB1063" s="131">
        <v>0.97628537265843</v>
      </c>
      <c r="AC1063" s="131">
        <v>0.92</v>
      </c>
      <c r="AD1063" s="129">
        <v>0.9925</v>
      </c>
      <c r="AE1063" s="129">
        <v>0.937086092715232</v>
      </c>
      <c r="AF1063" s="129">
        <v>0.953068592057762</v>
      </c>
      <c r="AG1063" s="129">
        <v>0.961434791623471</v>
      </c>
      <c r="AH1063" s="131">
        <v>0.92</v>
      </c>
      <c r="AI1063" s="129">
        <v>0.978508217446271</v>
      </c>
      <c r="AJ1063" s="129">
        <v>0.978826796251302</v>
      </c>
      <c r="AK1063" s="129">
        <v>0.981974486966168</v>
      </c>
      <c r="AL1063" s="129">
        <v>0.984437751004016</v>
      </c>
      <c r="AM1063" s="128">
        <v>0.99</v>
      </c>
      <c r="AN1063" s="133">
        <v>1</v>
      </c>
      <c r="AO1063" s="133">
        <v>1</v>
      </c>
      <c r="AP1063" s="133">
        <v>1</v>
      </c>
      <c r="AQ1063" s="133">
        <v>1</v>
      </c>
      <c r="AR1063" s="153">
        <v>0.0721861525408278</v>
      </c>
      <c r="AS1063" s="137">
        <v>0.125</v>
      </c>
      <c r="AT1063" s="137">
        <v>0</v>
      </c>
      <c r="AU1063" s="137">
        <v>0.0833333333333333</v>
      </c>
      <c r="AV1063" s="137">
        <v>0.0227272727272727</v>
      </c>
      <c r="AW1063" s="93"/>
      <c r="AX1063" s="91"/>
    </row>
    <row r="1064" ht="14.5" spans="1:50">
      <c r="A1064" s="89"/>
      <c r="B1064" s="93"/>
      <c r="C1064" s="148" t="s">
        <v>1080</v>
      </c>
      <c r="D1064" s="126" t="s">
        <v>1081</v>
      </c>
      <c r="E1064" s="186" t="s">
        <v>1089</v>
      </c>
      <c r="F1064" s="186" t="s">
        <v>1089</v>
      </c>
      <c r="G1064" s="186" t="s">
        <v>1089</v>
      </c>
      <c r="H1064" s="186" t="s">
        <v>1089</v>
      </c>
      <c r="I1064" s="128">
        <v>0.9</v>
      </c>
      <c r="J1064" s="129">
        <v>0.928571428571429</v>
      </c>
      <c r="K1064" s="129">
        <v>0.855072463768116</v>
      </c>
      <c r="L1064" s="130">
        <v>0.891891891891892</v>
      </c>
      <c r="M1064" s="129">
        <v>0.880258899676375</v>
      </c>
      <c r="N1064" s="131">
        <v>0.9</v>
      </c>
      <c r="O1064" s="129">
        <v>0.962777916562578</v>
      </c>
      <c r="P1064" s="129">
        <v>0.953321364452424</v>
      </c>
      <c r="Q1064" s="129">
        <v>0.924472465259907</v>
      </c>
      <c r="R1064" s="129">
        <v>0.956729040266354</v>
      </c>
      <c r="S1064" s="131">
        <v>0.9</v>
      </c>
      <c r="T1064" s="129">
        <v>0.818011491381464</v>
      </c>
      <c r="U1064" s="129">
        <v>0.831956912028725</v>
      </c>
      <c r="V1064" s="129">
        <v>0.766212043232115</v>
      </c>
      <c r="W1064" s="129">
        <v>0.80630155102609</v>
      </c>
      <c r="X1064" s="131">
        <v>0.92</v>
      </c>
      <c r="Y1064" s="131" t="s">
        <v>33</v>
      </c>
      <c r="Z1064" s="131">
        <v>0.142857142857143</v>
      </c>
      <c r="AA1064" s="131" t="s">
        <v>33</v>
      </c>
      <c r="AB1064" s="131">
        <v>0.4</v>
      </c>
      <c r="AC1064" s="131">
        <v>0.92</v>
      </c>
      <c r="AD1064" s="129">
        <v>0.99914089347079</v>
      </c>
      <c r="AE1064" s="129">
        <v>0.995218002812939</v>
      </c>
      <c r="AF1064" s="129">
        <v>0.99448751076658</v>
      </c>
      <c r="AG1064" s="129">
        <v>0.865523321045039</v>
      </c>
      <c r="AH1064" s="131">
        <v>0.92</v>
      </c>
      <c r="AI1064" s="129">
        <v>0.954534099425431</v>
      </c>
      <c r="AJ1064" s="129">
        <v>0.938856015779093</v>
      </c>
      <c r="AK1064" s="129">
        <v>0.945059186824498</v>
      </c>
      <c r="AL1064" s="129">
        <v>0.95171149853267</v>
      </c>
      <c r="AM1064" s="128">
        <v>0.99</v>
      </c>
      <c r="AN1064" s="133">
        <v>1</v>
      </c>
      <c r="AO1064" s="133">
        <v>1</v>
      </c>
      <c r="AP1064" s="133">
        <v>1</v>
      </c>
      <c r="AQ1064" s="133">
        <v>1</v>
      </c>
      <c r="AR1064" s="153">
        <v>0.0721861525408278</v>
      </c>
      <c r="AS1064" s="137">
        <v>0</v>
      </c>
      <c r="AT1064" s="137">
        <v>0.0526315789473684</v>
      </c>
      <c r="AU1064" s="137">
        <v>0</v>
      </c>
      <c r="AV1064" s="137">
        <v>0.0428571428571429</v>
      </c>
      <c r="AW1064" s="93"/>
      <c r="AX1064" s="91"/>
    </row>
    <row r="1065" ht="14.5" spans="1:50">
      <c r="A1065" s="89"/>
      <c r="B1065" s="93"/>
      <c r="C1065" s="148" t="s">
        <v>1080</v>
      </c>
      <c r="D1065" s="126" t="s">
        <v>1081</v>
      </c>
      <c r="E1065" s="186" t="s">
        <v>1090</v>
      </c>
      <c r="F1065" s="186" t="s">
        <v>1090</v>
      </c>
      <c r="G1065" s="186" t="s">
        <v>1090</v>
      </c>
      <c r="H1065" s="186" t="s">
        <v>1090</v>
      </c>
      <c r="I1065" s="128">
        <v>0.9</v>
      </c>
      <c r="J1065" s="129">
        <v>0.978723404255319</v>
      </c>
      <c r="K1065" s="129">
        <v>1</v>
      </c>
      <c r="L1065" s="130">
        <v>0.957446808510638</v>
      </c>
      <c r="M1065" s="129">
        <v>0.973021582733813</v>
      </c>
      <c r="N1065" s="131">
        <v>0.9</v>
      </c>
      <c r="O1065" s="129">
        <v>0.968571428571429</v>
      </c>
      <c r="P1065" s="129">
        <v>0.898311048557354</v>
      </c>
      <c r="Q1065" s="129">
        <v>0.978514108206057</v>
      </c>
      <c r="R1065" s="129">
        <v>0.96771712274486</v>
      </c>
      <c r="S1065" s="131">
        <v>0.9</v>
      </c>
      <c r="T1065" s="129">
        <v>0.943809523809524</v>
      </c>
      <c r="U1065" s="129">
        <v>0.949331456720619</v>
      </c>
      <c r="V1065" s="129">
        <v>0.949521097592545</v>
      </c>
      <c r="W1065" s="129">
        <v>0.952566313924759</v>
      </c>
      <c r="X1065" s="131">
        <v>0.92</v>
      </c>
      <c r="Y1065" s="131">
        <v>0.958715596330275</v>
      </c>
      <c r="Z1065" s="131">
        <v>0.949400104329682</v>
      </c>
      <c r="AA1065" s="131">
        <v>0.952769679300292</v>
      </c>
      <c r="AB1065" s="131">
        <v>0.960582548441973</v>
      </c>
      <c r="AC1065" s="131">
        <v>0.92</v>
      </c>
      <c r="AD1065" s="129">
        <v>0.989771359807461</v>
      </c>
      <c r="AE1065" s="129">
        <v>0.976374036309376</v>
      </c>
      <c r="AF1065" s="129">
        <v>0.98135593220339</v>
      </c>
      <c r="AG1065" s="129">
        <v>0.991715799686544</v>
      </c>
      <c r="AH1065" s="131">
        <v>0.92</v>
      </c>
      <c r="AI1065" s="129">
        <v>0.973358407773076</v>
      </c>
      <c r="AJ1065" s="129">
        <v>0.968487394957983</v>
      </c>
      <c r="AK1065" s="129">
        <v>0.97561850125493</v>
      </c>
      <c r="AL1065" s="129">
        <v>0.977107894344128</v>
      </c>
      <c r="AM1065" s="128">
        <v>0.99</v>
      </c>
      <c r="AN1065" s="133">
        <v>1</v>
      </c>
      <c r="AO1065" s="133">
        <v>1</v>
      </c>
      <c r="AP1065" s="133">
        <v>1</v>
      </c>
      <c r="AQ1065" s="133">
        <v>1</v>
      </c>
      <c r="AR1065" s="153">
        <v>0.0721861525408278</v>
      </c>
      <c r="AS1065" s="137">
        <v>0</v>
      </c>
      <c r="AT1065" s="137">
        <v>0.00309597523219814</v>
      </c>
      <c r="AU1065" s="137">
        <v>0.00662251655629139</v>
      </c>
      <c r="AV1065" s="137">
        <v>0.00336813742000674</v>
      </c>
      <c r="AW1065" s="93"/>
      <c r="AX1065" s="91"/>
    </row>
    <row r="1066" ht="14.5" spans="1:50">
      <c r="A1066" s="89"/>
      <c r="B1066" s="93"/>
      <c r="C1066" s="148" t="s">
        <v>1080</v>
      </c>
      <c r="D1066" s="126" t="s">
        <v>1081</v>
      </c>
      <c r="E1066" s="186" t="s">
        <v>1091</v>
      </c>
      <c r="F1066" s="186" t="s">
        <v>1091</v>
      </c>
      <c r="G1066" s="186" t="s">
        <v>1091</v>
      </c>
      <c r="H1066" s="186" t="s">
        <v>1091</v>
      </c>
      <c r="I1066" s="128">
        <v>0.9</v>
      </c>
      <c r="J1066" s="129">
        <v>0.891304347826087</v>
      </c>
      <c r="K1066" s="129">
        <v>0.852941176470588</v>
      </c>
      <c r="L1066" s="130">
        <v>0.921052631578947</v>
      </c>
      <c r="M1066" s="129">
        <v>0.891393442622951</v>
      </c>
      <c r="N1066" s="131">
        <v>0.9</v>
      </c>
      <c r="O1066" s="129">
        <v>0.952747637381869</v>
      </c>
      <c r="P1066" s="129">
        <v>0.982969664715274</v>
      </c>
      <c r="Q1066" s="129">
        <v>0.982540861812779</v>
      </c>
      <c r="R1066" s="129">
        <v>0.961369027448323</v>
      </c>
      <c r="S1066" s="131">
        <v>0.9</v>
      </c>
      <c r="T1066" s="129">
        <v>0.92229611480574</v>
      </c>
      <c r="U1066" s="129">
        <v>0.941458222458755</v>
      </c>
      <c r="V1066" s="129">
        <v>0.921248142644874</v>
      </c>
      <c r="W1066" s="129">
        <v>0.927922738054897</v>
      </c>
      <c r="X1066" s="131">
        <v>0.92</v>
      </c>
      <c r="Y1066" s="131">
        <v>0.949463044851548</v>
      </c>
      <c r="Z1066" s="131">
        <v>0.944731024318349</v>
      </c>
      <c r="AA1066" s="131">
        <v>0.941278065630397</v>
      </c>
      <c r="AB1066" s="131">
        <v>0.95</v>
      </c>
      <c r="AC1066" s="131">
        <v>0.92</v>
      </c>
      <c r="AD1066" s="129">
        <v>0.958904109589041</v>
      </c>
      <c r="AE1066" s="129">
        <v>0.974489795918367</v>
      </c>
      <c r="AF1066" s="129">
        <v>0.929577464788732</v>
      </c>
      <c r="AG1066" s="129">
        <v>0.948448448448448</v>
      </c>
      <c r="AH1066" s="131">
        <v>0.92</v>
      </c>
      <c r="AI1066" s="129">
        <v>0.970945945945946</v>
      </c>
      <c r="AJ1066" s="129">
        <v>0.967552533992583</v>
      </c>
      <c r="AK1066" s="129">
        <v>0.971688311688312</v>
      </c>
      <c r="AL1066" s="129">
        <v>0.973247033441208</v>
      </c>
      <c r="AM1066" s="128">
        <v>0.99</v>
      </c>
      <c r="AN1066" s="133">
        <v>1</v>
      </c>
      <c r="AO1066" s="133">
        <v>1</v>
      </c>
      <c r="AP1066" s="133">
        <v>1</v>
      </c>
      <c r="AQ1066" s="133">
        <v>1</v>
      </c>
      <c r="AR1066" s="153">
        <v>0.0721861525408278</v>
      </c>
      <c r="AS1066" s="137">
        <v>0</v>
      </c>
      <c r="AT1066" s="137">
        <v>0.1</v>
      </c>
      <c r="AU1066" s="137">
        <v>0</v>
      </c>
      <c r="AV1066" s="137">
        <v>0.0481927710843374</v>
      </c>
      <c r="AW1066" s="93"/>
      <c r="AX1066" s="91"/>
    </row>
    <row r="1067" ht="14.5" spans="1:50">
      <c r="A1067" s="89"/>
      <c r="B1067" s="93"/>
      <c r="C1067" s="148" t="s">
        <v>1080</v>
      </c>
      <c r="D1067" s="126" t="s">
        <v>1081</v>
      </c>
      <c r="E1067" s="186" t="s">
        <v>1092</v>
      </c>
      <c r="F1067" s="186" t="s">
        <v>1092</v>
      </c>
      <c r="G1067" s="186" t="s">
        <v>1092</v>
      </c>
      <c r="H1067" s="186" t="s">
        <v>1092</v>
      </c>
      <c r="I1067" s="128">
        <v>0.9</v>
      </c>
      <c r="J1067" s="129">
        <v>0.925</v>
      </c>
      <c r="K1067" s="129">
        <v>0.975</v>
      </c>
      <c r="L1067" s="130">
        <v>1</v>
      </c>
      <c r="M1067" s="129">
        <v>0.962732919254658</v>
      </c>
      <c r="N1067" s="131">
        <v>0.9</v>
      </c>
      <c r="O1067" s="129">
        <v>0.979267449896337</v>
      </c>
      <c r="P1067" s="129">
        <v>0.980720446473871</v>
      </c>
      <c r="Q1067" s="129">
        <v>0.979870351415899</v>
      </c>
      <c r="R1067" s="129">
        <v>0.980924079754601</v>
      </c>
      <c r="S1067" s="131">
        <v>0.9</v>
      </c>
      <c r="T1067" s="129">
        <v>0.936420179682101</v>
      </c>
      <c r="U1067" s="129">
        <v>0.951293759512938</v>
      </c>
      <c r="V1067" s="129">
        <v>0.938246332309792</v>
      </c>
      <c r="W1067" s="129">
        <v>0.9421331799591</v>
      </c>
      <c r="X1067" s="131">
        <v>0.92</v>
      </c>
      <c r="Y1067" s="131">
        <v>0.94841735052755</v>
      </c>
      <c r="Z1067" s="131">
        <v>0.968590211833455</v>
      </c>
      <c r="AA1067" s="131">
        <v>0.96117900790798</v>
      </c>
      <c r="AB1067" s="131">
        <v>0.957729793764472</v>
      </c>
      <c r="AC1067" s="131">
        <v>0.92</v>
      </c>
      <c r="AD1067" s="129">
        <v>0.997526793075021</v>
      </c>
      <c r="AE1067" s="129">
        <v>0.998320268756999</v>
      </c>
      <c r="AF1067" s="129">
        <v>0.985915492957746</v>
      </c>
      <c r="AG1067" s="129">
        <v>0.9956230104593</v>
      </c>
      <c r="AH1067" s="131">
        <v>0.92</v>
      </c>
      <c r="AI1067" s="129">
        <v>0.967826086956522</v>
      </c>
      <c r="AJ1067" s="129">
        <v>0.973952095808383</v>
      </c>
      <c r="AK1067" s="129">
        <v>0.974780194354466</v>
      </c>
      <c r="AL1067" s="129">
        <v>0.97371533973575</v>
      </c>
      <c r="AM1067" s="128">
        <v>0.99</v>
      </c>
      <c r="AN1067" s="133">
        <v>1</v>
      </c>
      <c r="AO1067" s="133">
        <v>1</v>
      </c>
      <c r="AP1067" s="133">
        <v>1</v>
      </c>
      <c r="AQ1067" s="133">
        <v>1</v>
      </c>
      <c r="AR1067" s="153">
        <v>0.0721861525408278</v>
      </c>
      <c r="AS1067" s="137">
        <v>0.05</v>
      </c>
      <c r="AT1067" s="137">
        <v>0</v>
      </c>
      <c r="AU1067" s="137">
        <v>0.0909090909090909</v>
      </c>
      <c r="AV1067" s="137">
        <v>0.0392156862745098</v>
      </c>
      <c r="AW1067" s="93"/>
      <c r="AX1067" s="91"/>
    </row>
    <row r="1068" ht="14.5" spans="1:50">
      <c r="A1068" s="89"/>
      <c r="B1068" s="93"/>
      <c r="C1068" s="148" t="s">
        <v>1080</v>
      </c>
      <c r="D1068" s="126" t="s">
        <v>1081</v>
      </c>
      <c r="E1068" s="186" t="s">
        <v>1093</v>
      </c>
      <c r="F1068" s="186" t="s">
        <v>1093</v>
      </c>
      <c r="G1068" s="186" t="s">
        <v>1093</v>
      </c>
      <c r="H1068" s="186" t="s">
        <v>1093</v>
      </c>
      <c r="I1068" s="128">
        <v>0.9</v>
      </c>
      <c r="J1068" s="129">
        <v>0.928571428571429</v>
      </c>
      <c r="K1068" s="129">
        <v>0.959183673469388</v>
      </c>
      <c r="L1068" s="130">
        <v>0.981132075471698</v>
      </c>
      <c r="M1068" s="129">
        <v>0.925531914893617</v>
      </c>
      <c r="N1068" s="131">
        <v>0.9</v>
      </c>
      <c r="O1068" s="129">
        <v>0.981812760882528</v>
      </c>
      <c r="P1068" s="129">
        <v>0.988710377768129</v>
      </c>
      <c r="Q1068" s="129">
        <v>0.983796296296296</v>
      </c>
      <c r="R1068" s="129">
        <v>0.980053650633449</v>
      </c>
      <c r="S1068" s="131">
        <v>0.9</v>
      </c>
      <c r="T1068" s="129">
        <v>0.936791890280262</v>
      </c>
      <c r="U1068" s="129">
        <v>0.936170212765957</v>
      </c>
      <c r="V1068" s="129">
        <v>0.948206018518518</v>
      </c>
      <c r="W1068" s="129">
        <v>0.939390720033996</v>
      </c>
      <c r="X1068" s="131">
        <v>0.92</v>
      </c>
      <c r="Y1068" s="131">
        <v>0.958268127282212</v>
      </c>
      <c r="Z1068" s="131">
        <v>0.956017104459377</v>
      </c>
      <c r="AA1068" s="131">
        <v>0.954514596062458</v>
      </c>
      <c r="AB1068" s="131">
        <v>0.961244643189864</v>
      </c>
      <c r="AC1068" s="131">
        <v>0.92</v>
      </c>
      <c r="AD1068" s="129">
        <v>1</v>
      </c>
      <c r="AE1068" s="129">
        <v>0.99846331156358</v>
      </c>
      <c r="AF1068" s="129">
        <v>0.986111111111111</v>
      </c>
      <c r="AG1068" s="129">
        <v>0.996988842586369</v>
      </c>
      <c r="AH1068" s="131">
        <v>0.92</v>
      </c>
      <c r="AI1068" s="129">
        <v>0.976664769493455</v>
      </c>
      <c r="AJ1068" s="129">
        <v>0.972335025380711</v>
      </c>
      <c r="AK1068" s="129">
        <v>0.980320551836072</v>
      </c>
      <c r="AL1068" s="129">
        <v>0.978553548474393</v>
      </c>
      <c r="AM1068" s="128">
        <v>0.99</v>
      </c>
      <c r="AN1068" s="133">
        <v>1</v>
      </c>
      <c r="AO1068" s="133">
        <v>1</v>
      </c>
      <c r="AP1068" s="133">
        <v>1</v>
      </c>
      <c r="AQ1068" s="133">
        <v>1</v>
      </c>
      <c r="AR1068" s="153">
        <v>0.0721861525408278</v>
      </c>
      <c r="AS1068" s="137">
        <v>0.0769230769230769</v>
      </c>
      <c r="AT1068" s="137">
        <v>0</v>
      </c>
      <c r="AU1068" s="137">
        <v>0.0555555555555556</v>
      </c>
      <c r="AV1068" s="137">
        <v>0.0260416666666667</v>
      </c>
      <c r="AW1068" s="93"/>
      <c r="AX1068" s="91"/>
    </row>
    <row r="1069" ht="14.5" spans="1:50">
      <c r="A1069" s="89"/>
      <c r="B1069" s="93"/>
      <c r="C1069" s="148" t="s">
        <v>1080</v>
      </c>
      <c r="D1069" s="126" t="s">
        <v>1081</v>
      </c>
      <c r="E1069" s="186" t="s">
        <v>1094</v>
      </c>
      <c r="F1069" s="186" t="s">
        <v>1094</v>
      </c>
      <c r="G1069" s="186" t="s">
        <v>1094</v>
      </c>
      <c r="H1069" s="186" t="s">
        <v>1094</v>
      </c>
      <c r="I1069" s="128">
        <v>0.9</v>
      </c>
      <c r="J1069" s="129">
        <v>0.875</v>
      </c>
      <c r="K1069" s="129">
        <v>0.892857142857143</v>
      </c>
      <c r="L1069" s="130">
        <v>0.875</v>
      </c>
      <c r="M1069" s="129">
        <v>0.871232876712329</v>
      </c>
      <c r="N1069" s="131">
        <v>0.9</v>
      </c>
      <c r="O1069" s="129">
        <v>0.968011126564673</v>
      </c>
      <c r="P1069" s="129">
        <v>0.871305418719212</v>
      </c>
      <c r="Q1069" s="129">
        <v>0.964104924068109</v>
      </c>
      <c r="R1069" s="129">
        <v>0.957357056342146</v>
      </c>
      <c r="S1069" s="131">
        <v>0.9</v>
      </c>
      <c r="T1069" s="129">
        <v>0.941585535465925</v>
      </c>
      <c r="U1069" s="129">
        <v>0.961206896551724</v>
      </c>
      <c r="V1069" s="129">
        <v>0.952139898757478</v>
      </c>
      <c r="W1069" s="129">
        <v>0.937476506703421</v>
      </c>
      <c r="X1069" s="131">
        <v>0.92</v>
      </c>
      <c r="Y1069" s="131">
        <v>0.948517940717629</v>
      </c>
      <c r="Z1069" s="131">
        <v>0.945672191528545</v>
      </c>
      <c r="AA1069" s="131">
        <v>0.943844492440605</v>
      </c>
      <c r="AB1069" s="131">
        <v>0.945410698626133</v>
      </c>
      <c r="AC1069" s="131">
        <v>0.92</v>
      </c>
      <c r="AD1069" s="129">
        <v>0.982317356910191</v>
      </c>
      <c r="AE1069" s="129">
        <v>0.510759919300605</v>
      </c>
      <c r="AF1069" s="129">
        <v>0.465942221044262</v>
      </c>
      <c r="AG1069" s="129">
        <v>0.781454110576186</v>
      </c>
      <c r="AH1069" s="131">
        <v>0.92</v>
      </c>
      <c r="AI1069" s="129">
        <v>0.969758650770573</v>
      </c>
      <c r="AJ1069" s="129">
        <v>0.968265682656827</v>
      </c>
      <c r="AK1069" s="129">
        <v>0.973217166828009</v>
      </c>
      <c r="AL1069" s="129">
        <v>0.970456175775127</v>
      </c>
      <c r="AM1069" s="128">
        <v>0.99</v>
      </c>
      <c r="AN1069" s="133">
        <v>1</v>
      </c>
      <c r="AO1069" s="133">
        <v>1</v>
      </c>
      <c r="AP1069" s="133">
        <v>1</v>
      </c>
      <c r="AQ1069" s="133">
        <v>1</v>
      </c>
      <c r="AR1069" s="153">
        <v>0.0721861525408278</v>
      </c>
      <c r="AS1069" s="137">
        <v>0</v>
      </c>
      <c r="AT1069" s="137">
        <v>0</v>
      </c>
      <c r="AU1069" s="137">
        <v>0</v>
      </c>
      <c r="AV1069" s="137">
        <v>0.0227272727272727</v>
      </c>
      <c r="AW1069" s="93"/>
      <c r="AX1069" s="91"/>
    </row>
    <row r="1070" ht="14.5" spans="1:50">
      <c r="A1070" s="89"/>
      <c r="B1070" s="93"/>
      <c r="C1070" s="148" t="s">
        <v>1080</v>
      </c>
      <c r="D1070" s="126" t="s">
        <v>1081</v>
      </c>
      <c r="E1070" s="186" t="s">
        <v>1095</v>
      </c>
      <c r="F1070" s="186" t="s">
        <v>1095</v>
      </c>
      <c r="G1070" s="186" t="s">
        <v>1095</v>
      </c>
      <c r="H1070" s="186" t="s">
        <v>1095</v>
      </c>
      <c r="I1070" s="128">
        <v>0.9</v>
      </c>
      <c r="J1070" s="129">
        <v>1</v>
      </c>
      <c r="K1070" s="129">
        <v>1</v>
      </c>
      <c r="L1070" s="130">
        <v>1</v>
      </c>
      <c r="M1070" s="129">
        <v>0.99249530956848</v>
      </c>
      <c r="N1070" s="131">
        <v>0.9</v>
      </c>
      <c r="O1070" s="129">
        <v>0.983028720626632</v>
      </c>
      <c r="P1070" s="129">
        <v>0.977639105564223</v>
      </c>
      <c r="Q1070" s="129">
        <v>0.971751412429379</v>
      </c>
      <c r="R1070" s="129">
        <v>0.981695085255767</v>
      </c>
      <c r="S1070" s="131">
        <v>0.9</v>
      </c>
      <c r="T1070" s="129">
        <v>0.941906005221932</v>
      </c>
      <c r="U1070" s="129">
        <v>0.956838273530941</v>
      </c>
      <c r="V1070" s="129">
        <v>0.955134596211366</v>
      </c>
      <c r="W1070" s="129">
        <v>0.959221414242728</v>
      </c>
      <c r="X1070" s="131">
        <v>0.92</v>
      </c>
      <c r="Y1070" s="131">
        <v>0.956574923547401</v>
      </c>
      <c r="Z1070" s="131">
        <v>0.971305595408895</v>
      </c>
      <c r="AA1070" s="131">
        <v>0.919583023082651</v>
      </c>
      <c r="AB1070" s="131">
        <v>0.967536040497414</v>
      </c>
      <c r="AC1070" s="131">
        <v>0.92</v>
      </c>
      <c r="AD1070" s="129">
        <v>0.994623655913978</v>
      </c>
      <c r="AE1070" s="129">
        <v>0.998016856717898</v>
      </c>
      <c r="AF1070" s="129">
        <v>0.98205312275664</v>
      </c>
      <c r="AG1070" s="129">
        <v>0.995144216762164</v>
      </c>
      <c r="AH1070" s="131">
        <v>0.92</v>
      </c>
      <c r="AI1070" s="129">
        <v>0.974037029155139</v>
      </c>
      <c r="AJ1070" s="129">
        <v>0.982212842930359</v>
      </c>
      <c r="AK1070" s="129">
        <v>0.968520220588235</v>
      </c>
      <c r="AL1070" s="129">
        <v>0.982168886404025</v>
      </c>
      <c r="AM1070" s="128">
        <v>0.99</v>
      </c>
      <c r="AN1070" s="133">
        <v>1</v>
      </c>
      <c r="AO1070" s="133">
        <v>1</v>
      </c>
      <c r="AP1070" s="133">
        <v>1</v>
      </c>
      <c r="AQ1070" s="133">
        <v>1</v>
      </c>
      <c r="AR1070" s="153">
        <v>0.0721861525408278</v>
      </c>
      <c r="AS1070" s="137">
        <v>0.0227272727272727</v>
      </c>
      <c r="AT1070" s="137">
        <v>0</v>
      </c>
      <c r="AU1070" s="137">
        <v>0.02</v>
      </c>
      <c r="AV1070" s="137">
        <v>0.00898203592814371</v>
      </c>
      <c r="AW1070" s="93"/>
      <c r="AX1070" s="91"/>
    </row>
    <row r="1071" ht="14.5" spans="1:50">
      <c r="A1071" s="89"/>
      <c r="B1071" s="93"/>
      <c r="C1071" s="148" t="s">
        <v>1080</v>
      </c>
      <c r="D1071" s="126" t="s">
        <v>1081</v>
      </c>
      <c r="E1071" s="186" t="s">
        <v>1096</v>
      </c>
      <c r="F1071" s="186" t="s">
        <v>1096</v>
      </c>
      <c r="G1071" s="186" t="s">
        <v>1096</v>
      </c>
      <c r="H1071" s="186" t="s">
        <v>1096</v>
      </c>
      <c r="I1071" s="128">
        <v>0.9</v>
      </c>
      <c r="J1071" s="129">
        <v>0.91304347826087</v>
      </c>
      <c r="K1071" s="129">
        <v>1</v>
      </c>
      <c r="L1071" s="130">
        <v>1</v>
      </c>
      <c r="M1071" s="129">
        <v>0.919847328244275</v>
      </c>
      <c r="N1071" s="131">
        <v>0.9</v>
      </c>
      <c r="O1071" s="129">
        <v>0.966887417218543</v>
      </c>
      <c r="P1071" s="129">
        <v>0.961925287356322</v>
      </c>
      <c r="Q1071" s="129">
        <v>0.977562468128506</v>
      </c>
      <c r="R1071" s="129">
        <v>0.955555555555556</v>
      </c>
      <c r="S1071" s="131">
        <v>0.9</v>
      </c>
      <c r="T1071" s="129">
        <v>0.934793683138054</v>
      </c>
      <c r="U1071" s="129">
        <v>0.933189655172414</v>
      </c>
      <c r="V1071" s="129">
        <v>0.924528301886792</v>
      </c>
      <c r="W1071" s="129">
        <v>0.932093466857415</v>
      </c>
      <c r="X1071" s="131">
        <v>0.92</v>
      </c>
      <c r="Y1071" s="131">
        <v>0.949579831932773</v>
      </c>
      <c r="Z1071" s="131">
        <v>0.966666666666667</v>
      </c>
      <c r="AA1071" s="131">
        <v>0.856492027334852</v>
      </c>
      <c r="AB1071" s="131">
        <v>0.952952788287547</v>
      </c>
      <c r="AC1071" s="131">
        <v>0.92</v>
      </c>
      <c r="AD1071" s="129">
        <v>0.973262032085562</v>
      </c>
      <c r="AE1071" s="129">
        <v>0.988919667590028</v>
      </c>
      <c r="AF1071" s="129">
        <v>0.998188405797101</v>
      </c>
      <c r="AG1071" s="129">
        <v>0.961783439490446</v>
      </c>
      <c r="AH1071" s="131">
        <v>0.92</v>
      </c>
      <c r="AI1071" s="129">
        <v>0.9686013320647</v>
      </c>
      <c r="AJ1071" s="129">
        <v>0.976248976248976</v>
      </c>
      <c r="AK1071" s="129">
        <v>0.945051074321944</v>
      </c>
      <c r="AL1071" s="129">
        <v>0.975339571385451</v>
      </c>
      <c r="AM1071" s="128">
        <v>0.99</v>
      </c>
      <c r="AN1071" s="133">
        <v>1</v>
      </c>
      <c r="AO1071" s="133">
        <v>1</v>
      </c>
      <c r="AP1071" s="133">
        <v>1</v>
      </c>
      <c r="AQ1071" s="133">
        <v>1</v>
      </c>
      <c r="AR1071" s="153">
        <v>0.0721861525408278</v>
      </c>
      <c r="AS1071" s="137">
        <v>0</v>
      </c>
      <c r="AT1071" s="137">
        <v>0.25</v>
      </c>
      <c r="AU1071" s="137">
        <v>0</v>
      </c>
      <c r="AV1071" s="137">
        <v>0.0652173913043478</v>
      </c>
      <c r="AW1071" s="93"/>
      <c r="AX1071" s="91"/>
    </row>
    <row r="1072" ht="14.5" spans="1:50">
      <c r="A1072" s="89"/>
      <c r="B1072" s="93"/>
      <c r="C1072" s="148" t="s">
        <v>1080</v>
      </c>
      <c r="D1072" s="126" t="s">
        <v>1081</v>
      </c>
      <c r="E1072" s="186" t="s">
        <v>1097</v>
      </c>
      <c r="F1072" s="186" t="s">
        <v>1097</v>
      </c>
      <c r="G1072" s="186" t="s">
        <v>1097</v>
      </c>
      <c r="H1072" s="186" t="s">
        <v>1097</v>
      </c>
      <c r="I1072" s="128">
        <v>0.9</v>
      </c>
      <c r="J1072" s="129">
        <v>1</v>
      </c>
      <c r="K1072" s="129">
        <v>1</v>
      </c>
      <c r="L1072" s="130">
        <v>0.96551724137931</v>
      </c>
      <c r="M1072" s="129">
        <v>0.968838526912181</v>
      </c>
      <c r="N1072" s="131">
        <v>0.9</v>
      </c>
      <c r="O1072" s="129">
        <v>0.910500664599025</v>
      </c>
      <c r="P1072" s="129">
        <v>0.957236842105263</v>
      </c>
      <c r="Q1072" s="129">
        <v>0.970574497898178</v>
      </c>
      <c r="R1072" s="129">
        <v>0.948527198451946</v>
      </c>
      <c r="S1072" s="131">
        <v>0.9</v>
      </c>
      <c r="T1072" s="129">
        <v>0.926894107221976</v>
      </c>
      <c r="U1072" s="129">
        <v>0.951315789473684</v>
      </c>
      <c r="V1072" s="129">
        <v>0.95049042503503</v>
      </c>
      <c r="W1072" s="129">
        <v>0.939797892926252</v>
      </c>
      <c r="X1072" s="131">
        <v>0.92</v>
      </c>
      <c r="Y1072" s="131">
        <v>0.934199837530463</v>
      </c>
      <c r="Z1072" s="131">
        <v>0.959307359307359</v>
      </c>
      <c r="AA1072" s="131">
        <v>0.951171875</v>
      </c>
      <c r="AB1072" s="131">
        <v>0.951688693098385</v>
      </c>
      <c r="AC1072" s="131">
        <v>0.92</v>
      </c>
      <c r="AD1072" s="129">
        <v>1</v>
      </c>
      <c r="AE1072" s="129">
        <v>0.989394884591391</v>
      </c>
      <c r="AF1072" s="129">
        <v>0.912470952749806</v>
      </c>
      <c r="AG1072" s="129">
        <v>0.967923299994082</v>
      </c>
      <c r="AH1072" s="131">
        <v>0.92</v>
      </c>
      <c r="AI1072" s="129">
        <v>0.963589449541284</v>
      </c>
      <c r="AJ1072" s="129">
        <v>0.974953271028037</v>
      </c>
      <c r="AK1072" s="129">
        <v>0.974723538704581</v>
      </c>
      <c r="AL1072" s="129">
        <v>0.972015077148358</v>
      </c>
      <c r="AM1072" s="128">
        <v>0.99</v>
      </c>
      <c r="AN1072" s="133">
        <v>1</v>
      </c>
      <c r="AO1072" s="133">
        <v>1</v>
      </c>
      <c r="AP1072" s="133">
        <v>1</v>
      </c>
      <c r="AQ1072" s="133">
        <v>1</v>
      </c>
      <c r="AR1072" s="153">
        <v>0.0721861525408278</v>
      </c>
      <c r="AS1072" s="137">
        <v>0</v>
      </c>
      <c r="AT1072" s="137">
        <v>0</v>
      </c>
      <c r="AU1072" s="137">
        <v>-0.166666666666667</v>
      </c>
      <c r="AV1072" s="137">
        <v>0.0273972602739726</v>
      </c>
      <c r="AW1072" s="93"/>
      <c r="AX1072" s="91"/>
    </row>
    <row r="1073" ht="14.5" spans="1:50">
      <c r="A1073" s="89"/>
      <c r="B1073" s="93"/>
      <c r="C1073" s="148" t="s">
        <v>1080</v>
      </c>
      <c r="D1073" s="126" t="s">
        <v>1081</v>
      </c>
      <c r="E1073" s="186" t="s">
        <v>1098</v>
      </c>
      <c r="F1073" s="186" t="s">
        <v>1098</v>
      </c>
      <c r="G1073" s="186" t="s">
        <v>1098</v>
      </c>
      <c r="H1073" s="186" t="s">
        <v>1098</v>
      </c>
      <c r="I1073" s="128">
        <v>0.9</v>
      </c>
      <c r="J1073" s="129">
        <v>0.98</v>
      </c>
      <c r="K1073" s="129">
        <v>0.956521739130435</v>
      </c>
      <c r="L1073" s="130">
        <v>0.98</v>
      </c>
      <c r="M1073" s="129">
        <v>0.981727574750831</v>
      </c>
      <c r="N1073" s="131">
        <v>0.9</v>
      </c>
      <c r="O1073" s="129">
        <v>0.951659263130389</v>
      </c>
      <c r="P1073" s="129">
        <v>0.947617172115006</v>
      </c>
      <c r="Q1073" s="129">
        <v>0.957738748627881</v>
      </c>
      <c r="R1073" s="129">
        <v>0.959110012360939</v>
      </c>
      <c r="S1073" s="131">
        <v>0.9</v>
      </c>
      <c r="T1073" s="129">
        <v>0.914031878756206</v>
      </c>
      <c r="U1073" s="129">
        <v>0.932256794013391</v>
      </c>
      <c r="V1073" s="129">
        <v>0.940175631174534</v>
      </c>
      <c r="W1073" s="129">
        <v>0.939134734239802</v>
      </c>
      <c r="X1073" s="131">
        <v>0.92</v>
      </c>
      <c r="Y1073" s="131">
        <v>0.958112662493982</v>
      </c>
      <c r="Z1073" s="131">
        <v>0.955756929637527</v>
      </c>
      <c r="AA1073" s="131">
        <v>0.968905472636816</v>
      </c>
      <c r="AB1073" s="131">
        <v>0.963245003961616</v>
      </c>
      <c r="AC1073" s="131">
        <v>0.92</v>
      </c>
      <c r="AD1073" s="129">
        <v>0.995558375634518</v>
      </c>
      <c r="AE1073" s="129">
        <v>0.991088725300271</v>
      </c>
      <c r="AF1073" s="129">
        <v>0.385471750626218</v>
      </c>
      <c r="AG1073" s="129">
        <v>0.854239711338802</v>
      </c>
      <c r="AH1073" s="131">
        <v>0.92</v>
      </c>
      <c r="AI1073" s="129">
        <v>0.966463414634146</v>
      </c>
      <c r="AJ1073" s="129">
        <v>0.969202898550725</v>
      </c>
      <c r="AK1073" s="129">
        <v>0.980578827113481</v>
      </c>
      <c r="AL1073" s="129">
        <v>0.977633557578156</v>
      </c>
      <c r="AM1073" s="128">
        <v>0.99</v>
      </c>
      <c r="AN1073" s="133">
        <v>1</v>
      </c>
      <c r="AO1073" s="133">
        <v>1</v>
      </c>
      <c r="AP1073" s="133">
        <v>1</v>
      </c>
      <c r="AQ1073" s="133">
        <v>1</v>
      </c>
      <c r="AR1073" s="153">
        <v>0.0721861525408278</v>
      </c>
      <c r="AS1073" s="137">
        <v>0.0952380952380952</v>
      </c>
      <c r="AT1073" s="137">
        <v>0.0909090909090909</v>
      </c>
      <c r="AU1073" s="137">
        <v>0</v>
      </c>
      <c r="AV1073" s="137">
        <v>0.0342857142857143</v>
      </c>
      <c r="AW1073" s="93"/>
      <c r="AX1073" s="91"/>
    </row>
    <row r="1074" ht="14.5" spans="1:50">
      <c r="A1074" s="89"/>
      <c r="B1074" s="93"/>
      <c r="C1074" s="148" t="s">
        <v>1080</v>
      </c>
      <c r="D1074" s="126" t="s">
        <v>1081</v>
      </c>
      <c r="E1074" s="186" t="s">
        <v>1099</v>
      </c>
      <c r="F1074" s="186" t="s">
        <v>1099</v>
      </c>
      <c r="G1074" s="186" t="s">
        <v>1099</v>
      </c>
      <c r="H1074" s="186" t="s">
        <v>1099</v>
      </c>
      <c r="I1074" s="128">
        <v>0.9</v>
      </c>
      <c r="J1074" s="129">
        <v>0.96969696969697</v>
      </c>
      <c r="K1074" s="129">
        <v>0.96875</v>
      </c>
      <c r="L1074" s="130">
        <v>1</v>
      </c>
      <c r="M1074" s="129">
        <v>0.974160206718346</v>
      </c>
      <c r="N1074" s="131">
        <v>0.9</v>
      </c>
      <c r="O1074" s="129">
        <v>0.979621022524133</v>
      </c>
      <c r="P1074" s="129">
        <v>0.966983771684387</v>
      </c>
      <c r="Q1074" s="129">
        <v>0.980103168754606</v>
      </c>
      <c r="R1074" s="129">
        <v>0.976195245726496</v>
      </c>
      <c r="S1074" s="131">
        <v>0.9</v>
      </c>
      <c r="T1074" s="129">
        <v>0.953164104397569</v>
      </c>
      <c r="U1074" s="129">
        <v>0.948517067711248</v>
      </c>
      <c r="V1074" s="129">
        <v>0.949521002210759</v>
      </c>
      <c r="W1074" s="129">
        <v>0.948050213675214</v>
      </c>
      <c r="X1074" s="131">
        <v>0.92</v>
      </c>
      <c r="Y1074" s="131">
        <v>0.963683527885863</v>
      </c>
      <c r="Z1074" s="131">
        <v>0.951954397394137</v>
      </c>
      <c r="AA1074" s="131">
        <v>0.963258785942492</v>
      </c>
      <c r="AB1074" s="131">
        <v>0.963147292333215</v>
      </c>
      <c r="AC1074" s="131">
        <v>0.92</v>
      </c>
      <c r="AD1074" s="129">
        <v>0.995468277945619</v>
      </c>
      <c r="AE1074" s="129">
        <v>1</v>
      </c>
      <c r="AF1074" s="129">
        <v>0.991007194244604</v>
      </c>
      <c r="AG1074" s="129">
        <v>0.995027550060476</v>
      </c>
      <c r="AH1074" s="131">
        <v>0.92</v>
      </c>
      <c r="AI1074" s="129">
        <v>0.975570407928094</v>
      </c>
      <c r="AJ1074" s="129">
        <v>0.969817578772803</v>
      </c>
      <c r="AK1074" s="129">
        <v>0.976298537569339</v>
      </c>
      <c r="AL1074" s="129">
        <v>0.977817157009266</v>
      </c>
      <c r="AM1074" s="128">
        <v>0.99</v>
      </c>
      <c r="AN1074" s="133">
        <v>1</v>
      </c>
      <c r="AO1074" s="133">
        <v>1</v>
      </c>
      <c r="AP1074" s="133">
        <v>1</v>
      </c>
      <c r="AQ1074" s="133">
        <v>1</v>
      </c>
      <c r="AR1074" s="153">
        <v>0.0721861525408278</v>
      </c>
      <c r="AS1074" s="137">
        <v>0.0769230769230769</v>
      </c>
      <c r="AT1074" s="137">
        <v>0</v>
      </c>
      <c r="AU1074" s="137">
        <v>0.25</v>
      </c>
      <c r="AV1074" s="137">
        <v>0.062992125984252</v>
      </c>
      <c r="AW1074" s="93"/>
      <c r="AX1074" s="91"/>
    </row>
    <row r="1075" ht="14.5" spans="1:50">
      <c r="A1075" s="89"/>
      <c r="B1075" s="93"/>
      <c r="C1075" s="148" t="s">
        <v>1080</v>
      </c>
      <c r="D1075" s="126" t="s">
        <v>1081</v>
      </c>
      <c r="E1075" s="186" t="s">
        <v>1100</v>
      </c>
      <c r="F1075" s="186" t="s">
        <v>1100</v>
      </c>
      <c r="G1075" s="186" t="s">
        <v>1100</v>
      </c>
      <c r="H1075" s="186" t="s">
        <v>1100</v>
      </c>
      <c r="I1075" s="128">
        <v>0.9</v>
      </c>
      <c r="J1075" s="129">
        <v>0.96875</v>
      </c>
      <c r="K1075" s="129">
        <v>1</v>
      </c>
      <c r="L1075" s="130">
        <v>1</v>
      </c>
      <c r="M1075" s="129">
        <v>0.991891891891892</v>
      </c>
      <c r="N1075" s="131">
        <v>0.9</v>
      </c>
      <c r="O1075" s="129">
        <v>0.988033506182688</v>
      </c>
      <c r="P1075" s="129">
        <v>0.990279465370595</v>
      </c>
      <c r="Q1075" s="129">
        <v>0.987505206164098</v>
      </c>
      <c r="R1075" s="129">
        <v>0.987441544727712</v>
      </c>
      <c r="S1075" s="131">
        <v>0.9</v>
      </c>
      <c r="T1075" s="129">
        <v>0.917032309533307</v>
      </c>
      <c r="U1075" s="129">
        <v>0.939854191980559</v>
      </c>
      <c r="V1075" s="129">
        <v>0.931278633902541</v>
      </c>
      <c r="W1075" s="129">
        <v>0.941771006184945</v>
      </c>
      <c r="X1075" s="131">
        <v>0.92</v>
      </c>
      <c r="Y1075" s="131">
        <v>0.971812080536913</v>
      </c>
      <c r="Z1075" s="131">
        <v>0.978328173374613</v>
      </c>
      <c r="AA1075" s="131">
        <v>0.983766233766234</v>
      </c>
      <c r="AB1075" s="131">
        <v>0.974671093077585</v>
      </c>
      <c r="AC1075" s="131">
        <v>0.92</v>
      </c>
      <c r="AD1075" s="129">
        <v>0.998078770413064</v>
      </c>
      <c r="AE1075" s="129">
        <v>0.997265892002734</v>
      </c>
      <c r="AF1075" s="129">
        <v>0.998166259168704</v>
      </c>
      <c r="AG1075" s="129">
        <v>0.968790317626098</v>
      </c>
      <c r="AH1075" s="131">
        <v>0.92</v>
      </c>
      <c r="AI1075" s="129">
        <v>0.978734050537903</v>
      </c>
      <c r="AJ1075" s="129">
        <v>0.981620149761743</v>
      </c>
      <c r="AK1075" s="129">
        <v>0.986787778695293</v>
      </c>
      <c r="AL1075" s="129">
        <v>0.983452531201795</v>
      </c>
      <c r="AM1075" s="128">
        <v>0.99</v>
      </c>
      <c r="AN1075" s="133">
        <v>1</v>
      </c>
      <c r="AO1075" s="133">
        <v>1</v>
      </c>
      <c r="AP1075" s="133">
        <v>1</v>
      </c>
      <c r="AQ1075" s="133">
        <v>1</v>
      </c>
      <c r="AR1075" s="153">
        <v>0.0721861525408278</v>
      </c>
      <c r="AS1075" s="137">
        <v>0</v>
      </c>
      <c r="AT1075" s="137">
        <v>0.105263157894737</v>
      </c>
      <c r="AU1075" s="137">
        <v>0.0833333333333333</v>
      </c>
      <c r="AV1075" s="137">
        <v>0.025089605734767</v>
      </c>
      <c r="AW1075" s="93"/>
      <c r="AX1075" s="91"/>
    </row>
    <row r="1076" ht="14.5" spans="1:50">
      <c r="A1076" s="89"/>
      <c r="B1076" s="93"/>
      <c r="C1076" s="148" t="s">
        <v>1080</v>
      </c>
      <c r="D1076" s="126" t="s">
        <v>1081</v>
      </c>
      <c r="E1076" s="186" t="s">
        <v>1101</v>
      </c>
      <c r="F1076" s="186" t="s">
        <v>1101</v>
      </c>
      <c r="G1076" s="186" t="s">
        <v>1101</v>
      </c>
      <c r="H1076" s="186" t="s">
        <v>1101</v>
      </c>
      <c r="I1076" s="128">
        <v>0.9</v>
      </c>
      <c r="J1076" s="129">
        <v>0.933333333333333</v>
      </c>
      <c r="K1076" s="129">
        <v>1</v>
      </c>
      <c r="L1076" s="130">
        <v>0.892857142857143</v>
      </c>
      <c r="M1076" s="129">
        <v>0.960960960960961</v>
      </c>
      <c r="N1076" s="131">
        <v>0.9</v>
      </c>
      <c r="O1076" s="129">
        <v>0.965953307392996</v>
      </c>
      <c r="P1076" s="129">
        <v>0.937820043891734</v>
      </c>
      <c r="Q1076" s="129">
        <v>0.963608405945669</v>
      </c>
      <c r="R1076" s="129">
        <v>0.956615847920196</v>
      </c>
      <c r="S1076" s="131">
        <v>0.9</v>
      </c>
      <c r="T1076" s="129">
        <v>0.930933852140078</v>
      </c>
      <c r="U1076" s="129">
        <v>0.929041697147037</v>
      </c>
      <c r="V1076" s="129">
        <v>0.933367503844182</v>
      </c>
      <c r="W1076" s="129">
        <v>0.927442123094297</v>
      </c>
      <c r="X1076" s="131">
        <v>0.92</v>
      </c>
      <c r="Y1076" s="131">
        <v>0.935569285083848</v>
      </c>
      <c r="Z1076" s="131">
        <v>0.934942287513116</v>
      </c>
      <c r="AA1076" s="131">
        <v>0.947649572649573</v>
      </c>
      <c r="AB1076" s="131">
        <v>0.940253371475276</v>
      </c>
      <c r="AC1076" s="131">
        <v>0.92</v>
      </c>
      <c r="AD1076" s="129">
        <v>0.994587280108254</v>
      </c>
      <c r="AE1076" s="129">
        <v>0.998343456653782</v>
      </c>
      <c r="AF1076" s="129">
        <v>0.992108229988726</v>
      </c>
      <c r="AG1076" s="129">
        <v>0.995799863495564</v>
      </c>
      <c r="AH1076" s="131">
        <v>0.92</v>
      </c>
      <c r="AI1076" s="129">
        <v>0.956726246472248</v>
      </c>
      <c r="AJ1076" s="129">
        <v>0.952155172413793</v>
      </c>
      <c r="AK1076" s="129">
        <v>0.967440249393834</v>
      </c>
      <c r="AL1076" s="129">
        <v>0.962646681197934</v>
      </c>
      <c r="AM1076" s="128">
        <v>0.99</v>
      </c>
      <c r="AN1076" s="133">
        <v>1</v>
      </c>
      <c r="AO1076" s="133">
        <v>1</v>
      </c>
      <c r="AP1076" s="133">
        <v>1</v>
      </c>
      <c r="AQ1076" s="133">
        <v>1</v>
      </c>
      <c r="AR1076" s="153">
        <v>0.0721861525408278</v>
      </c>
      <c r="AS1076" s="137">
        <v>0</v>
      </c>
      <c r="AT1076" s="137">
        <v>0</v>
      </c>
      <c r="AU1076" s="137">
        <v>0</v>
      </c>
      <c r="AV1076" s="137">
        <v>0.0297029702970297</v>
      </c>
      <c r="AW1076" s="93"/>
      <c r="AX1076" s="91"/>
    </row>
    <row r="1077" ht="14.5" spans="1:50">
      <c r="A1077" s="89"/>
      <c r="B1077" s="93"/>
      <c r="C1077" s="148" t="s">
        <v>1080</v>
      </c>
      <c r="D1077" s="126" t="s">
        <v>1081</v>
      </c>
      <c r="E1077" s="186" t="s">
        <v>1102</v>
      </c>
      <c r="F1077" s="186" t="s">
        <v>1102</v>
      </c>
      <c r="G1077" s="186" t="s">
        <v>1102</v>
      </c>
      <c r="H1077" s="186" t="s">
        <v>1102</v>
      </c>
      <c r="I1077" s="128">
        <v>0.9</v>
      </c>
      <c r="J1077" s="129">
        <v>0.89041095890411</v>
      </c>
      <c r="K1077" s="129">
        <v>0.892857142857143</v>
      </c>
      <c r="L1077" s="130">
        <v>0.865671641791045</v>
      </c>
      <c r="M1077" s="129">
        <v>0.822704081632653</v>
      </c>
      <c r="N1077" s="131">
        <v>0.9</v>
      </c>
      <c r="O1077" s="129">
        <v>0.971978305785124</v>
      </c>
      <c r="P1077" s="129">
        <v>0.960977797712492</v>
      </c>
      <c r="Q1077" s="129">
        <v>0.94987714987715</v>
      </c>
      <c r="R1077" s="129">
        <v>0.905075931717979</v>
      </c>
      <c r="S1077" s="131">
        <v>0.9</v>
      </c>
      <c r="T1077" s="129">
        <v>0.90521694214876</v>
      </c>
      <c r="U1077" s="129">
        <v>0.905359946176273</v>
      </c>
      <c r="V1077" s="129">
        <v>0.914987714987715</v>
      </c>
      <c r="W1077" s="129">
        <v>0.862154727361797</v>
      </c>
      <c r="X1077" s="131">
        <v>0.92</v>
      </c>
      <c r="Y1077" s="131">
        <v>0.957700650759219</v>
      </c>
      <c r="Z1077" s="131">
        <v>0.935665209244222</v>
      </c>
      <c r="AA1077" s="131">
        <v>0.963004484304933</v>
      </c>
      <c r="AB1077" s="131">
        <v>0.933735674225799</v>
      </c>
      <c r="AC1077" s="131">
        <v>0.92</v>
      </c>
      <c r="AD1077" s="129">
        <v>0.931284726159428</v>
      </c>
      <c r="AE1077" s="129">
        <v>0.959483484607467</v>
      </c>
      <c r="AF1077" s="129">
        <v>0.927037773359841</v>
      </c>
      <c r="AG1077" s="129">
        <v>0.856354189218446</v>
      </c>
      <c r="AH1077" s="131">
        <v>0.92</v>
      </c>
      <c r="AI1077" s="129">
        <v>0.978313001772495</v>
      </c>
      <c r="AJ1077" s="129">
        <v>0.962871287128713</v>
      </c>
      <c r="AK1077" s="129">
        <v>0.981137467847957</v>
      </c>
      <c r="AL1077" s="129">
        <v>0.965965288550636</v>
      </c>
      <c r="AM1077" s="128">
        <v>0.99</v>
      </c>
      <c r="AN1077" s="133">
        <v>1</v>
      </c>
      <c r="AO1077" s="133">
        <v>1</v>
      </c>
      <c r="AP1077" s="133">
        <v>1</v>
      </c>
      <c r="AQ1077" s="133">
        <v>1</v>
      </c>
      <c r="AR1077" s="153">
        <v>0.0721861525408278</v>
      </c>
      <c r="AS1077" s="137">
        <v>0.0238095238095238</v>
      </c>
      <c r="AT1077" s="137">
        <v>0.0217391304347826</v>
      </c>
      <c r="AU1077" s="137">
        <v>0.0689655172413793</v>
      </c>
      <c r="AV1077" s="137">
        <v>0.0281030444964871</v>
      </c>
      <c r="AW1077" s="93"/>
      <c r="AX1077" s="91"/>
    </row>
    <row r="1078" ht="14.5" spans="1:50">
      <c r="A1078" s="89"/>
      <c r="B1078" s="93"/>
      <c r="C1078" s="148" t="s">
        <v>1080</v>
      </c>
      <c r="D1078" s="126" t="s">
        <v>1081</v>
      </c>
      <c r="E1078" s="186" t="s">
        <v>1103</v>
      </c>
      <c r="F1078" s="186" t="s">
        <v>1103</v>
      </c>
      <c r="G1078" s="186" t="s">
        <v>1103</v>
      </c>
      <c r="H1078" s="186" t="s">
        <v>1103</v>
      </c>
      <c r="I1078" s="128">
        <v>0.9</v>
      </c>
      <c r="J1078" s="129">
        <v>0.970588235294118</v>
      </c>
      <c r="K1078" s="129">
        <v>1</v>
      </c>
      <c r="L1078" s="130">
        <v>0.966666666666667</v>
      </c>
      <c r="M1078" s="129">
        <v>0.949468085106383</v>
      </c>
      <c r="N1078" s="131">
        <v>0.9</v>
      </c>
      <c r="O1078" s="129">
        <v>0.944649446494465</v>
      </c>
      <c r="P1078" s="129">
        <v>0.980689655172414</v>
      </c>
      <c r="Q1078" s="129">
        <v>0.950415866922585</v>
      </c>
      <c r="R1078" s="129">
        <v>0.957746091169346</v>
      </c>
      <c r="S1078" s="131">
        <v>0.9</v>
      </c>
      <c r="T1078" s="129">
        <v>0.963951177973318</v>
      </c>
      <c r="U1078" s="129">
        <v>0.954022988505747</v>
      </c>
      <c r="V1078" s="129">
        <v>0.953294945617402</v>
      </c>
      <c r="W1078" s="129">
        <v>0.96126954415327</v>
      </c>
      <c r="X1078" s="131">
        <v>0.92</v>
      </c>
      <c r="Y1078" s="131">
        <v>0.943336831059811</v>
      </c>
      <c r="Z1078" s="131">
        <v>0.860054347826087</v>
      </c>
      <c r="AA1078" s="131">
        <v>0.96127562642369</v>
      </c>
      <c r="AB1078" s="131">
        <v>0.946168705730844</v>
      </c>
      <c r="AC1078" s="131">
        <v>0.92</v>
      </c>
      <c r="AD1078" s="129">
        <v>0.99</v>
      </c>
      <c r="AE1078" s="129">
        <v>0.995723885155773</v>
      </c>
      <c r="AF1078" s="129">
        <v>0.997565984635278</v>
      </c>
      <c r="AG1078" s="129">
        <v>0.994366297412055</v>
      </c>
      <c r="AH1078" s="131">
        <v>0.92</v>
      </c>
      <c r="AI1078" s="129">
        <v>0.975424486148347</v>
      </c>
      <c r="AJ1078" s="129">
        <v>0.951219512195122</v>
      </c>
      <c r="AK1078" s="129">
        <v>0.979523141654979</v>
      </c>
      <c r="AL1078" s="129">
        <v>0.980858639693375</v>
      </c>
      <c r="AM1078" s="128">
        <v>0.99</v>
      </c>
      <c r="AN1078" s="133">
        <v>1</v>
      </c>
      <c r="AO1078" s="133">
        <v>1</v>
      </c>
      <c r="AP1078" s="133">
        <v>1</v>
      </c>
      <c r="AQ1078" s="133">
        <v>1</v>
      </c>
      <c r="AR1078" s="153">
        <v>0.0721861525408278</v>
      </c>
      <c r="AS1078" s="137">
        <v>0.0714285714285714</v>
      </c>
      <c r="AT1078" s="137">
        <v>0.1</v>
      </c>
      <c r="AU1078" s="137">
        <v>-0.0769230769230769</v>
      </c>
      <c r="AV1078" s="137">
        <v>0.0476190476190476</v>
      </c>
      <c r="AW1078" s="93"/>
      <c r="AX1078" s="91"/>
    </row>
    <row r="1079" ht="14.5" spans="1:50">
      <c r="A1079" s="89"/>
      <c r="B1079" s="93"/>
      <c r="C1079" s="148" t="s">
        <v>1080</v>
      </c>
      <c r="D1079" s="126" t="s">
        <v>1081</v>
      </c>
      <c r="E1079" s="186" t="s">
        <v>1104</v>
      </c>
      <c r="F1079" s="186" t="s">
        <v>1104</v>
      </c>
      <c r="G1079" s="186" t="s">
        <v>1104</v>
      </c>
      <c r="H1079" s="186" t="s">
        <v>1104</v>
      </c>
      <c r="I1079" s="128">
        <v>0.9</v>
      </c>
      <c r="J1079" s="129">
        <v>0.895833333333333</v>
      </c>
      <c r="K1079" s="129">
        <v>0.931818181818182</v>
      </c>
      <c r="L1079" s="130">
        <v>0.977272727272727</v>
      </c>
      <c r="M1079" s="129">
        <v>0.940952380952381</v>
      </c>
      <c r="N1079" s="131">
        <v>0.9</v>
      </c>
      <c r="O1079" s="129">
        <v>0.904053778773681</v>
      </c>
      <c r="P1079" s="129">
        <v>0.978909310033143</v>
      </c>
      <c r="Q1079" s="129">
        <v>0.931198398799099</v>
      </c>
      <c r="R1079" s="129">
        <v>0.906031227676294</v>
      </c>
      <c r="S1079" s="131">
        <v>0.9</v>
      </c>
      <c r="T1079" s="129">
        <v>0.833978407007537</v>
      </c>
      <c r="U1079" s="129">
        <v>0.877975293763182</v>
      </c>
      <c r="V1079" s="129">
        <v>0.831873905429072</v>
      </c>
      <c r="W1079" s="129">
        <v>0.822369629554036</v>
      </c>
      <c r="X1079" s="131">
        <v>0.92</v>
      </c>
      <c r="Y1079" s="131">
        <v>0.928476821192053</v>
      </c>
      <c r="Z1079" s="131">
        <v>0.921469740634006</v>
      </c>
      <c r="AA1079" s="131">
        <v>0.888392857142857</v>
      </c>
      <c r="AB1079" s="131">
        <v>0.905947323704333</v>
      </c>
      <c r="AC1079" s="131">
        <v>0.92</v>
      </c>
      <c r="AD1079" s="129">
        <v>0.998739672314802</v>
      </c>
      <c r="AE1079" s="129">
        <v>0.995899581589958</v>
      </c>
      <c r="AF1079" s="129">
        <v>0.964467005076142</v>
      </c>
      <c r="AG1079" s="129">
        <v>0.994529755878051</v>
      </c>
      <c r="AH1079" s="131">
        <v>0.92</v>
      </c>
      <c r="AI1079" s="129">
        <v>0.955316830141678</v>
      </c>
      <c r="AJ1079" s="129">
        <v>0.952421410365336</v>
      </c>
      <c r="AK1079" s="129">
        <v>0.95223816663097</v>
      </c>
      <c r="AL1079" s="129">
        <v>0.948545382742052</v>
      </c>
      <c r="AM1079" s="128">
        <v>0.99</v>
      </c>
      <c r="AN1079" s="133">
        <v>1</v>
      </c>
      <c r="AO1079" s="133">
        <v>1</v>
      </c>
      <c r="AP1079" s="133">
        <v>1</v>
      </c>
      <c r="AQ1079" s="133">
        <v>1</v>
      </c>
      <c r="AR1079" s="153">
        <v>0.0721861525408278</v>
      </c>
      <c r="AS1079" s="137">
        <v>0.13953488372093</v>
      </c>
      <c r="AT1079" s="137">
        <v>0</v>
      </c>
      <c r="AU1079" s="137">
        <v>-0.02</v>
      </c>
      <c r="AV1079" s="137">
        <v>0.0211946050096339</v>
      </c>
      <c r="AW1079" s="93"/>
      <c r="AX1079" s="91"/>
    </row>
    <row r="1080" ht="14.5" spans="1:50">
      <c r="A1080" s="89"/>
      <c r="B1080" s="93"/>
      <c r="C1080" s="148" t="s">
        <v>1080</v>
      </c>
      <c r="D1080" s="126" t="s">
        <v>1081</v>
      </c>
      <c r="E1080" s="186" t="s">
        <v>1105</v>
      </c>
      <c r="F1080" s="186" t="s">
        <v>1105</v>
      </c>
      <c r="G1080" s="186" t="s">
        <v>1105</v>
      </c>
      <c r="H1080" s="186" t="s">
        <v>1105</v>
      </c>
      <c r="I1080" s="128">
        <v>0.9</v>
      </c>
      <c r="J1080" s="129" t="s">
        <v>33</v>
      </c>
      <c r="K1080" s="129" t="s">
        <v>33</v>
      </c>
      <c r="L1080" s="130" t="s">
        <v>33</v>
      </c>
      <c r="M1080" s="129" t="s">
        <v>33</v>
      </c>
      <c r="N1080" s="131">
        <v>0.9</v>
      </c>
      <c r="O1080" s="129">
        <v>0</v>
      </c>
      <c r="P1080" s="129">
        <v>0</v>
      </c>
      <c r="Q1080" s="129">
        <v>0</v>
      </c>
      <c r="R1080" s="129">
        <v>0</v>
      </c>
      <c r="S1080" s="131">
        <v>0.9</v>
      </c>
      <c r="T1080" s="129">
        <v>0</v>
      </c>
      <c r="U1080" s="129">
        <v>0</v>
      </c>
      <c r="V1080" s="129">
        <v>0</v>
      </c>
      <c r="W1080" s="129">
        <v>0.0909090909090909</v>
      </c>
      <c r="X1080" s="131">
        <v>0.92</v>
      </c>
      <c r="Y1080" s="131" t="s">
        <v>33</v>
      </c>
      <c r="Z1080" s="131" t="s">
        <v>33</v>
      </c>
      <c r="AA1080" s="131" t="s">
        <v>33</v>
      </c>
      <c r="AB1080" s="131">
        <v>0</v>
      </c>
      <c r="AC1080" s="131">
        <v>0.92</v>
      </c>
      <c r="AD1080" s="129" t="s">
        <v>33</v>
      </c>
      <c r="AE1080" s="129" t="s">
        <v>33</v>
      </c>
      <c r="AF1080" s="129" t="s">
        <v>33</v>
      </c>
      <c r="AG1080" s="129">
        <v>0.5</v>
      </c>
      <c r="AH1080" s="131">
        <v>0.92</v>
      </c>
      <c r="AI1080" s="129">
        <v>0.0928330928330928</v>
      </c>
      <c r="AJ1080" s="129">
        <v>0</v>
      </c>
      <c r="AK1080" s="129">
        <v>0.00421940928270042</v>
      </c>
      <c r="AL1080" s="129">
        <v>0.0104911637803653</v>
      </c>
      <c r="AM1080" s="128">
        <v>0.99</v>
      </c>
      <c r="AN1080" s="133" t="s">
        <v>33</v>
      </c>
      <c r="AO1080" s="133" t="s">
        <v>33</v>
      </c>
      <c r="AP1080" s="133" t="s">
        <v>33</v>
      </c>
      <c r="AQ1080" s="133" t="s">
        <v>33</v>
      </c>
      <c r="AR1080" s="153">
        <v>0.0721861525408278</v>
      </c>
      <c r="AS1080" s="137">
        <v>0</v>
      </c>
      <c r="AT1080" s="137">
        <v>0</v>
      </c>
      <c r="AU1080" s="137">
        <v>0</v>
      </c>
      <c r="AV1080" s="137">
        <v>0.0674157303370786</v>
      </c>
      <c r="AW1080" s="93"/>
      <c r="AX1080" s="91"/>
    </row>
    <row r="1081" ht="14.5" spans="1:50">
      <c r="A1081" s="89"/>
      <c r="B1081" s="93"/>
      <c r="C1081" s="148" t="s">
        <v>1080</v>
      </c>
      <c r="D1081" s="126" t="s">
        <v>1081</v>
      </c>
      <c r="E1081" s="186" t="s">
        <v>1106</v>
      </c>
      <c r="F1081" s="186" t="s">
        <v>1106</v>
      </c>
      <c r="G1081" s="186" t="s">
        <v>1106</v>
      </c>
      <c r="H1081" s="186" t="s">
        <v>1106</v>
      </c>
      <c r="I1081" s="128">
        <v>0.9</v>
      </c>
      <c r="J1081" s="129">
        <v>0.939393939393939</v>
      </c>
      <c r="K1081" s="129">
        <v>1</v>
      </c>
      <c r="L1081" s="130">
        <v>0.962962962962963</v>
      </c>
      <c r="M1081" s="129">
        <v>0.952941176470588</v>
      </c>
      <c r="N1081" s="131">
        <v>0.9</v>
      </c>
      <c r="O1081" s="129">
        <v>0.987542468856172</v>
      </c>
      <c r="P1081" s="129">
        <v>0.998636983189459</v>
      </c>
      <c r="Q1081" s="129">
        <v>0.99131341209173</v>
      </c>
      <c r="R1081" s="129">
        <v>0.982520590152278</v>
      </c>
      <c r="S1081" s="131">
        <v>0.9</v>
      </c>
      <c r="T1081" s="129">
        <v>0.954983012457531</v>
      </c>
      <c r="U1081" s="129">
        <v>0.957746478873239</v>
      </c>
      <c r="V1081" s="129">
        <v>0.922863099374566</v>
      </c>
      <c r="W1081" s="129">
        <v>0.943502992237957</v>
      </c>
      <c r="X1081" s="131">
        <v>0.92</v>
      </c>
      <c r="Y1081" s="131">
        <v>0.950884086444008</v>
      </c>
      <c r="Z1081" s="131">
        <v>0.952483801295896</v>
      </c>
      <c r="AA1081" s="131">
        <v>0.959100204498977</v>
      </c>
      <c r="AB1081" s="131">
        <v>0.956267176484646</v>
      </c>
      <c r="AC1081" s="131">
        <v>0.92</v>
      </c>
      <c r="AD1081" s="129">
        <v>0.992109038737446</v>
      </c>
      <c r="AE1081" s="129">
        <v>0.998969308291342</v>
      </c>
      <c r="AF1081" s="129">
        <v>0.985116540297669</v>
      </c>
      <c r="AG1081" s="129">
        <v>0.984150393736629</v>
      </c>
      <c r="AH1081" s="131">
        <v>0.92</v>
      </c>
      <c r="AI1081" s="129">
        <v>0.971868131868132</v>
      </c>
      <c r="AJ1081" s="129">
        <v>0.974096578189958</v>
      </c>
      <c r="AK1081" s="129">
        <v>0.978912978912979</v>
      </c>
      <c r="AL1081" s="129">
        <v>0.977139465875371</v>
      </c>
      <c r="AM1081" s="128">
        <v>0.99</v>
      </c>
      <c r="AN1081" s="133">
        <v>1</v>
      </c>
      <c r="AO1081" s="133">
        <v>1</v>
      </c>
      <c r="AP1081" s="133">
        <v>1</v>
      </c>
      <c r="AQ1081" s="133">
        <v>1</v>
      </c>
      <c r="AR1081" s="153">
        <v>0.0721861525408278</v>
      </c>
      <c r="AS1081" s="137">
        <v>0</v>
      </c>
      <c r="AT1081" s="137">
        <v>0</v>
      </c>
      <c r="AU1081" s="137">
        <v>0</v>
      </c>
      <c r="AV1081" s="137">
        <v>0.03125</v>
      </c>
      <c r="AW1081" s="93"/>
      <c r="AX1081" s="91"/>
    </row>
    <row r="1082" ht="14.5" spans="1:50">
      <c r="A1082" s="89"/>
      <c r="B1082" s="93"/>
      <c r="C1082" s="148" t="s">
        <v>1080</v>
      </c>
      <c r="D1082" s="126" t="s">
        <v>1081</v>
      </c>
      <c r="E1082" s="186" t="s">
        <v>1107</v>
      </c>
      <c r="F1082" s="186" t="s">
        <v>1107</v>
      </c>
      <c r="G1082" s="186" t="s">
        <v>1107</v>
      </c>
      <c r="H1082" s="186" t="s">
        <v>1107</v>
      </c>
      <c r="I1082" s="128">
        <v>0.9</v>
      </c>
      <c r="J1082" s="129">
        <v>1</v>
      </c>
      <c r="K1082" s="129">
        <v>0.952380952380952</v>
      </c>
      <c r="L1082" s="130">
        <v>0.91304347826087</v>
      </c>
      <c r="M1082" s="129">
        <v>0.956521739130435</v>
      </c>
      <c r="N1082" s="131">
        <v>0.9</v>
      </c>
      <c r="O1082" s="129">
        <v>0.946753692889042</v>
      </c>
      <c r="P1082" s="129">
        <v>0.978352692713833</v>
      </c>
      <c r="Q1082" s="129">
        <v>0.989320803075609</v>
      </c>
      <c r="R1082" s="129">
        <v>0.92045020321673</v>
      </c>
      <c r="S1082" s="131">
        <v>0.9</v>
      </c>
      <c r="T1082" s="129">
        <v>0.911027138440399</v>
      </c>
      <c r="U1082" s="129">
        <v>0.965681098204857</v>
      </c>
      <c r="V1082" s="129">
        <v>0.954293037163605</v>
      </c>
      <c r="W1082" s="129">
        <v>0.945218327717372</v>
      </c>
      <c r="X1082" s="131">
        <v>0.92</v>
      </c>
      <c r="Y1082" s="131">
        <v>0.966216216216216</v>
      </c>
      <c r="Z1082" s="131">
        <v>0.968481375358166</v>
      </c>
      <c r="AA1082" s="131">
        <v>0.967661691542289</v>
      </c>
      <c r="AB1082" s="131">
        <v>0.967915998249964</v>
      </c>
      <c r="AC1082" s="131">
        <v>0.92</v>
      </c>
      <c r="AD1082" s="129">
        <v>0.99888765294772</v>
      </c>
      <c r="AE1082" s="129">
        <v>1</v>
      </c>
      <c r="AF1082" s="129">
        <v>0.99853515625</v>
      </c>
      <c r="AG1082" s="129">
        <v>0.995220930703495</v>
      </c>
      <c r="AH1082" s="131">
        <v>0.92</v>
      </c>
      <c r="AI1082" s="129">
        <v>0.952882337457226</v>
      </c>
      <c r="AJ1082" s="129">
        <v>0.9841881989973</v>
      </c>
      <c r="AK1082" s="129">
        <v>0.984688297484506</v>
      </c>
      <c r="AL1082" s="129">
        <v>0.979913031280685</v>
      </c>
      <c r="AM1082" s="128">
        <v>0.99</v>
      </c>
      <c r="AN1082" s="133">
        <v>1</v>
      </c>
      <c r="AO1082" s="133">
        <v>1</v>
      </c>
      <c r="AP1082" s="133">
        <v>1</v>
      </c>
      <c r="AQ1082" s="133">
        <v>1</v>
      </c>
      <c r="AR1082" s="153">
        <v>0.0721861525408278</v>
      </c>
      <c r="AS1082" s="137">
        <v>0.04</v>
      </c>
      <c r="AT1082" s="137">
        <v>0.0454545454545455</v>
      </c>
      <c r="AU1082" s="137">
        <v>0.0454545454545455</v>
      </c>
      <c r="AV1082" s="137">
        <v>0.039568345323741</v>
      </c>
      <c r="AW1082" s="93"/>
      <c r="AX1082" s="91"/>
    </row>
    <row r="1083" ht="14.5" spans="1:50">
      <c r="A1083" s="89"/>
      <c r="B1083" s="93"/>
      <c r="C1083" s="148" t="s">
        <v>1080</v>
      </c>
      <c r="D1083" s="126" t="s">
        <v>1081</v>
      </c>
      <c r="E1083" s="186" t="s">
        <v>1108</v>
      </c>
      <c r="F1083" s="186" t="s">
        <v>1108</v>
      </c>
      <c r="G1083" s="186" t="s">
        <v>1108</v>
      </c>
      <c r="H1083" s="186" t="s">
        <v>1108</v>
      </c>
      <c r="I1083" s="128">
        <v>0.9</v>
      </c>
      <c r="J1083" s="129">
        <v>0.964705882352941</v>
      </c>
      <c r="K1083" s="129">
        <v>0.958333333333333</v>
      </c>
      <c r="L1083" s="130">
        <v>0.958904109589041</v>
      </c>
      <c r="M1083" s="129">
        <v>0.97</v>
      </c>
      <c r="N1083" s="131">
        <v>0.9</v>
      </c>
      <c r="O1083" s="129">
        <v>0.971497686159024</v>
      </c>
      <c r="P1083" s="129">
        <v>0.978651485500801</v>
      </c>
      <c r="Q1083" s="129">
        <v>0.958354430379747</v>
      </c>
      <c r="R1083" s="129">
        <v>0.943258773903851</v>
      </c>
      <c r="S1083" s="131">
        <v>0.9</v>
      </c>
      <c r="T1083" s="129">
        <v>0.935948674800168</v>
      </c>
      <c r="U1083" s="129">
        <v>0.943604340864615</v>
      </c>
      <c r="V1083" s="129">
        <v>0.93506329113924</v>
      </c>
      <c r="W1083" s="129">
        <v>0.906320978867269</v>
      </c>
      <c r="X1083" s="131">
        <v>0.92</v>
      </c>
      <c r="Y1083" s="131">
        <v>0.942547207713941</v>
      </c>
      <c r="Z1083" s="131">
        <v>0.946641257741782</v>
      </c>
      <c r="AA1083" s="131">
        <v>0.944343065693431</v>
      </c>
      <c r="AB1083" s="131">
        <v>0.949402158063575</v>
      </c>
      <c r="AC1083" s="131">
        <v>0.92</v>
      </c>
      <c r="AD1083" s="129">
        <v>0.99734693877551</v>
      </c>
      <c r="AE1083" s="129">
        <v>0.997909511721666</v>
      </c>
      <c r="AF1083" s="129">
        <v>0.984819734345351</v>
      </c>
      <c r="AG1083" s="129">
        <v>0.996708300568732</v>
      </c>
      <c r="AH1083" s="131">
        <v>0.92</v>
      </c>
      <c r="AI1083" s="129">
        <v>0.969580798399867</v>
      </c>
      <c r="AJ1083" s="129">
        <v>0.97034447034447</v>
      </c>
      <c r="AK1083" s="129">
        <v>0.979215293986885</v>
      </c>
      <c r="AL1083" s="129">
        <v>0.975646932185145</v>
      </c>
      <c r="AM1083" s="128">
        <v>0.99</v>
      </c>
      <c r="AN1083" s="133">
        <v>1</v>
      </c>
      <c r="AO1083" s="133">
        <v>1</v>
      </c>
      <c r="AP1083" s="133">
        <v>1</v>
      </c>
      <c r="AQ1083" s="133">
        <v>1</v>
      </c>
      <c r="AR1083" s="153">
        <v>0.0721861525408278</v>
      </c>
      <c r="AS1083" s="137">
        <v>0.0526315789473684</v>
      </c>
      <c r="AT1083" s="137">
        <v>0.09375</v>
      </c>
      <c r="AU1083" s="137">
        <v>0.148148148148148</v>
      </c>
      <c r="AV1083" s="137">
        <v>0.0527638190954774</v>
      </c>
      <c r="AW1083" s="93"/>
      <c r="AX1083" s="91"/>
    </row>
    <row r="1084" ht="14.5" spans="1:50">
      <c r="A1084" s="89"/>
      <c r="B1084" s="93"/>
      <c r="C1084" s="148" t="s">
        <v>1080</v>
      </c>
      <c r="D1084" s="126" t="s">
        <v>1081</v>
      </c>
      <c r="E1084" s="186" t="s">
        <v>1109</v>
      </c>
      <c r="F1084" s="186" t="s">
        <v>1109</v>
      </c>
      <c r="G1084" s="186" t="s">
        <v>1109</v>
      </c>
      <c r="H1084" s="186" t="s">
        <v>1109</v>
      </c>
      <c r="I1084" s="128">
        <v>0.9</v>
      </c>
      <c r="J1084" s="129">
        <v>1</v>
      </c>
      <c r="K1084" s="129">
        <v>0.954545454545455</v>
      </c>
      <c r="L1084" s="130">
        <v>1</v>
      </c>
      <c r="M1084" s="129">
        <v>0.988970588235294</v>
      </c>
      <c r="N1084" s="131">
        <v>0.9</v>
      </c>
      <c r="O1084" s="129">
        <v>0.933381607530775</v>
      </c>
      <c r="P1084" s="129">
        <v>0.977821265492498</v>
      </c>
      <c r="Q1084" s="129">
        <v>0.973793103448276</v>
      </c>
      <c r="R1084" s="129">
        <v>0.961584143716131</v>
      </c>
      <c r="S1084" s="131">
        <v>0.9</v>
      </c>
      <c r="T1084" s="129">
        <v>0.93157132512672</v>
      </c>
      <c r="U1084" s="129">
        <v>0.958251793868232</v>
      </c>
      <c r="V1084" s="129">
        <v>0.963218390804598</v>
      </c>
      <c r="W1084" s="129">
        <v>0.937235543018336</v>
      </c>
      <c r="X1084" s="131">
        <v>0.92</v>
      </c>
      <c r="Y1084" s="131">
        <v>0.957894736842105</v>
      </c>
      <c r="Z1084" s="131">
        <v>0.973314606741573</v>
      </c>
      <c r="AA1084" s="131">
        <v>0.959558823529412</v>
      </c>
      <c r="AB1084" s="131">
        <v>0.957700276243094</v>
      </c>
      <c r="AC1084" s="131">
        <v>0.92</v>
      </c>
      <c r="AD1084" s="129">
        <v>0.988177339901478</v>
      </c>
      <c r="AE1084" s="129">
        <v>0.993952721275426</v>
      </c>
      <c r="AF1084" s="129">
        <v>0.990384615384615</v>
      </c>
      <c r="AG1084" s="129">
        <v>0.996461707815694</v>
      </c>
      <c r="AH1084" s="131">
        <v>0.92</v>
      </c>
      <c r="AI1084" s="129">
        <v>0.980741173037642</v>
      </c>
      <c r="AJ1084" s="129">
        <v>0.984409799554566</v>
      </c>
      <c r="AK1084" s="129">
        <v>0.986928104575163</v>
      </c>
      <c r="AL1084" s="129">
        <v>0.981854838709677</v>
      </c>
      <c r="AM1084" s="128">
        <v>0.99</v>
      </c>
      <c r="AN1084" s="133">
        <v>1</v>
      </c>
      <c r="AO1084" s="133">
        <v>1</v>
      </c>
      <c r="AP1084" s="133">
        <v>1</v>
      </c>
      <c r="AQ1084" s="133">
        <v>1</v>
      </c>
      <c r="AR1084" s="153">
        <v>0.0721861525408278</v>
      </c>
      <c r="AS1084" s="137">
        <v>0</v>
      </c>
      <c r="AT1084" s="137">
        <v>0</v>
      </c>
      <c r="AU1084" s="137">
        <v>0</v>
      </c>
      <c r="AV1084" s="137">
        <v>0.0689655172413793</v>
      </c>
      <c r="AW1084" s="93"/>
      <c r="AX1084" s="91"/>
    </row>
    <row r="1085" ht="14.5" spans="1:50">
      <c r="A1085" s="89"/>
      <c r="B1085" s="93"/>
      <c r="C1085" s="148" t="s">
        <v>1080</v>
      </c>
      <c r="D1085" s="126" t="s">
        <v>1081</v>
      </c>
      <c r="E1085" s="186" t="s">
        <v>1110</v>
      </c>
      <c r="F1085" s="186" t="s">
        <v>1110</v>
      </c>
      <c r="G1085" s="186" t="s">
        <v>1110</v>
      </c>
      <c r="H1085" s="186" t="s">
        <v>1110</v>
      </c>
      <c r="I1085" s="128">
        <v>0.9</v>
      </c>
      <c r="J1085" s="129">
        <v>0.961538461538462</v>
      </c>
      <c r="K1085" s="129">
        <v>0.944444444444444</v>
      </c>
      <c r="L1085" s="130">
        <v>0.956521739130435</v>
      </c>
      <c r="M1085" s="129">
        <v>0.945652173913043</v>
      </c>
      <c r="N1085" s="131">
        <v>0.9</v>
      </c>
      <c r="O1085" s="129">
        <v>0.969869706840391</v>
      </c>
      <c r="P1085" s="129">
        <v>0.966792452830189</v>
      </c>
      <c r="Q1085" s="129">
        <v>0.959978936282254</v>
      </c>
      <c r="R1085" s="129">
        <v>0.891708258188986</v>
      </c>
      <c r="S1085" s="131">
        <v>0.9</v>
      </c>
      <c r="T1085" s="129">
        <v>0.947068403908795</v>
      </c>
      <c r="U1085" s="129">
        <v>0.95622641509434</v>
      </c>
      <c r="V1085" s="129">
        <v>0.92364402317009</v>
      </c>
      <c r="W1085" s="129">
        <v>0.937927274252401</v>
      </c>
      <c r="X1085" s="131">
        <v>0.92</v>
      </c>
      <c r="Y1085" s="131">
        <v>0.958481613285884</v>
      </c>
      <c r="Z1085" s="131">
        <v>0.948979591836735</v>
      </c>
      <c r="AA1085" s="131">
        <v>0.960725075528701</v>
      </c>
      <c r="AB1085" s="131">
        <v>0.961372619475386</v>
      </c>
      <c r="AC1085" s="131">
        <v>0.92</v>
      </c>
      <c r="AD1085" s="129">
        <v>0.997430773622609</v>
      </c>
      <c r="AE1085" s="129">
        <v>0.995430579964851</v>
      </c>
      <c r="AF1085" s="129">
        <v>0.897826086956522</v>
      </c>
      <c r="AG1085" s="129">
        <v>0.99485416334616</v>
      </c>
      <c r="AH1085" s="131">
        <v>0.92</v>
      </c>
      <c r="AI1085" s="129">
        <v>0.978175204607457</v>
      </c>
      <c r="AJ1085" s="129">
        <v>0.973340303188709</v>
      </c>
      <c r="AK1085" s="129">
        <v>0.979372197309417</v>
      </c>
      <c r="AL1085" s="129">
        <v>0.97967023627401</v>
      </c>
      <c r="AM1085" s="128">
        <v>0.99</v>
      </c>
      <c r="AN1085" s="133">
        <v>1</v>
      </c>
      <c r="AO1085" s="133">
        <v>1</v>
      </c>
      <c r="AP1085" s="133">
        <v>1</v>
      </c>
      <c r="AQ1085" s="133">
        <v>1</v>
      </c>
      <c r="AR1085" s="153">
        <v>0.0721861525408278</v>
      </c>
      <c r="AS1085" s="137">
        <v>0</v>
      </c>
      <c r="AT1085" s="137">
        <v>0</v>
      </c>
      <c r="AU1085" s="137">
        <v>0</v>
      </c>
      <c r="AV1085" s="137">
        <v>0.0106382978723404</v>
      </c>
      <c r="AW1085" s="93"/>
      <c r="AX1085" s="91"/>
    </row>
    <row r="1086" ht="14.5" spans="1:50">
      <c r="A1086" s="89"/>
      <c r="B1086" s="93"/>
      <c r="C1086" s="148" t="s">
        <v>1080</v>
      </c>
      <c r="D1086" s="126" t="s">
        <v>1081</v>
      </c>
      <c r="E1086" s="186" t="s">
        <v>1111</v>
      </c>
      <c r="F1086" s="186" t="s">
        <v>1111</v>
      </c>
      <c r="G1086" s="186" t="s">
        <v>1111</v>
      </c>
      <c r="H1086" s="186" t="s">
        <v>1111</v>
      </c>
      <c r="I1086" s="128">
        <v>0.9</v>
      </c>
      <c r="J1086" s="129">
        <v>1</v>
      </c>
      <c r="K1086" s="129">
        <v>1</v>
      </c>
      <c r="L1086" s="130">
        <v>1</v>
      </c>
      <c r="M1086" s="129">
        <v>0.975429975429975</v>
      </c>
      <c r="N1086" s="131">
        <v>0.9</v>
      </c>
      <c r="O1086" s="129">
        <v>0.976927405740011</v>
      </c>
      <c r="P1086" s="129">
        <v>0.981906443071492</v>
      </c>
      <c r="Q1086" s="129">
        <v>0.985378258105531</v>
      </c>
      <c r="R1086" s="129">
        <v>0.98200155575226</v>
      </c>
      <c r="S1086" s="131">
        <v>0.9</v>
      </c>
      <c r="T1086" s="129">
        <v>0.947101857062465</v>
      </c>
      <c r="U1086" s="129">
        <v>0.938658428949691</v>
      </c>
      <c r="V1086" s="129">
        <v>0.921805467260013</v>
      </c>
      <c r="W1086" s="129">
        <v>0.945092674552721</v>
      </c>
      <c r="X1086" s="131">
        <v>0.92</v>
      </c>
      <c r="Y1086" s="131">
        <v>0.939835916134913</v>
      </c>
      <c r="Z1086" s="131">
        <v>0.925558312655087</v>
      </c>
      <c r="AA1086" s="131">
        <v>0.950431034482759</v>
      </c>
      <c r="AB1086" s="131">
        <v>0.919990389235944</v>
      </c>
      <c r="AC1086" s="131">
        <v>0.92</v>
      </c>
      <c r="AD1086" s="129">
        <v>0.997906855049712</v>
      </c>
      <c r="AE1086" s="129">
        <v>0.995905048307633</v>
      </c>
      <c r="AF1086" s="129">
        <v>0.972446840371369</v>
      </c>
      <c r="AG1086" s="129">
        <v>0.996252212889374</v>
      </c>
      <c r="AH1086" s="131">
        <v>0.92</v>
      </c>
      <c r="AI1086" s="129">
        <v>0.969468931412599</v>
      </c>
      <c r="AJ1086" s="129">
        <v>0.966471354166667</v>
      </c>
      <c r="AK1086" s="129">
        <v>0.97617728531856</v>
      </c>
      <c r="AL1086" s="129">
        <v>0.971187369805942</v>
      </c>
      <c r="AM1086" s="128">
        <v>0.99</v>
      </c>
      <c r="AN1086" s="133">
        <v>1</v>
      </c>
      <c r="AO1086" s="133">
        <v>1</v>
      </c>
      <c r="AP1086" s="133">
        <v>1</v>
      </c>
      <c r="AQ1086" s="133">
        <v>1</v>
      </c>
      <c r="AR1086" s="153">
        <v>0.0721861525408278</v>
      </c>
      <c r="AS1086" s="137">
        <v>0.0476190476190476</v>
      </c>
      <c r="AT1086" s="137">
        <v>0</v>
      </c>
      <c r="AU1086" s="137">
        <v>0.0714285714285714</v>
      </c>
      <c r="AV1086" s="137">
        <v>0.0277777777777778</v>
      </c>
      <c r="AW1086" s="93"/>
      <c r="AX1086" s="91"/>
    </row>
    <row r="1087" ht="14.5" spans="1:50">
      <c r="A1087" s="89"/>
      <c r="B1087" s="93"/>
      <c r="C1087" s="148" t="s">
        <v>1080</v>
      </c>
      <c r="D1087" s="126" t="s">
        <v>1081</v>
      </c>
      <c r="E1087" s="186" t="s">
        <v>1112</v>
      </c>
      <c r="F1087" s="186" t="s">
        <v>1112</v>
      </c>
      <c r="G1087" s="186" t="s">
        <v>1112</v>
      </c>
      <c r="H1087" s="186" t="s">
        <v>1112</v>
      </c>
      <c r="I1087" s="128">
        <v>0.9</v>
      </c>
      <c r="J1087" s="129">
        <v>0.941176470588235</v>
      </c>
      <c r="K1087" s="129">
        <v>0.92</v>
      </c>
      <c r="L1087" s="130">
        <v>0.774193548387097</v>
      </c>
      <c r="M1087" s="129">
        <v>0.895027624309392</v>
      </c>
      <c r="N1087" s="131">
        <v>0.9</v>
      </c>
      <c r="O1087" s="129">
        <v>0.963235294117647</v>
      </c>
      <c r="P1087" s="129">
        <v>0.978260869565217</v>
      </c>
      <c r="Q1087" s="129">
        <v>0.927473262032086</v>
      </c>
      <c r="R1087" s="129">
        <v>0.840920940698664</v>
      </c>
      <c r="S1087" s="131">
        <v>0.9</v>
      </c>
      <c r="T1087" s="129">
        <v>0.922794117647059</v>
      </c>
      <c r="U1087" s="129">
        <v>0.929111531190926</v>
      </c>
      <c r="V1087" s="129">
        <v>0.913435828877005</v>
      </c>
      <c r="W1087" s="129">
        <v>0.9031859718449</v>
      </c>
      <c r="X1087" s="131">
        <v>0.92</v>
      </c>
      <c r="Y1087" s="131">
        <v>0.919230769230769</v>
      </c>
      <c r="Z1087" s="131">
        <v>0.901484480431849</v>
      </c>
      <c r="AA1087" s="131">
        <v>0.821686746987952</v>
      </c>
      <c r="AB1087" s="131">
        <v>0.885788787483703</v>
      </c>
      <c r="AC1087" s="131">
        <v>0.92</v>
      </c>
      <c r="AD1087" s="129">
        <v>0.98746676794531</v>
      </c>
      <c r="AE1087" s="129">
        <v>0.984053862508859</v>
      </c>
      <c r="AF1087" s="129">
        <v>0.990400903444382</v>
      </c>
      <c r="AG1087" s="129">
        <v>0.986327303323517</v>
      </c>
      <c r="AH1087" s="131">
        <v>0.92</v>
      </c>
      <c r="AI1087" s="129">
        <v>0.964379370629371</v>
      </c>
      <c r="AJ1087" s="129">
        <v>0.948547427371369</v>
      </c>
      <c r="AK1087" s="129">
        <v>0.95890813031993</v>
      </c>
      <c r="AL1087" s="129">
        <v>0.959445061546483</v>
      </c>
      <c r="AM1087" s="128">
        <v>0.99</v>
      </c>
      <c r="AN1087" s="133">
        <v>1</v>
      </c>
      <c r="AO1087" s="133">
        <v>1</v>
      </c>
      <c r="AP1087" s="133">
        <v>1</v>
      </c>
      <c r="AQ1087" s="133">
        <v>1</v>
      </c>
      <c r="AR1087" s="153">
        <v>0.0721861525408278</v>
      </c>
      <c r="AS1087" s="137">
        <v>0</v>
      </c>
      <c r="AT1087" s="137">
        <v>0.125</v>
      </c>
      <c r="AU1087" s="137">
        <v>0</v>
      </c>
      <c r="AV1087" s="137">
        <v>0.0253164556962025</v>
      </c>
      <c r="AW1087" s="93"/>
      <c r="AX1087" s="91"/>
    </row>
    <row r="1088" ht="14.5" spans="1:50">
      <c r="A1088" s="89"/>
      <c r="B1088" s="93"/>
      <c r="C1088" s="148" t="s">
        <v>1080</v>
      </c>
      <c r="D1088" s="126" t="s">
        <v>1081</v>
      </c>
      <c r="E1088" s="186" t="s">
        <v>1113</v>
      </c>
      <c r="F1088" s="186" t="s">
        <v>1113</v>
      </c>
      <c r="G1088" s="186" t="s">
        <v>1113</v>
      </c>
      <c r="H1088" s="186" t="s">
        <v>1113</v>
      </c>
      <c r="I1088" s="128">
        <v>0.9</v>
      </c>
      <c r="J1088" s="129">
        <v>0.888888888888889</v>
      </c>
      <c r="K1088" s="129">
        <v>0.916666666666667</v>
      </c>
      <c r="L1088" s="130">
        <v>0.826086956521739</v>
      </c>
      <c r="M1088" s="129">
        <v>0.909688013136289</v>
      </c>
      <c r="N1088" s="131">
        <v>0.9</v>
      </c>
      <c r="O1088" s="129">
        <v>0.966308243727599</v>
      </c>
      <c r="P1088" s="129">
        <v>0.976829612884996</v>
      </c>
      <c r="Q1088" s="129">
        <v>0.753178430512933</v>
      </c>
      <c r="R1088" s="129">
        <v>0.92658659017569</v>
      </c>
      <c r="S1088" s="131">
        <v>0.9</v>
      </c>
      <c r="T1088" s="129">
        <v>0.908960573476703</v>
      </c>
      <c r="U1088" s="129">
        <v>0.943204294998587</v>
      </c>
      <c r="V1088" s="129">
        <v>0.839544059622972</v>
      </c>
      <c r="W1088" s="129">
        <v>0.923825743994263</v>
      </c>
      <c r="X1088" s="131">
        <v>0.92</v>
      </c>
      <c r="Y1088" s="131">
        <v>0.936450839328537</v>
      </c>
      <c r="Z1088" s="131">
        <v>0.948856799037304</v>
      </c>
      <c r="AA1088" s="131">
        <v>0.964705882352941</v>
      </c>
      <c r="AB1088" s="131">
        <v>0.946738885127511</v>
      </c>
      <c r="AC1088" s="131">
        <v>0.92</v>
      </c>
      <c r="AD1088" s="129">
        <v>0.866182922713466</v>
      </c>
      <c r="AE1088" s="129">
        <v>0.988541496153217</v>
      </c>
      <c r="AF1088" s="129">
        <v>0.9854711911633</v>
      </c>
      <c r="AG1088" s="129">
        <v>0.93885946280214</v>
      </c>
      <c r="AH1088" s="131">
        <v>0.92</v>
      </c>
      <c r="AI1088" s="129">
        <v>0.954470198675497</v>
      </c>
      <c r="AJ1088" s="129">
        <v>0.96577581234378</v>
      </c>
      <c r="AK1088" s="129">
        <v>0.968904998092331</v>
      </c>
      <c r="AL1088" s="129">
        <v>0.968845457835686</v>
      </c>
      <c r="AM1088" s="128">
        <v>0.99</v>
      </c>
      <c r="AN1088" s="133">
        <v>1</v>
      </c>
      <c r="AO1088" s="133">
        <v>1</v>
      </c>
      <c r="AP1088" s="133">
        <v>1</v>
      </c>
      <c r="AQ1088" s="133">
        <v>1</v>
      </c>
      <c r="AR1088" s="153">
        <v>0.0721861525408278</v>
      </c>
      <c r="AS1088" s="137">
        <v>0.0222222222222222</v>
      </c>
      <c r="AT1088" s="137">
        <v>0.0238095238095238</v>
      </c>
      <c r="AU1088" s="137">
        <v>0.0681818181818182</v>
      </c>
      <c r="AV1088" s="137">
        <v>0.0204918032786885</v>
      </c>
      <c r="AW1088" s="93"/>
      <c r="AX1088" s="91"/>
    </row>
    <row r="1089" ht="14.5" spans="1:50">
      <c r="A1089" s="89"/>
      <c r="B1089" s="93"/>
      <c r="C1089" s="148" t="s">
        <v>1080</v>
      </c>
      <c r="D1089" s="126" t="s">
        <v>1081</v>
      </c>
      <c r="E1089" s="186" t="s">
        <v>1114</v>
      </c>
      <c r="F1089" s="186" t="s">
        <v>1114</v>
      </c>
      <c r="G1089" s="186" t="s">
        <v>1114</v>
      </c>
      <c r="H1089" s="186" t="s">
        <v>1114</v>
      </c>
      <c r="I1089" s="128">
        <v>0.9</v>
      </c>
      <c r="J1089" s="129">
        <v>0.878048780487805</v>
      </c>
      <c r="K1089" s="129">
        <v>0.972222222222222</v>
      </c>
      <c r="L1089" s="130">
        <v>0.974358974358974</v>
      </c>
      <c r="M1089" s="129">
        <v>0.939583333333333</v>
      </c>
      <c r="N1089" s="131">
        <v>0.9</v>
      </c>
      <c r="O1089" s="129">
        <v>0.963699222126188</v>
      </c>
      <c r="P1089" s="129">
        <v>0.981874276899344</v>
      </c>
      <c r="Q1089" s="129">
        <v>0.987407610183411</v>
      </c>
      <c r="R1089" s="129">
        <v>0.938692898648502</v>
      </c>
      <c r="S1089" s="131">
        <v>0.9</v>
      </c>
      <c r="T1089" s="129">
        <v>0.937121866897148</v>
      </c>
      <c r="U1089" s="129">
        <v>0.964519861164674</v>
      </c>
      <c r="V1089" s="129">
        <v>0.965507801806734</v>
      </c>
      <c r="W1089" s="129">
        <v>0.955167685912642</v>
      </c>
      <c r="X1089" s="131">
        <v>0.92</v>
      </c>
      <c r="Y1089" s="131">
        <v>0.947583947583948</v>
      </c>
      <c r="Z1089" s="131">
        <v>0.964181994191675</v>
      </c>
      <c r="AA1089" s="131">
        <v>0.979206049149338</v>
      </c>
      <c r="AB1089" s="131">
        <v>0.958764940239044</v>
      </c>
      <c r="AC1089" s="131">
        <v>0.92</v>
      </c>
      <c r="AD1089" s="129">
        <v>0.99746192893401</v>
      </c>
      <c r="AE1089" s="129">
        <v>0.988518943742824</v>
      </c>
      <c r="AF1089" s="129">
        <v>0.971191135734072</v>
      </c>
      <c r="AG1089" s="129">
        <v>0.991219099340551</v>
      </c>
      <c r="AH1089" s="131">
        <v>0.92</v>
      </c>
      <c r="AI1089" s="129">
        <v>0.969909386219867</v>
      </c>
      <c r="AJ1089" s="129">
        <v>0.981798124655268</v>
      </c>
      <c r="AK1089" s="129">
        <v>0.984218077474892</v>
      </c>
      <c r="AL1089" s="129">
        <v>0.982514422475843</v>
      </c>
      <c r="AM1089" s="128">
        <v>0.99</v>
      </c>
      <c r="AN1089" s="133">
        <v>1</v>
      </c>
      <c r="AO1089" s="133">
        <v>1</v>
      </c>
      <c r="AP1089" s="133">
        <v>1</v>
      </c>
      <c r="AQ1089" s="133">
        <v>1</v>
      </c>
      <c r="AR1089" s="153">
        <v>0.0721861525408278</v>
      </c>
      <c r="AS1089" s="137">
        <v>0</v>
      </c>
      <c r="AT1089" s="137">
        <v>0</v>
      </c>
      <c r="AU1089" s="137">
        <v>-0.1</v>
      </c>
      <c r="AV1089" s="137">
        <v>0.0201342281879195</v>
      </c>
      <c r="AW1089" s="93"/>
      <c r="AX1089" s="91"/>
    </row>
    <row r="1090" ht="14.5" spans="1:50">
      <c r="A1090" s="89"/>
      <c r="B1090" s="93"/>
      <c r="C1090" s="148" t="s">
        <v>1080</v>
      </c>
      <c r="D1090" s="126" t="s">
        <v>1081</v>
      </c>
      <c r="E1090" s="186" t="s">
        <v>1115</v>
      </c>
      <c r="F1090" s="186" t="s">
        <v>1115</v>
      </c>
      <c r="G1090" s="186" t="s">
        <v>1115</v>
      </c>
      <c r="H1090" s="186" t="s">
        <v>1115</v>
      </c>
      <c r="I1090" s="128">
        <v>0.9</v>
      </c>
      <c r="J1090" s="129">
        <v>0.941176470588235</v>
      </c>
      <c r="K1090" s="129">
        <v>1</v>
      </c>
      <c r="L1090" s="130">
        <v>0.866666666666667</v>
      </c>
      <c r="M1090" s="129">
        <v>0.940860215053763</v>
      </c>
      <c r="N1090" s="131">
        <v>0.9</v>
      </c>
      <c r="O1090" s="129">
        <v>0.952991452991453</v>
      </c>
      <c r="P1090" s="129">
        <v>0.952157598499062</v>
      </c>
      <c r="Q1090" s="129">
        <v>0.967139656460045</v>
      </c>
      <c r="R1090" s="129">
        <v>0.940390953517445</v>
      </c>
      <c r="S1090" s="131">
        <v>0.9</v>
      </c>
      <c r="T1090" s="129">
        <v>0.87232905982906</v>
      </c>
      <c r="U1090" s="129">
        <v>0.934333958724203</v>
      </c>
      <c r="V1090" s="129">
        <v>0.965646004480956</v>
      </c>
      <c r="W1090" s="129">
        <v>0.903341288782816</v>
      </c>
      <c r="X1090" s="131">
        <v>0.92</v>
      </c>
      <c r="Y1090" s="131">
        <v>0.914563106796117</v>
      </c>
      <c r="Z1090" s="131">
        <v>0.939393939393939</v>
      </c>
      <c r="AA1090" s="131">
        <v>0.911504424778761</v>
      </c>
      <c r="AB1090" s="131">
        <v>0.917089249492901</v>
      </c>
      <c r="AC1090" s="131">
        <v>0.92</v>
      </c>
      <c r="AD1090" s="129">
        <v>1</v>
      </c>
      <c r="AE1090" s="129">
        <v>0.997109826589595</v>
      </c>
      <c r="AF1090" s="129">
        <v>0.996644295302013</v>
      </c>
      <c r="AG1090" s="129">
        <v>0.965283657917019</v>
      </c>
      <c r="AH1090" s="131">
        <v>0.92</v>
      </c>
      <c r="AI1090" s="129">
        <v>0.954335986594051</v>
      </c>
      <c r="AJ1090" s="129">
        <v>0.967852257181943</v>
      </c>
      <c r="AK1090" s="129">
        <v>0.976996805111821</v>
      </c>
      <c r="AL1090" s="129">
        <v>0.969362176213908</v>
      </c>
      <c r="AM1090" s="128">
        <v>0.99</v>
      </c>
      <c r="AN1090" s="133">
        <v>1</v>
      </c>
      <c r="AO1090" s="133">
        <v>1</v>
      </c>
      <c r="AP1090" s="133">
        <v>1</v>
      </c>
      <c r="AQ1090" s="133">
        <v>1</v>
      </c>
      <c r="AR1090" s="153">
        <v>0.0721861525408278</v>
      </c>
      <c r="AS1090" s="137">
        <v>0</v>
      </c>
      <c r="AT1090" s="137">
        <v>0</v>
      </c>
      <c r="AU1090" s="137">
        <v>0</v>
      </c>
      <c r="AV1090" s="137">
        <v>0.0769230769230769</v>
      </c>
      <c r="AW1090" s="93"/>
      <c r="AX1090" s="91"/>
    </row>
    <row r="1091" ht="14.5" spans="1:50">
      <c r="A1091" s="89"/>
      <c r="B1091" s="93"/>
      <c r="C1091" s="148" t="s">
        <v>1080</v>
      </c>
      <c r="D1091" s="126" t="s">
        <v>1081</v>
      </c>
      <c r="E1091" s="186" t="s">
        <v>1116</v>
      </c>
      <c r="F1091" s="186" t="s">
        <v>1116</v>
      </c>
      <c r="G1091" s="186" t="s">
        <v>1116</v>
      </c>
      <c r="H1091" s="186" t="s">
        <v>1116</v>
      </c>
      <c r="I1091" s="128">
        <v>0.9</v>
      </c>
      <c r="J1091" s="129">
        <v>0.933333333333333</v>
      </c>
      <c r="K1091" s="129">
        <v>1</v>
      </c>
      <c r="L1091" s="130">
        <v>1</v>
      </c>
      <c r="M1091" s="129">
        <v>0.921052631578947</v>
      </c>
      <c r="N1091" s="131">
        <v>0.9</v>
      </c>
      <c r="O1091" s="129">
        <v>0.981566820276498</v>
      </c>
      <c r="P1091" s="129">
        <v>0.986184210526316</v>
      </c>
      <c r="Q1091" s="129">
        <v>0.991029272898961</v>
      </c>
      <c r="R1091" s="129">
        <v>0.973612413675505</v>
      </c>
      <c r="S1091" s="131">
        <v>0.9</v>
      </c>
      <c r="T1091" s="129">
        <v>0.942396313364055</v>
      </c>
      <c r="U1091" s="129">
        <v>0.894736842105263</v>
      </c>
      <c r="V1091" s="129">
        <v>0.936732766761095</v>
      </c>
      <c r="W1091" s="129">
        <v>0.919814135902464</v>
      </c>
      <c r="X1091" s="131">
        <v>0.92</v>
      </c>
      <c r="Y1091" s="131">
        <v>0.924040720438528</v>
      </c>
      <c r="Z1091" s="131">
        <v>0.914179104477612</v>
      </c>
      <c r="AA1091" s="131">
        <v>0.951596292481977</v>
      </c>
      <c r="AB1091" s="131">
        <v>0.926058704907013</v>
      </c>
      <c r="AC1091" s="131">
        <v>0.92</v>
      </c>
      <c r="AD1091" s="129">
        <v>0.996977025392987</v>
      </c>
      <c r="AE1091" s="129">
        <v>0.99242833964305</v>
      </c>
      <c r="AF1091" s="129">
        <v>0.969359331476323</v>
      </c>
      <c r="AG1091" s="129">
        <v>0.995671944337917</v>
      </c>
      <c r="AH1091" s="131">
        <v>0.92</v>
      </c>
      <c r="AI1091" s="129">
        <v>0.955033362344067</v>
      </c>
      <c r="AJ1091" s="129">
        <v>0.940586419753086</v>
      </c>
      <c r="AK1091" s="129">
        <v>0.974101651019747</v>
      </c>
      <c r="AL1091" s="129">
        <v>0.956445047489824</v>
      </c>
      <c r="AM1091" s="128">
        <v>0.99</v>
      </c>
      <c r="AN1091" s="133">
        <v>1</v>
      </c>
      <c r="AO1091" s="133">
        <v>1</v>
      </c>
      <c r="AP1091" s="133">
        <v>1</v>
      </c>
      <c r="AQ1091" s="133">
        <v>1</v>
      </c>
      <c r="AR1091" s="153">
        <v>0.0721861525408278</v>
      </c>
      <c r="AS1091" s="137">
        <v>0.00769230769230769</v>
      </c>
      <c r="AT1091" s="137">
        <v>0</v>
      </c>
      <c r="AU1091" s="137">
        <v>0.00769230769230769</v>
      </c>
      <c r="AV1091" s="137">
        <v>0.00520833333333333</v>
      </c>
      <c r="AW1091" s="93"/>
      <c r="AX1091" s="91"/>
    </row>
    <row r="1092" ht="14.5" spans="1:50">
      <c r="A1092" s="89"/>
      <c r="B1092" s="93"/>
      <c r="C1092" s="148" t="s">
        <v>1080</v>
      </c>
      <c r="D1092" s="126" t="s">
        <v>1081</v>
      </c>
      <c r="E1092" s="186" t="s">
        <v>1117</v>
      </c>
      <c r="F1092" s="186" t="s">
        <v>1117</v>
      </c>
      <c r="G1092" s="186" t="s">
        <v>1117</v>
      </c>
      <c r="H1092" s="186" t="s">
        <v>1117</v>
      </c>
      <c r="I1092" s="128">
        <v>0.9</v>
      </c>
      <c r="J1092" s="129">
        <v>1</v>
      </c>
      <c r="K1092" s="129">
        <v>1</v>
      </c>
      <c r="L1092" s="130">
        <v>1</v>
      </c>
      <c r="M1092" s="129">
        <v>0.98989898989899</v>
      </c>
      <c r="N1092" s="131">
        <v>0.9</v>
      </c>
      <c r="O1092" s="129">
        <v>0.921334431630972</v>
      </c>
      <c r="P1092" s="129">
        <v>0.971094710947109</v>
      </c>
      <c r="Q1092" s="129">
        <v>0.975251677852349</v>
      </c>
      <c r="R1092" s="129">
        <v>0.948445911430705</v>
      </c>
      <c r="S1092" s="131">
        <v>0.9</v>
      </c>
      <c r="T1092" s="129">
        <v>0.911861614497529</v>
      </c>
      <c r="U1092" s="129">
        <v>0.958794587945879</v>
      </c>
      <c r="V1092" s="129">
        <v>0.938338926174497</v>
      </c>
      <c r="W1092" s="129">
        <v>0.928798774018626</v>
      </c>
      <c r="X1092" s="131">
        <v>0.92</v>
      </c>
      <c r="Y1092" s="131">
        <v>0.954135338345865</v>
      </c>
      <c r="Z1092" s="131">
        <v>0.933677863910422</v>
      </c>
      <c r="AA1092" s="131">
        <v>0.978524743230626</v>
      </c>
      <c r="AB1092" s="131">
        <v>0.956757843925986</v>
      </c>
      <c r="AC1092" s="131">
        <v>0.92</v>
      </c>
      <c r="AD1092" s="129">
        <v>0.996078431372549</v>
      </c>
      <c r="AE1092" s="129">
        <v>0.99917695473251</v>
      </c>
      <c r="AF1092" s="129">
        <v>0.996521739130435</v>
      </c>
      <c r="AG1092" s="129">
        <v>0.994486853265479</v>
      </c>
      <c r="AH1092" s="131">
        <v>0.92</v>
      </c>
      <c r="AI1092" s="129">
        <v>0.976317189994678</v>
      </c>
      <c r="AJ1092" s="129">
        <v>0.967707212055974</v>
      </c>
      <c r="AK1092" s="129">
        <v>0.983212735166425</v>
      </c>
      <c r="AL1092" s="129">
        <v>0.9761438799019</v>
      </c>
      <c r="AM1092" s="128">
        <v>0.99</v>
      </c>
      <c r="AN1092" s="133">
        <v>1</v>
      </c>
      <c r="AO1092" s="133">
        <v>1</v>
      </c>
      <c r="AP1092" s="133">
        <v>1</v>
      </c>
      <c r="AQ1092" s="133">
        <v>1</v>
      </c>
      <c r="AR1092" s="153">
        <v>0.0721861525408278</v>
      </c>
      <c r="AS1092" s="137">
        <v>0.142857142857143</v>
      </c>
      <c r="AT1092" s="137">
        <v>0</v>
      </c>
      <c r="AU1092" s="137">
        <v>0.166666666666667</v>
      </c>
      <c r="AV1092" s="137">
        <v>0.0306122448979592</v>
      </c>
      <c r="AW1092" s="93"/>
      <c r="AX1092" s="91"/>
    </row>
    <row r="1093" ht="14.5" spans="1:50">
      <c r="A1093" s="89"/>
      <c r="B1093" s="93"/>
      <c r="C1093" s="148" t="s">
        <v>1080</v>
      </c>
      <c r="D1093" s="126" t="s">
        <v>1081</v>
      </c>
      <c r="E1093" s="186" t="s">
        <v>1118</v>
      </c>
      <c r="F1093" s="186" t="s">
        <v>1118</v>
      </c>
      <c r="G1093" s="186" t="s">
        <v>1118</v>
      </c>
      <c r="H1093" s="186" t="s">
        <v>1118</v>
      </c>
      <c r="I1093" s="128">
        <v>0.9</v>
      </c>
      <c r="J1093" s="129">
        <v>0.921052631578947</v>
      </c>
      <c r="K1093" s="129">
        <v>0.909090909090909</v>
      </c>
      <c r="L1093" s="130">
        <v>0.891891891891892</v>
      </c>
      <c r="M1093" s="129">
        <v>0.900462962962963</v>
      </c>
      <c r="N1093" s="131">
        <v>0.9</v>
      </c>
      <c r="O1093" s="129">
        <v>0.943403908794788</v>
      </c>
      <c r="P1093" s="129">
        <v>0.918441874619598</v>
      </c>
      <c r="Q1093" s="129">
        <v>0.9496</v>
      </c>
      <c r="R1093" s="129">
        <v>0.952927453341361</v>
      </c>
      <c r="S1093" s="131">
        <v>0.9</v>
      </c>
      <c r="T1093" s="129">
        <v>0.888436482084691</v>
      </c>
      <c r="U1093" s="129">
        <v>0.872185027388923</v>
      </c>
      <c r="V1093" s="129">
        <v>0.9068</v>
      </c>
      <c r="W1093" s="129">
        <v>0.896485550872968</v>
      </c>
      <c r="X1093" s="131">
        <v>0.92</v>
      </c>
      <c r="Y1093" s="131">
        <v>0.928156748911466</v>
      </c>
      <c r="Z1093" s="131">
        <v>0.947859922178988</v>
      </c>
      <c r="AA1093" s="131">
        <v>0.943744752308984</v>
      </c>
      <c r="AB1093" s="131">
        <v>0.944106536910174</v>
      </c>
      <c r="AC1093" s="131">
        <v>0.92</v>
      </c>
      <c r="AD1093" s="129">
        <v>0.98062792251169</v>
      </c>
      <c r="AE1093" s="129">
        <v>0.997910572503134</v>
      </c>
      <c r="AF1093" s="129">
        <v>0.995693367786391</v>
      </c>
      <c r="AG1093" s="129">
        <v>0.993620713917163</v>
      </c>
      <c r="AH1093" s="131">
        <v>0.92</v>
      </c>
      <c r="AI1093" s="129">
        <v>0.946544980443285</v>
      </c>
      <c r="AJ1093" s="129">
        <v>0.961065573770492</v>
      </c>
      <c r="AK1093" s="129">
        <v>0.966404768355459</v>
      </c>
      <c r="AL1093" s="129">
        <v>0.962345079267281</v>
      </c>
      <c r="AM1093" s="128">
        <v>0.99</v>
      </c>
      <c r="AN1093" s="133">
        <v>1</v>
      </c>
      <c r="AO1093" s="133">
        <v>1</v>
      </c>
      <c r="AP1093" s="133">
        <v>1</v>
      </c>
      <c r="AQ1093" s="133">
        <v>1</v>
      </c>
      <c r="AR1093" s="153">
        <v>0.0721861525408278</v>
      </c>
      <c r="AS1093" s="137">
        <v>0.0909090909090909</v>
      </c>
      <c r="AT1093" s="137">
        <v>0</v>
      </c>
      <c r="AU1093" s="137">
        <v>-0.1</v>
      </c>
      <c r="AV1093" s="137">
        <v>0.0211267605633803</v>
      </c>
      <c r="AW1093" s="93"/>
      <c r="AX1093" s="91"/>
    </row>
    <row r="1094" ht="14.5" spans="1:50">
      <c r="A1094" s="89"/>
      <c r="B1094" s="93"/>
      <c r="C1094" s="148" t="s">
        <v>1080</v>
      </c>
      <c r="D1094" s="126" t="s">
        <v>1081</v>
      </c>
      <c r="E1094" s="186" t="s">
        <v>1119</v>
      </c>
      <c r="F1094" s="186" t="s">
        <v>1119</v>
      </c>
      <c r="G1094" s="186" t="s">
        <v>1119</v>
      </c>
      <c r="H1094" s="186" t="s">
        <v>1119</v>
      </c>
      <c r="I1094" s="128">
        <v>0.9</v>
      </c>
      <c r="J1094" s="129">
        <v>0.961538461538462</v>
      </c>
      <c r="K1094" s="129">
        <v>0.95</v>
      </c>
      <c r="L1094" s="130">
        <v>0.91304347826087</v>
      </c>
      <c r="M1094" s="129">
        <v>0.958477508650519</v>
      </c>
      <c r="N1094" s="131">
        <v>0.9</v>
      </c>
      <c r="O1094" s="129">
        <v>0.892048192771084</v>
      </c>
      <c r="P1094" s="129">
        <v>0.942415730337079</v>
      </c>
      <c r="Q1094" s="129">
        <v>0.839319470699433</v>
      </c>
      <c r="R1094" s="129">
        <v>0.915560391730141</v>
      </c>
      <c r="S1094" s="131">
        <v>0.9</v>
      </c>
      <c r="T1094" s="129">
        <v>0.92289156626506</v>
      </c>
      <c r="U1094" s="129">
        <v>0.935393258426966</v>
      </c>
      <c r="V1094" s="129">
        <v>0.911153119092628</v>
      </c>
      <c r="W1094" s="129">
        <v>0.941762785636561</v>
      </c>
      <c r="X1094" s="131">
        <v>0.92</v>
      </c>
      <c r="Y1094" s="131">
        <v>0.930374238468233</v>
      </c>
      <c r="Z1094" s="131">
        <v>0.976293103448276</v>
      </c>
      <c r="AA1094" s="131">
        <v>0.977407847800238</v>
      </c>
      <c r="AB1094" s="131">
        <v>0.969158512720157</v>
      </c>
      <c r="AC1094" s="131">
        <v>0.92</v>
      </c>
      <c r="AD1094" s="129">
        <v>0.937356760886173</v>
      </c>
      <c r="AE1094" s="129">
        <v>0.999130056546324</v>
      </c>
      <c r="AF1094" s="129">
        <v>0.997173144876325</v>
      </c>
      <c r="AG1094" s="129">
        <v>0.993082315799248</v>
      </c>
      <c r="AH1094" s="131">
        <v>0.92</v>
      </c>
      <c r="AI1094" s="129">
        <v>0.958139534883721</v>
      </c>
      <c r="AJ1094" s="129">
        <v>0.983843537414966</v>
      </c>
      <c r="AK1094" s="129">
        <v>0.9871491376395</v>
      </c>
      <c r="AL1094" s="129">
        <v>0.98198651785964</v>
      </c>
      <c r="AM1094" s="128">
        <v>0.99</v>
      </c>
      <c r="AN1094" s="133">
        <v>1</v>
      </c>
      <c r="AO1094" s="133">
        <v>1</v>
      </c>
      <c r="AP1094" s="133">
        <v>1</v>
      </c>
      <c r="AQ1094" s="133">
        <v>1</v>
      </c>
      <c r="AR1094" s="153">
        <v>0.0721861525408278</v>
      </c>
      <c r="AS1094" s="137">
        <v>0.25</v>
      </c>
      <c r="AT1094" s="137">
        <v>0</v>
      </c>
      <c r="AU1094" s="137">
        <v>0.222222222222222</v>
      </c>
      <c r="AV1094" s="137">
        <v>0.103448275862069</v>
      </c>
      <c r="AW1094" s="93"/>
      <c r="AX1094" s="91"/>
    </row>
    <row r="1095" ht="14.5" spans="1:50">
      <c r="A1095" s="89"/>
      <c r="B1095" s="93"/>
      <c r="C1095" s="148" t="s">
        <v>1080</v>
      </c>
      <c r="D1095" s="126" t="s">
        <v>1081</v>
      </c>
      <c r="E1095" s="186" t="s">
        <v>1120</v>
      </c>
      <c r="F1095" s="186" t="s">
        <v>1120</v>
      </c>
      <c r="G1095" s="186" t="s">
        <v>1120</v>
      </c>
      <c r="H1095" s="186" t="s">
        <v>1120</v>
      </c>
      <c r="I1095" s="128">
        <v>0.9</v>
      </c>
      <c r="J1095" s="129">
        <v>1</v>
      </c>
      <c r="K1095" s="129">
        <v>1</v>
      </c>
      <c r="L1095" s="130">
        <v>1</v>
      </c>
      <c r="M1095" s="129">
        <v>0.996363636363636</v>
      </c>
      <c r="N1095" s="131">
        <v>0.9</v>
      </c>
      <c r="O1095" s="129">
        <v>0.979458041958042</v>
      </c>
      <c r="P1095" s="129">
        <v>0.977664326738992</v>
      </c>
      <c r="Q1095" s="129">
        <v>0.97955474784189</v>
      </c>
      <c r="R1095" s="129">
        <v>0.979653288596378</v>
      </c>
      <c r="S1095" s="131">
        <v>0.9</v>
      </c>
      <c r="T1095" s="129">
        <v>0.960227272727273</v>
      </c>
      <c r="U1095" s="129">
        <v>0.964262922782387</v>
      </c>
      <c r="V1095" s="129">
        <v>0.969559291231259</v>
      </c>
      <c r="W1095" s="129">
        <v>0.962833914053426</v>
      </c>
      <c r="X1095" s="131">
        <v>0.92</v>
      </c>
      <c r="Y1095" s="131">
        <v>0.948087431693989</v>
      </c>
      <c r="Z1095" s="131">
        <v>0.960637300843486</v>
      </c>
      <c r="AA1095" s="131">
        <v>0.964391691394659</v>
      </c>
      <c r="AB1095" s="131">
        <v>0.961713419257013</v>
      </c>
      <c r="AC1095" s="131">
        <v>0.92</v>
      </c>
      <c r="AD1095" s="129">
        <v>0.90865712338105</v>
      </c>
      <c r="AE1095" s="129">
        <v>0.999231950844854</v>
      </c>
      <c r="AF1095" s="129">
        <v>0.997948717948718</v>
      </c>
      <c r="AG1095" s="129">
        <v>0.990057772403601</v>
      </c>
      <c r="AH1095" s="131">
        <v>0.92</v>
      </c>
      <c r="AI1095" s="129">
        <v>0.969607553850693</v>
      </c>
      <c r="AJ1095" s="129">
        <v>0.9749430523918</v>
      </c>
      <c r="AK1095" s="129">
        <v>0.980697384806974</v>
      </c>
      <c r="AL1095" s="129">
        <v>0.977828389539829</v>
      </c>
      <c r="AM1095" s="128">
        <v>0.99</v>
      </c>
      <c r="AN1095" s="133">
        <v>1</v>
      </c>
      <c r="AO1095" s="133">
        <v>1</v>
      </c>
      <c r="AP1095" s="133">
        <v>1</v>
      </c>
      <c r="AQ1095" s="133">
        <v>1</v>
      </c>
      <c r="AR1095" s="153">
        <v>0.0721861525408278</v>
      </c>
      <c r="AS1095" s="137">
        <v>0.142857142857143</v>
      </c>
      <c r="AT1095" s="137">
        <v>0</v>
      </c>
      <c r="AU1095" s="137">
        <v>0.25</v>
      </c>
      <c r="AV1095" s="137">
        <v>0.043859649122807</v>
      </c>
      <c r="AW1095" s="93"/>
      <c r="AX1095" s="91"/>
    </row>
    <row r="1096" ht="14.5" spans="1:50">
      <c r="A1096" s="89"/>
      <c r="B1096" s="93"/>
      <c r="C1096" s="148" t="s">
        <v>1080</v>
      </c>
      <c r="D1096" s="126" t="s">
        <v>1081</v>
      </c>
      <c r="E1096" s="186" t="s">
        <v>1121</v>
      </c>
      <c r="F1096" s="186" t="s">
        <v>1121</v>
      </c>
      <c r="G1096" s="186" t="s">
        <v>1121</v>
      </c>
      <c r="H1096" s="186" t="s">
        <v>1121</v>
      </c>
      <c r="I1096" s="128">
        <v>0.9</v>
      </c>
      <c r="J1096" s="129">
        <v>1</v>
      </c>
      <c r="K1096" s="129">
        <v>1</v>
      </c>
      <c r="L1096" s="130">
        <v>0.975609756097561</v>
      </c>
      <c r="M1096" s="129">
        <v>0.989517819706499</v>
      </c>
      <c r="N1096" s="131">
        <v>0.9</v>
      </c>
      <c r="O1096" s="129">
        <v>0.957618025751073</v>
      </c>
      <c r="P1096" s="129">
        <v>0.933987174651075</v>
      </c>
      <c r="Q1096" s="129">
        <v>0.931281507031043</v>
      </c>
      <c r="R1096" s="129">
        <v>0.940700477150868</v>
      </c>
      <c r="S1096" s="131">
        <v>0.9</v>
      </c>
      <c r="T1096" s="129">
        <v>0.968347639484979</v>
      </c>
      <c r="U1096" s="129">
        <v>0.961523953225198</v>
      </c>
      <c r="V1096" s="129">
        <v>0.951180684531706</v>
      </c>
      <c r="W1096" s="129">
        <v>0.952555462639579</v>
      </c>
      <c r="X1096" s="131">
        <v>0.92</v>
      </c>
      <c r="Y1096" s="131">
        <v>0.96492071119654</v>
      </c>
      <c r="Z1096" s="131">
        <v>0.959055118110236</v>
      </c>
      <c r="AA1096" s="131">
        <v>0.964882943143813</v>
      </c>
      <c r="AB1096" s="131">
        <v>0.953617417824466</v>
      </c>
      <c r="AC1096" s="131">
        <v>0.92</v>
      </c>
      <c r="AD1096" s="129">
        <v>0.997998398718975</v>
      </c>
      <c r="AE1096" s="129">
        <v>0.323170731707317</v>
      </c>
      <c r="AF1096" s="129">
        <v>0.99673242163863</v>
      </c>
      <c r="AG1096" s="129">
        <v>0.934909486596103</v>
      </c>
      <c r="AH1096" s="131">
        <v>0.92</v>
      </c>
      <c r="AI1096" s="129">
        <v>0.979686693062489</v>
      </c>
      <c r="AJ1096" s="129">
        <v>0.975192096597146</v>
      </c>
      <c r="AK1096" s="129">
        <v>0.979687219126371</v>
      </c>
      <c r="AL1096" s="129">
        <v>0.97141701286779</v>
      </c>
      <c r="AM1096" s="128">
        <v>0.99</v>
      </c>
      <c r="AN1096" s="133">
        <v>1</v>
      </c>
      <c r="AO1096" s="133">
        <v>1</v>
      </c>
      <c r="AP1096" s="133">
        <v>1</v>
      </c>
      <c r="AQ1096" s="133">
        <v>1</v>
      </c>
      <c r="AR1096" s="153">
        <v>0.0721861525408278</v>
      </c>
      <c r="AS1096" s="137">
        <v>0</v>
      </c>
      <c r="AT1096" s="137">
        <v>0.0434782608695652</v>
      </c>
      <c r="AU1096" s="137">
        <v>0.0588235294117647</v>
      </c>
      <c r="AV1096" s="137">
        <v>0.0613207547169811</v>
      </c>
      <c r="AW1096" s="93"/>
      <c r="AX1096" s="91"/>
    </row>
    <row r="1097" ht="14.5" spans="1:50">
      <c r="A1097" s="89"/>
      <c r="B1097" s="93"/>
      <c r="C1097" s="148" t="s">
        <v>1080</v>
      </c>
      <c r="D1097" s="126" t="s">
        <v>1081</v>
      </c>
      <c r="E1097" s="186" t="s">
        <v>1122</v>
      </c>
      <c r="F1097" s="186" t="s">
        <v>1122</v>
      </c>
      <c r="G1097" s="186" t="s">
        <v>1122</v>
      </c>
      <c r="H1097" s="186" t="s">
        <v>1122</v>
      </c>
      <c r="I1097" s="128">
        <v>0.9</v>
      </c>
      <c r="J1097" s="129">
        <v>0.952380952380952</v>
      </c>
      <c r="K1097" s="129">
        <v>0.933333333333333</v>
      </c>
      <c r="L1097" s="130">
        <v>0.861111111111111</v>
      </c>
      <c r="M1097" s="129">
        <v>0.911308203991131</v>
      </c>
      <c r="N1097" s="131">
        <v>0.9</v>
      </c>
      <c r="O1097" s="129">
        <v>0.959900528442648</v>
      </c>
      <c r="P1097" s="129">
        <v>0.939447907390917</v>
      </c>
      <c r="Q1097" s="129">
        <v>0.954378444580527</v>
      </c>
      <c r="R1097" s="129">
        <v>0.934873708381171</v>
      </c>
      <c r="S1097" s="131">
        <v>0.9</v>
      </c>
      <c r="T1097" s="129">
        <v>0.938451973888716</v>
      </c>
      <c r="U1097" s="129">
        <v>0.906945681211042</v>
      </c>
      <c r="V1097" s="129">
        <v>0.921310471524801</v>
      </c>
      <c r="W1097" s="129">
        <v>0.922904707233065</v>
      </c>
      <c r="X1097" s="131">
        <v>0.92</v>
      </c>
      <c r="Y1097" s="131">
        <v>0.947573898494144</v>
      </c>
      <c r="Z1097" s="131">
        <v>0.947627849661121</v>
      </c>
      <c r="AA1097" s="131">
        <v>0.960858585858586</v>
      </c>
      <c r="AB1097" s="131">
        <v>0.955297447659948</v>
      </c>
      <c r="AC1097" s="131">
        <v>0.92</v>
      </c>
      <c r="AD1097" s="129">
        <v>1</v>
      </c>
      <c r="AE1097" s="129">
        <v>0.991379310344828</v>
      </c>
      <c r="AF1097" s="129">
        <v>0.996231155778894</v>
      </c>
      <c r="AG1097" s="129">
        <v>0.982442650262719</v>
      </c>
      <c r="AH1097" s="131">
        <v>0.92</v>
      </c>
      <c r="AI1097" s="129">
        <v>0.968063872255489</v>
      </c>
      <c r="AJ1097" s="129">
        <v>0.963288521199586</v>
      </c>
      <c r="AK1097" s="129">
        <v>0.978969072164948</v>
      </c>
      <c r="AL1097" s="129">
        <v>0.971880365049245</v>
      </c>
      <c r="AM1097" s="128">
        <v>0.99</v>
      </c>
      <c r="AN1097" s="133">
        <v>1</v>
      </c>
      <c r="AO1097" s="133">
        <v>1</v>
      </c>
      <c r="AP1097" s="133">
        <v>1</v>
      </c>
      <c r="AQ1097" s="133">
        <v>1</v>
      </c>
      <c r="AR1097" s="153">
        <v>0.0721861525408278</v>
      </c>
      <c r="AS1097" s="137">
        <v>0</v>
      </c>
      <c r="AT1097" s="137">
        <v>0</v>
      </c>
      <c r="AU1097" s="137">
        <v>0</v>
      </c>
      <c r="AV1097" s="137">
        <v>0.0467836257309941</v>
      </c>
      <c r="AW1097" s="93"/>
      <c r="AX1097" s="91"/>
    </row>
    <row r="1098" ht="14.5" spans="1:50">
      <c r="A1098" s="89"/>
      <c r="B1098" s="93"/>
      <c r="C1098" s="148" t="s">
        <v>1080</v>
      </c>
      <c r="D1098" s="126" t="s">
        <v>1081</v>
      </c>
      <c r="E1098" s="186" t="s">
        <v>1123</v>
      </c>
      <c r="F1098" s="186" t="s">
        <v>1123</v>
      </c>
      <c r="G1098" s="186" t="s">
        <v>1123</v>
      </c>
      <c r="H1098" s="186" t="s">
        <v>1123</v>
      </c>
      <c r="I1098" s="128">
        <v>0.9</v>
      </c>
      <c r="J1098" s="129">
        <v>1</v>
      </c>
      <c r="K1098" s="129">
        <v>1</v>
      </c>
      <c r="L1098" s="130">
        <v>1</v>
      </c>
      <c r="M1098" s="129">
        <v>1</v>
      </c>
      <c r="N1098" s="131">
        <v>0.9</v>
      </c>
      <c r="O1098" s="129">
        <v>0.993247391037446</v>
      </c>
      <c r="P1098" s="129">
        <v>0.992202729044834</v>
      </c>
      <c r="Q1098" s="129">
        <v>0.968537939543492</v>
      </c>
      <c r="R1098" s="129">
        <v>0.984621495857451</v>
      </c>
      <c r="S1098" s="131">
        <v>0.9</v>
      </c>
      <c r="T1098" s="129">
        <v>0.944137507673419</v>
      </c>
      <c r="U1098" s="129">
        <v>0.93859649122807</v>
      </c>
      <c r="V1098" s="129">
        <v>0.942628007402838</v>
      </c>
      <c r="W1098" s="129">
        <v>0.937521280217909</v>
      </c>
      <c r="X1098" s="131">
        <v>0.92</v>
      </c>
      <c r="Y1098" s="131">
        <v>0.954157782515991</v>
      </c>
      <c r="Z1098" s="131">
        <v>0.973365617433414</v>
      </c>
      <c r="AA1098" s="131">
        <v>0.975032851511169</v>
      </c>
      <c r="AB1098" s="131">
        <v>0.969851252870121</v>
      </c>
      <c r="AC1098" s="131">
        <v>0.92</v>
      </c>
      <c r="AD1098" s="129">
        <v>0.998693379790941</v>
      </c>
      <c r="AE1098" s="129">
        <v>0.996170212765957</v>
      </c>
      <c r="AF1098" s="129">
        <v>0.99484052532833</v>
      </c>
      <c r="AG1098" s="129">
        <v>0.996737895392735</v>
      </c>
      <c r="AH1098" s="131">
        <v>0.92</v>
      </c>
      <c r="AI1098" s="129">
        <v>0.966497857421114</v>
      </c>
      <c r="AJ1098" s="129">
        <v>0.97784981091302</v>
      </c>
      <c r="AK1098" s="129">
        <v>0.984466834592779</v>
      </c>
      <c r="AL1098" s="129">
        <v>0.981188727706834</v>
      </c>
      <c r="AM1098" s="128">
        <v>0.99</v>
      </c>
      <c r="AN1098" s="133">
        <v>1</v>
      </c>
      <c r="AO1098" s="133">
        <v>1</v>
      </c>
      <c r="AP1098" s="133">
        <v>1</v>
      </c>
      <c r="AQ1098" s="133">
        <v>1</v>
      </c>
      <c r="AR1098" s="153">
        <v>0.0721861525408278</v>
      </c>
      <c r="AS1098" s="137">
        <v>0</v>
      </c>
      <c r="AT1098" s="137">
        <v>0</v>
      </c>
      <c r="AU1098" s="137">
        <v>0</v>
      </c>
      <c r="AV1098" s="137">
        <v>0.0263157894736842</v>
      </c>
      <c r="AW1098" s="93"/>
      <c r="AX1098" s="91"/>
    </row>
    <row r="1099" ht="14.5" spans="1:50">
      <c r="A1099" s="89"/>
      <c r="B1099" s="93"/>
      <c r="C1099" s="148" t="s">
        <v>1080</v>
      </c>
      <c r="D1099" s="126" t="s">
        <v>1081</v>
      </c>
      <c r="E1099" s="186" t="s">
        <v>1124</v>
      </c>
      <c r="F1099" s="186" t="s">
        <v>1124</v>
      </c>
      <c r="G1099" s="186" t="s">
        <v>1124</v>
      </c>
      <c r="H1099" s="186" t="s">
        <v>1124</v>
      </c>
      <c r="I1099" s="128">
        <v>0.9</v>
      </c>
      <c r="J1099" s="129">
        <v>0.973684210526316</v>
      </c>
      <c r="K1099" s="129">
        <v>0.939393939393939</v>
      </c>
      <c r="L1099" s="130">
        <v>0.885714285714286</v>
      </c>
      <c r="M1099" s="129">
        <v>0.957647058823529</v>
      </c>
      <c r="N1099" s="131">
        <v>0.9</v>
      </c>
      <c r="O1099" s="129">
        <v>0.95834628535903</v>
      </c>
      <c r="P1099" s="129">
        <v>0.943405511811024</v>
      </c>
      <c r="Q1099" s="129">
        <v>0.932459016393443</v>
      </c>
      <c r="R1099" s="129">
        <v>0.9533598985691</v>
      </c>
      <c r="S1099" s="131">
        <v>0.9</v>
      </c>
      <c r="T1099" s="129">
        <v>0.896798259247746</v>
      </c>
      <c r="U1099" s="129">
        <v>0.84005905511811</v>
      </c>
      <c r="V1099" s="129">
        <v>0.878360655737705</v>
      </c>
      <c r="W1099" s="129">
        <v>0.896908772565357</v>
      </c>
      <c r="X1099" s="131">
        <v>0.92</v>
      </c>
      <c r="Y1099" s="131">
        <v>0.904451038575668</v>
      </c>
      <c r="Z1099" s="131">
        <v>0.943671305500331</v>
      </c>
      <c r="AA1099" s="131">
        <v>0.956068503350707</v>
      </c>
      <c r="AB1099" s="131">
        <v>0.9557215546173</v>
      </c>
      <c r="AC1099" s="131">
        <v>0.92</v>
      </c>
      <c r="AD1099" s="129">
        <v>0.997161778618732</v>
      </c>
      <c r="AE1099" s="129">
        <v>0.997025580011898</v>
      </c>
      <c r="AF1099" s="129">
        <v>1</v>
      </c>
      <c r="AG1099" s="129">
        <v>0.997513440860215</v>
      </c>
      <c r="AH1099" s="131">
        <v>0.92</v>
      </c>
      <c r="AI1099" s="129">
        <v>0.94859241126071</v>
      </c>
      <c r="AJ1099" s="129">
        <v>0.964416831403558</v>
      </c>
      <c r="AK1099" s="129">
        <v>0.947416344183929</v>
      </c>
      <c r="AL1099" s="129">
        <v>0.97217377824284</v>
      </c>
      <c r="AM1099" s="128">
        <v>0.99</v>
      </c>
      <c r="AN1099" s="133">
        <v>1</v>
      </c>
      <c r="AO1099" s="133">
        <v>1</v>
      </c>
      <c r="AP1099" s="133">
        <v>1</v>
      </c>
      <c r="AQ1099" s="133">
        <v>1</v>
      </c>
      <c r="AR1099" s="153">
        <v>0.0721861525408278</v>
      </c>
      <c r="AS1099" s="137">
        <v>0.285714285714286</v>
      </c>
      <c r="AT1099" s="137">
        <v>0</v>
      </c>
      <c r="AU1099" s="137">
        <v>0</v>
      </c>
      <c r="AV1099" s="137">
        <v>0.0166666666666667</v>
      </c>
      <c r="AW1099" s="93"/>
      <c r="AX1099" s="91"/>
    </row>
    <row r="1100" ht="14.5" spans="1:50">
      <c r="A1100" s="89"/>
      <c r="B1100" s="93"/>
      <c r="C1100" s="148" t="s">
        <v>1080</v>
      </c>
      <c r="D1100" s="126" t="s">
        <v>1081</v>
      </c>
      <c r="E1100" s="186" t="s">
        <v>1125</v>
      </c>
      <c r="F1100" s="186" t="s">
        <v>1125</v>
      </c>
      <c r="G1100" s="186" t="s">
        <v>1125</v>
      </c>
      <c r="H1100" s="186" t="s">
        <v>1125</v>
      </c>
      <c r="I1100" s="128">
        <v>0.9</v>
      </c>
      <c r="J1100" s="129">
        <v>0.8</v>
      </c>
      <c r="K1100" s="129">
        <v>0.866666666666667</v>
      </c>
      <c r="L1100" s="130">
        <v>0.935483870967742</v>
      </c>
      <c r="M1100" s="129">
        <v>0.903141361256545</v>
      </c>
      <c r="N1100" s="131">
        <v>0.9</v>
      </c>
      <c r="O1100" s="129">
        <v>0.959847036328872</v>
      </c>
      <c r="P1100" s="129">
        <v>0.971885336273429</v>
      </c>
      <c r="Q1100" s="129">
        <v>0.964975845410628</v>
      </c>
      <c r="R1100" s="129">
        <v>0.954053167049557</v>
      </c>
      <c r="S1100" s="131">
        <v>0.9</v>
      </c>
      <c r="T1100" s="129">
        <v>0.898661567877629</v>
      </c>
      <c r="U1100" s="129">
        <v>0.929437706725469</v>
      </c>
      <c r="V1100" s="129">
        <v>0.889291465378422</v>
      </c>
      <c r="W1100" s="129">
        <v>0.909674360937899</v>
      </c>
      <c r="X1100" s="131">
        <v>0.92</v>
      </c>
      <c r="Y1100" s="131">
        <v>0.905673758865248</v>
      </c>
      <c r="Z1100" s="131">
        <v>0.923022095509622</v>
      </c>
      <c r="AA1100" s="131">
        <v>0.934595524956971</v>
      </c>
      <c r="AB1100" s="131">
        <v>0.916174203494347</v>
      </c>
      <c r="AC1100" s="131">
        <v>0.92</v>
      </c>
      <c r="AD1100" s="129">
        <v>0.991023339317774</v>
      </c>
      <c r="AE1100" s="129">
        <v>1</v>
      </c>
      <c r="AF1100" s="129">
        <v>0.995918367346939</v>
      </c>
      <c r="AG1100" s="129">
        <v>0.990790176187934</v>
      </c>
      <c r="AH1100" s="131">
        <v>0.92</v>
      </c>
      <c r="AI1100" s="129">
        <v>0.942360248447205</v>
      </c>
      <c r="AJ1100" s="129">
        <v>0.943407960199005</v>
      </c>
      <c r="AK1100" s="129">
        <v>0.958859023587493</v>
      </c>
      <c r="AL1100" s="129">
        <v>0.950635318122797</v>
      </c>
      <c r="AM1100" s="128">
        <v>0.99</v>
      </c>
      <c r="AN1100" s="133">
        <v>1</v>
      </c>
      <c r="AO1100" s="133">
        <v>1</v>
      </c>
      <c r="AP1100" s="133">
        <v>1</v>
      </c>
      <c r="AQ1100" s="133">
        <v>1</v>
      </c>
      <c r="AR1100" s="153">
        <v>0.0721861525408278</v>
      </c>
      <c r="AS1100" s="137">
        <v>0</v>
      </c>
      <c r="AT1100" s="137">
        <v>0</v>
      </c>
      <c r="AU1100" s="137">
        <v>0</v>
      </c>
      <c r="AV1100" s="137">
        <v>0.0612244897959184</v>
      </c>
      <c r="AW1100" s="93"/>
      <c r="AX1100" s="91"/>
    </row>
    <row r="1101" ht="14.5" spans="1:50">
      <c r="A1101" s="89"/>
      <c r="B1101" s="93"/>
      <c r="C1101" s="148" t="s">
        <v>1080</v>
      </c>
      <c r="D1101" s="126" t="s">
        <v>1081</v>
      </c>
      <c r="E1101" s="186" t="s">
        <v>1126</v>
      </c>
      <c r="F1101" s="186" t="s">
        <v>1126</v>
      </c>
      <c r="G1101" s="186" t="s">
        <v>1126</v>
      </c>
      <c r="H1101" s="186" t="s">
        <v>1126</v>
      </c>
      <c r="I1101" s="128">
        <v>0.9</v>
      </c>
      <c r="J1101" s="129">
        <v>0.9375</v>
      </c>
      <c r="K1101" s="129">
        <v>0.931034482758621</v>
      </c>
      <c r="L1101" s="130">
        <v>0.96551724137931</v>
      </c>
      <c r="M1101" s="129">
        <v>0.971671388101983</v>
      </c>
      <c r="N1101" s="131">
        <v>0.9</v>
      </c>
      <c r="O1101" s="129">
        <v>0.936122525214793</v>
      </c>
      <c r="P1101" s="129">
        <v>0.953409090909091</v>
      </c>
      <c r="Q1101" s="129">
        <v>0.899179366940211</v>
      </c>
      <c r="R1101" s="129">
        <v>0.941730165844913</v>
      </c>
      <c r="S1101" s="131">
        <v>0.9</v>
      </c>
      <c r="T1101" s="129">
        <v>0.940605155024281</v>
      </c>
      <c r="U1101" s="129">
        <v>0.927272727272727</v>
      </c>
      <c r="V1101" s="129">
        <v>0.910511918718249</v>
      </c>
      <c r="W1101" s="129">
        <v>0.928096518750934</v>
      </c>
      <c r="X1101" s="131">
        <v>0.92</v>
      </c>
      <c r="Y1101" s="131">
        <v>0.887367766023647</v>
      </c>
      <c r="Z1101" s="131">
        <v>0.946841294298921</v>
      </c>
      <c r="AA1101" s="131">
        <v>0.838599487617421</v>
      </c>
      <c r="AB1101" s="131">
        <v>0.931952474744266</v>
      </c>
      <c r="AC1101" s="131">
        <v>0.92</v>
      </c>
      <c r="AD1101" s="129">
        <v>0.980769230769231</v>
      </c>
      <c r="AE1101" s="129">
        <v>0.989714285714286</v>
      </c>
      <c r="AF1101" s="129">
        <v>0.997987927565392</v>
      </c>
      <c r="AG1101" s="129">
        <v>0.993809286070894</v>
      </c>
      <c r="AH1101" s="131">
        <v>0.92</v>
      </c>
      <c r="AI1101" s="129">
        <v>0.943043884220355</v>
      </c>
      <c r="AJ1101" s="129">
        <v>0.964998364409552</v>
      </c>
      <c r="AK1101" s="129">
        <v>0.938086303939963</v>
      </c>
      <c r="AL1101" s="129">
        <v>0.9615438893593</v>
      </c>
      <c r="AM1101" s="128">
        <v>0.99</v>
      </c>
      <c r="AN1101" s="133">
        <v>1</v>
      </c>
      <c r="AO1101" s="133">
        <v>1</v>
      </c>
      <c r="AP1101" s="133">
        <v>1</v>
      </c>
      <c r="AQ1101" s="133">
        <v>1</v>
      </c>
      <c r="AR1101" s="153">
        <v>0.0721861525408278</v>
      </c>
      <c r="AS1101" s="137">
        <v>0</v>
      </c>
      <c r="AT1101" s="137">
        <v>0.125</v>
      </c>
      <c r="AU1101" s="137">
        <v>0</v>
      </c>
      <c r="AV1101" s="137">
        <v>0.031496062992126</v>
      </c>
      <c r="AW1101" s="93"/>
      <c r="AX1101" s="91"/>
    </row>
    <row r="1102" ht="14.5" spans="1:50">
      <c r="A1102" s="89"/>
      <c r="B1102" s="93"/>
      <c r="C1102" s="148" t="s">
        <v>1080</v>
      </c>
      <c r="D1102" s="126" t="s">
        <v>1081</v>
      </c>
      <c r="E1102" s="186" t="s">
        <v>1127</v>
      </c>
      <c r="F1102" s="186" t="s">
        <v>1127</v>
      </c>
      <c r="G1102" s="186" t="s">
        <v>1127</v>
      </c>
      <c r="H1102" s="186" t="s">
        <v>1127</v>
      </c>
      <c r="I1102" s="128">
        <v>0.9</v>
      </c>
      <c r="J1102" s="129">
        <v>0.91304347826087</v>
      </c>
      <c r="K1102" s="129">
        <v>1</v>
      </c>
      <c r="L1102" s="130">
        <v>1</v>
      </c>
      <c r="M1102" s="129">
        <v>0.980544747081712</v>
      </c>
      <c r="N1102" s="131">
        <v>0.9</v>
      </c>
      <c r="O1102" s="129">
        <v>0.957459556620731</v>
      </c>
      <c r="P1102" s="129">
        <v>0.943548387096774</v>
      </c>
      <c r="Q1102" s="129">
        <v>0.963302752293578</v>
      </c>
      <c r="R1102" s="129">
        <v>0.956476227205113</v>
      </c>
      <c r="S1102" s="131">
        <v>0.9</v>
      </c>
      <c r="T1102" s="129">
        <v>0.959856201318155</v>
      </c>
      <c r="U1102" s="129">
        <v>0.933870967741935</v>
      </c>
      <c r="V1102" s="129">
        <v>0.948012232415902</v>
      </c>
      <c r="W1102" s="129">
        <v>0.947496005729712</v>
      </c>
      <c r="X1102" s="131">
        <v>0.92</v>
      </c>
      <c r="Y1102" s="131">
        <v>0.956696878147029</v>
      </c>
      <c r="Z1102" s="131">
        <v>0.933098591549296</v>
      </c>
      <c r="AA1102" s="131">
        <v>0.946475195822454</v>
      </c>
      <c r="AB1102" s="131">
        <v>0.947958144272618</v>
      </c>
      <c r="AC1102" s="131">
        <v>0.92</v>
      </c>
      <c r="AD1102" s="129">
        <v>1</v>
      </c>
      <c r="AE1102" s="129">
        <v>0.998069498069498</v>
      </c>
      <c r="AF1102" s="129">
        <v>0.991501416430595</v>
      </c>
      <c r="AG1102" s="129">
        <v>0.997309482257126</v>
      </c>
      <c r="AH1102" s="131">
        <v>0.92</v>
      </c>
      <c r="AI1102" s="129">
        <v>0.969571750563486</v>
      </c>
      <c r="AJ1102" s="129">
        <v>0.951242829827916</v>
      </c>
      <c r="AK1102" s="129">
        <v>0.969596001665972</v>
      </c>
      <c r="AL1102" s="129">
        <v>0.967154797264627</v>
      </c>
      <c r="AM1102" s="128">
        <v>0.99</v>
      </c>
      <c r="AN1102" s="133">
        <v>1</v>
      </c>
      <c r="AO1102" s="133">
        <v>1</v>
      </c>
      <c r="AP1102" s="133">
        <v>1</v>
      </c>
      <c r="AQ1102" s="133">
        <v>1</v>
      </c>
      <c r="AR1102" s="153">
        <v>0.0721861525408278</v>
      </c>
      <c r="AS1102" s="137">
        <v>0</v>
      </c>
      <c r="AT1102" s="137">
        <v>0</v>
      </c>
      <c r="AU1102" s="137">
        <v>0</v>
      </c>
      <c r="AV1102" s="137">
        <v>0.0606060606060606</v>
      </c>
      <c r="AW1102" s="93"/>
      <c r="AX1102" s="91"/>
    </row>
    <row r="1103" ht="14.5" spans="1:50">
      <c r="A1103" s="89"/>
      <c r="B1103" s="93"/>
      <c r="C1103" s="148" t="s">
        <v>1080</v>
      </c>
      <c r="D1103" s="126" t="s">
        <v>1081</v>
      </c>
      <c r="E1103" s="186" t="s">
        <v>1128</v>
      </c>
      <c r="F1103" s="186" t="s">
        <v>1128</v>
      </c>
      <c r="G1103" s="186" t="s">
        <v>1128</v>
      </c>
      <c r="H1103" s="186" t="s">
        <v>1128</v>
      </c>
      <c r="I1103" s="128">
        <v>0.9</v>
      </c>
      <c r="J1103" s="129">
        <v>0.96</v>
      </c>
      <c r="K1103" s="129">
        <v>0.956521739130435</v>
      </c>
      <c r="L1103" s="130">
        <v>1</v>
      </c>
      <c r="M1103" s="129">
        <v>0.933566433566434</v>
      </c>
      <c r="N1103" s="131">
        <v>0.9</v>
      </c>
      <c r="O1103" s="129">
        <v>0.975308641975309</v>
      </c>
      <c r="P1103" s="129">
        <v>0.988914819136523</v>
      </c>
      <c r="Q1103" s="129">
        <v>0.983161117489476</v>
      </c>
      <c r="R1103" s="129">
        <v>0.980895331939177</v>
      </c>
      <c r="S1103" s="131">
        <v>0.9</v>
      </c>
      <c r="T1103" s="129">
        <v>0.941975308641975</v>
      </c>
      <c r="U1103" s="129">
        <v>0.971411901983664</v>
      </c>
      <c r="V1103" s="129">
        <v>0.948717948717949</v>
      </c>
      <c r="W1103" s="129">
        <v>0.945698791337327</v>
      </c>
      <c r="X1103" s="131">
        <v>0.92</v>
      </c>
      <c r="Y1103" s="131" t="s">
        <v>33</v>
      </c>
      <c r="Z1103" s="131" t="s">
        <v>33</v>
      </c>
      <c r="AA1103" s="131" t="s">
        <v>33</v>
      </c>
      <c r="AB1103" s="131" t="s">
        <v>33</v>
      </c>
      <c r="AC1103" s="131">
        <v>0.92</v>
      </c>
      <c r="AD1103" s="129">
        <v>1</v>
      </c>
      <c r="AE1103" s="129">
        <v>0.994805194805195</v>
      </c>
      <c r="AF1103" s="129">
        <v>0.995884773662551</v>
      </c>
      <c r="AG1103" s="129">
        <v>0.999098557692308</v>
      </c>
      <c r="AH1103" s="131">
        <v>0.92</v>
      </c>
      <c r="AI1103" s="129">
        <v>0.968312757201646</v>
      </c>
      <c r="AJ1103" s="129">
        <v>0.974912485414236</v>
      </c>
      <c r="AK1103" s="129">
        <v>0.978185993111366</v>
      </c>
      <c r="AL1103" s="129">
        <v>0.977493442971574</v>
      </c>
      <c r="AM1103" s="128">
        <v>0.99</v>
      </c>
      <c r="AN1103" s="133">
        <v>1</v>
      </c>
      <c r="AO1103" s="133">
        <v>1</v>
      </c>
      <c r="AP1103" s="133">
        <v>1</v>
      </c>
      <c r="AQ1103" s="133">
        <v>1</v>
      </c>
      <c r="AR1103" s="153">
        <v>0.0721861525408278</v>
      </c>
      <c r="AS1103" s="137">
        <v>0</v>
      </c>
      <c r="AT1103" s="137">
        <v>0</v>
      </c>
      <c r="AU1103" s="137">
        <v>0.166666666666667</v>
      </c>
      <c r="AV1103" s="137">
        <v>0.0447761194029851</v>
      </c>
      <c r="AW1103" s="93"/>
      <c r="AX1103" s="91"/>
    </row>
    <row r="1104" ht="14.5" spans="1:50">
      <c r="A1104" s="89"/>
      <c r="B1104" s="93"/>
      <c r="C1104" s="148" t="s">
        <v>1080</v>
      </c>
      <c r="D1104" s="126" t="s">
        <v>1081</v>
      </c>
      <c r="E1104" s="186" t="s">
        <v>1129</v>
      </c>
      <c r="F1104" s="186" t="s">
        <v>1129</v>
      </c>
      <c r="G1104" s="186" t="s">
        <v>1129</v>
      </c>
      <c r="H1104" s="186" t="s">
        <v>1129</v>
      </c>
      <c r="I1104" s="128">
        <v>0.9</v>
      </c>
      <c r="J1104" s="129">
        <v>0.909090909090909</v>
      </c>
      <c r="K1104" s="129">
        <v>0.871794871794872</v>
      </c>
      <c r="L1104" s="130">
        <v>0.909090909090909</v>
      </c>
      <c r="M1104" s="129">
        <v>0.939622641509434</v>
      </c>
      <c r="N1104" s="131">
        <v>0.9</v>
      </c>
      <c r="O1104" s="129">
        <v>0.963411424058963</v>
      </c>
      <c r="P1104" s="129">
        <v>0.986851716581446</v>
      </c>
      <c r="Q1104" s="129">
        <v>0.965746421267894</v>
      </c>
      <c r="R1104" s="129">
        <v>0.981899060644062</v>
      </c>
      <c r="S1104" s="131">
        <v>0.9</v>
      </c>
      <c r="T1104" s="129">
        <v>0.862595419847328</v>
      </c>
      <c r="U1104" s="129">
        <v>0.901387874360847</v>
      </c>
      <c r="V1104" s="129">
        <v>0.846625766871166</v>
      </c>
      <c r="W1104" s="129">
        <v>0.886496462626884</v>
      </c>
      <c r="X1104" s="131">
        <v>0.92</v>
      </c>
      <c r="Y1104" s="131" t="s">
        <v>33</v>
      </c>
      <c r="Z1104" s="131" t="s">
        <v>33</v>
      </c>
      <c r="AA1104" s="131" t="s">
        <v>33</v>
      </c>
      <c r="AB1104" s="131" t="s">
        <v>33</v>
      </c>
      <c r="AC1104" s="131">
        <v>0.92</v>
      </c>
      <c r="AD1104" s="129">
        <v>1</v>
      </c>
      <c r="AE1104" s="129">
        <v>0.998230088495575</v>
      </c>
      <c r="AF1104" s="129">
        <v>0.971131639722864</v>
      </c>
      <c r="AG1104" s="129">
        <v>0.994320602016186</v>
      </c>
      <c r="AH1104" s="131">
        <v>0.92</v>
      </c>
      <c r="AI1104" s="129">
        <v>0.944459068175836</v>
      </c>
      <c r="AJ1104" s="129">
        <v>0.963476990504018</v>
      </c>
      <c r="AK1104" s="129">
        <v>0.970092024539877</v>
      </c>
      <c r="AL1104" s="129">
        <v>0.968128149918368</v>
      </c>
      <c r="AM1104" s="128">
        <v>0.99</v>
      </c>
      <c r="AN1104" s="133">
        <v>1</v>
      </c>
      <c r="AO1104" s="133">
        <v>1</v>
      </c>
      <c r="AP1104" s="133">
        <v>1</v>
      </c>
      <c r="AQ1104" s="133">
        <v>1</v>
      </c>
      <c r="AR1104" s="153">
        <v>0.0721861525408278</v>
      </c>
      <c r="AS1104" s="137">
        <v>0</v>
      </c>
      <c r="AT1104" s="137">
        <v>0.428571428571429</v>
      </c>
      <c r="AU1104" s="137">
        <v>0.111111111111111</v>
      </c>
      <c r="AV1104" s="137">
        <v>0.0776699029126214</v>
      </c>
      <c r="AW1104" s="93"/>
      <c r="AX1104" s="91"/>
    </row>
    <row r="1105" ht="14.5" spans="1:50">
      <c r="A1105" s="89"/>
      <c r="B1105" s="93"/>
      <c r="C1105" s="148" t="s">
        <v>1080</v>
      </c>
      <c r="D1105" s="126" t="s">
        <v>1081</v>
      </c>
      <c r="E1105" s="186" t="s">
        <v>1130</v>
      </c>
      <c r="F1105" s="186" t="s">
        <v>1130</v>
      </c>
      <c r="G1105" s="186" t="s">
        <v>1130</v>
      </c>
      <c r="H1105" s="186" t="s">
        <v>1130</v>
      </c>
      <c r="I1105" s="128">
        <v>0.9</v>
      </c>
      <c r="J1105" s="129">
        <v>0.982142857142857</v>
      </c>
      <c r="K1105" s="129">
        <v>0.92</v>
      </c>
      <c r="L1105" s="130">
        <v>0.963636363636364</v>
      </c>
      <c r="M1105" s="129">
        <v>0.965204236006051</v>
      </c>
      <c r="N1105" s="131">
        <v>0.9</v>
      </c>
      <c r="O1105" s="129">
        <v>0.9788282533309</v>
      </c>
      <c r="P1105" s="129">
        <v>0.969590349334004</v>
      </c>
      <c r="Q1105" s="129">
        <v>0.97752808988764</v>
      </c>
      <c r="R1105" s="129">
        <v>0.974123616236162</v>
      </c>
      <c r="S1105" s="131">
        <v>0.9</v>
      </c>
      <c r="T1105" s="129">
        <v>0.957473991604307</v>
      </c>
      <c r="U1105" s="129">
        <v>0.967831113345062</v>
      </c>
      <c r="V1105" s="129">
        <v>0.955769573747102</v>
      </c>
      <c r="W1105" s="129">
        <v>0.956257687576876</v>
      </c>
      <c r="X1105" s="131">
        <v>0.92</v>
      </c>
      <c r="Y1105" s="131" t="s">
        <v>33</v>
      </c>
      <c r="Z1105" s="131" t="s">
        <v>33</v>
      </c>
      <c r="AA1105" s="131" t="s">
        <v>33</v>
      </c>
      <c r="AB1105" s="131" t="s">
        <v>33</v>
      </c>
      <c r="AC1105" s="131">
        <v>0.92</v>
      </c>
      <c r="AD1105" s="129">
        <v>1</v>
      </c>
      <c r="AE1105" s="129">
        <v>1</v>
      </c>
      <c r="AF1105" s="129">
        <v>0.998039215686275</v>
      </c>
      <c r="AG1105" s="129">
        <v>0.993422598073761</v>
      </c>
      <c r="AH1105" s="131">
        <v>0.92</v>
      </c>
      <c r="AI1105" s="129">
        <v>0.976273042526008</v>
      </c>
      <c r="AJ1105" s="129">
        <v>0.982156320683589</v>
      </c>
      <c r="AK1105" s="129">
        <v>0.982700196183342</v>
      </c>
      <c r="AL1105" s="129">
        <v>0.979182041820418</v>
      </c>
      <c r="AM1105" s="128">
        <v>0.99</v>
      </c>
      <c r="AN1105" s="133">
        <v>1</v>
      </c>
      <c r="AO1105" s="133">
        <v>1</v>
      </c>
      <c r="AP1105" s="133">
        <v>1</v>
      </c>
      <c r="AQ1105" s="133">
        <v>1</v>
      </c>
      <c r="AR1105" s="153">
        <v>0.0721861525408278</v>
      </c>
      <c r="AS1105" s="137">
        <v>0.0476190476190476</v>
      </c>
      <c r="AT1105" s="137">
        <v>0.0526315789473684</v>
      </c>
      <c r="AU1105" s="137">
        <v>0.0416666666666667</v>
      </c>
      <c r="AV1105" s="137">
        <v>0.0321285140562249</v>
      </c>
      <c r="AW1105" s="93"/>
      <c r="AX1105" s="91"/>
    </row>
    <row r="1106" ht="14.5" spans="1:50">
      <c r="A1106" s="89"/>
      <c r="B1106" s="93"/>
      <c r="C1106" s="148" t="s">
        <v>1080</v>
      </c>
      <c r="D1106" s="126" t="s">
        <v>1081</v>
      </c>
      <c r="E1106" s="186" t="s">
        <v>1131</v>
      </c>
      <c r="F1106" s="186" t="s">
        <v>1131</v>
      </c>
      <c r="G1106" s="186" t="s">
        <v>1131</v>
      </c>
      <c r="H1106" s="186" t="s">
        <v>1131</v>
      </c>
      <c r="I1106" s="128">
        <v>0.9</v>
      </c>
      <c r="J1106" s="129">
        <v>0.951612903225806</v>
      </c>
      <c r="K1106" s="129">
        <v>0.967213114754098</v>
      </c>
      <c r="L1106" s="130">
        <v>0.935483870967742</v>
      </c>
      <c r="M1106" s="129">
        <v>0.92686170212766</v>
      </c>
      <c r="N1106" s="131">
        <v>0.9</v>
      </c>
      <c r="O1106" s="129">
        <v>0.955995969096406</v>
      </c>
      <c r="P1106" s="129">
        <v>0.981667074065021</v>
      </c>
      <c r="Q1106" s="129">
        <v>0.946288892751608</v>
      </c>
      <c r="R1106" s="129">
        <v>0.966079785319239</v>
      </c>
      <c r="S1106" s="131">
        <v>0.9</v>
      </c>
      <c r="T1106" s="129">
        <v>0.861605643265032</v>
      </c>
      <c r="U1106" s="129">
        <v>0.915912979711562</v>
      </c>
      <c r="V1106" s="129">
        <v>0.812619502868069</v>
      </c>
      <c r="W1106" s="129">
        <v>0.867575350983408</v>
      </c>
      <c r="X1106" s="131">
        <v>0.92</v>
      </c>
      <c r="Y1106" s="131" t="s">
        <v>33</v>
      </c>
      <c r="Z1106" s="131" t="s">
        <v>33</v>
      </c>
      <c r="AA1106" s="131" t="s">
        <v>33</v>
      </c>
      <c r="AB1106" s="131" t="s">
        <v>33</v>
      </c>
      <c r="AC1106" s="131">
        <v>0.92</v>
      </c>
      <c r="AD1106" s="129">
        <v>1</v>
      </c>
      <c r="AE1106" s="129">
        <v>1</v>
      </c>
      <c r="AF1106" s="129">
        <v>1</v>
      </c>
      <c r="AG1106" s="129">
        <v>0.988727858293076</v>
      </c>
      <c r="AH1106" s="131">
        <v>0.92</v>
      </c>
      <c r="AI1106" s="129">
        <v>0.937688948605979</v>
      </c>
      <c r="AJ1106" s="129">
        <v>0.957223172818382</v>
      </c>
      <c r="AK1106" s="129">
        <v>0.949765339822701</v>
      </c>
      <c r="AL1106" s="129">
        <v>0.95681840494813</v>
      </c>
      <c r="AM1106" s="128">
        <v>0.99</v>
      </c>
      <c r="AN1106" s="133">
        <v>1</v>
      </c>
      <c r="AO1106" s="133">
        <v>1</v>
      </c>
      <c r="AP1106" s="133">
        <v>1</v>
      </c>
      <c r="AQ1106" s="133">
        <v>1</v>
      </c>
      <c r="AR1106" s="153">
        <v>0.0721861525408278</v>
      </c>
      <c r="AS1106" s="137">
        <v>0.0454545454545455</v>
      </c>
      <c r="AT1106" s="137">
        <v>0.0714285714285714</v>
      </c>
      <c r="AU1106" s="137">
        <v>-0.0625</v>
      </c>
      <c r="AV1106" s="137">
        <v>0.0631578947368421</v>
      </c>
      <c r="AW1106" s="93"/>
      <c r="AX1106" s="91"/>
    </row>
    <row r="1107" ht="14.5" spans="1:50">
      <c r="A1107" s="89"/>
      <c r="B1107" s="93"/>
      <c r="C1107" s="148" t="s">
        <v>1080</v>
      </c>
      <c r="D1107" s="126" t="s">
        <v>1081</v>
      </c>
      <c r="E1107" s="186" t="s">
        <v>1132</v>
      </c>
      <c r="F1107" s="186" t="s">
        <v>1132</v>
      </c>
      <c r="G1107" s="186" t="s">
        <v>1132</v>
      </c>
      <c r="H1107" s="186" t="s">
        <v>1132</v>
      </c>
      <c r="I1107" s="128">
        <v>0.9</v>
      </c>
      <c r="J1107" s="129">
        <v>0.84</v>
      </c>
      <c r="K1107" s="129">
        <v>0.829268292682927</v>
      </c>
      <c r="L1107" s="130">
        <v>0.829787234042553</v>
      </c>
      <c r="M1107" s="129">
        <v>0.838365896980462</v>
      </c>
      <c r="N1107" s="131">
        <v>0.9</v>
      </c>
      <c r="O1107" s="129">
        <v>0.932121859967932</v>
      </c>
      <c r="P1107" s="129">
        <v>0.947428571428571</v>
      </c>
      <c r="Q1107" s="129">
        <v>0.869226777374157</v>
      </c>
      <c r="R1107" s="129">
        <v>0.914687113289496</v>
      </c>
      <c r="S1107" s="131">
        <v>0.9</v>
      </c>
      <c r="T1107" s="129">
        <v>0.830839123463389</v>
      </c>
      <c r="U1107" s="129">
        <v>0.851809523809524</v>
      </c>
      <c r="V1107" s="129">
        <v>0.736896730669434</v>
      </c>
      <c r="W1107" s="129">
        <v>0.815810545216315</v>
      </c>
      <c r="X1107" s="131">
        <v>0.92</v>
      </c>
      <c r="Y1107" s="131" t="s">
        <v>33</v>
      </c>
      <c r="Z1107" s="131" t="s">
        <v>33</v>
      </c>
      <c r="AA1107" s="131" t="s">
        <v>33</v>
      </c>
      <c r="AB1107" s="131">
        <v>0</v>
      </c>
      <c r="AC1107" s="131">
        <v>0.92</v>
      </c>
      <c r="AD1107" s="129">
        <v>0.987704918032787</v>
      </c>
      <c r="AE1107" s="129">
        <v>0.959090909090909</v>
      </c>
      <c r="AF1107" s="129">
        <v>0.979487179487179</v>
      </c>
      <c r="AG1107" s="129">
        <v>0.969011725293132</v>
      </c>
      <c r="AH1107" s="131">
        <v>0.92</v>
      </c>
      <c r="AI1107" s="129">
        <v>0.936932121859968</v>
      </c>
      <c r="AJ1107" s="129">
        <v>0.93447619047619</v>
      </c>
      <c r="AK1107" s="129">
        <v>0.939802802283342</v>
      </c>
      <c r="AL1107" s="129">
        <v>0.954432959673897</v>
      </c>
      <c r="AM1107" s="128">
        <v>0.99</v>
      </c>
      <c r="AN1107" s="133">
        <v>1</v>
      </c>
      <c r="AO1107" s="133">
        <v>1</v>
      </c>
      <c r="AP1107" s="133">
        <v>1</v>
      </c>
      <c r="AQ1107" s="133">
        <v>1</v>
      </c>
      <c r="AR1107" s="153">
        <v>0.0721861525408278</v>
      </c>
      <c r="AS1107" s="137">
        <v>0</v>
      </c>
      <c r="AT1107" s="137">
        <v>0.333333333333333</v>
      </c>
      <c r="AU1107" s="137">
        <v>0.285714285714286</v>
      </c>
      <c r="AV1107" s="137">
        <v>0.0853658536585366</v>
      </c>
      <c r="AW1107" s="93"/>
      <c r="AX1107" s="91"/>
    </row>
    <row r="1108" ht="14.5" spans="1:50">
      <c r="A1108" s="89"/>
      <c r="B1108" s="93"/>
      <c r="C1108" s="148" t="s">
        <v>1080</v>
      </c>
      <c r="D1108" s="126" t="s">
        <v>1081</v>
      </c>
      <c r="E1108" s="186" t="s">
        <v>1133</v>
      </c>
      <c r="F1108" s="186" t="s">
        <v>1133</v>
      </c>
      <c r="G1108" s="186" t="s">
        <v>1133</v>
      </c>
      <c r="H1108" s="186" t="s">
        <v>1133</v>
      </c>
      <c r="I1108" s="128">
        <v>0.9</v>
      </c>
      <c r="J1108" s="129">
        <v>0.865384615384615</v>
      </c>
      <c r="K1108" s="129">
        <v>0.862745098039216</v>
      </c>
      <c r="L1108" s="130">
        <v>0.862745098039216</v>
      </c>
      <c r="M1108" s="129">
        <v>0.834130781499203</v>
      </c>
      <c r="N1108" s="131">
        <v>0.9</v>
      </c>
      <c r="O1108" s="129">
        <v>0.97437114380636</v>
      </c>
      <c r="P1108" s="129">
        <v>0.987924281984334</v>
      </c>
      <c r="Q1108" s="129">
        <v>0.987253487253487</v>
      </c>
      <c r="R1108" s="129">
        <v>0.977789941264394</v>
      </c>
      <c r="S1108" s="131">
        <v>0.9</v>
      </c>
      <c r="T1108" s="129">
        <v>0.885144755576649</v>
      </c>
      <c r="U1108" s="129">
        <v>0.913511749347259</v>
      </c>
      <c r="V1108" s="129">
        <v>0.879268879268879</v>
      </c>
      <c r="W1108" s="129">
        <v>0.902865202837835</v>
      </c>
      <c r="X1108" s="131">
        <v>0.92</v>
      </c>
      <c r="Y1108" s="131" t="s">
        <v>33</v>
      </c>
      <c r="Z1108" s="131" t="s">
        <v>33</v>
      </c>
      <c r="AA1108" s="131" t="s">
        <v>33</v>
      </c>
      <c r="AB1108" s="131" t="s">
        <v>33</v>
      </c>
      <c r="AC1108" s="131">
        <v>0.92</v>
      </c>
      <c r="AD1108" s="129">
        <v>1</v>
      </c>
      <c r="AE1108" s="129">
        <v>0.997709049255441</v>
      </c>
      <c r="AF1108" s="129">
        <v>0.983383685800604</v>
      </c>
      <c r="AG1108" s="129">
        <v>0.995169082125604</v>
      </c>
      <c r="AH1108" s="131">
        <v>0.92</v>
      </c>
      <c r="AI1108" s="129">
        <v>0.946131941148552</v>
      </c>
      <c r="AJ1108" s="129">
        <v>0.9588772845953</v>
      </c>
      <c r="AK1108" s="129">
        <v>0.965127465127465</v>
      </c>
      <c r="AL1108" s="129">
        <v>0.963474453169407</v>
      </c>
      <c r="AM1108" s="128">
        <v>0.99</v>
      </c>
      <c r="AN1108" s="133">
        <v>1</v>
      </c>
      <c r="AO1108" s="133">
        <v>1</v>
      </c>
      <c r="AP1108" s="133">
        <v>1</v>
      </c>
      <c r="AQ1108" s="133">
        <v>1</v>
      </c>
      <c r="AR1108" s="153">
        <v>0.0721861525408278</v>
      </c>
      <c r="AS1108" s="137">
        <v>0.0714285714285714</v>
      </c>
      <c r="AT1108" s="137">
        <v>0</v>
      </c>
      <c r="AU1108" s="137">
        <v>0.125</v>
      </c>
      <c r="AV1108" s="137">
        <v>0.0495867768595041</v>
      </c>
      <c r="AW1108" s="93"/>
      <c r="AX1108" s="91"/>
    </row>
    <row r="1109" ht="14.5" spans="1:50">
      <c r="A1109" s="89"/>
      <c r="B1109" s="93"/>
      <c r="C1109" s="148" t="s">
        <v>1080</v>
      </c>
      <c r="D1109" s="126" t="s">
        <v>1081</v>
      </c>
      <c r="E1109" s="186" t="s">
        <v>1134</v>
      </c>
      <c r="F1109" s="186" t="s">
        <v>1134</v>
      </c>
      <c r="G1109" s="186" t="s">
        <v>1134</v>
      </c>
      <c r="H1109" s="186" t="s">
        <v>1134</v>
      </c>
      <c r="I1109" s="128">
        <v>0.9</v>
      </c>
      <c r="J1109" s="129">
        <v>1</v>
      </c>
      <c r="K1109" s="129">
        <v>0.96551724137931</v>
      </c>
      <c r="L1109" s="130">
        <v>0.972972972972973</v>
      </c>
      <c r="M1109" s="129">
        <v>0.953771289537713</v>
      </c>
      <c r="N1109" s="131">
        <v>0.9</v>
      </c>
      <c r="O1109" s="129">
        <v>0.947161066048667</v>
      </c>
      <c r="P1109" s="129">
        <v>0.95239714382863</v>
      </c>
      <c r="Q1109" s="129">
        <v>0.943310657596372</v>
      </c>
      <c r="R1109" s="129">
        <v>0.943941374159821</v>
      </c>
      <c r="S1109" s="131">
        <v>0.9</v>
      </c>
      <c r="T1109" s="129">
        <v>0.769872537659328</v>
      </c>
      <c r="U1109" s="129">
        <v>0.738184291057463</v>
      </c>
      <c r="V1109" s="129">
        <v>0.81254724111867</v>
      </c>
      <c r="W1109" s="129">
        <v>0.789558439133682</v>
      </c>
      <c r="X1109" s="131">
        <v>0.92</v>
      </c>
      <c r="Y1109" s="131">
        <v>0</v>
      </c>
      <c r="Z1109" s="131" t="s">
        <v>33</v>
      </c>
      <c r="AA1109" s="131">
        <v>0</v>
      </c>
      <c r="AB1109" s="131">
        <v>0</v>
      </c>
      <c r="AC1109" s="131">
        <v>0.92</v>
      </c>
      <c r="AD1109" s="129">
        <v>1</v>
      </c>
      <c r="AE1109" s="129">
        <v>0.993421052631579</v>
      </c>
      <c r="AF1109" s="129">
        <v>0.994736842105263</v>
      </c>
      <c r="AG1109" s="129">
        <v>0.990856192851205</v>
      </c>
      <c r="AH1109" s="131">
        <v>0.92</v>
      </c>
      <c r="AI1109" s="129">
        <v>0.879518072289157</v>
      </c>
      <c r="AJ1109" s="129">
        <v>0.873852431145869</v>
      </c>
      <c r="AK1109" s="129">
        <v>0.929471032745592</v>
      </c>
      <c r="AL1109" s="129">
        <v>0.923290548424737</v>
      </c>
      <c r="AM1109" s="128">
        <v>0.99</v>
      </c>
      <c r="AN1109" s="133">
        <v>1</v>
      </c>
      <c r="AO1109" s="133">
        <v>1</v>
      </c>
      <c r="AP1109" s="133">
        <v>1</v>
      </c>
      <c r="AQ1109" s="133">
        <v>1</v>
      </c>
      <c r="AR1109" s="153">
        <v>0.0721861525408278</v>
      </c>
      <c r="AS1109" s="137">
        <v>0.181818181818182</v>
      </c>
      <c r="AT1109" s="137">
        <v>0</v>
      </c>
      <c r="AU1109" s="137">
        <v>0</v>
      </c>
      <c r="AV1109" s="137">
        <v>0.0606060606060606</v>
      </c>
      <c r="AW1109" s="93"/>
      <c r="AX1109" s="91"/>
    </row>
    <row r="1110" ht="14.5" spans="1:50">
      <c r="A1110" s="89"/>
      <c r="B1110" s="93"/>
      <c r="C1110" s="148" t="s">
        <v>1080</v>
      </c>
      <c r="D1110" s="126" t="s">
        <v>1081</v>
      </c>
      <c r="E1110" s="186" t="s">
        <v>1135</v>
      </c>
      <c r="F1110" s="186" t="s">
        <v>1135</v>
      </c>
      <c r="G1110" s="186" t="s">
        <v>1135</v>
      </c>
      <c r="H1110" s="186" t="s">
        <v>1135</v>
      </c>
      <c r="I1110" s="128">
        <v>0.9</v>
      </c>
      <c r="J1110" s="129">
        <v>0.933333333333333</v>
      </c>
      <c r="K1110" s="129">
        <v>0.975609756097561</v>
      </c>
      <c r="L1110" s="130">
        <v>1</v>
      </c>
      <c r="M1110" s="129">
        <v>0.981327800829875</v>
      </c>
      <c r="N1110" s="131">
        <v>0.9</v>
      </c>
      <c r="O1110" s="129">
        <v>0.979166666666667</v>
      </c>
      <c r="P1110" s="129">
        <v>0.98391959798995</v>
      </c>
      <c r="Q1110" s="129">
        <v>0.980908651522475</v>
      </c>
      <c r="R1110" s="129">
        <v>0.97762844322305</v>
      </c>
      <c r="S1110" s="131">
        <v>0.9</v>
      </c>
      <c r="T1110" s="129">
        <v>0.947206439393939</v>
      </c>
      <c r="U1110" s="129">
        <v>0.959463986599665</v>
      </c>
      <c r="V1110" s="129">
        <v>0.946109231512808</v>
      </c>
      <c r="W1110" s="129">
        <v>0.944393155420057</v>
      </c>
      <c r="X1110" s="131">
        <v>0.92</v>
      </c>
      <c r="Y1110" s="131" t="s">
        <v>33</v>
      </c>
      <c r="Z1110" s="131" t="s">
        <v>33</v>
      </c>
      <c r="AA1110" s="131" t="s">
        <v>33</v>
      </c>
      <c r="AB1110" s="131">
        <v>0.666666666666667</v>
      </c>
      <c r="AC1110" s="131">
        <v>0.92</v>
      </c>
      <c r="AD1110" s="129">
        <v>1</v>
      </c>
      <c r="AE1110" s="129">
        <v>1</v>
      </c>
      <c r="AF1110" s="129">
        <v>0.996815286624204</v>
      </c>
      <c r="AG1110" s="129">
        <v>0.999521645539345</v>
      </c>
      <c r="AH1110" s="131">
        <v>0.92</v>
      </c>
      <c r="AI1110" s="129">
        <v>0.971827651515151</v>
      </c>
      <c r="AJ1110" s="129">
        <v>0.97286432160804</v>
      </c>
      <c r="AK1110" s="129">
        <v>0.975592073465442</v>
      </c>
      <c r="AL1110" s="129">
        <v>0.974688707599828</v>
      </c>
      <c r="AM1110" s="128">
        <v>0.99</v>
      </c>
      <c r="AN1110" s="133">
        <v>1</v>
      </c>
      <c r="AO1110" s="133">
        <v>1</v>
      </c>
      <c r="AP1110" s="133">
        <v>1</v>
      </c>
      <c r="AQ1110" s="133">
        <v>1</v>
      </c>
      <c r="AR1110" s="153">
        <v>0.0721861525408278</v>
      </c>
      <c r="AS1110" s="137">
        <v>0</v>
      </c>
      <c r="AT1110" s="137">
        <v>0</v>
      </c>
      <c r="AU1110" s="137">
        <v>0</v>
      </c>
      <c r="AV1110" s="137">
        <v>0.0283018867924528</v>
      </c>
      <c r="AW1110" s="93"/>
      <c r="AX1110" s="91"/>
    </row>
    <row r="1111" ht="14.5" spans="1:50">
      <c r="A1111" s="89"/>
      <c r="B1111" s="93"/>
      <c r="C1111" s="148" t="s">
        <v>1080</v>
      </c>
      <c r="D1111" s="126" t="s">
        <v>1081</v>
      </c>
      <c r="E1111" s="186" t="s">
        <v>1136</v>
      </c>
      <c r="F1111" s="186" t="s">
        <v>1136</v>
      </c>
      <c r="G1111" s="186" t="s">
        <v>1136</v>
      </c>
      <c r="H1111" s="186" t="s">
        <v>1136</v>
      </c>
      <c r="I1111" s="128">
        <v>0.9</v>
      </c>
      <c r="J1111" s="129">
        <v>0.869565217391304</v>
      </c>
      <c r="K1111" s="129">
        <v>1</v>
      </c>
      <c r="L1111" s="130">
        <v>0.904761904761905</v>
      </c>
      <c r="M1111" s="129">
        <v>0.930894308943089</v>
      </c>
      <c r="N1111" s="131">
        <v>0.9</v>
      </c>
      <c r="O1111" s="129">
        <v>0.962447844228095</v>
      </c>
      <c r="P1111" s="129">
        <v>0.961089494163424</v>
      </c>
      <c r="Q1111" s="129">
        <v>0.957856161245992</v>
      </c>
      <c r="R1111" s="129">
        <v>0.944378143380786</v>
      </c>
      <c r="S1111" s="131">
        <v>0.9</v>
      </c>
      <c r="T1111" s="129">
        <v>0.876216968011127</v>
      </c>
      <c r="U1111" s="129">
        <v>0.889753566796368</v>
      </c>
      <c r="V1111" s="129">
        <v>0.866697205680257</v>
      </c>
      <c r="W1111" s="129">
        <v>0.880317108515898</v>
      </c>
      <c r="X1111" s="131">
        <v>0.92</v>
      </c>
      <c r="Y1111" s="131" t="s">
        <v>33</v>
      </c>
      <c r="Z1111" s="131" t="s">
        <v>33</v>
      </c>
      <c r="AA1111" s="131" t="s">
        <v>33</v>
      </c>
      <c r="AB1111" s="131">
        <v>1</v>
      </c>
      <c r="AC1111" s="131">
        <v>0.92</v>
      </c>
      <c r="AD1111" s="129">
        <v>1</v>
      </c>
      <c r="AE1111" s="129">
        <v>0.984749455337691</v>
      </c>
      <c r="AF1111" s="129">
        <v>1</v>
      </c>
      <c r="AG1111" s="129">
        <v>0.99799699549324</v>
      </c>
      <c r="AH1111" s="131">
        <v>0.92</v>
      </c>
      <c r="AI1111" s="129">
        <v>0.931386184515531</v>
      </c>
      <c r="AJ1111" s="129">
        <v>0.912451361867704</v>
      </c>
      <c r="AK1111" s="129">
        <v>0.935409986257444</v>
      </c>
      <c r="AL1111" s="129">
        <v>0.939692281464433</v>
      </c>
      <c r="AM1111" s="128">
        <v>0.99</v>
      </c>
      <c r="AN1111" s="133">
        <v>1</v>
      </c>
      <c r="AO1111" s="133">
        <v>1</v>
      </c>
      <c r="AP1111" s="133">
        <v>1</v>
      </c>
      <c r="AQ1111" s="133">
        <v>1</v>
      </c>
      <c r="AR1111" s="153">
        <v>0.0721861525408278</v>
      </c>
      <c r="AS1111" s="137">
        <v>0</v>
      </c>
      <c r="AT1111" s="137">
        <v>0</v>
      </c>
      <c r="AU1111" s="137">
        <v>0</v>
      </c>
      <c r="AV1111" s="137">
        <v>0.0714285714285714</v>
      </c>
      <c r="AW1111" s="93"/>
      <c r="AX1111" s="91"/>
    </row>
    <row r="1112" ht="14.5" spans="1:50">
      <c r="A1112" s="89"/>
      <c r="B1112" s="93"/>
      <c r="C1112" s="148" t="s">
        <v>1080</v>
      </c>
      <c r="D1112" s="126" t="s">
        <v>1081</v>
      </c>
      <c r="E1112" s="186" t="s">
        <v>1137</v>
      </c>
      <c r="F1112" s="186" t="s">
        <v>1137</v>
      </c>
      <c r="G1112" s="186" t="s">
        <v>1137</v>
      </c>
      <c r="H1112" s="186" t="s">
        <v>1137</v>
      </c>
      <c r="I1112" s="128">
        <v>0.9</v>
      </c>
      <c r="J1112" s="129">
        <v>0.956521739130435</v>
      </c>
      <c r="K1112" s="129">
        <v>1</v>
      </c>
      <c r="L1112" s="130">
        <v>0.956521739130435</v>
      </c>
      <c r="M1112" s="129">
        <v>0.981684981684982</v>
      </c>
      <c r="N1112" s="131">
        <v>0.9</v>
      </c>
      <c r="O1112" s="129">
        <v>0.98397976391231</v>
      </c>
      <c r="P1112" s="129">
        <v>0.977868375072801</v>
      </c>
      <c r="Q1112" s="129">
        <v>0.991094147582697</v>
      </c>
      <c r="R1112" s="129">
        <v>0.983543189559493</v>
      </c>
      <c r="S1112" s="131">
        <v>0.9</v>
      </c>
      <c r="T1112" s="129">
        <v>0.951096121416526</v>
      </c>
      <c r="U1112" s="129">
        <v>0.922539312754805</v>
      </c>
      <c r="V1112" s="129">
        <v>0.927480916030534</v>
      </c>
      <c r="W1112" s="129">
        <v>0.934785104672969</v>
      </c>
      <c r="X1112" s="131">
        <v>0.92</v>
      </c>
      <c r="Y1112" s="131" t="s">
        <v>33</v>
      </c>
      <c r="Z1112" s="131" t="s">
        <v>33</v>
      </c>
      <c r="AA1112" s="131" t="s">
        <v>33</v>
      </c>
      <c r="AB1112" s="131" t="s">
        <v>33</v>
      </c>
      <c r="AC1112" s="131">
        <v>0.92</v>
      </c>
      <c r="AD1112" s="129">
        <v>0.991891891891892</v>
      </c>
      <c r="AE1112" s="129">
        <v>0.992840095465394</v>
      </c>
      <c r="AF1112" s="129">
        <v>1</v>
      </c>
      <c r="AG1112" s="129">
        <v>0.993760110931361</v>
      </c>
      <c r="AH1112" s="131">
        <v>0.92</v>
      </c>
      <c r="AI1112" s="129">
        <v>0.969224283305228</v>
      </c>
      <c r="AJ1112" s="129">
        <v>0.958648806057076</v>
      </c>
      <c r="AK1112" s="129">
        <v>0.972858354537744</v>
      </c>
      <c r="AL1112" s="129">
        <v>0.970377741207088</v>
      </c>
      <c r="AM1112" s="128">
        <v>0.99</v>
      </c>
      <c r="AN1112" s="133">
        <v>1</v>
      </c>
      <c r="AO1112" s="133">
        <v>1</v>
      </c>
      <c r="AP1112" s="133">
        <v>1</v>
      </c>
      <c r="AQ1112" s="133">
        <v>1</v>
      </c>
      <c r="AR1112" s="153">
        <v>0.0721861525408278</v>
      </c>
      <c r="AS1112" s="137">
        <v>0</v>
      </c>
      <c r="AT1112" s="137">
        <v>0</v>
      </c>
      <c r="AU1112" s="137">
        <v>0</v>
      </c>
      <c r="AV1112" s="137">
        <v>0.0172413793103448</v>
      </c>
      <c r="AW1112" s="93"/>
      <c r="AX1112" s="91"/>
    </row>
    <row r="1113" ht="14.5" spans="1:50">
      <c r="A1113" s="89"/>
      <c r="B1113" s="93"/>
      <c r="C1113" s="148" t="s">
        <v>1080</v>
      </c>
      <c r="D1113" s="126" t="s">
        <v>1081</v>
      </c>
      <c r="E1113" s="186" t="s">
        <v>1138</v>
      </c>
      <c r="F1113" s="186" t="s">
        <v>1138</v>
      </c>
      <c r="G1113" s="186" t="s">
        <v>1138</v>
      </c>
      <c r="H1113" s="186" t="s">
        <v>1138</v>
      </c>
      <c r="I1113" s="128">
        <v>0.9</v>
      </c>
      <c r="J1113" s="129">
        <v>0.85</v>
      </c>
      <c r="K1113" s="129">
        <v>0.829268292682927</v>
      </c>
      <c r="L1113" s="130">
        <v>0.86231884057971</v>
      </c>
      <c r="M1113" s="129">
        <v>0.844514106583072</v>
      </c>
      <c r="N1113" s="131">
        <v>0.9</v>
      </c>
      <c r="O1113" s="129">
        <v>0.938552534297215</v>
      </c>
      <c r="P1113" s="129">
        <v>0.918214744713167</v>
      </c>
      <c r="Q1113" s="129">
        <v>0.899752475247525</v>
      </c>
      <c r="R1113" s="129">
        <v>0.911277024551118</v>
      </c>
      <c r="S1113" s="131">
        <v>0.9</v>
      </c>
      <c r="T1113" s="129">
        <v>0.751252772529368</v>
      </c>
      <c r="U1113" s="129">
        <v>0.836078981189391</v>
      </c>
      <c r="V1113" s="129">
        <v>0.766265912305516</v>
      </c>
      <c r="W1113" s="129">
        <v>0.773696103578845</v>
      </c>
      <c r="X1113" s="131">
        <v>0.92</v>
      </c>
      <c r="Y1113" s="131">
        <v>0</v>
      </c>
      <c r="Z1113" s="131">
        <v>0</v>
      </c>
      <c r="AA1113" s="131" t="s">
        <v>33</v>
      </c>
      <c r="AB1113" s="131">
        <v>0</v>
      </c>
      <c r="AC1113" s="131">
        <v>0.92</v>
      </c>
      <c r="AD1113" s="129">
        <v>0.988135593220339</v>
      </c>
      <c r="AE1113" s="129">
        <v>0.967423494570582</v>
      </c>
      <c r="AF1113" s="129">
        <v>1</v>
      </c>
      <c r="AG1113" s="129">
        <v>0.993422562141491</v>
      </c>
      <c r="AH1113" s="131">
        <v>0.92</v>
      </c>
      <c r="AI1113" s="129">
        <v>0.92993839835729</v>
      </c>
      <c r="AJ1113" s="129">
        <v>0.933193179163747</v>
      </c>
      <c r="AK1113" s="129">
        <v>0.942362093352192</v>
      </c>
      <c r="AL1113" s="129">
        <v>0.945357527271617</v>
      </c>
      <c r="AM1113" s="128">
        <v>0.99</v>
      </c>
      <c r="AN1113" s="133">
        <v>1</v>
      </c>
      <c r="AO1113" s="133">
        <v>1</v>
      </c>
      <c r="AP1113" s="133">
        <v>1</v>
      </c>
      <c r="AQ1113" s="133">
        <v>1</v>
      </c>
      <c r="AR1113" s="153">
        <v>0.0721861525408278</v>
      </c>
      <c r="AS1113" s="137">
        <v>0.05</v>
      </c>
      <c r="AT1113" s="137">
        <v>0</v>
      </c>
      <c r="AU1113" s="137">
        <v>0.0740740740740741</v>
      </c>
      <c r="AV1113" s="137">
        <v>0.0689655172413793</v>
      </c>
      <c r="AW1113" s="93"/>
      <c r="AX1113" s="91"/>
    </row>
    <row r="1114" ht="14.5" spans="1:50">
      <c r="A1114" s="89"/>
      <c r="B1114" s="93"/>
      <c r="C1114" s="148" t="s">
        <v>1080</v>
      </c>
      <c r="D1114" s="126" t="s">
        <v>1081</v>
      </c>
      <c r="E1114" s="186" t="s">
        <v>1139</v>
      </c>
      <c r="F1114" s="186" t="s">
        <v>1139</v>
      </c>
      <c r="G1114" s="186" t="s">
        <v>1139</v>
      </c>
      <c r="H1114" s="186" t="s">
        <v>1139</v>
      </c>
      <c r="I1114" s="128">
        <v>0.9</v>
      </c>
      <c r="J1114" s="129">
        <v>0.878048780487805</v>
      </c>
      <c r="K1114" s="129">
        <v>0.545454545454545</v>
      </c>
      <c r="L1114" s="130">
        <v>0.644444444444444</v>
      </c>
      <c r="M1114" s="129">
        <v>0.753715498938429</v>
      </c>
      <c r="N1114" s="131">
        <v>0.9</v>
      </c>
      <c r="O1114" s="129">
        <v>0.869630519675578</v>
      </c>
      <c r="P1114" s="129">
        <v>0.805736636245111</v>
      </c>
      <c r="Q1114" s="129">
        <v>0.862145110410095</v>
      </c>
      <c r="R1114" s="129">
        <v>0.880822889572003</v>
      </c>
      <c r="S1114" s="131">
        <v>0.9</v>
      </c>
      <c r="T1114" s="129">
        <v>0.653048963652749</v>
      </c>
      <c r="U1114" s="129">
        <v>0.667101260321599</v>
      </c>
      <c r="V1114" s="129">
        <v>0.690220820189274</v>
      </c>
      <c r="W1114" s="129">
        <v>0.702855284937337</v>
      </c>
      <c r="X1114" s="131">
        <v>0.92</v>
      </c>
      <c r="Y1114" s="131" t="s">
        <v>33</v>
      </c>
      <c r="Z1114" s="131" t="s">
        <v>33</v>
      </c>
      <c r="AA1114" s="131" t="s">
        <v>33</v>
      </c>
      <c r="AB1114" s="131" t="s">
        <v>33</v>
      </c>
      <c r="AC1114" s="131">
        <v>0.92</v>
      </c>
      <c r="AD1114" s="129">
        <v>1</v>
      </c>
      <c r="AE1114" s="129">
        <v>0.990873533246415</v>
      </c>
      <c r="AF1114" s="129">
        <v>0.981532779316713</v>
      </c>
      <c r="AG1114" s="129">
        <v>0.991758927828186</v>
      </c>
      <c r="AH1114" s="131">
        <v>0.92</v>
      </c>
      <c r="AI1114" s="129">
        <v>0.870231300690898</v>
      </c>
      <c r="AJ1114" s="129">
        <v>0.776618861364624</v>
      </c>
      <c r="AK1114" s="129">
        <v>0.885488958990536</v>
      </c>
      <c r="AL1114" s="129">
        <v>0.871896429415938</v>
      </c>
      <c r="AM1114" s="128">
        <v>0.99</v>
      </c>
      <c r="AN1114" s="133">
        <v>1</v>
      </c>
      <c r="AO1114" s="133">
        <v>1</v>
      </c>
      <c r="AP1114" s="133">
        <v>1</v>
      </c>
      <c r="AQ1114" s="133">
        <v>1</v>
      </c>
      <c r="AR1114" s="153">
        <v>0.0721861525408278</v>
      </c>
      <c r="AS1114" s="137">
        <v>0</v>
      </c>
      <c r="AT1114" s="137">
        <v>0</v>
      </c>
      <c r="AU1114" s="137">
        <v>0</v>
      </c>
      <c r="AV1114" s="137">
        <v>0.0869565217391304</v>
      </c>
      <c r="AW1114" s="93"/>
      <c r="AX1114" s="91"/>
    </row>
    <row r="1115" ht="14.5" spans="1:50">
      <c r="A1115" s="89"/>
      <c r="B1115" s="93"/>
      <c r="C1115" s="148" t="s">
        <v>1080</v>
      </c>
      <c r="D1115" s="126" t="s">
        <v>1081</v>
      </c>
      <c r="E1115" s="186" t="s">
        <v>1140</v>
      </c>
      <c r="F1115" s="186" t="s">
        <v>1140</v>
      </c>
      <c r="G1115" s="186" t="s">
        <v>1140</v>
      </c>
      <c r="H1115" s="186" t="s">
        <v>1140</v>
      </c>
      <c r="I1115" s="128">
        <v>0.9</v>
      </c>
      <c r="J1115" s="129">
        <v>0.926829268292683</v>
      </c>
      <c r="K1115" s="129">
        <v>0.918918918918919</v>
      </c>
      <c r="L1115" s="130">
        <v>1</v>
      </c>
      <c r="M1115" s="129">
        <v>0.975</v>
      </c>
      <c r="N1115" s="131">
        <v>0.9</v>
      </c>
      <c r="O1115" s="129">
        <v>0.966824644549763</v>
      </c>
      <c r="P1115" s="129">
        <v>0.987081815170586</v>
      </c>
      <c r="Q1115" s="129">
        <v>0.991586538461538</v>
      </c>
      <c r="R1115" s="129">
        <v>0.974323802991984</v>
      </c>
      <c r="S1115" s="131">
        <v>0.9</v>
      </c>
      <c r="T1115" s="129">
        <v>0.904536222071767</v>
      </c>
      <c r="U1115" s="129">
        <v>0.965220271613117</v>
      </c>
      <c r="V1115" s="129">
        <v>0.929567307692308</v>
      </c>
      <c r="W1115" s="129">
        <v>0.929208281538</v>
      </c>
      <c r="X1115" s="131">
        <v>0.92</v>
      </c>
      <c r="Y1115" s="131" t="s">
        <v>33</v>
      </c>
      <c r="Z1115" s="131" t="s">
        <v>33</v>
      </c>
      <c r="AA1115" s="131" t="s">
        <v>33</v>
      </c>
      <c r="AB1115" s="131">
        <v>0</v>
      </c>
      <c r="AC1115" s="131">
        <v>0.92</v>
      </c>
      <c r="AD1115" s="129">
        <v>1</v>
      </c>
      <c r="AE1115" s="129">
        <v>1</v>
      </c>
      <c r="AF1115" s="129">
        <v>1</v>
      </c>
      <c r="AG1115" s="129">
        <v>0.998941798941799</v>
      </c>
      <c r="AH1115" s="131">
        <v>0.92</v>
      </c>
      <c r="AI1115" s="129">
        <v>0.971789663732792</v>
      </c>
      <c r="AJ1115" s="129">
        <v>0.981119576018549</v>
      </c>
      <c r="AK1115" s="129">
        <v>0.988701923076923</v>
      </c>
      <c r="AL1115" s="129">
        <v>0.984804646477636</v>
      </c>
      <c r="AM1115" s="128">
        <v>0.99</v>
      </c>
      <c r="AN1115" s="133">
        <v>1</v>
      </c>
      <c r="AO1115" s="133">
        <v>1</v>
      </c>
      <c r="AP1115" s="133">
        <v>1</v>
      </c>
      <c r="AQ1115" s="133">
        <v>1</v>
      </c>
      <c r="AR1115" s="153">
        <v>0.0721861525408278</v>
      </c>
      <c r="AS1115" s="137">
        <v>0.125</v>
      </c>
      <c r="AT1115" s="137">
        <v>0</v>
      </c>
      <c r="AU1115" s="137">
        <v>0</v>
      </c>
      <c r="AV1115" s="137">
        <v>0.0379746835443038</v>
      </c>
      <c r="AW1115" s="93"/>
      <c r="AX1115" s="91"/>
    </row>
    <row r="1116" ht="14.5" spans="1:50">
      <c r="A1116" s="89"/>
      <c r="B1116" s="93"/>
      <c r="C1116" s="148" t="s">
        <v>1080</v>
      </c>
      <c r="D1116" s="126" t="s">
        <v>1081</v>
      </c>
      <c r="E1116" s="186" t="s">
        <v>1141</v>
      </c>
      <c r="F1116" s="186" t="s">
        <v>1141</v>
      </c>
      <c r="G1116" s="186" t="s">
        <v>1141</v>
      </c>
      <c r="H1116" s="186" t="s">
        <v>1141</v>
      </c>
      <c r="I1116" s="128">
        <v>0.9</v>
      </c>
      <c r="J1116" s="129">
        <v>0.873015873015873</v>
      </c>
      <c r="K1116" s="129">
        <v>0.787234042553192</v>
      </c>
      <c r="L1116" s="130">
        <v>0.816666666666667</v>
      </c>
      <c r="M1116" s="129">
        <v>0.801449275362319</v>
      </c>
      <c r="N1116" s="131">
        <v>0.9</v>
      </c>
      <c r="O1116" s="129">
        <v>0.90161427357689</v>
      </c>
      <c r="P1116" s="129">
        <v>0.877919576209969</v>
      </c>
      <c r="Q1116" s="129">
        <v>0.887510766580534</v>
      </c>
      <c r="R1116" s="129">
        <v>0.893610094871954</v>
      </c>
      <c r="S1116" s="131">
        <v>0.9</v>
      </c>
      <c r="T1116" s="129">
        <v>0.807476635514019</v>
      </c>
      <c r="U1116" s="129">
        <v>0.876715627257404</v>
      </c>
      <c r="V1116" s="129">
        <v>0.809991386735573</v>
      </c>
      <c r="W1116" s="129">
        <v>0.847755317169963</v>
      </c>
      <c r="X1116" s="131">
        <v>0.92</v>
      </c>
      <c r="Y1116" s="131" t="s">
        <v>33</v>
      </c>
      <c r="Z1116" s="131" t="s">
        <v>33</v>
      </c>
      <c r="AA1116" s="131" t="s">
        <v>33</v>
      </c>
      <c r="AB1116" s="131" t="s">
        <v>33</v>
      </c>
      <c r="AC1116" s="131">
        <v>0.92</v>
      </c>
      <c r="AD1116" s="129">
        <v>0.993421052631579</v>
      </c>
      <c r="AE1116" s="129">
        <v>0.984126984126984</v>
      </c>
      <c r="AF1116" s="129">
        <v>0.775862068965517</v>
      </c>
      <c r="AG1116" s="129">
        <v>0.981956315289649</v>
      </c>
      <c r="AH1116" s="131">
        <v>0.92</v>
      </c>
      <c r="AI1116" s="129">
        <v>0.964146134239592</v>
      </c>
      <c r="AJ1116" s="129">
        <v>0.94485913797255</v>
      </c>
      <c r="AK1116" s="129">
        <v>0.960206718346253</v>
      </c>
      <c r="AL1116" s="129">
        <v>0.969135611086997</v>
      </c>
      <c r="AM1116" s="128">
        <v>0.99</v>
      </c>
      <c r="AN1116" s="133">
        <v>1</v>
      </c>
      <c r="AO1116" s="133">
        <v>1</v>
      </c>
      <c r="AP1116" s="133">
        <v>1</v>
      </c>
      <c r="AQ1116" s="133">
        <v>1</v>
      </c>
      <c r="AR1116" s="153">
        <v>0.0721861525408278</v>
      </c>
      <c r="AS1116" s="137">
        <v>0</v>
      </c>
      <c r="AT1116" s="137">
        <v>0.2</v>
      </c>
      <c r="AU1116" s="137">
        <v>0</v>
      </c>
      <c r="AV1116" s="137">
        <v>0.0693069306930693</v>
      </c>
      <c r="AW1116" s="93"/>
      <c r="AX1116" s="91"/>
    </row>
    <row r="1117" ht="14.5" spans="1:50">
      <c r="A1117" s="89"/>
      <c r="B1117" s="93"/>
      <c r="C1117" s="148" t="s">
        <v>1080</v>
      </c>
      <c r="D1117" s="126" t="s">
        <v>1081</v>
      </c>
      <c r="E1117" s="186" t="s">
        <v>1142</v>
      </c>
      <c r="F1117" s="186" t="s">
        <v>1142</v>
      </c>
      <c r="G1117" s="186" t="s">
        <v>1142</v>
      </c>
      <c r="H1117" s="186" t="s">
        <v>1142</v>
      </c>
      <c r="I1117" s="128">
        <v>0.9</v>
      </c>
      <c r="J1117" s="129">
        <v>0.928571428571429</v>
      </c>
      <c r="K1117" s="129">
        <v>0.921052631578947</v>
      </c>
      <c r="L1117" s="130">
        <v>0.926829268292683</v>
      </c>
      <c r="M1117" s="129">
        <v>0.933194154488518</v>
      </c>
      <c r="N1117" s="131">
        <v>0.9</v>
      </c>
      <c r="O1117" s="129">
        <v>0.949617189429489</v>
      </c>
      <c r="P1117" s="129">
        <v>0.961834733893557</v>
      </c>
      <c r="Q1117" s="129">
        <v>0.937222076902956</v>
      </c>
      <c r="R1117" s="129">
        <v>0.939270487920417</v>
      </c>
      <c r="S1117" s="131">
        <v>0.9</v>
      </c>
      <c r="T1117" s="129">
        <v>0.781921462089405</v>
      </c>
      <c r="U1117" s="129">
        <v>0.801470588235294</v>
      </c>
      <c r="V1117" s="129">
        <v>0.783154590635626</v>
      </c>
      <c r="W1117" s="129">
        <v>0.780554239696826</v>
      </c>
      <c r="X1117" s="131">
        <v>0.92</v>
      </c>
      <c r="Y1117" s="131" t="s">
        <v>33</v>
      </c>
      <c r="Z1117" s="131" t="s">
        <v>33</v>
      </c>
      <c r="AA1117" s="131" t="s">
        <v>33</v>
      </c>
      <c r="AB1117" s="131" t="s">
        <v>33</v>
      </c>
      <c r="AC1117" s="131">
        <v>0.92</v>
      </c>
      <c r="AD1117" s="129">
        <v>1</v>
      </c>
      <c r="AE1117" s="129">
        <v>1</v>
      </c>
      <c r="AF1117" s="129">
        <v>1</v>
      </c>
      <c r="AG1117" s="129">
        <v>1</v>
      </c>
      <c r="AH1117" s="131">
        <v>0.92</v>
      </c>
      <c r="AI1117" s="129">
        <v>0.908866386762163</v>
      </c>
      <c r="AJ1117" s="129">
        <v>0.886904761904762</v>
      </c>
      <c r="AK1117" s="129">
        <v>0.917865550614701</v>
      </c>
      <c r="AL1117" s="129">
        <v>0.905116058739934</v>
      </c>
      <c r="AM1117" s="128">
        <v>0.99</v>
      </c>
      <c r="AN1117" s="133">
        <v>1</v>
      </c>
      <c r="AO1117" s="133">
        <v>1</v>
      </c>
      <c r="AP1117" s="133">
        <v>1</v>
      </c>
      <c r="AQ1117" s="133">
        <v>1</v>
      </c>
      <c r="AR1117" s="153">
        <v>0.0721861525408278</v>
      </c>
      <c r="AS1117" s="137">
        <v>0</v>
      </c>
      <c r="AT1117" s="137">
        <v>0.333333333333333</v>
      </c>
      <c r="AU1117" s="137">
        <v>0</v>
      </c>
      <c r="AV1117" s="137">
        <v>0.120481927710843</v>
      </c>
      <c r="AW1117" s="93"/>
      <c r="AX1117" s="91"/>
    </row>
    <row r="1118" ht="14.5" spans="1:50">
      <c r="A1118" s="89"/>
      <c r="B1118" s="93"/>
      <c r="C1118" s="148" t="s">
        <v>1080</v>
      </c>
      <c r="D1118" s="126" t="s">
        <v>1081</v>
      </c>
      <c r="E1118" s="186" t="s">
        <v>1143</v>
      </c>
      <c r="F1118" s="186" t="s">
        <v>1143</v>
      </c>
      <c r="G1118" s="186" t="s">
        <v>1143</v>
      </c>
      <c r="H1118" s="186" t="s">
        <v>1143</v>
      </c>
      <c r="I1118" s="128">
        <v>0.9</v>
      </c>
      <c r="J1118" s="129">
        <v>0.914285714285714</v>
      </c>
      <c r="K1118" s="129">
        <v>0.793103448275862</v>
      </c>
      <c r="L1118" s="130">
        <v>0.685714285714286</v>
      </c>
      <c r="M1118" s="129">
        <v>0.776674937965261</v>
      </c>
      <c r="N1118" s="131">
        <v>0.9</v>
      </c>
      <c r="O1118" s="129">
        <v>0.931391585760518</v>
      </c>
      <c r="P1118" s="129">
        <v>0.952402334979793</v>
      </c>
      <c r="Q1118" s="129">
        <v>0.888925294888598</v>
      </c>
      <c r="R1118" s="129">
        <v>0.917127409353331</v>
      </c>
      <c r="S1118" s="131">
        <v>0.9</v>
      </c>
      <c r="T1118" s="129">
        <v>0.676051779935275</v>
      </c>
      <c r="U1118" s="129">
        <v>0.735069600359228</v>
      </c>
      <c r="V1118" s="129">
        <v>0.703473132372215</v>
      </c>
      <c r="W1118" s="129">
        <v>0.698506277300913</v>
      </c>
      <c r="X1118" s="131">
        <v>0.92</v>
      </c>
      <c r="Y1118" s="131" t="s">
        <v>33</v>
      </c>
      <c r="Z1118" s="131" t="s">
        <v>33</v>
      </c>
      <c r="AA1118" s="131" t="s">
        <v>33</v>
      </c>
      <c r="AB1118" s="131">
        <v>1</v>
      </c>
      <c r="AC1118" s="131">
        <v>0.92</v>
      </c>
      <c r="AD1118" s="129">
        <v>1</v>
      </c>
      <c r="AE1118" s="129">
        <v>0.997907949790795</v>
      </c>
      <c r="AF1118" s="129">
        <v>0.998529411764706</v>
      </c>
      <c r="AG1118" s="129">
        <v>0.995772266065389</v>
      </c>
      <c r="AH1118" s="131">
        <v>0.92</v>
      </c>
      <c r="AI1118" s="129">
        <v>0.83915857605178</v>
      </c>
      <c r="AJ1118" s="129">
        <v>0.891333632689717</v>
      </c>
      <c r="AK1118" s="129">
        <v>0.894167758846658</v>
      </c>
      <c r="AL1118" s="129">
        <v>0.88823385668031</v>
      </c>
      <c r="AM1118" s="128">
        <v>0.99</v>
      </c>
      <c r="AN1118" s="133">
        <v>1</v>
      </c>
      <c r="AO1118" s="133">
        <v>1</v>
      </c>
      <c r="AP1118" s="133">
        <v>1</v>
      </c>
      <c r="AQ1118" s="133">
        <v>1</v>
      </c>
      <c r="AR1118" s="153">
        <v>0.0721861525408278</v>
      </c>
      <c r="AS1118" s="137">
        <v>0</v>
      </c>
      <c r="AT1118" s="137">
        <v>0</v>
      </c>
      <c r="AU1118" s="137">
        <v>0</v>
      </c>
      <c r="AV1118" s="137">
        <v>0.0638297872340425</v>
      </c>
      <c r="AW1118" s="93"/>
      <c r="AX1118" s="91"/>
    </row>
    <row r="1119" ht="14.5" spans="1:50">
      <c r="A1119" s="89"/>
      <c r="B1119" s="93"/>
      <c r="C1119" s="148" t="s">
        <v>1080</v>
      </c>
      <c r="D1119" s="126" t="s">
        <v>1081</v>
      </c>
      <c r="E1119" s="186" t="s">
        <v>1144</v>
      </c>
      <c r="F1119" s="186" t="s">
        <v>1144</v>
      </c>
      <c r="G1119" s="186" t="s">
        <v>1144</v>
      </c>
      <c r="H1119" s="186" t="s">
        <v>1144</v>
      </c>
      <c r="I1119" s="128">
        <v>0.9</v>
      </c>
      <c r="J1119" s="129">
        <v>0.901639344262295</v>
      </c>
      <c r="K1119" s="129">
        <v>0.867924528301887</v>
      </c>
      <c r="L1119" s="130">
        <v>0.896551724137931</v>
      </c>
      <c r="M1119" s="129">
        <v>0.905523255813954</v>
      </c>
      <c r="N1119" s="131">
        <v>0.9</v>
      </c>
      <c r="O1119" s="129">
        <v>0.928212162780064</v>
      </c>
      <c r="P1119" s="129">
        <v>0.954334877564527</v>
      </c>
      <c r="Q1119" s="129">
        <v>0.956473915776241</v>
      </c>
      <c r="R1119" s="129">
        <v>0.949505179697899</v>
      </c>
      <c r="S1119" s="131">
        <v>0.9</v>
      </c>
      <c r="T1119" s="129">
        <v>0.804450541076056</v>
      </c>
      <c r="U1119" s="129">
        <v>0.847562320758879</v>
      </c>
      <c r="V1119" s="129">
        <v>0.879792583280955</v>
      </c>
      <c r="W1119" s="129">
        <v>0.826306499218705</v>
      </c>
      <c r="X1119" s="131">
        <v>0.92</v>
      </c>
      <c r="Y1119" s="131" t="s">
        <v>33</v>
      </c>
      <c r="Z1119" s="131" t="s">
        <v>33</v>
      </c>
      <c r="AA1119" s="131" t="s">
        <v>33</v>
      </c>
      <c r="AB1119" s="131" t="s">
        <v>33</v>
      </c>
      <c r="AC1119" s="131">
        <v>0.92</v>
      </c>
      <c r="AD1119" s="129">
        <v>0.997246443322625</v>
      </c>
      <c r="AE1119" s="129">
        <v>0.987749838813669</v>
      </c>
      <c r="AF1119" s="129">
        <v>1</v>
      </c>
      <c r="AG1119" s="129">
        <v>0.995292001692763</v>
      </c>
      <c r="AH1119" s="131">
        <v>0.92</v>
      </c>
      <c r="AI1119" s="129">
        <v>0.956256668190825</v>
      </c>
      <c r="AJ1119" s="129">
        <v>0.95457552370452</v>
      </c>
      <c r="AK1119" s="129">
        <v>0.966530483972344</v>
      </c>
      <c r="AL1119" s="129">
        <v>0.961240197922394</v>
      </c>
      <c r="AM1119" s="128">
        <v>0.99</v>
      </c>
      <c r="AN1119" s="133">
        <v>1</v>
      </c>
      <c r="AO1119" s="133">
        <v>1</v>
      </c>
      <c r="AP1119" s="133">
        <v>1</v>
      </c>
      <c r="AQ1119" s="133">
        <v>1</v>
      </c>
      <c r="AR1119" s="153">
        <v>0.0721861525408278</v>
      </c>
      <c r="AS1119" s="137">
        <v>0.142857142857143</v>
      </c>
      <c r="AT1119" s="137">
        <v>0.111111111111111</v>
      </c>
      <c r="AU1119" s="137">
        <v>0.125</v>
      </c>
      <c r="AV1119" s="137">
        <v>0.104761904761905</v>
      </c>
      <c r="AW1119" s="93"/>
      <c r="AX1119" s="91"/>
    </row>
    <row r="1120" ht="14.5" spans="1:50">
      <c r="A1120" s="89"/>
      <c r="B1120" s="93"/>
      <c r="C1120" s="148" t="s">
        <v>1080</v>
      </c>
      <c r="D1120" s="126" t="s">
        <v>1081</v>
      </c>
      <c r="E1120" s="186" t="s">
        <v>1145</v>
      </c>
      <c r="F1120" s="186" t="s">
        <v>1145</v>
      </c>
      <c r="G1120" s="186" t="s">
        <v>1145</v>
      </c>
      <c r="H1120" s="186" t="s">
        <v>1145</v>
      </c>
      <c r="I1120" s="128">
        <v>0.9</v>
      </c>
      <c r="J1120" s="129">
        <v>0.925</v>
      </c>
      <c r="K1120" s="129">
        <v>0.902777777777778</v>
      </c>
      <c r="L1120" s="130">
        <v>0.923076923076923</v>
      </c>
      <c r="M1120" s="129">
        <v>0.913636363636364</v>
      </c>
      <c r="N1120" s="131">
        <v>0.9</v>
      </c>
      <c r="O1120" s="129">
        <v>0.968453880292671</v>
      </c>
      <c r="P1120" s="129">
        <v>0.955369357045144</v>
      </c>
      <c r="Q1120" s="129">
        <v>0.931988326354524</v>
      </c>
      <c r="R1120" s="129">
        <v>0.857449736515289</v>
      </c>
      <c r="S1120" s="131">
        <v>0.9</v>
      </c>
      <c r="T1120" s="129">
        <v>0.615928991243853</v>
      </c>
      <c r="U1120" s="129">
        <v>0.676470588235294</v>
      </c>
      <c r="V1120" s="129">
        <v>0.576830351478239</v>
      </c>
      <c r="W1120" s="129">
        <v>0.594088096756509</v>
      </c>
      <c r="X1120" s="131">
        <v>0.92</v>
      </c>
      <c r="Y1120" s="131" t="s">
        <v>33</v>
      </c>
      <c r="Z1120" s="131" t="s">
        <v>33</v>
      </c>
      <c r="AA1120" s="131" t="s">
        <v>33</v>
      </c>
      <c r="AB1120" s="131">
        <v>1</v>
      </c>
      <c r="AC1120" s="131">
        <v>0.92</v>
      </c>
      <c r="AD1120" s="129">
        <v>0.998205741626794</v>
      </c>
      <c r="AE1120" s="129">
        <v>0.993623804463337</v>
      </c>
      <c r="AF1120" s="129">
        <v>0.989432485322896</v>
      </c>
      <c r="AG1120" s="129">
        <v>0.975682128240109</v>
      </c>
      <c r="AH1120" s="131">
        <v>0.92</v>
      </c>
      <c r="AI1120" s="129">
        <v>0.915557154851865</v>
      </c>
      <c r="AJ1120" s="129">
        <v>0.924931600547196</v>
      </c>
      <c r="AK1120" s="129">
        <v>0.936429387133612</v>
      </c>
      <c r="AL1120" s="129">
        <v>0.932849263266242</v>
      </c>
      <c r="AM1120" s="128">
        <v>0.99</v>
      </c>
      <c r="AN1120" s="133">
        <v>1</v>
      </c>
      <c r="AO1120" s="133">
        <v>1</v>
      </c>
      <c r="AP1120" s="133">
        <v>1</v>
      </c>
      <c r="AQ1120" s="133">
        <v>1</v>
      </c>
      <c r="AR1120" s="153">
        <v>0.0721861525408278</v>
      </c>
      <c r="AS1120" s="137">
        <v>0</v>
      </c>
      <c r="AT1120" s="137">
        <v>0</v>
      </c>
      <c r="AU1120" s="137">
        <v>-0.0285714285714286</v>
      </c>
      <c r="AV1120" s="137">
        <v>0.0219435736677116</v>
      </c>
      <c r="AW1120" s="93"/>
      <c r="AX1120" s="91"/>
    </row>
    <row r="1121" ht="14.5" spans="1:50">
      <c r="A1121" s="89"/>
      <c r="B1121" s="93"/>
      <c r="C1121" s="148" t="s">
        <v>1080</v>
      </c>
      <c r="D1121" s="126" t="s">
        <v>1081</v>
      </c>
      <c r="E1121" s="186" t="s">
        <v>1146</v>
      </c>
      <c r="F1121" s="186" t="s">
        <v>1146</v>
      </c>
      <c r="G1121" s="186" t="s">
        <v>1146</v>
      </c>
      <c r="H1121" s="186" t="s">
        <v>1146</v>
      </c>
      <c r="I1121" s="128">
        <v>0.9</v>
      </c>
      <c r="J1121" s="129" t="s">
        <v>33</v>
      </c>
      <c r="K1121" s="129" t="s">
        <v>33</v>
      </c>
      <c r="L1121" s="130" t="s">
        <v>33</v>
      </c>
      <c r="M1121" s="129" t="s">
        <v>33</v>
      </c>
      <c r="N1121" s="131">
        <v>0.9</v>
      </c>
      <c r="O1121" s="129">
        <v>0.151890034364261</v>
      </c>
      <c r="P1121" s="129">
        <v>0.217937971500419</v>
      </c>
      <c r="Q1121" s="129">
        <v>0.153378378378378</v>
      </c>
      <c r="R1121" s="129">
        <v>0.125234852043213</v>
      </c>
      <c r="S1121" s="131">
        <v>0.9</v>
      </c>
      <c r="T1121" s="129">
        <v>0.0982817869415808</v>
      </c>
      <c r="U1121" s="129">
        <v>0.0335289186923722</v>
      </c>
      <c r="V1121" s="129">
        <v>0.101351351351351</v>
      </c>
      <c r="W1121" s="129">
        <v>0.0435063410051667</v>
      </c>
      <c r="X1121" s="131">
        <v>0.92</v>
      </c>
      <c r="Y1121" s="131" t="s">
        <v>33</v>
      </c>
      <c r="Z1121" s="131" t="s">
        <v>33</v>
      </c>
      <c r="AA1121" s="131" t="s">
        <v>33</v>
      </c>
      <c r="AB1121" s="131">
        <v>1</v>
      </c>
      <c r="AC1121" s="131">
        <v>0.92</v>
      </c>
      <c r="AD1121" s="129" t="s">
        <v>33</v>
      </c>
      <c r="AE1121" s="129" t="s">
        <v>33</v>
      </c>
      <c r="AF1121" s="129" t="s">
        <v>33</v>
      </c>
      <c r="AG1121" s="129">
        <v>1</v>
      </c>
      <c r="AH1121" s="131">
        <v>0.92</v>
      </c>
      <c r="AI1121" s="129">
        <v>0.12233676975945</v>
      </c>
      <c r="AJ1121" s="129">
        <v>0.142497904442582</v>
      </c>
      <c r="AK1121" s="129">
        <v>0.125</v>
      </c>
      <c r="AL1121" s="129">
        <v>0.0890624082663066</v>
      </c>
      <c r="AM1121" s="128">
        <v>0.99</v>
      </c>
      <c r="AN1121" s="133" t="s">
        <v>33</v>
      </c>
      <c r="AO1121" s="133" t="s">
        <v>33</v>
      </c>
      <c r="AP1121" s="133" t="s">
        <v>33</v>
      </c>
      <c r="AQ1121" s="133" t="s">
        <v>33</v>
      </c>
      <c r="AR1121" s="153">
        <v>0.0721861525408278</v>
      </c>
      <c r="AS1121" s="137">
        <v>0.222222222222222</v>
      </c>
      <c r="AT1121" s="137">
        <v>0.148148148148148</v>
      </c>
      <c r="AU1121" s="137">
        <v>0.0666666666666667</v>
      </c>
      <c r="AV1121" s="137">
        <v>0.183098591549296</v>
      </c>
      <c r="AW1121" s="93"/>
      <c r="AX1121" s="91"/>
    </row>
    <row r="1122" ht="14.5" spans="1:50">
      <c r="A1122" s="89"/>
      <c r="B1122" s="93"/>
      <c r="C1122" s="148" t="s">
        <v>1080</v>
      </c>
      <c r="D1122" s="126" t="s">
        <v>1081</v>
      </c>
      <c r="E1122" s="186" t="s">
        <v>1147</v>
      </c>
      <c r="F1122" s="186" t="s">
        <v>1147</v>
      </c>
      <c r="G1122" s="186" t="s">
        <v>1147</v>
      </c>
      <c r="H1122" s="186" t="s">
        <v>1147</v>
      </c>
      <c r="I1122" s="128">
        <v>0.9</v>
      </c>
      <c r="J1122" s="129">
        <v>0.883333333333333</v>
      </c>
      <c r="K1122" s="129">
        <v>0.866666666666667</v>
      </c>
      <c r="L1122" s="130">
        <v>0.920634920634921</v>
      </c>
      <c r="M1122" s="129">
        <v>0.919667590027701</v>
      </c>
      <c r="N1122" s="131">
        <v>0.9</v>
      </c>
      <c r="O1122" s="129">
        <v>0.764518976169462</v>
      </c>
      <c r="P1122" s="129">
        <v>0.933900851276915</v>
      </c>
      <c r="Q1122" s="129">
        <v>0.825505780346821</v>
      </c>
      <c r="R1122" s="129">
        <v>0.81955243053208</v>
      </c>
      <c r="S1122" s="131">
        <v>0.9</v>
      </c>
      <c r="T1122" s="129">
        <v>0.514210061782877</v>
      </c>
      <c r="U1122" s="129">
        <v>0.678517776664997</v>
      </c>
      <c r="V1122" s="129">
        <v>0.576228323699422</v>
      </c>
      <c r="W1122" s="129">
        <v>0.603982151308228</v>
      </c>
      <c r="X1122" s="131">
        <v>0.92</v>
      </c>
      <c r="Y1122" s="131">
        <v>0</v>
      </c>
      <c r="Z1122" s="131" t="s">
        <v>33</v>
      </c>
      <c r="AA1122" s="131" t="s">
        <v>33</v>
      </c>
      <c r="AB1122" s="131">
        <v>0</v>
      </c>
      <c r="AC1122" s="131">
        <v>0.92</v>
      </c>
      <c r="AD1122" s="129">
        <v>1</v>
      </c>
      <c r="AE1122" s="129">
        <v>1</v>
      </c>
      <c r="AF1122" s="129">
        <v>1</v>
      </c>
      <c r="AG1122" s="129">
        <v>0.999674160964484</v>
      </c>
      <c r="AH1122" s="131">
        <v>0.92</v>
      </c>
      <c r="AI1122" s="129">
        <v>0.890771131109935</v>
      </c>
      <c r="AJ1122" s="129">
        <v>0.885828743114672</v>
      </c>
      <c r="AK1122" s="129">
        <v>0.874638728323699</v>
      </c>
      <c r="AL1122" s="129">
        <v>0.884885155576588</v>
      </c>
      <c r="AM1122" s="128">
        <v>0.99</v>
      </c>
      <c r="AN1122" s="133">
        <v>1</v>
      </c>
      <c r="AO1122" s="133">
        <v>1</v>
      </c>
      <c r="AP1122" s="133">
        <v>1</v>
      </c>
      <c r="AQ1122" s="133">
        <v>1</v>
      </c>
      <c r="AR1122" s="153">
        <v>0.0721861525408278</v>
      </c>
      <c r="AS1122" s="137">
        <v>0</v>
      </c>
      <c r="AT1122" s="137">
        <v>0.0714285714285714</v>
      </c>
      <c r="AU1122" s="137">
        <v>0</v>
      </c>
      <c r="AV1122" s="137">
        <v>0.0649350649350649</v>
      </c>
      <c r="AW1122" s="93"/>
      <c r="AX1122" s="91"/>
    </row>
    <row r="1123" ht="14.5" spans="1:50">
      <c r="A1123" s="89"/>
      <c r="B1123" s="93"/>
      <c r="C1123" s="148" t="s">
        <v>1080</v>
      </c>
      <c r="D1123" s="126" t="s">
        <v>1081</v>
      </c>
      <c r="E1123" s="186" t="s">
        <v>1148</v>
      </c>
      <c r="F1123" s="186" t="s">
        <v>1148</v>
      </c>
      <c r="G1123" s="186" t="s">
        <v>1148</v>
      </c>
      <c r="H1123" s="186" t="s">
        <v>1148</v>
      </c>
      <c r="I1123" s="128">
        <v>0.9</v>
      </c>
      <c r="J1123" s="129">
        <v>0.90625</v>
      </c>
      <c r="K1123" s="129">
        <v>0.951612903225806</v>
      </c>
      <c r="L1123" s="130">
        <v>0.966666666666667</v>
      </c>
      <c r="M1123" s="129">
        <v>0.913333333333333</v>
      </c>
      <c r="N1123" s="131">
        <v>0.9</v>
      </c>
      <c r="O1123" s="129">
        <v>0.985047484340271</v>
      </c>
      <c r="P1123" s="129">
        <v>0.984245201947866</v>
      </c>
      <c r="Q1123" s="129">
        <v>0.980815831987076</v>
      </c>
      <c r="R1123" s="129">
        <v>0.968283444877546</v>
      </c>
      <c r="S1123" s="131">
        <v>0.9</v>
      </c>
      <c r="T1123" s="129">
        <v>0.723580521317438</v>
      </c>
      <c r="U1123" s="129">
        <v>0.72987682612432</v>
      </c>
      <c r="V1123" s="129">
        <v>0.695678513731826</v>
      </c>
      <c r="W1123" s="129">
        <v>0.71607707582555</v>
      </c>
      <c r="X1123" s="131">
        <v>0.92</v>
      </c>
      <c r="Y1123" s="131">
        <v>0</v>
      </c>
      <c r="Z1123" s="131" t="s">
        <v>33</v>
      </c>
      <c r="AA1123" s="131">
        <v>0</v>
      </c>
      <c r="AB1123" s="131">
        <v>0</v>
      </c>
      <c r="AC1123" s="131">
        <v>0.92</v>
      </c>
      <c r="AD1123" s="129">
        <v>1</v>
      </c>
      <c r="AE1123" s="129">
        <v>1</v>
      </c>
      <c r="AF1123" s="129">
        <v>1</v>
      </c>
      <c r="AG1123" s="129">
        <v>1</v>
      </c>
      <c r="AH1123" s="131">
        <v>0.92</v>
      </c>
      <c r="AI1123" s="129">
        <v>0.895193861066236</v>
      </c>
      <c r="AJ1123" s="129">
        <v>0.884273847035233</v>
      </c>
      <c r="AK1123" s="129">
        <v>0.90086816071068</v>
      </c>
      <c r="AL1123" s="129">
        <v>0.925615428455868</v>
      </c>
      <c r="AM1123" s="128">
        <v>0.99</v>
      </c>
      <c r="AN1123" s="133">
        <v>1</v>
      </c>
      <c r="AO1123" s="133">
        <v>1</v>
      </c>
      <c r="AP1123" s="133">
        <v>1</v>
      </c>
      <c r="AQ1123" s="133">
        <v>1</v>
      </c>
      <c r="AR1123" s="153">
        <v>0.0721861525408278</v>
      </c>
      <c r="AS1123" s="137">
        <v>0</v>
      </c>
      <c r="AT1123" s="137">
        <v>0.166666666666667</v>
      </c>
      <c r="AU1123" s="137">
        <v>0</v>
      </c>
      <c r="AV1123" s="137">
        <v>0.0763358778625954</v>
      </c>
      <c r="AW1123" s="93"/>
      <c r="AX1123" s="91"/>
    </row>
    <row r="1124" ht="14.5" spans="1:50">
      <c r="A1124" s="89"/>
      <c r="B1124" s="93"/>
      <c r="C1124" s="148" t="s">
        <v>1080</v>
      </c>
      <c r="D1124" s="126" t="s">
        <v>1081</v>
      </c>
      <c r="E1124" s="186" t="s">
        <v>1149</v>
      </c>
      <c r="F1124" s="186" t="s">
        <v>1149</v>
      </c>
      <c r="G1124" s="186" t="s">
        <v>1149</v>
      </c>
      <c r="H1124" s="186" t="s">
        <v>1149</v>
      </c>
      <c r="I1124" s="128">
        <v>0.9</v>
      </c>
      <c r="J1124" s="129">
        <v>0.934782608695652</v>
      </c>
      <c r="K1124" s="129">
        <v>0.928571428571429</v>
      </c>
      <c r="L1124" s="130">
        <v>0.958333333333333</v>
      </c>
      <c r="M1124" s="129">
        <v>0.921675774134791</v>
      </c>
      <c r="N1124" s="131">
        <v>0.9</v>
      </c>
      <c r="O1124" s="129">
        <v>0.977396726422447</v>
      </c>
      <c r="P1124" s="129">
        <v>0.982117812061711</v>
      </c>
      <c r="Q1124" s="129">
        <v>0.972610096670247</v>
      </c>
      <c r="R1124" s="129">
        <v>0.948082609393266</v>
      </c>
      <c r="S1124" s="131">
        <v>0.9</v>
      </c>
      <c r="T1124" s="129">
        <v>0.766952455183164</v>
      </c>
      <c r="U1124" s="129">
        <v>0.782959326788219</v>
      </c>
      <c r="V1124" s="129">
        <v>0.82438238453276</v>
      </c>
      <c r="W1124" s="129">
        <v>0.76633735989181</v>
      </c>
      <c r="X1124" s="131">
        <v>0.92</v>
      </c>
      <c r="Y1124" s="131" t="s">
        <v>33</v>
      </c>
      <c r="Z1124" s="131" t="s">
        <v>33</v>
      </c>
      <c r="AA1124" s="131" t="s">
        <v>33</v>
      </c>
      <c r="AB1124" s="131">
        <v>1</v>
      </c>
      <c r="AC1124" s="131">
        <v>0.92</v>
      </c>
      <c r="AD1124" s="129">
        <v>1</v>
      </c>
      <c r="AE1124" s="129">
        <v>1</v>
      </c>
      <c r="AF1124" s="129">
        <v>0.987341772151899</v>
      </c>
      <c r="AG1124" s="129">
        <v>0.998473282442748</v>
      </c>
      <c r="AH1124" s="131">
        <v>0.92</v>
      </c>
      <c r="AI1124" s="129">
        <v>0.922577292803326</v>
      </c>
      <c r="AJ1124" s="129">
        <v>0.922159887798036</v>
      </c>
      <c r="AK1124" s="129">
        <v>0.946025778732546</v>
      </c>
      <c r="AL1124" s="129">
        <v>0.935935637663886</v>
      </c>
      <c r="AM1124" s="128">
        <v>0.99</v>
      </c>
      <c r="AN1124" s="133">
        <v>1</v>
      </c>
      <c r="AO1124" s="133">
        <v>1</v>
      </c>
      <c r="AP1124" s="133">
        <v>1</v>
      </c>
      <c r="AQ1124" s="133">
        <v>1</v>
      </c>
      <c r="AR1124" s="153">
        <v>0.0721861525408278</v>
      </c>
      <c r="AS1124" s="137">
        <v>0.25</v>
      </c>
      <c r="AT1124" s="137">
        <v>0</v>
      </c>
      <c r="AU1124" s="137">
        <v>0.285714285714286</v>
      </c>
      <c r="AV1124" s="137">
        <v>0.0520833333333333</v>
      </c>
      <c r="AW1124" s="93"/>
      <c r="AX1124" s="91"/>
    </row>
    <row r="1125" ht="14.5" spans="1:50">
      <c r="A1125" s="89"/>
      <c r="B1125" s="93"/>
      <c r="C1125" s="148" t="s">
        <v>1080</v>
      </c>
      <c r="D1125" s="126" t="s">
        <v>1081</v>
      </c>
      <c r="E1125" s="186" t="s">
        <v>1150</v>
      </c>
      <c r="F1125" s="186" t="s">
        <v>1150</v>
      </c>
      <c r="G1125" s="186" t="s">
        <v>1150</v>
      </c>
      <c r="H1125" s="186" t="s">
        <v>1150</v>
      </c>
      <c r="I1125" s="128">
        <v>0.9</v>
      </c>
      <c r="J1125" s="129">
        <v>0.928571428571429</v>
      </c>
      <c r="K1125" s="129">
        <v>0.931818181818182</v>
      </c>
      <c r="L1125" s="130">
        <v>0.928571428571429</v>
      </c>
      <c r="M1125" s="129">
        <v>0.906187624750499</v>
      </c>
      <c r="N1125" s="131">
        <v>0.9</v>
      </c>
      <c r="O1125" s="129">
        <v>0.766468294684999</v>
      </c>
      <c r="P1125" s="129">
        <v>0.922138291690877</v>
      </c>
      <c r="Q1125" s="129">
        <v>0.905111063187406</v>
      </c>
      <c r="R1125" s="129">
        <v>0.860130930906585</v>
      </c>
      <c r="S1125" s="131">
        <v>0.9</v>
      </c>
      <c r="T1125" s="129">
        <v>0.590601272316848</v>
      </c>
      <c r="U1125" s="129">
        <v>0.670249854735619</v>
      </c>
      <c r="V1125" s="129">
        <v>0.633814966573215</v>
      </c>
      <c r="W1125" s="129">
        <v>0.63406230365431</v>
      </c>
      <c r="X1125" s="131">
        <v>0.92</v>
      </c>
      <c r="Y1125" s="131">
        <v>0</v>
      </c>
      <c r="Z1125" s="131" t="s">
        <v>33</v>
      </c>
      <c r="AA1125" s="131" t="s">
        <v>33</v>
      </c>
      <c r="AB1125" s="131">
        <v>0</v>
      </c>
      <c r="AC1125" s="131">
        <v>0.92</v>
      </c>
      <c r="AD1125" s="129">
        <v>1</v>
      </c>
      <c r="AE1125" s="129">
        <v>1</v>
      </c>
      <c r="AF1125" s="129">
        <v>0.982300884955752</v>
      </c>
      <c r="AG1125" s="129">
        <v>0.994956772334294</v>
      </c>
      <c r="AH1125" s="131">
        <v>0.92</v>
      </c>
      <c r="AI1125" s="129">
        <v>0.832</v>
      </c>
      <c r="AJ1125" s="129">
        <v>0.871876815804765</v>
      </c>
      <c r="AK1125" s="129">
        <v>0.871468621953849</v>
      </c>
      <c r="AL1125" s="129">
        <v>0.868590652993393</v>
      </c>
      <c r="AM1125" s="128">
        <v>0.99</v>
      </c>
      <c r="AN1125" s="133">
        <v>1</v>
      </c>
      <c r="AO1125" s="133">
        <v>1</v>
      </c>
      <c r="AP1125" s="133">
        <v>1</v>
      </c>
      <c r="AQ1125" s="133">
        <v>1</v>
      </c>
      <c r="AR1125" s="153">
        <v>0.0721861525408278</v>
      </c>
      <c r="AS1125" s="137">
        <v>0.2</v>
      </c>
      <c r="AT1125" s="137">
        <v>0.0909090909090909</v>
      </c>
      <c r="AU1125" s="137">
        <v>0.0625</v>
      </c>
      <c r="AV1125" s="137">
        <v>0.12</v>
      </c>
      <c r="AW1125" s="93"/>
      <c r="AX1125" s="91"/>
    </row>
    <row r="1126" ht="14.5" spans="1:50">
      <c r="A1126" s="89"/>
      <c r="B1126" s="93"/>
      <c r="C1126" s="148" t="s">
        <v>1080</v>
      </c>
      <c r="D1126" s="126" t="s">
        <v>1081</v>
      </c>
      <c r="E1126" s="186" t="s">
        <v>1151</v>
      </c>
      <c r="F1126" s="186" t="s">
        <v>1151</v>
      </c>
      <c r="G1126" s="186" t="s">
        <v>1151</v>
      </c>
      <c r="H1126" s="186" t="s">
        <v>1151</v>
      </c>
      <c r="I1126" s="128">
        <v>0.9</v>
      </c>
      <c r="J1126" s="129">
        <v>0.981132075471698</v>
      </c>
      <c r="K1126" s="129">
        <v>1</v>
      </c>
      <c r="L1126" s="130">
        <v>0.980392156862745</v>
      </c>
      <c r="M1126" s="129">
        <v>0.988333333333333</v>
      </c>
      <c r="N1126" s="131">
        <v>0.9</v>
      </c>
      <c r="O1126" s="129">
        <v>0.953392452051969</v>
      </c>
      <c r="P1126" s="129">
        <v>0.973807296538821</v>
      </c>
      <c r="Q1126" s="129">
        <v>0.965211754537597</v>
      </c>
      <c r="R1126" s="129">
        <v>0.958006979449399</v>
      </c>
      <c r="S1126" s="131">
        <v>0.9</v>
      </c>
      <c r="T1126" s="129">
        <v>0.708599711280676</v>
      </c>
      <c r="U1126" s="129">
        <v>0.844714686623012</v>
      </c>
      <c r="V1126" s="129">
        <v>0.743949870354365</v>
      </c>
      <c r="W1126" s="129">
        <v>0.733191159364095</v>
      </c>
      <c r="X1126" s="131">
        <v>0.92</v>
      </c>
      <c r="Y1126" s="131">
        <v>0</v>
      </c>
      <c r="Z1126" s="131" t="s">
        <v>33</v>
      </c>
      <c r="AA1126" s="131" t="s">
        <v>33</v>
      </c>
      <c r="AB1126" s="131">
        <v>0</v>
      </c>
      <c r="AC1126" s="131">
        <v>0.92</v>
      </c>
      <c r="AD1126" s="129">
        <v>1</v>
      </c>
      <c r="AE1126" s="129">
        <v>0.981627296587926</v>
      </c>
      <c r="AF1126" s="129">
        <v>0.995305164319249</v>
      </c>
      <c r="AG1126" s="129">
        <v>0.993860117458623</v>
      </c>
      <c r="AH1126" s="131">
        <v>0.92</v>
      </c>
      <c r="AI1126" s="129">
        <v>0.956701030927835</v>
      </c>
      <c r="AJ1126" s="129">
        <v>0.942313688805737</v>
      </c>
      <c r="AK1126" s="129">
        <v>0.960890233362144</v>
      </c>
      <c r="AL1126" s="129">
        <v>0.958317985304666</v>
      </c>
      <c r="AM1126" s="128">
        <v>0.99</v>
      </c>
      <c r="AN1126" s="133">
        <v>1</v>
      </c>
      <c r="AO1126" s="133">
        <v>1</v>
      </c>
      <c r="AP1126" s="133">
        <v>1</v>
      </c>
      <c r="AQ1126" s="133">
        <v>1</v>
      </c>
      <c r="AR1126" s="153">
        <v>0.0721861525408278</v>
      </c>
      <c r="AS1126" s="137">
        <v>0.142857142857143</v>
      </c>
      <c r="AT1126" s="137">
        <v>0</v>
      </c>
      <c r="AU1126" s="137">
        <v>0</v>
      </c>
      <c r="AV1126" s="137">
        <v>0.114285714285714</v>
      </c>
      <c r="AW1126" s="93"/>
      <c r="AX1126" s="91"/>
    </row>
    <row r="1127" ht="14.5" spans="1:50">
      <c r="A1127" s="89"/>
      <c r="B1127" s="93"/>
      <c r="C1127" s="148" t="s">
        <v>1080</v>
      </c>
      <c r="D1127" s="126" t="s">
        <v>1081</v>
      </c>
      <c r="E1127" s="186" t="s">
        <v>1152</v>
      </c>
      <c r="F1127" s="186" t="s">
        <v>1152</v>
      </c>
      <c r="G1127" s="186" t="s">
        <v>1152</v>
      </c>
      <c r="H1127" s="186" t="s">
        <v>1152</v>
      </c>
      <c r="I1127" s="128">
        <v>0.9</v>
      </c>
      <c r="J1127" s="129">
        <v>0.975609756097561</v>
      </c>
      <c r="K1127" s="129">
        <v>0.971428571428571</v>
      </c>
      <c r="L1127" s="130">
        <v>1</v>
      </c>
      <c r="M1127" s="129">
        <v>0.987315010570824</v>
      </c>
      <c r="N1127" s="131">
        <v>0.9</v>
      </c>
      <c r="O1127" s="129">
        <v>0.983769633507853</v>
      </c>
      <c r="P1127" s="129">
        <v>0.964979063570613</v>
      </c>
      <c r="Q1127" s="129">
        <v>0.990668740279938</v>
      </c>
      <c r="R1127" s="129">
        <v>0.981836915630316</v>
      </c>
      <c r="S1127" s="131">
        <v>0.9</v>
      </c>
      <c r="T1127" s="129">
        <v>0.887434554973822</v>
      </c>
      <c r="U1127" s="129">
        <v>0.893033878949372</v>
      </c>
      <c r="V1127" s="129">
        <v>0.836443753240021</v>
      </c>
      <c r="W1127" s="129">
        <v>0.864591570220209</v>
      </c>
      <c r="X1127" s="131">
        <v>0.92</v>
      </c>
      <c r="Y1127" s="131" t="s">
        <v>33</v>
      </c>
      <c r="Z1127" s="131" t="s">
        <v>33</v>
      </c>
      <c r="AA1127" s="131" t="s">
        <v>33</v>
      </c>
      <c r="AB1127" s="131" t="s">
        <v>33</v>
      </c>
      <c r="AC1127" s="131">
        <v>0.92</v>
      </c>
      <c r="AD1127" s="129">
        <v>0.9875</v>
      </c>
      <c r="AE1127" s="129">
        <v>1</v>
      </c>
      <c r="AF1127" s="129">
        <v>1</v>
      </c>
      <c r="AG1127" s="129">
        <v>0.998331943286072</v>
      </c>
      <c r="AH1127" s="131">
        <v>0.92</v>
      </c>
      <c r="AI1127" s="129">
        <v>0.958638743455497</v>
      </c>
      <c r="AJ1127" s="129">
        <v>0.949752569470879</v>
      </c>
      <c r="AK1127" s="129">
        <v>0.969673405909798</v>
      </c>
      <c r="AL1127" s="129">
        <v>0.962236120096806</v>
      </c>
      <c r="AM1127" s="128">
        <v>0.99</v>
      </c>
      <c r="AN1127" s="133">
        <v>1</v>
      </c>
      <c r="AO1127" s="133">
        <v>1</v>
      </c>
      <c r="AP1127" s="133">
        <v>1</v>
      </c>
      <c r="AQ1127" s="133">
        <v>1</v>
      </c>
      <c r="AR1127" s="153">
        <v>0.0721861525408278</v>
      </c>
      <c r="AS1127" s="137">
        <v>0</v>
      </c>
      <c r="AT1127" s="137">
        <v>0</v>
      </c>
      <c r="AU1127" s="137">
        <v>0.2</v>
      </c>
      <c r="AV1127" s="137">
        <v>0.0632911392405063</v>
      </c>
      <c r="AW1127" s="93"/>
      <c r="AX1127" s="91"/>
    </row>
    <row r="1128" ht="14.5" spans="1:50">
      <c r="A1128" s="89"/>
      <c r="B1128" s="93"/>
      <c r="C1128" s="148" t="s">
        <v>1080</v>
      </c>
      <c r="D1128" s="126" t="s">
        <v>1081</v>
      </c>
      <c r="E1128" s="186" t="s">
        <v>1153</v>
      </c>
      <c r="F1128" s="186" t="s">
        <v>1153</v>
      </c>
      <c r="G1128" s="186" t="s">
        <v>1153</v>
      </c>
      <c r="H1128" s="186" t="s">
        <v>1153</v>
      </c>
      <c r="I1128" s="128">
        <v>0.9</v>
      </c>
      <c r="J1128" s="129">
        <v>0.942857142857143</v>
      </c>
      <c r="K1128" s="129">
        <v>0.931034482758621</v>
      </c>
      <c r="L1128" s="130">
        <v>0.941176470588235</v>
      </c>
      <c r="M1128" s="129">
        <v>0.950859950859951</v>
      </c>
      <c r="N1128" s="131">
        <v>0.9</v>
      </c>
      <c r="O1128" s="129">
        <v>0.904746934926124</v>
      </c>
      <c r="P1128" s="129">
        <v>0.973380210949272</v>
      </c>
      <c r="Q1128" s="129">
        <v>0.936674568235693</v>
      </c>
      <c r="R1128" s="129">
        <v>0.95819605892957</v>
      </c>
      <c r="S1128" s="131">
        <v>0.9</v>
      </c>
      <c r="T1128" s="129">
        <v>0.581578120088023</v>
      </c>
      <c r="U1128" s="129">
        <v>0.688096433952788</v>
      </c>
      <c r="V1128" s="129">
        <v>0.523874026413816</v>
      </c>
      <c r="W1128" s="129">
        <v>0.612917262385777</v>
      </c>
      <c r="X1128" s="131">
        <v>0.92</v>
      </c>
      <c r="Y1128" s="131">
        <v>0</v>
      </c>
      <c r="Z1128" s="131" t="s">
        <v>33</v>
      </c>
      <c r="AA1128" s="131">
        <v>1</v>
      </c>
      <c r="AB1128" s="131">
        <v>0.5</v>
      </c>
      <c r="AC1128" s="131">
        <v>0.92</v>
      </c>
      <c r="AD1128" s="129">
        <v>1</v>
      </c>
      <c r="AE1128" s="129">
        <v>1</v>
      </c>
      <c r="AF1128" s="129">
        <v>1</v>
      </c>
      <c r="AG1128" s="129">
        <v>0.997389033942559</v>
      </c>
      <c r="AH1128" s="131">
        <v>0.92</v>
      </c>
      <c r="AI1128" s="129">
        <v>0.845694531741043</v>
      </c>
      <c r="AJ1128" s="129">
        <v>0.854846810647916</v>
      </c>
      <c r="AK1128" s="129">
        <v>0.930602572782668</v>
      </c>
      <c r="AL1128" s="129">
        <v>0.904152163102934</v>
      </c>
      <c r="AM1128" s="128">
        <v>0.99</v>
      </c>
      <c r="AN1128" s="133">
        <v>1</v>
      </c>
      <c r="AO1128" s="133">
        <v>1</v>
      </c>
      <c r="AP1128" s="133">
        <v>1</v>
      </c>
      <c r="AQ1128" s="133">
        <v>1</v>
      </c>
      <c r="AR1128" s="153">
        <v>0.0721861525408278</v>
      </c>
      <c r="AS1128" s="137">
        <v>0.333333333333333</v>
      </c>
      <c r="AT1128" s="137">
        <v>0</v>
      </c>
      <c r="AU1128" s="137">
        <v>0</v>
      </c>
      <c r="AV1128" s="137">
        <v>0.153846153846154</v>
      </c>
      <c r="AW1128" s="93"/>
      <c r="AX1128" s="91"/>
    </row>
    <row r="1129" ht="14.5" spans="1:50">
      <c r="A1129" s="89"/>
      <c r="B1129" s="93"/>
      <c r="C1129" s="148" t="s">
        <v>1080</v>
      </c>
      <c r="D1129" s="126" t="s">
        <v>1081</v>
      </c>
      <c r="E1129" s="186" t="s">
        <v>1154</v>
      </c>
      <c r="F1129" s="186" t="s">
        <v>1154</v>
      </c>
      <c r="G1129" s="186" t="s">
        <v>1154</v>
      </c>
      <c r="H1129" s="186" t="s">
        <v>1154</v>
      </c>
      <c r="I1129" s="128">
        <v>0.9</v>
      </c>
      <c r="J1129" s="129">
        <v>0.85</v>
      </c>
      <c r="K1129" s="129">
        <v>0.813186813186813</v>
      </c>
      <c r="L1129" s="130">
        <v>0.838383838383838</v>
      </c>
      <c r="M1129" s="129">
        <v>0.829268292682927</v>
      </c>
      <c r="N1129" s="131">
        <v>0.9</v>
      </c>
      <c r="O1129" s="129">
        <v>0.916655336505778</v>
      </c>
      <c r="P1129" s="129">
        <v>0.920601271921372</v>
      </c>
      <c r="Q1129" s="129">
        <v>0.900014283673761</v>
      </c>
      <c r="R1129" s="129">
        <v>0.915649434304009</v>
      </c>
      <c r="S1129" s="131">
        <v>0.9</v>
      </c>
      <c r="T1129" s="129">
        <v>0.777158395649218</v>
      </c>
      <c r="U1129" s="129">
        <v>0.812680670649451</v>
      </c>
      <c r="V1129" s="129">
        <v>0.786459077274675</v>
      </c>
      <c r="W1129" s="129">
        <v>0.811732292503731</v>
      </c>
      <c r="X1129" s="131">
        <v>0.92</v>
      </c>
      <c r="Y1129" s="131" t="s">
        <v>33</v>
      </c>
      <c r="Z1129" s="131" t="s">
        <v>33</v>
      </c>
      <c r="AA1129" s="131" t="s">
        <v>33</v>
      </c>
      <c r="AB1129" s="131" t="s">
        <v>33</v>
      </c>
      <c r="AC1129" s="131">
        <v>0.92</v>
      </c>
      <c r="AD1129" s="129">
        <v>0.998991935483871</v>
      </c>
      <c r="AE1129" s="129">
        <v>0.994904458598726</v>
      </c>
      <c r="AF1129" s="129">
        <v>1</v>
      </c>
      <c r="AG1129" s="129">
        <v>0.998012244573428</v>
      </c>
      <c r="AH1129" s="131">
        <v>0.92</v>
      </c>
      <c r="AI1129" s="129">
        <v>0.919113648722132</v>
      </c>
      <c r="AJ1129" s="129">
        <v>0.933320485642706</v>
      </c>
      <c r="AK1129" s="129">
        <v>0.93829452935295</v>
      </c>
      <c r="AL1129" s="129">
        <v>0.94875</v>
      </c>
      <c r="AM1129" s="128">
        <v>0.99</v>
      </c>
      <c r="AN1129" s="133">
        <v>1</v>
      </c>
      <c r="AO1129" s="133">
        <v>1</v>
      </c>
      <c r="AP1129" s="133">
        <v>1</v>
      </c>
      <c r="AQ1129" s="133">
        <v>1</v>
      </c>
      <c r="AR1129" s="153">
        <v>0.0721861525408278</v>
      </c>
      <c r="AS1129" s="137">
        <v>0.0666666666666667</v>
      </c>
      <c r="AT1129" s="137">
        <v>0</v>
      </c>
      <c r="AU1129" s="137">
        <v>-0.0434782608695652</v>
      </c>
      <c r="AV1129" s="137">
        <v>0.0905349794238683</v>
      </c>
      <c r="AW1129" s="93"/>
      <c r="AX1129" s="91"/>
    </row>
    <row r="1130" ht="14.5" spans="1:50">
      <c r="A1130" s="89"/>
      <c r="B1130" s="93"/>
      <c r="C1130" s="148" t="s">
        <v>1080</v>
      </c>
      <c r="D1130" s="126" t="s">
        <v>1081</v>
      </c>
      <c r="E1130" s="186" t="s">
        <v>1155</v>
      </c>
      <c r="F1130" s="186" t="s">
        <v>1155</v>
      </c>
      <c r="G1130" s="186" t="s">
        <v>1155</v>
      </c>
      <c r="H1130" s="186" t="s">
        <v>1155</v>
      </c>
      <c r="I1130" s="128">
        <v>0.9</v>
      </c>
      <c r="J1130" s="129">
        <v>0.880952380952381</v>
      </c>
      <c r="K1130" s="129">
        <v>0.894736842105263</v>
      </c>
      <c r="L1130" s="130">
        <v>0.926829268292683</v>
      </c>
      <c r="M1130" s="129">
        <v>0.932790224032587</v>
      </c>
      <c r="N1130" s="131">
        <v>0.9</v>
      </c>
      <c r="O1130" s="129">
        <v>0.934790397706915</v>
      </c>
      <c r="P1130" s="129">
        <v>0.973684210526316</v>
      </c>
      <c r="Q1130" s="129">
        <v>0.983940042826552</v>
      </c>
      <c r="R1130" s="129">
        <v>0.971749213453991</v>
      </c>
      <c r="S1130" s="131">
        <v>0.9</v>
      </c>
      <c r="T1130" s="129">
        <v>0.75671802221426</v>
      </c>
      <c r="U1130" s="129">
        <v>0.821150097465887</v>
      </c>
      <c r="V1130" s="129">
        <v>0.821199143468951</v>
      </c>
      <c r="W1130" s="129">
        <v>0.796600823846129</v>
      </c>
      <c r="X1130" s="131">
        <v>0.92</v>
      </c>
      <c r="Y1130" s="131" t="s">
        <v>33</v>
      </c>
      <c r="Z1130" s="131" t="s">
        <v>33</v>
      </c>
      <c r="AA1130" s="131" t="s">
        <v>33</v>
      </c>
      <c r="AB1130" s="131" t="s">
        <v>33</v>
      </c>
      <c r="AC1130" s="131">
        <v>0.92</v>
      </c>
      <c r="AD1130" s="129">
        <v>1</v>
      </c>
      <c r="AE1130" s="129">
        <v>1</v>
      </c>
      <c r="AF1130" s="129">
        <v>0.988095238095238</v>
      </c>
      <c r="AG1130" s="129">
        <v>0.998326359832636</v>
      </c>
      <c r="AH1130" s="131">
        <v>0.92</v>
      </c>
      <c r="AI1130" s="129">
        <v>0.930490863489789</v>
      </c>
      <c r="AJ1130" s="129">
        <v>0.934697855750487</v>
      </c>
      <c r="AK1130" s="129">
        <v>0.957530335474661</v>
      </c>
      <c r="AL1130" s="129">
        <v>0.950990885796763</v>
      </c>
      <c r="AM1130" s="128">
        <v>0.99</v>
      </c>
      <c r="AN1130" s="133">
        <v>1</v>
      </c>
      <c r="AO1130" s="133">
        <v>1</v>
      </c>
      <c r="AP1130" s="133">
        <v>1</v>
      </c>
      <c r="AQ1130" s="133">
        <v>1</v>
      </c>
      <c r="AR1130" s="153">
        <v>0.0721861525408278</v>
      </c>
      <c r="AS1130" s="137">
        <v>0</v>
      </c>
      <c r="AT1130" s="137">
        <v>0</v>
      </c>
      <c r="AU1130" s="137">
        <v>0</v>
      </c>
      <c r="AV1130" s="137">
        <v>0.08</v>
      </c>
      <c r="AW1130" s="93"/>
      <c r="AX1130" s="91"/>
    </row>
    <row r="1131" ht="14.5" spans="1:50">
      <c r="A1131" s="89"/>
      <c r="B1131" s="93"/>
      <c r="C1131" s="148" t="s">
        <v>1080</v>
      </c>
      <c r="D1131" s="126" t="s">
        <v>1081</v>
      </c>
      <c r="E1131" s="186" t="s">
        <v>1156</v>
      </c>
      <c r="F1131" s="186" t="s">
        <v>1156</v>
      </c>
      <c r="G1131" s="186" t="s">
        <v>1156</v>
      </c>
      <c r="H1131" s="186" t="s">
        <v>1156</v>
      </c>
      <c r="I1131" s="128">
        <v>0.9</v>
      </c>
      <c r="J1131" s="129">
        <v>0.935483870967742</v>
      </c>
      <c r="K1131" s="129">
        <v>0.740740740740741</v>
      </c>
      <c r="L1131" s="130">
        <v>0.9</v>
      </c>
      <c r="M1131" s="129">
        <v>0.916905444126075</v>
      </c>
      <c r="N1131" s="131">
        <v>0.9</v>
      </c>
      <c r="O1131" s="129">
        <v>0.956341738803161</v>
      </c>
      <c r="P1131" s="129">
        <v>0.985417835109366</v>
      </c>
      <c r="Q1131" s="129">
        <v>0.974329501915709</v>
      </c>
      <c r="R1131" s="129">
        <v>0.978001800180018</v>
      </c>
      <c r="S1131" s="131">
        <v>0.9</v>
      </c>
      <c r="T1131" s="129">
        <v>0.794505080918329</v>
      </c>
      <c r="U1131" s="129">
        <v>0.787997756590017</v>
      </c>
      <c r="V1131" s="129">
        <v>0.782758620689655</v>
      </c>
      <c r="W1131" s="129">
        <v>0.78973897389739</v>
      </c>
      <c r="X1131" s="131">
        <v>0.92</v>
      </c>
      <c r="Y1131" s="131" t="s">
        <v>33</v>
      </c>
      <c r="Z1131" s="131" t="s">
        <v>33</v>
      </c>
      <c r="AA1131" s="131" t="s">
        <v>33</v>
      </c>
      <c r="AB1131" s="131" t="s">
        <v>33</v>
      </c>
      <c r="AC1131" s="131">
        <v>0.92</v>
      </c>
      <c r="AD1131" s="129">
        <v>1</v>
      </c>
      <c r="AE1131" s="129">
        <v>1</v>
      </c>
      <c r="AF1131" s="129">
        <v>1</v>
      </c>
      <c r="AG1131" s="129">
        <v>0.991869918699187</v>
      </c>
      <c r="AH1131" s="131">
        <v>0.92</v>
      </c>
      <c r="AI1131" s="129">
        <v>0.94203989461799</v>
      </c>
      <c r="AJ1131" s="129">
        <v>0.924845765563657</v>
      </c>
      <c r="AK1131" s="129">
        <v>0.948275862068966</v>
      </c>
      <c r="AL1131" s="129">
        <v>0.941494149414941</v>
      </c>
      <c r="AM1131" s="128">
        <v>0.99</v>
      </c>
      <c r="AN1131" s="133">
        <v>1</v>
      </c>
      <c r="AO1131" s="133">
        <v>1</v>
      </c>
      <c r="AP1131" s="133">
        <v>1</v>
      </c>
      <c r="AQ1131" s="133">
        <v>1</v>
      </c>
      <c r="AR1131" s="153">
        <v>0.0721861525408278</v>
      </c>
      <c r="AS1131" s="137">
        <v>0.142857142857143</v>
      </c>
      <c r="AT1131" s="137">
        <v>0.333333333333333</v>
      </c>
      <c r="AU1131" s="137">
        <v>0</v>
      </c>
      <c r="AV1131" s="137">
        <v>0.227272727272727</v>
      </c>
      <c r="AW1131" s="93"/>
      <c r="AX1131" s="91"/>
    </row>
    <row r="1132" ht="14.5" spans="1:50">
      <c r="A1132" s="89"/>
      <c r="B1132" s="93"/>
      <c r="C1132" s="148" t="s">
        <v>1080</v>
      </c>
      <c r="D1132" s="126" t="s">
        <v>1081</v>
      </c>
      <c r="E1132" s="186" t="s">
        <v>1157</v>
      </c>
      <c r="F1132" s="186" t="s">
        <v>1157</v>
      </c>
      <c r="G1132" s="186" t="s">
        <v>1157</v>
      </c>
      <c r="H1132" s="186" t="s">
        <v>1157</v>
      </c>
      <c r="I1132" s="128">
        <v>0.9</v>
      </c>
      <c r="J1132" s="129">
        <v>0.933333333333333</v>
      </c>
      <c r="K1132" s="129">
        <v>0.838709677419355</v>
      </c>
      <c r="L1132" s="130">
        <v>0.888888888888889</v>
      </c>
      <c r="M1132" s="129">
        <v>0.894799054373522</v>
      </c>
      <c r="N1132" s="131">
        <v>0.9</v>
      </c>
      <c r="O1132" s="129">
        <v>0.946863468634686</v>
      </c>
      <c r="P1132" s="129">
        <v>0.950243652218518</v>
      </c>
      <c r="Q1132" s="129">
        <v>0.309572301425662</v>
      </c>
      <c r="R1132" s="129">
        <v>0.887464265539141</v>
      </c>
      <c r="S1132" s="131">
        <v>0.9</v>
      </c>
      <c r="T1132" s="129">
        <v>0.78450184501845</v>
      </c>
      <c r="U1132" s="129">
        <v>0.878430366760708</v>
      </c>
      <c r="V1132" s="129">
        <v>0.723384558415108</v>
      </c>
      <c r="W1132" s="129">
        <v>0.806426211548008</v>
      </c>
      <c r="X1132" s="131">
        <v>0.92</v>
      </c>
      <c r="Y1132" s="131" t="s">
        <v>33</v>
      </c>
      <c r="Z1132" s="131">
        <v>0</v>
      </c>
      <c r="AA1132" s="131" t="s">
        <v>33</v>
      </c>
      <c r="AB1132" s="131">
        <v>0</v>
      </c>
      <c r="AC1132" s="131">
        <v>0.92</v>
      </c>
      <c r="AD1132" s="129">
        <v>1</v>
      </c>
      <c r="AE1132" s="129">
        <v>0.99302649930265</v>
      </c>
      <c r="AF1132" s="129">
        <v>0.999136442141623</v>
      </c>
      <c r="AG1132" s="129">
        <v>0.998288843258042</v>
      </c>
      <c r="AH1132" s="131">
        <v>0.92</v>
      </c>
      <c r="AI1132" s="129">
        <v>0.929889298892989</v>
      </c>
      <c r="AJ1132" s="129">
        <v>0.961794871794872</v>
      </c>
      <c r="AK1132" s="129">
        <v>0.955008331790409</v>
      </c>
      <c r="AL1132" s="129">
        <v>0.957256325105276</v>
      </c>
      <c r="AM1132" s="128">
        <v>0.99</v>
      </c>
      <c r="AN1132" s="133">
        <v>1</v>
      </c>
      <c r="AO1132" s="133">
        <v>1</v>
      </c>
      <c r="AP1132" s="133">
        <v>1</v>
      </c>
      <c r="AQ1132" s="133">
        <v>1</v>
      </c>
      <c r="AR1132" s="153">
        <v>0.0721861525408278</v>
      </c>
      <c r="AS1132" s="137">
        <v>0.0625</v>
      </c>
      <c r="AT1132" s="137">
        <v>0</v>
      </c>
      <c r="AU1132" s="137">
        <v>0.181818181818182</v>
      </c>
      <c r="AV1132" s="137">
        <v>0.0774647887323944</v>
      </c>
      <c r="AW1132" s="93"/>
      <c r="AX1132" s="91"/>
    </row>
    <row r="1133" ht="14.5" spans="1:50">
      <c r="A1133" s="89"/>
      <c r="B1133" s="93"/>
      <c r="C1133" s="148" t="s">
        <v>1080</v>
      </c>
      <c r="D1133" s="126" t="s">
        <v>1081</v>
      </c>
      <c r="E1133" s="186" t="s">
        <v>1158</v>
      </c>
      <c r="F1133" s="186" t="s">
        <v>1158</v>
      </c>
      <c r="G1133" s="186" t="s">
        <v>1158</v>
      </c>
      <c r="H1133" s="186" t="s">
        <v>1158</v>
      </c>
      <c r="I1133" s="128">
        <v>0.9</v>
      </c>
      <c r="J1133" s="129">
        <v>0.777777777777778</v>
      </c>
      <c r="K1133" s="129">
        <v>0.826086956521739</v>
      </c>
      <c r="L1133" s="130">
        <v>0.792452830188679</v>
      </c>
      <c r="M1133" s="129">
        <v>0.810147299509002</v>
      </c>
      <c r="N1133" s="131">
        <v>0.9</v>
      </c>
      <c r="O1133" s="129">
        <v>0.948406040268456</v>
      </c>
      <c r="P1133" s="129">
        <v>0.972623345367028</v>
      </c>
      <c r="Q1133" s="129">
        <v>0.231463571889104</v>
      </c>
      <c r="R1133" s="129">
        <v>0.883220902031915</v>
      </c>
      <c r="S1133" s="131">
        <v>0.9</v>
      </c>
      <c r="T1133" s="129">
        <v>0.670092281879195</v>
      </c>
      <c r="U1133" s="129">
        <v>0.811070998796631</v>
      </c>
      <c r="V1133" s="129">
        <v>0.534493874919407</v>
      </c>
      <c r="W1133" s="129">
        <v>0.722624166955388</v>
      </c>
      <c r="X1133" s="131">
        <v>0.92</v>
      </c>
      <c r="Y1133" s="131" t="s">
        <v>33</v>
      </c>
      <c r="Z1133" s="131" t="s">
        <v>33</v>
      </c>
      <c r="AA1133" s="131" t="s">
        <v>33</v>
      </c>
      <c r="AB1133" s="131" t="s">
        <v>33</v>
      </c>
      <c r="AC1133" s="131">
        <v>0.92</v>
      </c>
      <c r="AD1133" s="129">
        <v>1</v>
      </c>
      <c r="AE1133" s="129">
        <v>1</v>
      </c>
      <c r="AF1133" s="129">
        <v>0.976470588235294</v>
      </c>
      <c r="AG1133" s="129">
        <v>0.995771670190275</v>
      </c>
      <c r="AH1133" s="131">
        <v>0.92</v>
      </c>
      <c r="AI1133" s="129">
        <v>0.902894295302013</v>
      </c>
      <c r="AJ1133" s="129">
        <v>0.924789410348977</v>
      </c>
      <c r="AK1133" s="129">
        <v>0.931871910595315</v>
      </c>
      <c r="AL1133" s="129">
        <v>0.934436586707971</v>
      </c>
      <c r="AM1133" s="128">
        <v>0.99</v>
      </c>
      <c r="AN1133" s="133">
        <v>1</v>
      </c>
      <c r="AO1133" s="133">
        <v>1</v>
      </c>
      <c r="AP1133" s="133">
        <v>1</v>
      </c>
      <c r="AQ1133" s="133">
        <v>1</v>
      </c>
      <c r="AR1133" s="153">
        <v>0.0721861525408278</v>
      </c>
      <c r="AS1133" s="137">
        <v>0.117647058823529</v>
      </c>
      <c r="AT1133" s="137">
        <v>0.222222222222222</v>
      </c>
      <c r="AU1133" s="137">
        <v>0.142857142857143</v>
      </c>
      <c r="AV1133" s="137">
        <v>0.0916666666666667</v>
      </c>
      <c r="AW1133" s="93"/>
      <c r="AX1133" s="91"/>
    </row>
    <row r="1134" ht="14.5" spans="1:50">
      <c r="A1134" s="89"/>
      <c r="B1134" s="93"/>
      <c r="C1134" s="148" t="s">
        <v>1080</v>
      </c>
      <c r="D1134" s="126" t="s">
        <v>1081</v>
      </c>
      <c r="E1134" s="186" t="s">
        <v>1159</v>
      </c>
      <c r="F1134" s="186" t="s">
        <v>1159</v>
      </c>
      <c r="G1134" s="186" t="s">
        <v>1159</v>
      </c>
      <c r="H1134" s="186" t="s">
        <v>1159</v>
      </c>
      <c r="I1134" s="128">
        <v>0.9</v>
      </c>
      <c r="J1134" s="129">
        <v>0.882352941176471</v>
      </c>
      <c r="K1134" s="129">
        <v>0.868421052631579</v>
      </c>
      <c r="L1134" s="130">
        <v>0.936170212765957</v>
      </c>
      <c r="M1134" s="129">
        <v>0.820652173913043</v>
      </c>
      <c r="N1134" s="131">
        <v>0.9</v>
      </c>
      <c r="O1134" s="129">
        <v>0.957085020242915</v>
      </c>
      <c r="P1134" s="129">
        <v>0.974692966133234</v>
      </c>
      <c r="Q1134" s="129">
        <v>0.983786754602913</v>
      </c>
      <c r="R1134" s="129">
        <v>0.969946195234435</v>
      </c>
      <c r="S1134" s="131">
        <v>0.9</v>
      </c>
      <c r="T1134" s="129">
        <v>0.812415654520918</v>
      </c>
      <c r="U1134" s="129">
        <v>0.81838481577968</v>
      </c>
      <c r="V1134" s="129">
        <v>0.853805990656774</v>
      </c>
      <c r="W1134" s="129">
        <v>0.849910325390725</v>
      </c>
      <c r="X1134" s="131">
        <v>0.92</v>
      </c>
      <c r="Y1134" s="131" t="s">
        <v>33</v>
      </c>
      <c r="Z1134" s="131" t="s">
        <v>33</v>
      </c>
      <c r="AA1134" s="131">
        <v>0</v>
      </c>
      <c r="AB1134" s="131">
        <v>0</v>
      </c>
      <c r="AC1134" s="131">
        <v>0.92</v>
      </c>
      <c r="AD1134" s="129">
        <v>0.998566821927624</v>
      </c>
      <c r="AE1134" s="129">
        <v>0.997333333333333</v>
      </c>
      <c r="AF1134" s="129">
        <v>0.996231155778894</v>
      </c>
      <c r="AG1134" s="129">
        <v>0.997156135118263</v>
      </c>
      <c r="AH1134" s="131">
        <v>0.92</v>
      </c>
      <c r="AI1134" s="129">
        <v>0.93387314439946</v>
      </c>
      <c r="AJ1134" s="129">
        <v>0.936732415333085</v>
      </c>
      <c r="AK1134" s="129">
        <v>0.957692307692308</v>
      </c>
      <c r="AL1134" s="129">
        <v>0.962415453986473</v>
      </c>
      <c r="AM1134" s="128">
        <v>0.99</v>
      </c>
      <c r="AN1134" s="133">
        <v>1</v>
      </c>
      <c r="AO1134" s="133">
        <v>1</v>
      </c>
      <c r="AP1134" s="133">
        <v>1</v>
      </c>
      <c r="AQ1134" s="133">
        <v>1</v>
      </c>
      <c r="AR1134" s="153">
        <v>0.0721861525408278</v>
      </c>
      <c r="AS1134" s="137">
        <v>0</v>
      </c>
      <c r="AT1134" s="137">
        <v>0</v>
      </c>
      <c r="AU1134" s="137">
        <v>0</v>
      </c>
      <c r="AV1134" s="137">
        <v>0.0394736842105263</v>
      </c>
      <c r="AW1134" s="93"/>
      <c r="AX1134" s="91"/>
    </row>
    <row r="1135" ht="14.5" spans="1:50">
      <c r="A1135" s="89"/>
      <c r="B1135" s="93"/>
      <c r="C1135" s="148" t="s">
        <v>1080</v>
      </c>
      <c r="D1135" s="126" t="s">
        <v>1081</v>
      </c>
      <c r="E1135" s="186" t="s">
        <v>1160</v>
      </c>
      <c r="F1135" s="186" t="s">
        <v>1160</v>
      </c>
      <c r="G1135" s="186" t="s">
        <v>1160</v>
      </c>
      <c r="H1135" s="186" t="s">
        <v>1160</v>
      </c>
      <c r="I1135" s="128">
        <v>0.9</v>
      </c>
      <c r="J1135" s="129">
        <v>0.888888888888889</v>
      </c>
      <c r="K1135" s="129">
        <v>0.9</v>
      </c>
      <c r="L1135" s="130">
        <v>0.896551724137931</v>
      </c>
      <c r="M1135" s="129">
        <v>0.893371757925072</v>
      </c>
      <c r="N1135" s="131">
        <v>0.9</v>
      </c>
      <c r="O1135" s="129">
        <v>0.938761308281141</v>
      </c>
      <c r="P1135" s="129">
        <v>0.98747591522158</v>
      </c>
      <c r="Q1135" s="129">
        <v>0.986339754816112</v>
      </c>
      <c r="R1135" s="129">
        <v>0.97747633267679</v>
      </c>
      <c r="S1135" s="131">
        <v>0.9</v>
      </c>
      <c r="T1135" s="129">
        <v>0.791231732776618</v>
      </c>
      <c r="U1135" s="129">
        <v>0.864161849710983</v>
      </c>
      <c r="V1135" s="129">
        <v>0.825569176882662</v>
      </c>
      <c r="W1135" s="129">
        <v>0.816474998411589</v>
      </c>
      <c r="X1135" s="131">
        <v>0.92</v>
      </c>
      <c r="Y1135" s="131" t="s">
        <v>33</v>
      </c>
      <c r="Z1135" s="131" t="s">
        <v>33</v>
      </c>
      <c r="AA1135" s="131" t="s">
        <v>33</v>
      </c>
      <c r="AB1135" s="131">
        <v>1</v>
      </c>
      <c r="AC1135" s="131">
        <v>0.92</v>
      </c>
      <c r="AD1135" s="129">
        <v>1</v>
      </c>
      <c r="AE1135" s="129">
        <v>0.994974874371859</v>
      </c>
      <c r="AF1135" s="129">
        <v>1</v>
      </c>
      <c r="AG1135" s="129">
        <v>0.999251497005988</v>
      </c>
      <c r="AH1135" s="131">
        <v>0.92</v>
      </c>
      <c r="AI1135" s="129">
        <v>0.926583159359777</v>
      </c>
      <c r="AJ1135" s="129">
        <v>0.952312138728324</v>
      </c>
      <c r="AK1135" s="129">
        <v>0.960420315236427</v>
      </c>
      <c r="AL1135" s="129">
        <v>0.948378283935322</v>
      </c>
      <c r="AM1135" s="128">
        <v>0.99</v>
      </c>
      <c r="AN1135" s="133">
        <v>1</v>
      </c>
      <c r="AO1135" s="133">
        <v>1</v>
      </c>
      <c r="AP1135" s="133">
        <v>1</v>
      </c>
      <c r="AQ1135" s="133">
        <v>1</v>
      </c>
      <c r="AR1135" s="153">
        <v>0.0721861525408278</v>
      </c>
      <c r="AS1135" s="137">
        <v>0</v>
      </c>
      <c r="AT1135" s="137">
        <v>0</v>
      </c>
      <c r="AU1135" s="137">
        <v>0</v>
      </c>
      <c r="AV1135" s="137">
        <v>0.0571428571428571</v>
      </c>
      <c r="AW1135" s="93"/>
      <c r="AX1135" s="91"/>
    </row>
    <row r="1136" ht="14.5" spans="1:50">
      <c r="A1136" s="89"/>
      <c r="B1136" s="93"/>
      <c r="C1136" s="148" t="s">
        <v>1080</v>
      </c>
      <c r="D1136" s="126" t="s">
        <v>1081</v>
      </c>
      <c r="E1136" s="186" t="s">
        <v>1161</v>
      </c>
      <c r="F1136" s="186" t="s">
        <v>1161</v>
      </c>
      <c r="G1136" s="186" t="s">
        <v>1161</v>
      </c>
      <c r="H1136" s="186" t="s">
        <v>1161</v>
      </c>
      <c r="I1136" s="128">
        <v>0.9</v>
      </c>
      <c r="J1136" s="129">
        <v>0.772727272727273</v>
      </c>
      <c r="K1136" s="129">
        <v>0.789473684210526</v>
      </c>
      <c r="L1136" s="130">
        <v>0.869565217391304</v>
      </c>
      <c r="M1136" s="129">
        <v>0.823076923076923</v>
      </c>
      <c r="N1136" s="131">
        <v>0.9</v>
      </c>
      <c r="O1136" s="129">
        <v>0.988287785833798</v>
      </c>
      <c r="P1136" s="129">
        <v>0.974358974358974</v>
      </c>
      <c r="Q1136" s="129">
        <v>0.983550765740215</v>
      </c>
      <c r="R1136" s="129">
        <v>0.976699128129302</v>
      </c>
      <c r="S1136" s="131">
        <v>0.9</v>
      </c>
      <c r="T1136" s="129">
        <v>0.842163970998327</v>
      </c>
      <c r="U1136" s="129">
        <v>0.90625</v>
      </c>
      <c r="V1136" s="129">
        <v>0.883153715258083</v>
      </c>
      <c r="W1136" s="129">
        <v>0.871054912557997</v>
      </c>
      <c r="X1136" s="131">
        <v>0.92</v>
      </c>
      <c r="Y1136" s="131" t="s">
        <v>33</v>
      </c>
      <c r="Z1136" s="131" t="s">
        <v>33</v>
      </c>
      <c r="AA1136" s="131" t="s">
        <v>33</v>
      </c>
      <c r="AB1136" s="131" t="s">
        <v>33</v>
      </c>
      <c r="AC1136" s="131">
        <v>0.92</v>
      </c>
      <c r="AD1136" s="129">
        <v>1</v>
      </c>
      <c r="AE1136" s="129">
        <v>1</v>
      </c>
      <c r="AF1136" s="129">
        <v>1</v>
      </c>
      <c r="AG1136" s="129">
        <v>1</v>
      </c>
      <c r="AH1136" s="131">
        <v>0.92</v>
      </c>
      <c r="AI1136" s="129">
        <v>0.921360847741216</v>
      </c>
      <c r="AJ1136" s="129">
        <v>0.956730769230769</v>
      </c>
      <c r="AK1136" s="129">
        <v>0.94781622234827</v>
      </c>
      <c r="AL1136" s="129">
        <v>0.952735430581757</v>
      </c>
      <c r="AM1136" s="128">
        <v>0.99</v>
      </c>
      <c r="AN1136" s="133">
        <v>1</v>
      </c>
      <c r="AO1136" s="133">
        <v>1</v>
      </c>
      <c r="AP1136" s="133">
        <v>1</v>
      </c>
      <c r="AQ1136" s="133">
        <v>1</v>
      </c>
      <c r="AR1136" s="153">
        <v>0.0721861525408278</v>
      </c>
      <c r="AS1136" s="137">
        <v>0</v>
      </c>
      <c r="AT1136" s="137">
        <v>0.5</v>
      </c>
      <c r="AU1136" s="137">
        <v>0.666666666666667</v>
      </c>
      <c r="AV1136" s="137">
        <v>0.151515151515152</v>
      </c>
      <c r="AW1136" s="93"/>
      <c r="AX1136" s="91"/>
    </row>
    <row r="1137" ht="14.5" spans="1:50">
      <c r="A1137" s="89"/>
      <c r="B1137" s="93"/>
      <c r="C1137" s="148" t="s">
        <v>1080</v>
      </c>
      <c r="D1137" s="126" t="s">
        <v>1081</v>
      </c>
      <c r="E1137" s="186" t="s">
        <v>1162</v>
      </c>
      <c r="F1137" s="186" t="s">
        <v>1162</v>
      </c>
      <c r="G1137" s="186" t="s">
        <v>1162</v>
      </c>
      <c r="H1137" s="186" t="s">
        <v>1162</v>
      </c>
      <c r="I1137" s="128">
        <v>0.9</v>
      </c>
      <c r="J1137" s="129">
        <v>0.903225806451613</v>
      </c>
      <c r="K1137" s="129">
        <v>0.576923076923077</v>
      </c>
      <c r="L1137" s="130">
        <v>0.8</v>
      </c>
      <c r="M1137" s="129">
        <v>0.791428571428571</v>
      </c>
      <c r="N1137" s="131">
        <v>0.9</v>
      </c>
      <c r="O1137" s="129">
        <v>0.980215304044225</v>
      </c>
      <c r="P1137" s="129">
        <v>0.98441449031171</v>
      </c>
      <c r="Q1137" s="129">
        <v>0.865960665658094</v>
      </c>
      <c r="R1137" s="129">
        <v>0.935336874475818</v>
      </c>
      <c r="S1137" s="131">
        <v>0.9</v>
      </c>
      <c r="T1137" s="129">
        <v>0.783823101542042</v>
      </c>
      <c r="U1137" s="129">
        <v>0.82055602358888</v>
      </c>
      <c r="V1137" s="129">
        <v>0.825416036308623</v>
      </c>
      <c r="W1137" s="129">
        <v>0.810623427453173</v>
      </c>
      <c r="X1137" s="131">
        <v>0.92</v>
      </c>
      <c r="Y1137" s="131" t="s">
        <v>33</v>
      </c>
      <c r="Z1137" s="131" t="s">
        <v>33</v>
      </c>
      <c r="AA1137" s="131" t="s">
        <v>33</v>
      </c>
      <c r="AB1137" s="131" t="s">
        <v>33</v>
      </c>
      <c r="AC1137" s="131">
        <v>0.92</v>
      </c>
      <c r="AD1137" s="129">
        <v>0.998601398601399</v>
      </c>
      <c r="AE1137" s="129">
        <v>0.989077669902913</v>
      </c>
      <c r="AF1137" s="129">
        <v>0.971664698937426</v>
      </c>
      <c r="AG1137" s="129">
        <v>0.854185119574845</v>
      </c>
      <c r="AH1137" s="131">
        <v>0.92</v>
      </c>
      <c r="AI1137" s="129">
        <v>0.938900203665988</v>
      </c>
      <c r="AJ1137" s="129">
        <v>0.949031171019377</v>
      </c>
      <c r="AK1137" s="129">
        <v>0.961270801815431</v>
      </c>
      <c r="AL1137" s="129">
        <v>0.946798993570031</v>
      </c>
      <c r="AM1137" s="128">
        <v>0.99</v>
      </c>
      <c r="AN1137" s="133">
        <v>1</v>
      </c>
      <c r="AO1137" s="133">
        <v>1</v>
      </c>
      <c r="AP1137" s="133">
        <v>1</v>
      </c>
      <c r="AQ1137" s="133">
        <v>1</v>
      </c>
      <c r="AR1137" s="153">
        <v>0.0721861525408278</v>
      </c>
      <c r="AS1137" s="137">
        <v>0.0833333333333333</v>
      </c>
      <c r="AT1137" s="137">
        <v>0</v>
      </c>
      <c r="AU1137" s="137">
        <v>0.333333333333333</v>
      </c>
      <c r="AV1137" s="137">
        <v>0.155844155844156</v>
      </c>
      <c r="AW1137" s="93"/>
      <c r="AX1137" s="91"/>
    </row>
    <row r="1138" ht="14.5" spans="1:50">
      <c r="A1138" s="89"/>
      <c r="B1138" s="93"/>
      <c r="C1138" s="148" t="s">
        <v>1080</v>
      </c>
      <c r="D1138" s="126" t="s">
        <v>1081</v>
      </c>
      <c r="E1138" s="186" t="s">
        <v>1163</v>
      </c>
      <c r="F1138" s="186" t="s">
        <v>1163</v>
      </c>
      <c r="G1138" s="186" t="s">
        <v>1163</v>
      </c>
      <c r="H1138" s="186" t="s">
        <v>1163</v>
      </c>
      <c r="I1138" s="128">
        <v>0.9</v>
      </c>
      <c r="J1138" s="129">
        <v>0.923076923076923</v>
      </c>
      <c r="K1138" s="129">
        <v>0.916666666666667</v>
      </c>
      <c r="L1138" s="130">
        <v>0.8</v>
      </c>
      <c r="M1138" s="129">
        <v>0.852090032154341</v>
      </c>
      <c r="N1138" s="131">
        <v>0.9</v>
      </c>
      <c r="O1138" s="129">
        <v>0.931563666528411</v>
      </c>
      <c r="P1138" s="129">
        <v>0.980566352026652</v>
      </c>
      <c r="Q1138" s="129">
        <v>0.93116395494368</v>
      </c>
      <c r="R1138" s="129">
        <v>0.931735319214956</v>
      </c>
      <c r="S1138" s="131">
        <v>0.9</v>
      </c>
      <c r="T1138" s="129">
        <v>0.777685607631688</v>
      </c>
      <c r="U1138" s="129">
        <v>0.861743475846752</v>
      </c>
      <c r="V1138" s="129">
        <v>0.785565289945766</v>
      </c>
      <c r="W1138" s="129">
        <v>0.822201535955318</v>
      </c>
      <c r="X1138" s="131">
        <v>0.92</v>
      </c>
      <c r="Y1138" s="131" t="s">
        <v>33</v>
      </c>
      <c r="Z1138" s="131" t="s">
        <v>33</v>
      </c>
      <c r="AA1138" s="131" t="s">
        <v>33</v>
      </c>
      <c r="AB1138" s="131" t="s">
        <v>33</v>
      </c>
      <c r="AC1138" s="131">
        <v>0.92</v>
      </c>
      <c r="AD1138" s="129">
        <v>1</v>
      </c>
      <c r="AE1138" s="129">
        <v>1</v>
      </c>
      <c r="AF1138" s="129">
        <v>1</v>
      </c>
      <c r="AG1138" s="129">
        <v>0.937310970580148</v>
      </c>
      <c r="AH1138" s="131">
        <v>0.92</v>
      </c>
      <c r="AI1138" s="129">
        <v>0.878473662380755</v>
      </c>
      <c r="AJ1138" s="129">
        <v>0.938367573570239</v>
      </c>
      <c r="AK1138" s="129">
        <v>0.957446808510638</v>
      </c>
      <c r="AL1138" s="129">
        <v>0.93964781630595</v>
      </c>
      <c r="AM1138" s="128">
        <v>0.99</v>
      </c>
      <c r="AN1138" s="133">
        <v>1</v>
      </c>
      <c r="AO1138" s="133">
        <v>1</v>
      </c>
      <c r="AP1138" s="133">
        <v>1</v>
      </c>
      <c r="AQ1138" s="133">
        <v>1</v>
      </c>
      <c r="AR1138" s="153">
        <v>0.0721861525408278</v>
      </c>
      <c r="AS1138" s="137">
        <v>0.2</v>
      </c>
      <c r="AT1138" s="137">
        <v>0.6</v>
      </c>
      <c r="AU1138" s="137">
        <v>0</v>
      </c>
      <c r="AV1138" s="137">
        <v>0.133333333333333</v>
      </c>
      <c r="AW1138" s="93"/>
      <c r="AX1138" s="91"/>
    </row>
    <row r="1139" ht="14.5" spans="1:50">
      <c r="A1139" s="89"/>
      <c r="B1139" s="93"/>
      <c r="C1139" s="148" t="s">
        <v>1080</v>
      </c>
      <c r="D1139" s="126" t="s">
        <v>1081</v>
      </c>
      <c r="E1139" s="186" t="s">
        <v>1164</v>
      </c>
      <c r="F1139" s="186" t="s">
        <v>1164</v>
      </c>
      <c r="G1139" s="186" t="s">
        <v>1164</v>
      </c>
      <c r="H1139" s="186" t="s">
        <v>1164</v>
      </c>
      <c r="I1139" s="128">
        <v>0.9</v>
      </c>
      <c r="J1139" s="129">
        <v>0.684210526315789</v>
      </c>
      <c r="K1139" s="129">
        <v>0.777777777777778</v>
      </c>
      <c r="L1139" s="130">
        <v>0.823529411764706</v>
      </c>
      <c r="M1139" s="129">
        <v>0.825892857142857</v>
      </c>
      <c r="N1139" s="131">
        <v>0.9</v>
      </c>
      <c r="O1139" s="129">
        <v>0.947181008902077</v>
      </c>
      <c r="P1139" s="129">
        <v>0.96551724137931</v>
      </c>
      <c r="Q1139" s="129">
        <v>0.951190476190476</v>
      </c>
      <c r="R1139" s="129">
        <v>0.959944026587371</v>
      </c>
      <c r="S1139" s="131">
        <v>0.9</v>
      </c>
      <c r="T1139" s="129">
        <v>0.602373887240356</v>
      </c>
      <c r="U1139" s="129">
        <v>0.698496905393457</v>
      </c>
      <c r="V1139" s="129">
        <v>0.626785714285714</v>
      </c>
      <c r="W1139" s="129">
        <v>0.686840417468369</v>
      </c>
      <c r="X1139" s="131">
        <v>0.92</v>
      </c>
      <c r="Y1139" s="131" t="s">
        <v>33</v>
      </c>
      <c r="Z1139" s="131" t="s">
        <v>33</v>
      </c>
      <c r="AA1139" s="131" t="s">
        <v>33</v>
      </c>
      <c r="AB1139" s="131">
        <v>1</v>
      </c>
      <c r="AC1139" s="131">
        <v>0.92</v>
      </c>
      <c r="AD1139" s="129">
        <v>1</v>
      </c>
      <c r="AE1139" s="129">
        <v>1</v>
      </c>
      <c r="AF1139" s="129">
        <v>1</v>
      </c>
      <c r="AG1139" s="129">
        <v>1</v>
      </c>
      <c r="AH1139" s="131">
        <v>0.92</v>
      </c>
      <c r="AI1139" s="129">
        <v>0.922848664688427</v>
      </c>
      <c r="AJ1139" s="129">
        <v>0.927497789566755</v>
      </c>
      <c r="AK1139" s="129">
        <v>0.933928571428571</v>
      </c>
      <c r="AL1139" s="129">
        <v>0.945429104477612</v>
      </c>
      <c r="AM1139" s="128">
        <v>0.99</v>
      </c>
      <c r="AN1139" s="133">
        <v>1</v>
      </c>
      <c r="AO1139" s="133" t="s">
        <v>33</v>
      </c>
      <c r="AP1139" s="133" t="s">
        <v>33</v>
      </c>
      <c r="AQ1139" s="133">
        <v>1</v>
      </c>
      <c r="AR1139" s="153">
        <v>0.0721861525408278</v>
      </c>
      <c r="AS1139" s="137">
        <v>0</v>
      </c>
      <c r="AT1139" s="137">
        <v>0.2</v>
      </c>
      <c r="AU1139" s="137">
        <v>0.0909090909090909</v>
      </c>
      <c r="AV1139" s="137">
        <v>0.0833333333333333</v>
      </c>
      <c r="AW1139" s="93"/>
      <c r="AX1139" s="91"/>
    </row>
    <row r="1140" ht="14.5" spans="1:50">
      <c r="A1140" s="89"/>
      <c r="B1140" s="93"/>
      <c r="C1140" s="148" t="s">
        <v>1080</v>
      </c>
      <c r="D1140" s="126" t="s">
        <v>1081</v>
      </c>
      <c r="E1140" s="186" t="s">
        <v>1165</v>
      </c>
      <c r="F1140" s="186" t="s">
        <v>1165</v>
      </c>
      <c r="G1140" s="186" t="s">
        <v>1165</v>
      </c>
      <c r="H1140" s="186" t="s">
        <v>1165</v>
      </c>
      <c r="I1140" s="128">
        <v>0.9</v>
      </c>
      <c r="J1140" s="129">
        <v>1</v>
      </c>
      <c r="K1140" s="129">
        <v>0.928571428571429</v>
      </c>
      <c r="L1140" s="130">
        <v>0.933333333333333</v>
      </c>
      <c r="M1140" s="129">
        <v>0.939393939393939</v>
      </c>
      <c r="N1140" s="131">
        <v>0.9</v>
      </c>
      <c r="O1140" s="129">
        <v>0.98047964305633</v>
      </c>
      <c r="P1140" s="129">
        <v>0.986512524084778</v>
      </c>
      <c r="Q1140" s="129">
        <v>0.955376737381127</v>
      </c>
      <c r="R1140" s="129">
        <v>0.966521818960769</v>
      </c>
      <c r="S1140" s="131">
        <v>0.9</v>
      </c>
      <c r="T1140" s="129">
        <v>0.940881204684886</v>
      </c>
      <c r="U1140" s="129">
        <v>0.964354527938343</v>
      </c>
      <c r="V1140" s="129">
        <v>0.934893928310168</v>
      </c>
      <c r="W1140" s="129">
        <v>0.958014566374931</v>
      </c>
      <c r="X1140" s="131">
        <v>0.92</v>
      </c>
      <c r="Y1140" s="131">
        <v>0.984575835475578</v>
      </c>
      <c r="Z1140" s="131">
        <v>0.974647887323944</v>
      </c>
      <c r="AA1140" s="131">
        <v>0.965853658536585</v>
      </c>
      <c r="AB1140" s="131">
        <v>0.966748432815481</v>
      </c>
      <c r="AC1140" s="131">
        <v>0.92</v>
      </c>
      <c r="AD1140" s="129">
        <v>0.999078765545831</v>
      </c>
      <c r="AE1140" s="129">
        <v>0.997643732327992</v>
      </c>
      <c r="AF1140" s="129">
        <v>0.999180327868852</v>
      </c>
      <c r="AG1140" s="129">
        <v>0.99813573440165</v>
      </c>
      <c r="AH1140" s="131">
        <v>0.92</v>
      </c>
      <c r="AI1140" s="129">
        <v>0.986709440879927</v>
      </c>
      <c r="AJ1140" s="129">
        <v>0.979913916786227</v>
      </c>
      <c r="AK1140" s="129">
        <v>0.982824427480916</v>
      </c>
      <c r="AL1140" s="129">
        <v>0.98200809635664</v>
      </c>
      <c r="AM1140" s="128">
        <v>0.99</v>
      </c>
      <c r="AN1140" s="133">
        <v>1</v>
      </c>
      <c r="AO1140" s="133">
        <v>1</v>
      </c>
      <c r="AP1140" s="133">
        <v>1</v>
      </c>
      <c r="AQ1140" s="133">
        <v>1</v>
      </c>
      <c r="AR1140" s="153">
        <v>0.0721861525408278</v>
      </c>
      <c r="AS1140" s="137">
        <v>0</v>
      </c>
      <c r="AT1140" s="137">
        <v>0</v>
      </c>
      <c r="AU1140" s="137">
        <v>0</v>
      </c>
      <c r="AV1140" s="137">
        <v>0.024390243902439</v>
      </c>
      <c r="AW1140" s="93"/>
      <c r="AX1140" s="91"/>
    </row>
    <row r="1141" ht="14.5" spans="1:50">
      <c r="A1141" s="89"/>
      <c r="B1141" s="93"/>
      <c r="C1141" s="148" t="s">
        <v>1080</v>
      </c>
      <c r="D1141" s="126" t="s">
        <v>1081</v>
      </c>
      <c r="E1141" s="186" t="s">
        <v>1166</v>
      </c>
      <c r="F1141" s="186" t="s">
        <v>1166</v>
      </c>
      <c r="G1141" s="186" t="s">
        <v>1166</v>
      </c>
      <c r="H1141" s="186" t="s">
        <v>1166</v>
      </c>
      <c r="I1141" s="128">
        <v>0.9</v>
      </c>
      <c r="J1141" s="129">
        <v>0.938271604938272</v>
      </c>
      <c r="K1141" s="129">
        <v>0.953846153846154</v>
      </c>
      <c r="L1141" s="130">
        <v>0.96969696969697</v>
      </c>
      <c r="M1141" s="129">
        <v>0.96551724137931</v>
      </c>
      <c r="N1141" s="131">
        <v>0.9</v>
      </c>
      <c r="O1141" s="129">
        <v>0.966337200974072</v>
      </c>
      <c r="P1141" s="129">
        <v>0.934466684946531</v>
      </c>
      <c r="Q1141" s="129">
        <v>0.984561266367012</v>
      </c>
      <c r="R1141" s="129">
        <v>0.970872983036822</v>
      </c>
      <c r="S1141" s="131">
        <v>0.9</v>
      </c>
      <c r="T1141" s="129">
        <v>0.936398796733992</v>
      </c>
      <c r="U1141" s="129">
        <v>0.937757060597752</v>
      </c>
      <c r="V1141" s="129">
        <v>0.924760601915185</v>
      </c>
      <c r="W1141" s="129">
        <v>0.933438146462557</v>
      </c>
      <c r="X1141" s="131">
        <v>0.92</v>
      </c>
      <c r="Y1141" s="131">
        <v>0.962282398452611</v>
      </c>
      <c r="Z1141" s="131">
        <v>0.955944055944056</v>
      </c>
      <c r="AA1141" s="131">
        <v>0.959276018099548</v>
      </c>
      <c r="AB1141" s="131">
        <v>0.955082407865884</v>
      </c>
      <c r="AC1141" s="131">
        <v>0.92</v>
      </c>
      <c r="AD1141" s="129">
        <v>0.999567567567568</v>
      </c>
      <c r="AE1141" s="129">
        <v>0.998157248157248</v>
      </c>
      <c r="AF1141" s="129">
        <v>0.997925042147581</v>
      </c>
      <c r="AG1141" s="129">
        <v>0.997906170254531</v>
      </c>
      <c r="AH1141" s="131">
        <v>0.92</v>
      </c>
      <c r="AI1141" s="129">
        <v>0.977292576419214</v>
      </c>
      <c r="AJ1141" s="129">
        <v>0.968294604174872</v>
      </c>
      <c r="AK1141" s="129">
        <v>0.97681660899654</v>
      </c>
      <c r="AL1141" s="129">
        <v>0.974841755176483</v>
      </c>
      <c r="AM1141" s="128">
        <v>0.99</v>
      </c>
      <c r="AN1141" s="133">
        <v>1</v>
      </c>
      <c r="AO1141" s="133">
        <v>1</v>
      </c>
      <c r="AP1141" s="133">
        <v>1</v>
      </c>
      <c r="AQ1141" s="133">
        <v>1</v>
      </c>
      <c r="AR1141" s="153">
        <v>0.0721861525408278</v>
      </c>
      <c r="AS1141" s="137">
        <v>0</v>
      </c>
      <c r="AT1141" s="137">
        <v>0</v>
      </c>
      <c r="AU1141" s="137">
        <v>0</v>
      </c>
      <c r="AV1141" s="137">
        <v>0.00465116279069767</v>
      </c>
      <c r="AW1141" s="93"/>
      <c r="AX1141" s="91"/>
    </row>
    <row r="1142" ht="14.5" spans="1:50">
      <c r="A1142" s="89"/>
      <c r="B1142" s="93"/>
      <c r="C1142" s="148" t="s">
        <v>1080</v>
      </c>
      <c r="D1142" s="126" t="s">
        <v>1081</v>
      </c>
      <c r="E1142" s="186" t="s">
        <v>1167</v>
      </c>
      <c r="F1142" s="186" t="s">
        <v>1167</v>
      </c>
      <c r="G1142" s="186" t="s">
        <v>1167</v>
      </c>
      <c r="H1142" s="186" t="s">
        <v>1167</v>
      </c>
      <c r="I1142" s="128">
        <v>0.9</v>
      </c>
      <c r="J1142" s="129">
        <v>0.987341772151899</v>
      </c>
      <c r="K1142" s="129">
        <v>0.952380952380952</v>
      </c>
      <c r="L1142" s="130">
        <v>0.985294117647059</v>
      </c>
      <c r="M1142" s="129">
        <v>0.958986731001206</v>
      </c>
      <c r="N1142" s="131">
        <v>0.9</v>
      </c>
      <c r="O1142" s="129">
        <v>0.951675944569466</v>
      </c>
      <c r="P1142" s="129">
        <v>0.98858420619042</v>
      </c>
      <c r="Q1142" s="129">
        <v>0.976619394403986</v>
      </c>
      <c r="R1142" s="129">
        <v>0.965708836617928</v>
      </c>
      <c r="S1142" s="131">
        <v>0.9</v>
      </c>
      <c r="T1142" s="129">
        <v>0.92704015160488</v>
      </c>
      <c r="U1142" s="129">
        <v>0.953513004589855</v>
      </c>
      <c r="V1142" s="129">
        <v>0.94365657339977</v>
      </c>
      <c r="W1142" s="129">
        <v>0.93205340114431</v>
      </c>
      <c r="X1142" s="131">
        <v>0.92</v>
      </c>
      <c r="Y1142" s="131">
        <v>0</v>
      </c>
      <c r="Z1142" s="131" t="s">
        <v>33</v>
      </c>
      <c r="AA1142" s="131" t="s">
        <v>33</v>
      </c>
      <c r="AB1142" s="131">
        <v>0.25</v>
      </c>
      <c r="AC1142" s="131">
        <v>0.92</v>
      </c>
      <c r="AD1142" s="129">
        <v>0.995307167235495</v>
      </c>
      <c r="AE1142" s="129">
        <v>0.994271392767633</v>
      </c>
      <c r="AF1142" s="129">
        <v>0.998153846153846</v>
      </c>
      <c r="AG1142" s="129">
        <v>0.995116239218598</v>
      </c>
      <c r="AH1142" s="131">
        <v>0.92</v>
      </c>
      <c r="AI1142" s="129">
        <v>0.983068908358987</v>
      </c>
      <c r="AJ1142" s="129">
        <v>0.98764269742262</v>
      </c>
      <c r="AK1142" s="129">
        <v>0.985051743963204</v>
      </c>
      <c r="AL1142" s="129">
        <v>0.98453988354057</v>
      </c>
      <c r="AM1142" s="128">
        <v>0.99</v>
      </c>
      <c r="AN1142" s="133">
        <v>1</v>
      </c>
      <c r="AO1142" s="133">
        <v>1</v>
      </c>
      <c r="AP1142" s="133">
        <v>1</v>
      </c>
      <c r="AQ1142" s="133">
        <v>1</v>
      </c>
      <c r="AR1142" s="153">
        <v>0.0721861525408278</v>
      </c>
      <c r="AS1142" s="137">
        <v>0.117647058823529</v>
      </c>
      <c r="AT1142" s="137">
        <v>0</v>
      </c>
      <c r="AU1142" s="137">
        <v>0</v>
      </c>
      <c r="AV1142" s="137">
        <v>0.0549450549450549</v>
      </c>
      <c r="AW1142" s="93"/>
      <c r="AX1142" s="91"/>
    </row>
    <row r="1143" ht="14.5" spans="1:50">
      <c r="A1143" s="89"/>
      <c r="B1143" s="93"/>
      <c r="C1143" s="148" t="s">
        <v>1080</v>
      </c>
      <c r="D1143" s="126" t="s">
        <v>1081</v>
      </c>
      <c r="E1143" s="186" t="s">
        <v>1168</v>
      </c>
      <c r="F1143" s="186" t="s">
        <v>1168</v>
      </c>
      <c r="G1143" s="186" t="s">
        <v>1168</v>
      </c>
      <c r="H1143" s="186" t="s">
        <v>1168</v>
      </c>
      <c r="I1143" s="128">
        <v>0.9</v>
      </c>
      <c r="J1143" s="129">
        <v>0.980392156862745</v>
      </c>
      <c r="K1143" s="129">
        <v>0.948717948717949</v>
      </c>
      <c r="L1143" s="130">
        <v>0.978260869565217</v>
      </c>
      <c r="M1143" s="129">
        <v>0.947841726618705</v>
      </c>
      <c r="N1143" s="131">
        <v>0.9</v>
      </c>
      <c r="O1143" s="129">
        <v>0.981426448736998</v>
      </c>
      <c r="P1143" s="129">
        <v>0.980330172110994</v>
      </c>
      <c r="Q1143" s="129">
        <v>0.986828774062817</v>
      </c>
      <c r="R1143" s="129">
        <v>0.983161794977357</v>
      </c>
      <c r="S1143" s="131">
        <v>0.9</v>
      </c>
      <c r="T1143" s="129">
        <v>0.954123328380386</v>
      </c>
      <c r="U1143" s="129">
        <v>0.96557780119424</v>
      </c>
      <c r="V1143" s="129">
        <v>0.966058763931104</v>
      </c>
      <c r="W1143" s="129">
        <v>0.956895841910251</v>
      </c>
      <c r="X1143" s="131">
        <v>0.92</v>
      </c>
      <c r="Y1143" s="131">
        <v>0.979370249728556</v>
      </c>
      <c r="Z1143" s="131">
        <v>0.978700745473908</v>
      </c>
      <c r="AA1143" s="131">
        <v>0.976744186046512</v>
      </c>
      <c r="AB1143" s="131">
        <v>0.972752783561148</v>
      </c>
      <c r="AC1143" s="131">
        <v>0.92</v>
      </c>
      <c r="AD1143" s="129">
        <v>0.999429657794677</v>
      </c>
      <c r="AE1143" s="129">
        <v>0.997215853259089</v>
      </c>
      <c r="AF1143" s="129">
        <v>0.99829989799388</v>
      </c>
      <c r="AG1143" s="129">
        <v>0.998636912411886</v>
      </c>
      <c r="AH1143" s="131">
        <v>0.92</v>
      </c>
      <c r="AI1143" s="129">
        <v>0.986677240285488</v>
      </c>
      <c r="AJ1143" s="129">
        <v>0.986272439281943</v>
      </c>
      <c r="AK1143" s="129">
        <v>0.989247311827957</v>
      </c>
      <c r="AL1143" s="129">
        <v>0.984688658203223</v>
      </c>
      <c r="AM1143" s="128">
        <v>0.99</v>
      </c>
      <c r="AN1143" s="133">
        <v>1</v>
      </c>
      <c r="AO1143" s="133">
        <v>1</v>
      </c>
      <c r="AP1143" s="133">
        <v>1</v>
      </c>
      <c r="AQ1143" s="133">
        <v>1</v>
      </c>
      <c r="AR1143" s="153">
        <v>0.0721861525408278</v>
      </c>
      <c r="AS1143" s="137">
        <v>0</v>
      </c>
      <c r="AT1143" s="137">
        <v>0</v>
      </c>
      <c r="AU1143" s="137">
        <v>0</v>
      </c>
      <c r="AV1143" s="137">
        <v>0.00766283524904215</v>
      </c>
      <c r="AW1143" s="93"/>
      <c r="AX1143" s="91"/>
    </row>
    <row r="1144" ht="14.5" spans="1:50">
      <c r="A1144" s="89"/>
      <c r="B1144" s="93"/>
      <c r="C1144" s="148" t="s">
        <v>1080</v>
      </c>
      <c r="D1144" s="126" t="s">
        <v>1081</v>
      </c>
      <c r="E1144" s="186" t="s">
        <v>1169</v>
      </c>
      <c r="F1144" s="186" t="s">
        <v>1169</v>
      </c>
      <c r="G1144" s="186" t="s">
        <v>1169</v>
      </c>
      <c r="H1144" s="186" t="s">
        <v>1169</v>
      </c>
      <c r="I1144" s="128">
        <v>0.9</v>
      </c>
      <c r="J1144" s="129">
        <v>0.818181818181818</v>
      </c>
      <c r="K1144" s="129">
        <v>0.952380952380952</v>
      </c>
      <c r="L1144" s="130">
        <v>0.85</v>
      </c>
      <c r="M1144" s="129">
        <v>0.891566265060241</v>
      </c>
      <c r="N1144" s="131">
        <v>0.9</v>
      </c>
      <c r="O1144" s="129">
        <v>0.950021177467175</v>
      </c>
      <c r="P1144" s="129">
        <v>0.97536108751062</v>
      </c>
      <c r="Q1144" s="129">
        <v>0.951351351351351</v>
      </c>
      <c r="R1144" s="129">
        <v>0.945072206739296</v>
      </c>
      <c r="S1144" s="131">
        <v>0.9</v>
      </c>
      <c r="T1144" s="129">
        <v>0.85133418043202</v>
      </c>
      <c r="U1144" s="129">
        <v>0.924384027187765</v>
      </c>
      <c r="V1144" s="129">
        <v>0.897297297297297</v>
      </c>
      <c r="W1144" s="129">
        <v>0.891461869774512</v>
      </c>
      <c r="X1144" s="131">
        <v>0.92</v>
      </c>
      <c r="Y1144" s="131">
        <v>0.918454935622318</v>
      </c>
      <c r="Z1144" s="131">
        <v>0.957777777777778</v>
      </c>
      <c r="AA1144" s="131">
        <v>0.970535177390259</v>
      </c>
      <c r="AB1144" s="131">
        <v>0.948958498966449</v>
      </c>
      <c r="AC1144" s="131">
        <v>0.92</v>
      </c>
      <c r="AD1144" s="129">
        <v>0.998734977862113</v>
      </c>
      <c r="AE1144" s="129">
        <v>0.99829766536965</v>
      </c>
      <c r="AF1144" s="129">
        <v>0.998804542737597</v>
      </c>
      <c r="AG1144" s="129">
        <v>0.998391844744876</v>
      </c>
      <c r="AH1144" s="131">
        <v>0.92</v>
      </c>
      <c r="AI1144" s="129">
        <v>0.955429784223559</v>
      </c>
      <c r="AJ1144" s="129">
        <v>0.972341733251383</v>
      </c>
      <c r="AK1144" s="129">
        <v>0.970486965076242</v>
      </c>
      <c r="AL1144" s="129">
        <v>0.968299711815562</v>
      </c>
      <c r="AM1144" s="128">
        <v>0.99</v>
      </c>
      <c r="AN1144" s="133">
        <v>1</v>
      </c>
      <c r="AO1144" s="133">
        <v>1</v>
      </c>
      <c r="AP1144" s="133">
        <v>1</v>
      </c>
      <c r="AQ1144" s="133">
        <v>1</v>
      </c>
      <c r="AR1144" s="153">
        <v>0.0721861525408278</v>
      </c>
      <c r="AS1144" s="137">
        <v>0</v>
      </c>
      <c r="AT1144" s="137">
        <v>0</v>
      </c>
      <c r="AU1144" s="137">
        <v>0</v>
      </c>
      <c r="AV1144" s="137">
        <v>0.0392156862745098</v>
      </c>
      <c r="AW1144" s="93"/>
      <c r="AX1144" s="91"/>
    </row>
    <row r="1145" ht="14.5" spans="1:50">
      <c r="A1145" s="89"/>
      <c r="B1145" s="93"/>
      <c r="C1145" s="148" t="s">
        <v>1080</v>
      </c>
      <c r="D1145" s="126" t="s">
        <v>1081</v>
      </c>
      <c r="E1145" s="186" t="s">
        <v>1170</v>
      </c>
      <c r="F1145" s="186" t="s">
        <v>1170</v>
      </c>
      <c r="G1145" s="186" t="s">
        <v>1170</v>
      </c>
      <c r="H1145" s="186" t="s">
        <v>1170</v>
      </c>
      <c r="I1145" s="128">
        <v>0.9</v>
      </c>
      <c r="J1145" s="129">
        <v>0.971428571428571</v>
      </c>
      <c r="K1145" s="129">
        <v>0.964285714285714</v>
      </c>
      <c r="L1145" s="130">
        <v>0.96551724137931</v>
      </c>
      <c r="M1145" s="129">
        <v>0.977715877437326</v>
      </c>
      <c r="N1145" s="131">
        <v>0.9</v>
      </c>
      <c r="O1145" s="129">
        <v>0.966463414634146</v>
      </c>
      <c r="P1145" s="129">
        <v>0.985623921794135</v>
      </c>
      <c r="Q1145" s="129">
        <v>0.987738419618529</v>
      </c>
      <c r="R1145" s="129">
        <v>0.984415875625981</v>
      </c>
      <c r="S1145" s="131">
        <v>0.9</v>
      </c>
      <c r="T1145" s="129">
        <v>0.920426829268293</v>
      </c>
      <c r="U1145" s="129">
        <v>0.934445083381254</v>
      </c>
      <c r="V1145" s="129">
        <v>0.92597638510445</v>
      </c>
      <c r="W1145" s="129">
        <v>0.935944390462665</v>
      </c>
      <c r="X1145" s="131">
        <v>0.92</v>
      </c>
      <c r="Y1145" s="131">
        <v>0.98</v>
      </c>
      <c r="Z1145" s="131">
        <v>0.976660682226212</v>
      </c>
      <c r="AA1145" s="131">
        <v>0.959079283887468</v>
      </c>
      <c r="AB1145" s="131">
        <v>0.972947014566992</v>
      </c>
      <c r="AC1145" s="131">
        <v>0.92</v>
      </c>
      <c r="AD1145" s="129">
        <v>0.997777777777778</v>
      </c>
      <c r="AE1145" s="129">
        <v>1</v>
      </c>
      <c r="AF1145" s="129">
        <v>1</v>
      </c>
      <c r="AG1145" s="129">
        <v>0.998683344305464</v>
      </c>
      <c r="AH1145" s="131">
        <v>0.92</v>
      </c>
      <c r="AI1145" s="129">
        <v>0.983333333333333</v>
      </c>
      <c r="AJ1145" s="129">
        <v>0.984756097560976</v>
      </c>
      <c r="AK1145" s="129">
        <v>0.981488623216352</v>
      </c>
      <c r="AL1145" s="129">
        <v>0.98400242387517</v>
      </c>
      <c r="AM1145" s="128">
        <v>0.99</v>
      </c>
      <c r="AN1145" s="133">
        <v>1</v>
      </c>
      <c r="AO1145" s="133">
        <v>1</v>
      </c>
      <c r="AP1145" s="133">
        <v>1</v>
      </c>
      <c r="AQ1145" s="133">
        <v>1</v>
      </c>
      <c r="AR1145" s="153">
        <v>0.0721861525408278</v>
      </c>
      <c r="AS1145" s="137">
        <v>0</v>
      </c>
      <c r="AT1145" s="137">
        <v>0</v>
      </c>
      <c r="AU1145" s="137">
        <v>0</v>
      </c>
      <c r="AV1145" s="137">
        <v>0.0454545454545455</v>
      </c>
      <c r="AW1145" s="93"/>
      <c r="AX1145" s="91"/>
    </row>
    <row r="1146" ht="14.5" spans="1:50">
      <c r="A1146" s="89"/>
      <c r="B1146" s="93"/>
      <c r="C1146" s="148" t="s">
        <v>1080</v>
      </c>
      <c r="D1146" s="126" t="s">
        <v>1081</v>
      </c>
      <c r="E1146" s="186" t="s">
        <v>1171</v>
      </c>
      <c r="F1146" s="186" t="s">
        <v>1171</v>
      </c>
      <c r="G1146" s="186" t="s">
        <v>1171</v>
      </c>
      <c r="H1146" s="186" t="s">
        <v>1171</v>
      </c>
      <c r="I1146" s="128">
        <v>0.9</v>
      </c>
      <c r="J1146" s="129">
        <v>0.897058823529412</v>
      </c>
      <c r="K1146" s="129">
        <v>0.866666666666667</v>
      </c>
      <c r="L1146" s="130">
        <v>0.85</v>
      </c>
      <c r="M1146" s="129">
        <v>0.872824631860776</v>
      </c>
      <c r="N1146" s="131">
        <v>0.9</v>
      </c>
      <c r="O1146" s="129">
        <v>0.796619264824255</v>
      </c>
      <c r="P1146" s="129">
        <v>0.967483870967742</v>
      </c>
      <c r="Q1146" s="129">
        <v>0.90886524822695</v>
      </c>
      <c r="R1146" s="129">
        <v>0.888239955389898</v>
      </c>
      <c r="S1146" s="131">
        <v>0.9</v>
      </c>
      <c r="T1146" s="129">
        <v>0.892138449154816</v>
      </c>
      <c r="U1146" s="129">
        <v>0.932645161290323</v>
      </c>
      <c r="V1146" s="129">
        <v>0.907446808510638</v>
      </c>
      <c r="W1146" s="129">
        <v>0.893258591846917</v>
      </c>
      <c r="X1146" s="131">
        <v>0.92</v>
      </c>
      <c r="Y1146" s="131">
        <v>0.930268199233717</v>
      </c>
      <c r="Z1146" s="131">
        <v>0.936022253129346</v>
      </c>
      <c r="AA1146" s="131">
        <v>0.922686945500634</v>
      </c>
      <c r="AB1146" s="131">
        <v>0.922533315385651</v>
      </c>
      <c r="AC1146" s="131">
        <v>0.92</v>
      </c>
      <c r="AD1146" s="129">
        <v>0.997899159663866</v>
      </c>
      <c r="AE1146" s="129">
        <v>0.99593165174939</v>
      </c>
      <c r="AF1146" s="129">
        <v>0.997229916897507</v>
      </c>
      <c r="AG1146" s="129">
        <v>0.997926433465561</v>
      </c>
      <c r="AH1146" s="131">
        <v>0.92</v>
      </c>
      <c r="AI1146" s="129">
        <v>0.955936073059361</v>
      </c>
      <c r="AJ1146" s="129">
        <v>0.960105382009785</v>
      </c>
      <c r="AK1146" s="129">
        <v>0.962208398133748</v>
      </c>
      <c r="AL1146" s="129">
        <v>0.955522895107759</v>
      </c>
      <c r="AM1146" s="128">
        <v>0.99</v>
      </c>
      <c r="AN1146" s="133">
        <v>1</v>
      </c>
      <c r="AO1146" s="133">
        <v>1</v>
      </c>
      <c r="AP1146" s="133">
        <v>1</v>
      </c>
      <c r="AQ1146" s="133">
        <v>1</v>
      </c>
      <c r="AR1146" s="153">
        <v>0.0721861525408278</v>
      </c>
      <c r="AS1146" s="137">
        <v>0.0425531914893617</v>
      </c>
      <c r="AT1146" s="137">
        <v>0.0714285714285714</v>
      </c>
      <c r="AU1146" s="137">
        <v>0.0810810810810811</v>
      </c>
      <c r="AV1146" s="137">
        <v>0.0136054421768707</v>
      </c>
      <c r="AW1146" s="93"/>
      <c r="AX1146" s="91"/>
    </row>
    <row r="1147" ht="14.5" spans="1:50">
      <c r="A1147" s="89"/>
      <c r="B1147" s="93"/>
      <c r="C1147" s="148" t="s">
        <v>1080</v>
      </c>
      <c r="D1147" s="126" t="s">
        <v>1081</v>
      </c>
      <c r="E1147" s="186" t="s">
        <v>1172</v>
      </c>
      <c r="F1147" s="186" t="s">
        <v>1172</v>
      </c>
      <c r="G1147" s="186" t="s">
        <v>1172</v>
      </c>
      <c r="H1147" s="186" t="s">
        <v>1172</v>
      </c>
      <c r="I1147" s="128">
        <v>0.9</v>
      </c>
      <c r="J1147" s="129">
        <v>0.984126984126984</v>
      </c>
      <c r="K1147" s="129">
        <v>0.982142857142857</v>
      </c>
      <c r="L1147" s="130">
        <v>0.982456140350877</v>
      </c>
      <c r="M1147" s="129">
        <v>0.974063400576369</v>
      </c>
      <c r="N1147" s="131">
        <v>0.9</v>
      </c>
      <c r="O1147" s="129">
        <v>0.984941254343869</v>
      </c>
      <c r="P1147" s="129">
        <v>0.987413050679033</v>
      </c>
      <c r="Q1147" s="129">
        <v>0.985352862849534</v>
      </c>
      <c r="R1147" s="129">
        <v>0.986467209730095</v>
      </c>
      <c r="S1147" s="131">
        <v>0.9</v>
      </c>
      <c r="T1147" s="129">
        <v>0.930829058414695</v>
      </c>
      <c r="U1147" s="129">
        <v>0.953627028817489</v>
      </c>
      <c r="V1147" s="129">
        <v>0.954505104305371</v>
      </c>
      <c r="W1147" s="129">
        <v>0.948064867299824</v>
      </c>
      <c r="X1147" s="131">
        <v>0.92</v>
      </c>
      <c r="Y1147" s="131">
        <v>0.986828774062817</v>
      </c>
      <c r="Z1147" s="131">
        <v>0.981042654028436</v>
      </c>
      <c r="AA1147" s="131">
        <v>0.9875</v>
      </c>
      <c r="AB1147" s="131">
        <v>0.98171252777303</v>
      </c>
      <c r="AC1147" s="131">
        <v>0.92</v>
      </c>
      <c r="AD1147" s="129">
        <v>0.998719590268886</v>
      </c>
      <c r="AE1147" s="129">
        <v>0.998349445885404</v>
      </c>
      <c r="AF1147" s="129">
        <v>0.997863818424566</v>
      </c>
      <c r="AG1147" s="129">
        <v>0.994804663530374</v>
      </c>
      <c r="AH1147" s="131">
        <v>0.92</v>
      </c>
      <c r="AI1147" s="129">
        <v>0.989473684210526</v>
      </c>
      <c r="AJ1147" s="129">
        <v>0.988954344624448</v>
      </c>
      <c r="AK1147" s="129">
        <v>0.993485984998026</v>
      </c>
      <c r="AL1147" s="129">
        <v>0.990166507648272</v>
      </c>
      <c r="AM1147" s="128">
        <v>0.99</v>
      </c>
      <c r="AN1147" s="133">
        <v>1</v>
      </c>
      <c r="AO1147" s="133">
        <v>1</v>
      </c>
      <c r="AP1147" s="133">
        <v>1</v>
      </c>
      <c r="AQ1147" s="133">
        <v>1</v>
      </c>
      <c r="AR1147" s="153">
        <v>0.0721861525408278</v>
      </c>
      <c r="AS1147" s="137">
        <v>0</v>
      </c>
      <c r="AT1147" s="137">
        <v>0</v>
      </c>
      <c r="AU1147" s="137">
        <v>0.0869565217391304</v>
      </c>
      <c r="AV1147" s="137">
        <v>0.0321428571428571</v>
      </c>
      <c r="AW1147" s="93"/>
      <c r="AX1147" s="91"/>
    </row>
    <row r="1148" ht="14.5" spans="1:50">
      <c r="A1148" s="89"/>
      <c r="B1148" s="93"/>
      <c r="C1148" s="148" t="s">
        <v>1080</v>
      </c>
      <c r="D1148" s="126" t="s">
        <v>1081</v>
      </c>
      <c r="E1148" s="186" t="s">
        <v>1173</v>
      </c>
      <c r="F1148" s="186" t="s">
        <v>1173</v>
      </c>
      <c r="G1148" s="186" t="s">
        <v>1173</v>
      </c>
      <c r="H1148" s="186" t="s">
        <v>1173</v>
      </c>
      <c r="I1148" s="128">
        <v>0.9</v>
      </c>
      <c r="J1148" s="129">
        <v>0.971428571428571</v>
      </c>
      <c r="K1148" s="129">
        <v>0.981481481481482</v>
      </c>
      <c r="L1148" s="130">
        <v>0.913793103448276</v>
      </c>
      <c r="M1148" s="129">
        <v>0.888423988842399</v>
      </c>
      <c r="N1148" s="131">
        <v>0.9</v>
      </c>
      <c r="O1148" s="129">
        <v>0.939310544611819</v>
      </c>
      <c r="P1148" s="129">
        <v>0.949542556140837</v>
      </c>
      <c r="Q1148" s="129">
        <v>0.924591455010829</v>
      </c>
      <c r="R1148" s="129">
        <v>0.937121060696915</v>
      </c>
      <c r="S1148" s="131">
        <v>0.9</v>
      </c>
      <c r="T1148" s="129">
        <v>0.903679026651217</v>
      </c>
      <c r="U1148" s="129">
        <v>0.913501524812864</v>
      </c>
      <c r="V1148" s="129">
        <v>0.882063398306753</v>
      </c>
      <c r="W1148" s="129">
        <v>0.898294356719302</v>
      </c>
      <c r="X1148" s="131">
        <v>0.92</v>
      </c>
      <c r="Y1148" s="131">
        <v>0.9580078125</v>
      </c>
      <c r="Z1148" s="131">
        <v>0.970449172576832</v>
      </c>
      <c r="AA1148" s="131">
        <v>0.978632478632479</v>
      </c>
      <c r="AB1148" s="131">
        <v>0.96775</v>
      </c>
      <c r="AC1148" s="131">
        <v>0.92</v>
      </c>
      <c r="AD1148" s="129">
        <v>0.998317914213625</v>
      </c>
      <c r="AE1148" s="129">
        <v>0.995801033591731</v>
      </c>
      <c r="AF1148" s="129">
        <v>0.996820349761526</v>
      </c>
      <c r="AG1148" s="129">
        <v>0.996357821799769</v>
      </c>
      <c r="AH1148" s="131">
        <v>0.92</v>
      </c>
      <c r="AI1148" s="129">
        <v>0.979568671963678</v>
      </c>
      <c r="AJ1148" s="129">
        <v>0.982034583426903</v>
      </c>
      <c r="AK1148" s="129">
        <v>0.985988583290088</v>
      </c>
      <c r="AL1148" s="129">
        <v>0.983314593484085</v>
      </c>
      <c r="AM1148" s="128">
        <v>0.99</v>
      </c>
      <c r="AN1148" s="133">
        <v>1</v>
      </c>
      <c r="AO1148" s="133">
        <v>1</v>
      </c>
      <c r="AP1148" s="133">
        <v>1</v>
      </c>
      <c r="AQ1148" s="133">
        <v>1</v>
      </c>
      <c r="AR1148" s="153">
        <v>0.0721861525408278</v>
      </c>
      <c r="AS1148" s="137">
        <v>0</v>
      </c>
      <c r="AT1148" s="137">
        <v>0.181818181818182</v>
      </c>
      <c r="AU1148" s="137">
        <v>0</v>
      </c>
      <c r="AV1148" s="137">
        <v>0.0376569037656904</v>
      </c>
      <c r="AW1148" s="93"/>
      <c r="AX1148" s="91"/>
    </row>
    <row r="1149" ht="14.5" spans="1:50">
      <c r="A1149" s="89"/>
      <c r="B1149" s="93"/>
      <c r="C1149" s="148" t="s">
        <v>1080</v>
      </c>
      <c r="D1149" s="126" t="s">
        <v>1081</v>
      </c>
      <c r="E1149" s="186" t="s">
        <v>1174</v>
      </c>
      <c r="F1149" s="186" t="s">
        <v>1174</v>
      </c>
      <c r="G1149" s="186" t="s">
        <v>1174</v>
      </c>
      <c r="H1149" s="186" t="s">
        <v>1174</v>
      </c>
      <c r="I1149" s="128">
        <v>0.9</v>
      </c>
      <c r="J1149" s="129">
        <v>0.976190476190476</v>
      </c>
      <c r="K1149" s="129">
        <v>1</v>
      </c>
      <c r="L1149" s="130">
        <v>1</v>
      </c>
      <c r="M1149" s="129">
        <v>0.978632478632479</v>
      </c>
      <c r="N1149" s="131">
        <v>0.9</v>
      </c>
      <c r="O1149" s="129">
        <v>0.989255014326648</v>
      </c>
      <c r="P1149" s="129">
        <v>0.99011648429227</v>
      </c>
      <c r="Q1149" s="129">
        <v>0.992481203007519</v>
      </c>
      <c r="R1149" s="129">
        <v>0.990950226244344</v>
      </c>
      <c r="S1149" s="131">
        <v>0.9</v>
      </c>
      <c r="T1149" s="129">
        <v>0.950393982808023</v>
      </c>
      <c r="U1149" s="129">
        <v>0.960465937169079</v>
      </c>
      <c r="V1149" s="129">
        <v>0.932095864661654</v>
      </c>
      <c r="W1149" s="129">
        <v>0.952591526120938</v>
      </c>
      <c r="X1149" s="131">
        <v>0.92</v>
      </c>
      <c r="Y1149" s="131">
        <v>0.983930778739184</v>
      </c>
      <c r="Z1149" s="131">
        <v>0.990267639902676</v>
      </c>
      <c r="AA1149" s="131">
        <v>0.978685612788632</v>
      </c>
      <c r="AB1149" s="131">
        <v>0.985678585159554</v>
      </c>
      <c r="AC1149" s="131">
        <v>0.92</v>
      </c>
      <c r="AD1149" s="129">
        <v>0.994392523364486</v>
      </c>
      <c r="AE1149" s="129">
        <v>0.99873257287706</v>
      </c>
      <c r="AF1149" s="129">
        <v>1</v>
      </c>
      <c r="AG1149" s="129">
        <v>0.99878699660359</v>
      </c>
      <c r="AH1149" s="131">
        <v>0.92</v>
      </c>
      <c r="AI1149" s="129">
        <v>0.991083998122947</v>
      </c>
      <c r="AJ1149" s="129">
        <v>0.990697674418605</v>
      </c>
      <c r="AK1149" s="129">
        <v>0.993359618178045</v>
      </c>
      <c r="AL1149" s="129">
        <v>0.992748835239305</v>
      </c>
      <c r="AM1149" s="128">
        <v>0.99</v>
      </c>
      <c r="AN1149" s="133">
        <v>1</v>
      </c>
      <c r="AO1149" s="133">
        <v>1</v>
      </c>
      <c r="AP1149" s="133">
        <v>1</v>
      </c>
      <c r="AQ1149" s="133">
        <v>1</v>
      </c>
      <c r="AR1149" s="153">
        <v>0.0721861525408278</v>
      </c>
      <c r="AS1149" s="137">
        <v>0.0434782608695652</v>
      </c>
      <c r="AT1149" s="137">
        <v>0</v>
      </c>
      <c r="AU1149" s="137">
        <v>0</v>
      </c>
      <c r="AV1149" s="137">
        <v>0.0282485875706215</v>
      </c>
      <c r="AW1149" s="93"/>
      <c r="AX1149" s="91"/>
    </row>
    <row r="1150" ht="14.5" spans="1:50">
      <c r="A1150" s="89"/>
      <c r="B1150" s="93"/>
      <c r="C1150" s="148" t="s">
        <v>1080</v>
      </c>
      <c r="D1150" s="126" t="s">
        <v>1081</v>
      </c>
      <c r="E1150" s="186" t="s">
        <v>1175</v>
      </c>
      <c r="F1150" s="186" t="s">
        <v>1175</v>
      </c>
      <c r="G1150" s="186" t="s">
        <v>1175</v>
      </c>
      <c r="H1150" s="186" t="s">
        <v>1175</v>
      </c>
      <c r="I1150" s="128">
        <v>0.9</v>
      </c>
      <c r="J1150" s="129">
        <v>1</v>
      </c>
      <c r="K1150" s="129">
        <v>0.956521739130435</v>
      </c>
      <c r="L1150" s="130">
        <v>0.92</v>
      </c>
      <c r="M1150" s="129">
        <v>0.948051948051948</v>
      </c>
      <c r="N1150" s="131">
        <v>0.9</v>
      </c>
      <c r="O1150" s="129">
        <v>0.972312703583062</v>
      </c>
      <c r="P1150" s="129">
        <v>0.981168831168831</v>
      </c>
      <c r="Q1150" s="129">
        <v>0.938482263134261</v>
      </c>
      <c r="R1150" s="129">
        <v>0.976363901230971</v>
      </c>
      <c r="S1150" s="131">
        <v>0.9</v>
      </c>
      <c r="T1150" s="129">
        <v>0.914657980456026</v>
      </c>
      <c r="U1150" s="129">
        <v>0.967532467532468</v>
      </c>
      <c r="V1150" s="129">
        <v>0.9690166142793</v>
      </c>
      <c r="W1150" s="129">
        <v>0.948758103285017</v>
      </c>
      <c r="X1150" s="131">
        <v>0.92</v>
      </c>
      <c r="Y1150" s="131">
        <v>0.941176470588235</v>
      </c>
      <c r="Z1150" s="131">
        <v>0.969040247678019</v>
      </c>
      <c r="AA1150" s="131">
        <v>0.968838526912181</v>
      </c>
      <c r="AB1150" s="131">
        <v>0.965738072366314</v>
      </c>
      <c r="AC1150" s="131">
        <v>0.92</v>
      </c>
      <c r="AD1150" s="129">
        <v>0.998642226748133</v>
      </c>
      <c r="AE1150" s="129">
        <v>0.994891443167305</v>
      </c>
      <c r="AF1150" s="129">
        <v>0.998277347114556</v>
      </c>
      <c r="AG1150" s="129">
        <v>0.996454738832427</v>
      </c>
      <c r="AH1150" s="131">
        <v>0.92</v>
      </c>
      <c r="AI1150" s="129">
        <v>0.972742290748899</v>
      </c>
      <c r="AJ1150" s="129">
        <v>0.981701738334858</v>
      </c>
      <c r="AK1150" s="129">
        <v>0.988372093023256</v>
      </c>
      <c r="AL1150" s="129">
        <v>0.984157123360826</v>
      </c>
      <c r="AM1150" s="128">
        <v>0.99</v>
      </c>
      <c r="AN1150" s="133">
        <v>1</v>
      </c>
      <c r="AO1150" s="133">
        <v>1</v>
      </c>
      <c r="AP1150" s="133">
        <v>1</v>
      </c>
      <c r="AQ1150" s="133">
        <v>1</v>
      </c>
      <c r="AR1150" s="153">
        <v>0.0721861525408278</v>
      </c>
      <c r="AS1150" s="137">
        <v>0</v>
      </c>
      <c r="AT1150" s="137">
        <v>0</v>
      </c>
      <c r="AU1150" s="137">
        <v>0</v>
      </c>
      <c r="AV1150" s="137">
        <v>0.0196078431372549</v>
      </c>
      <c r="AW1150" s="93"/>
      <c r="AX1150" s="91"/>
    </row>
    <row r="1151" ht="14.5" spans="1:50">
      <c r="A1151" s="89"/>
      <c r="B1151" s="93"/>
      <c r="C1151" s="148" t="s">
        <v>1080</v>
      </c>
      <c r="D1151" s="126" t="s">
        <v>1081</v>
      </c>
      <c r="E1151" s="186" t="s">
        <v>1176</v>
      </c>
      <c r="F1151" s="186" t="s">
        <v>1176</v>
      </c>
      <c r="G1151" s="186" t="s">
        <v>1176</v>
      </c>
      <c r="H1151" s="186" t="s">
        <v>1176</v>
      </c>
      <c r="I1151" s="128">
        <v>0.9</v>
      </c>
      <c r="J1151" s="129">
        <v>0.978723404255319</v>
      </c>
      <c r="K1151" s="129">
        <v>0.986842105263158</v>
      </c>
      <c r="L1151" s="130">
        <v>1</v>
      </c>
      <c r="M1151" s="129">
        <v>0.985641025641026</v>
      </c>
      <c r="N1151" s="131">
        <v>0.9</v>
      </c>
      <c r="O1151" s="129">
        <v>0.968460321049062</v>
      </c>
      <c r="P1151" s="129">
        <v>0.966090712742981</v>
      </c>
      <c r="Q1151" s="129">
        <v>0.96370725854829</v>
      </c>
      <c r="R1151" s="129">
        <v>0.959194634389164</v>
      </c>
      <c r="S1151" s="131">
        <v>0.9</v>
      </c>
      <c r="T1151" s="129">
        <v>0.910920189916346</v>
      </c>
      <c r="U1151" s="129">
        <v>0.933693304535637</v>
      </c>
      <c r="V1151" s="129">
        <v>0.923065386922616</v>
      </c>
      <c r="W1151" s="129">
        <v>0.923170635856323</v>
      </c>
      <c r="X1151" s="131">
        <v>0.92</v>
      </c>
      <c r="Y1151" s="131">
        <v>0.945238095238095</v>
      </c>
      <c r="Z1151" s="131">
        <v>0.962093862815884</v>
      </c>
      <c r="AA1151" s="131">
        <v>0.948948948948949</v>
      </c>
      <c r="AB1151" s="131">
        <v>0.956724746612003</v>
      </c>
      <c r="AC1151" s="131">
        <v>0.92</v>
      </c>
      <c r="AD1151" s="129">
        <v>0.997369805365597</v>
      </c>
      <c r="AE1151" s="129">
        <v>0.998003992015968</v>
      </c>
      <c r="AF1151" s="129">
        <v>0.990066225165563</v>
      </c>
      <c r="AG1151" s="129">
        <v>0.994883589936162</v>
      </c>
      <c r="AH1151" s="131">
        <v>0.92</v>
      </c>
      <c r="AI1151" s="129">
        <v>0.97321174123682</v>
      </c>
      <c r="AJ1151" s="129">
        <v>0.974253019707565</v>
      </c>
      <c r="AK1151" s="129">
        <v>0.974700052164841</v>
      </c>
      <c r="AL1151" s="129">
        <v>0.9734729085023</v>
      </c>
      <c r="AM1151" s="128">
        <v>0.99</v>
      </c>
      <c r="AN1151" s="133">
        <v>1</v>
      </c>
      <c r="AO1151" s="133">
        <v>1</v>
      </c>
      <c r="AP1151" s="133">
        <v>1</v>
      </c>
      <c r="AQ1151" s="133">
        <v>1</v>
      </c>
      <c r="AR1151" s="153">
        <v>0.0721861525408278</v>
      </c>
      <c r="AS1151" s="137">
        <v>0.0333333333333333</v>
      </c>
      <c r="AT1151" s="137">
        <v>0.166666666666667</v>
      </c>
      <c r="AU1151" s="137">
        <v>0</v>
      </c>
      <c r="AV1151" s="137">
        <v>0.0524590163934426</v>
      </c>
      <c r="AW1151" s="93"/>
      <c r="AX1151" s="91"/>
    </row>
    <row r="1152" ht="14.5" spans="1:50">
      <c r="A1152" s="89"/>
      <c r="B1152" s="93"/>
      <c r="C1152" s="148" t="s">
        <v>1080</v>
      </c>
      <c r="D1152" s="126" t="s">
        <v>1081</v>
      </c>
      <c r="E1152" s="186" t="s">
        <v>1177</v>
      </c>
      <c r="F1152" s="186" t="s">
        <v>1177</v>
      </c>
      <c r="G1152" s="186" t="s">
        <v>1177</v>
      </c>
      <c r="H1152" s="186" t="s">
        <v>1177</v>
      </c>
      <c r="I1152" s="128">
        <v>0.9</v>
      </c>
      <c r="J1152" s="129">
        <v>0.953125</v>
      </c>
      <c r="K1152" s="129">
        <v>0.941176470588235</v>
      </c>
      <c r="L1152" s="130">
        <v>0.925925925925926</v>
      </c>
      <c r="M1152" s="129">
        <v>0.93452380952381</v>
      </c>
      <c r="N1152" s="131">
        <v>0.9</v>
      </c>
      <c r="O1152" s="129">
        <v>0.871650890421948</v>
      </c>
      <c r="P1152" s="129">
        <v>0.948482932996207</v>
      </c>
      <c r="Q1152" s="129">
        <v>0.954989816700611</v>
      </c>
      <c r="R1152" s="129">
        <v>0.93149862220024</v>
      </c>
      <c r="S1152" s="131">
        <v>0.9</v>
      </c>
      <c r="T1152" s="129">
        <v>0.855928124498636</v>
      </c>
      <c r="U1152" s="129">
        <v>0.912768647281922</v>
      </c>
      <c r="V1152" s="129">
        <v>0.85112016293279</v>
      </c>
      <c r="W1152" s="129">
        <v>0.868967710026143</v>
      </c>
      <c r="X1152" s="131">
        <v>0.92</v>
      </c>
      <c r="Y1152" s="131">
        <v>0.903729401561145</v>
      </c>
      <c r="Z1152" s="131">
        <v>0.923640167364017</v>
      </c>
      <c r="AA1152" s="131">
        <v>0.892739273927393</v>
      </c>
      <c r="AB1152" s="131">
        <v>0.907703914829407</v>
      </c>
      <c r="AC1152" s="131">
        <v>0.92</v>
      </c>
      <c r="AD1152" s="129">
        <v>0.968838526912181</v>
      </c>
      <c r="AE1152" s="129">
        <v>0.983050847457627</v>
      </c>
      <c r="AF1152" s="129">
        <v>0.986707566462168</v>
      </c>
      <c r="AG1152" s="129">
        <v>0.985226429101708</v>
      </c>
      <c r="AH1152" s="131">
        <v>0.92</v>
      </c>
      <c r="AI1152" s="129">
        <v>0.960471097874645</v>
      </c>
      <c r="AJ1152" s="129">
        <v>0.96504854368932</v>
      </c>
      <c r="AK1152" s="129">
        <v>0.965554749818709</v>
      </c>
      <c r="AL1152" s="129">
        <v>0.9667945669142</v>
      </c>
      <c r="AM1152" s="128">
        <v>0.99</v>
      </c>
      <c r="AN1152" s="133">
        <v>1</v>
      </c>
      <c r="AO1152" s="133">
        <v>1</v>
      </c>
      <c r="AP1152" s="133">
        <v>1</v>
      </c>
      <c r="AQ1152" s="133">
        <v>1</v>
      </c>
      <c r="AR1152" s="153">
        <v>0.0721861525408278</v>
      </c>
      <c r="AS1152" s="137">
        <v>0</v>
      </c>
      <c r="AT1152" s="137">
        <v>0.0555555555555556</v>
      </c>
      <c r="AU1152" s="137">
        <v>0</v>
      </c>
      <c r="AV1152" s="137">
        <v>0.0163265306122449</v>
      </c>
      <c r="AW1152" s="93"/>
      <c r="AX1152" s="91"/>
    </row>
    <row r="1153" ht="14.5" spans="1:50">
      <c r="A1153" s="89"/>
      <c r="B1153" s="93"/>
      <c r="C1153" s="148" t="s">
        <v>1080</v>
      </c>
      <c r="D1153" s="126" t="s">
        <v>1081</v>
      </c>
      <c r="E1153" s="186" t="s">
        <v>1178</v>
      </c>
      <c r="F1153" s="186" t="s">
        <v>1178</v>
      </c>
      <c r="G1153" s="186" t="s">
        <v>1178</v>
      </c>
      <c r="H1153" s="186" t="s">
        <v>1178</v>
      </c>
      <c r="I1153" s="128">
        <v>0.9</v>
      </c>
      <c r="J1153" s="129">
        <v>0.959183673469388</v>
      </c>
      <c r="K1153" s="129">
        <v>0.953488372093023</v>
      </c>
      <c r="L1153" s="130">
        <v>1</v>
      </c>
      <c r="M1153" s="129">
        <v>0.951737451737452</v>
      </c>
      <c r="N1153" s="131">
        <v>0.9</v>
      </c>
      <c r="O1153" s="129">
        <v>0.96288946219488</v>
      </c>
      <c r="P1153" s="129">
        <v>0.916511367871785</v>
      </c>
      <c r="Q1153" s="129">
        <v>0.921092184368738</v>
      </c>
      <c r="R1153" s="129">
        <v>0.92098759675464</v>
      </c>
      <c r="S1153" s="131">
        <v>0.9</v>
      </c>
      <c r="T1153" s="129">
        <v>0.89343123635642</v>
      </c>
      <c r="U1153" s="129">
        <v>0.831159150204994</v>
      </c>
      <c r="V1153" s="129">
        <v>0.8687374749499</v>
      </c>
      <c r="W1153" s="129">
        <v>0.867201342907768</v>
      </c>
      <c r="X1153" s="131">
        <v>0.92</v>
      </c>
      <c r="Y1153" s="131">
        <v>0.922705314009662</v>
      </c>
      <c r="Z1153" s="131">
        <v>0.934959349593496</v>
      </c>
      <c r="AA1153" s="131">
        <v>0.94188376753507</v>
      </c>
      <c r="AB1153" s="131">
        <v>0.943832132259432</v>
      </c>
      <c r="AC1153" s="131">
        <v>0.92</v>
      </c>
      <c r="AD1153" s="129">
        <v>0.987535953978907</v>
      </c>
      <c r="AE1153" s="129">
        <v>0.988728866624922</v>
      </c>
      <c r="AF1153" s="129">
        <v>0.990338164251208</v>
      </c>
      <c r="AG1153" s="129">
        <v>0.993422675326811</v>
      </c>
      <c r="AH1153" s="131">
        <v>0.92</v>
      </c>
      <c r="AI1153" s="129">
        <v>0.967445031532299</v>
      </c>
      <c r="AJ1153" s="129">
        <v>0.961354019746121</v>
      </c>
      <c r="AK1153" s="129">
        <v>0.968381206858161</v>
      </c>
      <c r="AL1153" s="129">
        <v>0.969520351614753</v>
      </c>
      <c r="AM1153" s="128">
        <v>0.99</v>
      </c>
      <c r="AN1153" s="133">
        <v>1</v>
      </c>
      <c r="AO1153" s="133">
        <v>1</v>
      </c>
      <c r="AP1153" s="133">
        <v>1</v>
      </c>
      <c r="AQ1153" s="133">
        <v>1</v>
      </c>
      <c r="AR1153" s="153">
        <v>0.0721861525408278</v>
      </c>
      <c r="AS1153" s="137">
        <v>0.0714285714285714</v>
      </c>
      <c r="AT1153" s="137">
        <v>0.166666666666667</v>
      </c>
      <c r="AU1153" s="137">
        <v>0.0714285714285714</v>
      </c>
      <c r="AV1153" s="137">
        <v>0.0579710144927536</v>
      </c>
      <c r="AW1153" s="93"/>
      <c r="AX1153" s="91"/>
    </row>
    <row r="1154" ht="14.5" spans="1:50">
      <c r="A1154" s="89"/>
      <c r="B1154" s="93"/>
      <c r="C1154" s="148" t="s">
        <v>1080</v>
      </c>
      <c r="D1154" s="126" t="s">
        <v>1081</v>
      </c>
      <c r="E1154" s="186" t="s">
        <v>1179</v>
      </c>
      <c r="F1154" s="186" t="s">
        <v>1179</v>
      </c>
      <c r="G1154" s="186" t="s">
        <v>1179</v>
      </c>
      <c r="H1154" s="186" t="s">
        <v>1179</v>
      </c>
      <c r="I1154" s="128">
        <v>0.9</v>
      </c>
      <c r="J1154" s="129">
        <v>1</v>
      </c>
      <c r="K1154" s="129">
        <v>1</v>
      </c>
      <c r="L1154" s="130">
        <v>1</v>
      </c>
      <c r="M1154" s="129">
        <v>0.98661311914324</v>
      </c>
      <c r="N1154" s="131">
        <v>0.9</v>
      </c>
      <c r="O1154" s="129">
        <v>0.969262597901581</v>
      </c>
      <c r="P1154" s="129">
        <v>0.982647635040582</v>
      </c>
      <c r="Q1154" s="129">
        <v>0.962516733601071</v>
      </c>
      <c r="R1154" s="129">
        <v>0.960002586736509</v>
      </c>
      <c r="S1154" s="131">
        <v>0.9</v>
      </c>
      <c r="T1154" s="129">
        <v>0.907048913846609</v>
      </c>
      <c r="U1154" s="129">
        <v>0.912678421494542</v>
      </c>
      <c r="V1154" s="129">
        <v>0.91394148020654</v>
      </c>
      <c r="W1154" s="129">
        <v>0.898098748666214</v>
      </c>
      <c r="X1154" s="131">
        <v>0.92</v>
      </c>
      <c r="Y1154" s="131">
        <v>0.941845764854614</v>
      </c>
      <c r="Z1154" s="131">
        <v>0.928272980501393</v>
      </c>
      <c r="AA1154" s="131">
        <v>0.903846153846154</v>
      </c>
      <c r="AB1154" s="131">
        <v>0.928872569019448</v>
      </c>
      <c r="AC1154" s="131">
        <v>0.92</v>
      </c>
      <c r="AD1154" s="129">
        <v>0.996055226824458</v>
      </c>
      <c r="AE1154" s="129">
        <v>0.997929606625259</v>
      </c>
      <c r="AF1154" s="129">
        <v>0.98780487804878</v>
      </c>
      <c r="AG1154" s="129">
        <v>0.993161777937736</v>
      </c>
      <c r="AH1154" s="131">
        <v>0.92</v>
      </c>
      <c r="AI1154" s="129">
        <v>0.973293413173653</v>
      </c>
      <c r="AJ1154" s="129">
        <v>0.966859652625275</v>
      </c>
      <c r="AK1154" s="129">
        <v>0.973377703826955</v>
      </c>
      <c r="AL1154" s="129">
        <v>0.970444186137631</v>
      </c>
      <c r="AM1154" s="128">
        <v>0.99</v>
      </c>
      <c r="AN1154" s="133">
        <v>1</v>
      </c>
      <c r="AO1154" s="133">
        <v>1</v>
      </c>
      <c r="AP1154" s="133">
        <v>1</v>
      </c>
      <c r="AQ1154" s="133">
        <v>1</v>
      </c>
      <c r="AR1154" s="153">
        <v>0.0721861525408278</v>
      </c>
      <c r="AS1154" s="137">
        <v>0.0689655172413793</v>
      </c>
      <c r="AT1154" s="137">
        <v>0.111111111111111</v>
      </c>
      <c r="AU1154" s="137">
        <v>0</v>
      </c>
      <c r="AV1154" s="137">
        <v>0.024896265560166</v>
      </c>
      <c r="AW1154" s="93"/>
      <c r="AX1154" s="91"/>
    </row>
    <row r="1155" ht="14.5" spans="1:50">
      <c r="A1155" s="89"/>
      <c r="B1155" s="93"/>
      <c r="C1155" s="148" t="s">
        <v>1080</v>
      </c>
      <c r="D1155" s="126" t="s">
        <v>1081</v>
      </c>
      <c r="E1155" s="186" t="s">
        <v>1180</v>
      </c>
      <c r="F1155" s="186" t="s">
        <v>1180</v>
      </c>
      <c r="G1155" s="186" t="s">
        <v>1180</v>
      </c>
      <c r="H1155" s="186" t="s">
        <v>1180</v>
      </c>
      <c r="I1155" s="128">
        <v>0.9</v>
      </c>
      <c r="J1155" s="129">
        <v>0.977777777777778</v>
      </c>
      <c r="K1155" s="129">
        <v>0.942857142857143</v>
      </c>
      <c r="L1155" s="130">
        <v>0.928571428571429</v>
      </c>
      <c r="M1155" s="129">
        <v>0.958498023715415</v>
      </c>
      <c r="N1155" s="131">
        <v>0.9</v>
      </c>
      <c r="O1155" s="129">
        <v>0.979356518504742</v>
      </c>
      <c r="P1155" s="129">
        <v>0.988812702995309</v>
      </c>
      <c r="Q1155" s="129">
        <v>0.988185822987585</v>
      </c>
      <c r="R1155" s="129">
        <v>0.98413467812599</v>
      </c>
      <c r="S1155" s="131">
        <v>0.9</v>
      </c>
      <c r="T1155" s="129">
        <v>0.892505114376046</v>
      </c>
      <c r="U1155" s="129">
        <v>0.922049801515698</v>
      </c>
      <c r="V1155" s="129">
        <v>0.932719263115739</v>
      </c>
      <c r="W1155" s="129">
        <v>0.91625496373907</v>
      </c>
      <c r="X1155" s="131">
        <v>0.92</v>
      </c>
      <c r="Y1155" s="131" t="s">
        <v>33</v>
      </c>
      <c r="Z1155" s="131">
        <v>0</v>
      </c>
      <c r="AA1155" s="131" t="s">
        <v>33</v>
      </c>
      <c r="AB1155" s="131">
        <v>0</v>
      </c>
      <c r="AC1155" s="131">
        <v>0.92</v>
      </c>
      <c r="AD1155" s="129">
        <v>0.998932764140875</v>
      </c>
      <c r="AE1155" s="129">
        <v>0.999375</v>
      </c>
      <c r="AF1155" s="129">
        <v>1</v>
      </c>
      <c r="AG1155" s="129">
        <v>0.998708121608819</v>
      </c>
      <c r="AH1155" s="131">
        <v>0.92</v>
      </c>
      <c r="AI1155" s="129">
        <v>0.966152129440208</v>
      </c>
      <c r="AJ1155" s="129">
        <v>0.966450216450216</v>
      </c>
      <c r="AK1155" s="129">
        <v>0.979975971165398</v>
      </c>
      <c r="AL1155" s="129">
        <v>0.980257270693512</v>
      </c>
      <c r="AM1155" s="128">
        <v>0.99</v>
      </c>
      <c r="AN1155" s="133">
        <v>1</v>
      </c>
      <c r="AO1155" s="133">
        <v>1</v>
      </c>
      <c r="AP1155" s="133">
        <v>1</v>
      </c>
      <c r="AQ1155" s="133">
        <v>1</v>
      </c>
      <c r="AR1155" s="153">
        <v>0.0721861525408278</v>
      </c>
      <c r="AS1155" s="137">
        <v>0</v>
      </c>
      <c r="AT1155" s="137">
        <v>0.0666666666666667</v>
      </c>
      <c r="AU1155" s="137">
        <v>0.0416666666666667</v>
      </c>
      <c r="AV1155" s="137">
        <v>0.0342205323193916</v>
      </c>
      <c r="AW1155" s="93"/>
      <c r="AX1155" s="91"/>
    </row>
    <row r="1156" ht="14.5" spans="1:50">
      <c r="A1156" s="89"/>
      <c r="B1156" s="93"/>
      <c r="C1156" s="148" t="s">
        <v>1080</v>
      </c>
      <c r="D1156" s="126" t="s">
        <v>1081</v>
      </c>
      <c r="E1156" s="186" t="s">
        <v>1181</v>
      </c>
      <c r="F1156" s="186" t="s">
        <v>1181</v>
      </c>
      <c r="G1156" s="186" t="s">
        <v>1181</v>
      </c>
      <c r="H1156" s="186" t="s">
        <v>1181</v>
      </c>
      <c r="I1156" s="128">
        <v>0.9</v>
      </c>
      <c r="J1156" s="129">
        <v>0.925925925925926</v>
      </c>
      <c r="K1156" s="129">
        <v>0.875</v>
      </c>
      <c r="L1156" s="130">
        <v>0.92</v>
      </c>
      <c r="M1156" s="129">
        <v>0.908496732026144</v>
      </c>
      <c r="N1156" s="131">
        <v>0.9</v>
      </c>
      <c r="O1156" s="129">
        <v>0.97191227395152</v>
      </c>
      <c r="P1156" s="129">
        <v>0.979560938682816</v>
      </c>
      <c r="Q1156" s="129">
        <v>0.983427647534357</v>
      </c>
      <c r="R1156" s="129">
        <v>0.97849671423572</v>
      </c>
      <c r="S1156" s="131">
        <v>0.9</v>
      </c>
      <c r="T1156" s="129">
        <v>0.839553674490189</v>
      </c>
      <c r="U1156" s="129">
        <v>0.878122634367903</v>
      </c>
      <c r="V1156" s="129">
        <v>0.848827809215845</v>
      </c>
      <c r="W1156" s="129">
        <v>0.84418866897383</v>
      </c>
      <c r="X1156" s="131">
        <v>0.92</v>
      </c>
      <c r="Y1156" s="131">
        <v>0</v>
      </c>
      <c r="Z1156" s="131">
        <v>0</v>
      </c>
      <c r="AA1156" s="131" t="s">
        <v>33</v>
      </c>
      <c r="AB1156" s="131">
        <v>0</v>
      </c>
      <c r="AC1156" s="131">
        <v>0.92</v>
      </c>
      <c r="AD1156" s="129">
        <v>0.993079584775087</v>
      </c>
      <c r="AE1156" s="129">
        <v>1</v>
      </c>
      <c r="AF1156" s="129">
        <v>1</v>
      </c>
      <c r="AG1156" s="129">
        <v>0.993840985442329</v>
      </c>
      <c r="AH1156" s="131">
        <v>0.92</v>
      </c>
      <c r="AI1156" s="129">
        <v>0.95117262591311</v>
      </c>
      <c r="AJ1156" s="129">
        <v>0.968986384266263</v>
      </c>
      <c r="AK1156" s="129">
        <v>0.972514147130154</v>
      </c>
      <c r="AL1156" s="129">
        <v>0.969090202177294</v>
      </c>
      <c r="AM1156" s="128">
        <v>0.99</v>
      </c>
      <c r="AN1156" s="133">
        <v>1</v>
      </c>
      <c r="AO1156" s="133">
        <v>1</v>
      </c>
      <c r="AP1156" s="133">
        <v>1</v>
      </c>
      <c r="AQ1156" s="133">
        <v>1</v>
      </c>
      <c r="AR1156" s="153">
        <v>0.0721861525408278</v>
      </c>
      <c r="AS1156" s="137">
        <v>0.333333333333333</v>
      </c>
      <c r="AT1156" s="137">
        <v>0.5</v>
      </c>
      <c r="AU1156" s="137">
        <v>-0.0909090909090909</v>
      </c>
      <c r="AV1156" s="137">
        <v>0.0740740740740741</v>
      </c>
      <c r="AW1156" s="93"/>
      <c r="AX1156" s="91"/>
    </row>
    <row r="1157" ht="14.5" spans="1:50">
      <c r="A1157" s="89"/>
      <c r="B1157" s="93"/>
      <c r="C1157" s="148" t="s">
        <v>1080</v>
      </c>
      <c r="D1157" s="126" t="s">
        <v>1081</v>
      </c>
      <c r="E1157" s="186" t="s">
        <v>1182</v>
      </c>
      <c r="F1157" s="186" t="s">
        <v>1182</v>
      </c>
      <c r="G1157" s="186" t="s">
        <v>1182</v>
      </c>
      <c r="H1157" s="186" t="s">
        <v>1182</v>
      </c>
      <c r="I1157" s="128">
        <v>0.9</v>
      </c>
      <c r="J1157" s="129">
        <v>0.939393939393939</v>
      </c>
      <c r="K1157" s="129">
        <v>0.878787878787879</v>
      </c>
      <c r="L1157" s="130">
        <v>0.96969696969697</v>
      </c>
      <c r="M1157" s="129">
        <v>0.930939226519337</v>
      </c>
      <c r="N1157" s="131">
        <v>0.9</v>
      </c>
      <c r="O1157" s="129">
        <v>0.979675780304863</v>
      </c>
      <c r="P1157" s="129">
        <v>0.991392405063291</v>
      </c>
      <c r="Q1157" s="129">
        <v>0.984428086070215</v>
      </c>
      <c r="R1157" s="129">
        <v>0.898421481682765</v>
      </c>
      <c r="S1157" s="131">
        <v>0.9</v>
      </c>
      <c r="T1157" s="129">
        <v>0.816840067747399</v>
      </c>
      <c r="U1157" s="129">
        <v>0.926075949367089</v>
      </c>
      <c r="V1157" s="129">
        <v>0.861551528878822</v>
      </c>
      <c r="W1157" s="129">
        <v>0.818803883303278</v>
      </c>
      <c r="X1157" s="131">
        <v>0.92</v>
      </c>
      <c r="Y1157" s="131">
        <v>0</v>
      </c>
      <c r="Z1157" s="131" t="s">
        <v>33</v>
      </c>
      <c r="AA1157" s="131">
        <v>0</v>
      </c>
      <c r="AB1157" s="131">
        <v>0</v>
      </c>
      <c r="AC1157" s="131">
        <v>0.92</v>
      </c>
      <c r="AD1157" s="129">
        <v>1</v>
      </c>
      <c r="AE1157" s="129">
        <v>1</v>
      </c>
      <c r="AF1157" s="129">
        <v>1</v>
      </c>
      <c r="AG1157" s="129">
        <v>1</v>
      </c>
      <c r="AH1157" s="131">
        <v>0.92</v>
      </c>
      <c r="AI1157" s="129">
        <v>0.961054668601838</v>
      </c>
      <c r="AJ1157" s="129">
        <v>0.971645569620253</v>
      </c>
      <c r="AK1157" s="129">
        <v>0.976224172091707</v>
      </c>
      <c r="AL1157" s="129">
        <v>0.971667119531655</v>
      </c>
      <c r="AM1157" s="128">
        <v>0.99</v>
      </c>
      <c r="AN1157" s="133">
        <v>1</v>
      </c>
      <c r="AO1157" s="133">
        <v>1</v>
      </c>
      <c r="AP1157" s="133">
        <v>1</v>
      </c>
      <c r="AQ1157" s="133">
        <v>1</v>
      </c>
      <c r="AR1157" s="153">
        <v>0.0721861525408278</v>
      </c>
      <c r="AS1157" s="137">
        <v>0.0909090909090909</v>
      </c>
      <c r="AT1157" s="137">
        <v>0.125</v>
      </c>
      <c r="AU1157" s="137">
        <v>0</v>
      </c>
      <c r="AV1157" s="137">
        <v>0.0534351145038168</v>
      </c>
      <c r="AW1157" s="93"/>
      <c r="AX1157" s="91"/>
    </row>
    <row r="1158" ht="14.5" spans="1:50">
      <c r="A1158" s="89"/>
      <c r="B1158" s="93"/>
      <c r="C1158" s="148" t="s">
        <v>1080</v>
      </c>
      <c r="D1158" s="126" t="s">
        <v>1081</v>
      </c>
      <c r="E1158" s="186" t="s">
        <v>1183</v>
      </c>
      <c r="F1158" s="186" t="s">
        <v>1183</v>
      </c>
      <c r="G1158" s="186" t="s">
        <v>1183</v>
      </c>
      <c r="H1158" s="186" t="s">
        <v>1183</v>
      </c>
      <c r="I1158" s="128">
        <v>0.9</v>
      </c>
      <c r="J1158" s="129">
        <v>0.971428571428571</v>
      </c>
      <c r="K1158" s="129">
        <v>0.88</v>
      </c>
      <c r="L1158" s="130">
        <v>0.9375</v>
      </c>
      <c r="M1158" s="129">
        <v>0.915167095115681</v>
      </c>
      <c r="N1158" s="131">
        <v>0.9</v>
      </c>
      <c r="O1158" s="129">
        <v>0.91458064516129</v>
      </c>
      <c r="P1158" s="129">
        <v>0.982891832229581</v>
      </c>
      <c r="Q1158" s="129">
        <v>0.930890924229808</v>
      </c>
      <c r="R1158" s="129">
        <v>0.957109569047192</v>
      </c>
      <c r="S1158" s="131">
        <v>0.9</v>
      </c>
      <c r="T1158" s="129">
        <v>0.745806451612903</v>
      </c>
      <c r="U1158" s="129">
        <v>0.678807947019868</v>
      </c>
      <c r="V1158" s="129">
        <v>0.758534554537885</v>
      </c>
      <c r="W1158" s="129">
        <v>0.74127467800169</v>
      </c>
      <c r="X1158" s="131">
        <v>0.92</v>
      </c>
      <c r="Y1158" s="131">
        <v>0</v>
      </c>
      <c r="Z1158" s="131" t="s">
        <v>33</v>
      </c>
      <c r="AA1158" s="131" t="s">
        <v>33</v>
      </c>
      <c r="AB1158" s="131">
        <v>0</v>
      </c>
      <c r="AC1158" s="131">
        <v>0.92</v>
      </c>
      <c r="AD1158" s="129">
        <v>1</v>
      </c>
      <c r="AE1158" s="129">
        <v>1</v>
      </c>
      <c r="AF1158" s="129">
        <v>1</v>
      </c>
      <c r="AG1158" s="129">
        <v>1</v>
      </c>
      <c r="AH1158" s="131">
        <v>0.92</v>
      </c>
      <c r="AI1158" s="129">
        <v>0.953854086104666</v>
      </c>
      <c r="AJ1158" s="129">
        <v>0.955298013245033</v>
      </c>
      <c r="AK1158" s="129">
        <v>0.961976131001943</v>
      </c>
      <c r="AL1158" s="129">
        <v>0.959213457254781</v>
      </c>
      <c r="AM1158" s="128">
        <v>0.99</v>
      </c>
      <c r="AN1158" s="133">
        <v>1</v>
      </c>
      <c r="AO1158" s="133">
        <v>1</v>
      </c>
      <c r="AP1158" s="133">
        <v>1</v>
      </c>
      <c r="AQ1158" s="133">
        <v>1</v>
      </c>
      <c r="AR1158" s="153">
        <v>0.0721861525408278</v>
      </c>
      <c r="AS1158" s="137">
        <v>0</v>
      </c>
      <c r="AT1158" s="137">
        <v>0.375</v>
      </c>
      <c r="AU1158" s="137">
        <v>0.166666666666667</v>
      </c>
      <c r="AV1158" s="137">
        <v>0.111888111888112</v>
      </c>
      <c r="AW1158" s="93"/>
      <c r="AX1158" s="91"/>
    </row>
    <row r="1159" ht="14.5" spans="1:50">
      <c r="A1159" s="89"/>
      <c r="B1159" s="93"/>
      <c r="C1159" s="148" t="s">
        <v>1080</v>
      </c>
      <c r="D1159" s="126" t="s">
        <v>1081</v>
      </c>
      <c r="E1159" s="186" t="s">
        <v>1184</v>
      </c>
      <c r="F1159" s="186" t="s">
        <v>1184</v>
      </c>
      <c r="G1159" s="186" t="s">
        <v>1184</v>
      </c>
      <c r="H1159" s="186" t="s">
        <v>1184</v>
      </c>
      <c r="I1159" s="128">
        <v>0.9</v>
      </c>
      <c r="J1159" s="129">
        <v>0.967741935483871</v>
      </c>
      <c r="K1159" s="129">
        <v>0.945205479452055</v>
      </c>
      <c r="L1159" s="130">
        <v>0.962025316455696</v>
      </c>
      <c r="M1159" s="129">
        <v>0.938631790744467</v>
      </c>
      <c r="N1159" s="131">
        <v>0.9</v>
      </c>
      <c r="O1159" s="129">
        <v>0.90139116202946</v>
      </c>
      <c r="P1159" s="129">
        <v>0.935032483758121</v>
      </c>
      <c r="Q1159" s="129">
        <v>0.919950080228205</v>
      </c>
      <c r="R1159" s="129">
        <v>0.947459379615953</v>
      </c>
      <c r="S1159" s="131">
        <v>0.9</v>
      </c>
      <c r="T1159" s="129">
        <v>0.866339334424441</v>
      </c>
      <c r="U1159" s="129">
        <v>0.919290354822589</v>
      </c>
      <c r="V1159" s="129">
        <v>0.892850775539312</v>
      </c>
      <c r="W1159" s="129">
        <v>0.913308714918759</v>
      </c>
      <c r="X1159" s="131">
        <v>0.92</v>
      </c>
      <c r="Y1159" s="131">
        <v>0.94909793814433</v>
      </c>
      <c r="Z1159" s="131">
        <v>0.948529411764706</v>
      </c>
      <c r="AA1159" s="131">
        <v>0.951467268623025</v>
      </c>
      <c r="AB1159" s="131">
        <v>0.95465752600878</v>
      </c>
      <c r="AC1159" s="131">
        <v>0.92</v>
      </c>
      <c r="AD1159" s="129">
        <v>0.999518072289157</v>
      </c>
      <c r="AE1159" s="129">
        <v>0.99963768115942</v>
      </c>
      <c r="AF1159" s="129">
        <v>0.997732426303855</v>
      </c>
      <c r="AG1159" s="129">
        <v>0.999085246330095</v>
      </c>
      <c r="AH1159" s="131">
        <v>0.92</v>
      </c>
      <c r="AI1159" s="129">
        <v>0.959140027014858</v>
      </c>
      <c r="AJ1159" s="129">
        <v>0.964539007092199</v>
      </c>
      <c r="AK1159" s="129">
        <v>0.964896073903002</v>
      </c>
      <c r="AL1159" s="129">
        <v>0.968838560502757</v>
      </c>
      <c r="AM1159" s="128">
        <v>0.99</v>
      </c>
      <c r="AN1159" s="133">
        <v>1</v>
      </c>
      <c r="AO1159" s="133">
        <v>1</v>
      </c>
      <c r="AP1159" s="133">
        <v>1</v>
      </c>
      <c r="AQ1159" s="133">
        <v>1</v>
      </c>
      <c r="AR1159" s="153">
        <v>0.0721861525408278</v>
      </c>
      <c r="AS1159" s="137">
        <v>0.0294117647058824</v>
      </c>
      <c r="AT1159" s="137">
        <v>0.107142857142857</v>
      </c>
      <c r="AU1159" s="137">
        <v>0</v>
      </c>
      <c r="AV1159" s="137">
        <v>0.0425055928411633</v>
      </c>
      <c r="AW1159" s="93"/>
      <c r="AX1159" s="91"/>
    </row>
    <row r="1160" ht="14.5" spans="1:50">
      <c r="A1160" s="89"/>
      <c r="B1160" s="93"/>
      <c r="C1160" s="148" t="s">
        <v>1080</v>
      </c>
      <c r="D1160" s="126" t="s">
        <v>1081</v>
      </c>
      <c r="E1160" s="186" t="s">
        <v>1185</v>
      </c>
      <c r="F1160" s="186" t="s">
        <v>1185</v>
      </c>
      <c r="G1160" s="186" t="s">
        <v>1185</v>
      </c>
      <c r="H1160" s="186" t="s">
        <v>1185</v>
      </c>
      <c r="I1160" s="128">
        <v>0.9</v>
      </c>
      <c r="J1160" s="129">
        <v>0.932203389830508</v>
      </c>
      <c r="K1160" s="129">
        <v>0.938775510204082</v>
      </c>
      <c r="L1160" s="130">
        <v>0.94</v>
      </c>
      <c r="M1160" s="129">
        <v>0.929356357927786</v>
      </c>
      <c r="N1160" s="131">
        <v>0.9</v>
      </c>
      <c r="O1160" s="129">
        <v>0.933079268292683</v>
      </c>
      <c r="P1160" s="129">
        <v>0.987588152327221</v>
      </c>
      <c r="Q1160" s="129">
        <v>0.979723142912848</v>
      </c>
      <c r="R1160" s="129">
        <v>0.951068140844621</v>
      </c>
      <c r="S1160" s="131">
        <v>0.9</v>
      </c>
      <c r="T1160" s="129">
        <v>0.911737804878049</v>
      </c>
      <c r="U1160" s="129">
        <v>0.92722143864598</v>
      </c>
      <c r="V1160" s="129">
        <v>0.923766816143498</v>
      </c>
      <c r="W1160" s="129">
        <v>0.915537899455958</v>
      </c>
      <c r="X1160" s="131">
        <v>0.92</v>
      </c>
      <c r="Y1160" s="131">
        <v>0</v>
      </c>
      <c r="Z1160" s="131" t="s">
        <v>33</v>
      </c>
      <c r="AA1160" s="131" t="s">
        <v>33</v>
      </c>
      <c r="AB1160" s="131">
        <v>0</v>
      </c>
      <c r="AC1160" s="131">
        <v>0.92</v>
      </c>
      <c r="AD1160" s="129">
        <v>0.99748427672956</v>
      </c>
      <c r="AE1160" s="129">
        <v>0.997940691927512</v>
      </c>
      <c r="AF1160" s="129">
        <v>1</v>
      </c>
      <c r="AG1160" s="129">
        <v>0.998398213765654</v>
      </c>
      <c r="AH1160" s="131">
        <v>0.92</v>
      </c>
      <c r="AI1160" s="129">
        <v>0.973030626238001</v>
      </c>
      <c r="AJ1160" s="129">
        <v>0.969816643159379</v>
      </c>
      <c r="AK1160" s="129">
        <v>0.975628777539481</v>
      </c>
      <c r="AL1160" s="129">
        <v>0.976245174053157</v>
      </c>
      <c r="AM1160" s="128">
        <v>0.99</v>
      </c>
      <c r="AN1160" s="133">
        <v>1</v>
      </c>
      <c r="AO1160" s="133">
        <v>1</v>
      </c>
      <c r="AP1160" s="133">
        <v>1</v>
      </c>
      <c r="AQ1160" s="133">
        <v>1</v>
      </c>
      <c r="AR1160" s="153">
        <v>0.0721861525408278</v>
      </c>
      <c r="AS1160" s="137">
        <v>0.0555555555555556</v>
      </c>
      <c r="AT1160" s="137">
        <v>0.0625</v>
      </c>
      <c r="AU1160" s="137">
        <v>0</v>
      </c>
      <c r="AV1160" s="137">
        <v>0.0343137254901961</v>
      </c>
      <c r="AW1160" s="93"/>
      <c r="AX1160" s="91"/>
    </row>
    <row r="1161" ht="14.5" spans="1:50">
      <c r="A1161" s="89"/>
      <c r="B1161" s="93"/>
      <c r="C1161" s="148" t="s">
        <v>1080</v>
      </c>
      <c r="D1161" s="126" t="s">
        <v>1081</v>
      </c>
      <c r="E1161" s="186" t="s">
        <v>1186</v>
      </c>
      <c r="F1161" s="186" t="s">
        <v>1186</v>
      </c>
      <c r="G1161" s="186" t="s">
        <v>1186</v>
      </c>
      <c r="H1161" s="186" t="s">
        <v>1186</v>
      </c>
      <c r="I1161" s="128">
        <v>0.9</v>
      </c>
      <c r="J1161" s="129">
        <v>0.983870967741935</v>
      </c>
      <c r="K1161" s="129">
        <v>1</v>
      </c>
      <c r="L1161" s="130">
        <v>1</v>
      </c>
      <c r="M1161" s="129">
        <v>0.979559748427673</v>
      </c>
      <c r="N1161" s="131">
        <v>0.9</v>
      </c>
      <c r="O1161" s="129">
        <v>0.942331505395365</v>
      </c>
      <c r="P1161" s="129">
        <v>0.957829243000346</v>
      </c>
      <c r="Q1161" s="129">
        <v>0.973810667948102</v>
      </c>
      <c r="R1161" s="129">
        <v>0.945126846499679</v>
      </c>
      <c r="S1161" s="131">
        <v>0.9</v>
      </c>
      <c r="T1161" s="129">
        <v>0.820095524500265</v>
      </c>
      <c r="U1161" s="129">
        <v>0.82267542343588</v>
      </c>
      <c r="V1161" s="129">
        <v>0.824603555982701</v>
      </c>
      <c r="W1161" s="129">
        <v>0.813363037893385</v>
      </c>
      <c r="X1161" s="131">
        <v>0.92</v>
      </c>
      <c r="Y1161" s="131">
        <v>0.880613362541073</v>
      </c>
      <c r="Z1161" s="131">
        <v>0.907771135781383</v>
      </c>
      <c r="AA1161" s="131">
        <v>0.850597609561753</v>
      </c>
      <c r="AB1161" s="131">
        <v>0.890032798833819</v>
      </c>
      <c r="AC1161" s="131">
        <v>0.92</v>
      </c>
      <c r="AD1161" s="129">
        <v>0.99783315276273</v>
      </c>
      <c r="AE1161" s="129">
        <v>0.990979381443299</v>
      </c>
      <c r="AF1161" s="129">
        <v>0.99344262295082</v>
      </c>
      <c r="AG1161" s="129">
        <v>0.994660475914103</v>
      </c>
      <c r="AH1161" s="131">
        <v>0.92</v>
      </c>
      <c r="AI1161" s="129">
        <v>0.928723728297289</v>
      </c>
      <c r="AJ1161" s="129">
        <v>0.93380905511811</v>
      </c>
      <c r="AK1161" s="129">
        <v>0.938464837049743</v>
      </c>
      <c r="AL1161" s="129">
        <v>0.938210285676694</v>
      </c>
      <c r="AM1161" s="128">
        <v>0.99</v>
      </c>
      <c r="AN1161" s="133">
        <v>1</v>
      </c>
      <c r="AO1161" s="133">
        <v>1</v>
      </c>
      <c r="AP1161" s="133">
        <v>1</v>
      </c>
      <c r="AQ1161" s="133">
        <v>1</v>
      </c>
      <c r="AR1161" s="153">
        <v>0.0721861525408278</v>
      </c>
      <c r="AS1161" s="137">
        <v>0</v>
      </c>
      <c r="AT1161" s="137">
        <v>0.133333333333333</v>
      </c>
      <c r="AU1161" s="137">
        <v>0.157894736842105</v>
      </c>
      <c r="AV1161" s="137">
        <v>0.0511627906976744</v>
      </c>
      <c r="AW1161" s="93"/>
      <c r="AX1161" s="91"/>
    </row>
    <row r="1162" ht="14.5" spans="1:50">
      <c r="A1162" s="89"/>
      <c r="B1162" s="93"/>
      <c r="C1162" s="148" t="s">
        <v>1080</v>
      </c>
      <c r="D1162" s="126" t="s">
        <v>1081</v>
      </c>
      <c r="E1162" s="186" t="s">
        <v>1187</v>
      </c>
      <c r="F1162" s="186" t="s">
        <v>1187</v>
      </c>
      <c r="G1162" s="186" t="s">
        <v>1187</v>
      </c>
      <c r="H1162" s="186" t="s">
        <v>1187</v>
      </c>
      <c r="I1162" s="128">
        <v>0.9</v>
      </c>
      <c r="J1162" s="129">
        <v>0.98</v>
      </c>
      <c r="K1162" s="129">
        <v>0.972972972972973</v>
      </c>
      <c r="L1162" s="130">
        <v>0.976744186046512</v>
      </c>
      <c r="M1162" s="129">
        <v>0.970260223048327</v>
      </c>
      <c r="N1162" s="131">
        <v>0.9</v>
      </c>
      <c r="O1162" s="129">
        <v>0.971898560657985</v>
      </c>
      <c r="P1162" s="129">
        <v>0.986319505736981</v>
      </c>
      <c r="Q1162" s="129">
        <v>0.942452043369475</v>
      </c>
      <c r="R1162" s="129">
        <v>0.950968907111827</v>
      </c>
      <c r="S1162" s="131">
        <v>0.9</v>
      </c>
      <c r="T1162" s="129">
        <v>0.915924148960475</v>
      </c>
      <c r="U1162" s="129">
        <v>0.928949691085613</v>
      </c>
      <c r="V1162" s="129">
        <v>0.902696691687517</v>
      </c>
      <c r="W1162" s="129">
        <v>0.907966027236784</v>
      </c>
      <c r="X1162" s="131">
        <v>0.92</v>
      </c>
      <c r="Y1162" s="131">
        <v>0.938693467336683</v>
      </c>
      <c r="Z1162" s="131">
        <v>0.940695296523517</v>
      </c>
      <c r="AA1162" s="131">
        <v>0.934354485776805</v>
      </c>
      <c r="AB1162" s="131">
        <v>0.942449110092721</v>
      </c>
      <c r="AC1162" s="131">
        <v>0.92</v>
      </c>
      <c r="AD1162" s="129">
        <v>0.994657168299199</v>
      </c>
      <c r="AE1162" s="129">
        <v>0.993681792073521</v>
      </c>
      <c r="AF1162" s="129">
        <v>0.993718592964824</v>
      </c>
      <c r="AG1162" s="129">
        <v>0.99314438592091</v>
      </c>
      <c r="AH1162" s="131">
        <v>0.92</v>
      </c>
      <c r="AI1162" s="129">
        <v>0.962956068503351</v>
      </c>
      <c r="AJ1162" s="129">
        <v>0.960862865947612</v>
      </c>
      <c r="AK1162" s="129">
        <v>0.972866304884065</v>
      </c>
      <c r="AL1162" s="129">
        <v>0.969716827514993</v>
      </c>
      <c r="AM1162" s="128">
        <v>0.99</v>
      </c>
      <c r="AN1162" s="133">
        <v>1</v>
      </c>
      <c r="AO1162" s="133">
        <v>1</v>
      </c>
      <c r="AP1162" s="133">
        <v>1</v>
      </c>
      <c r="AQ1162" s="133">
        <v>1</v>
      </c>
      <c r="AR1162" s="153">
        <v>0.0721861525408278</v>
      </c>
      <c r="AS1162" s="137">
        <v>0</v>
      </c>
      <c r="AT1162" s="137">
        <v>0</v>
      </c>
      <c r="AU1162" s="137">
        <v>0.25</v>
      </c>
      <c r="AV1162" s="137">
        <v>0.03125</v>
      </c>
      <c r="AW1162" s="93"/>
      <c r="AX1162" s="91"/>
    </row>
    <row r="1163" ht="14.5" spans="1:50">
      <c r="A1163" s="89"/>
      <c r="B1163" s="93"/>
      <c r="C1163" s="148" t="s">
        <v>1080</v>
      </c>
      <c r="D1163" s="126" t="s">
        <v>1081</v>
      </c>
      <c r="E1163" s="186" t="s">
        <v>1188</v>
      </c>
      <c r="F1163" s="186" t="s">
        <v>1188</v>
      </c>
      <c r="G1163" s="186" t="s">
        <v>1188</v>
      </c>
      <c r="H1163" s="186" t="s">
        <v>1188</v>
      </c>
      <c r="I1163" s="128">
        <v>0.9</v>
      </c>
      <c r="J1163" s="129">
        <v>1</v>
      </c>
      <c r="K1163" s="129">
        <v>1</v>
      </c>
      <c r="L1163" s="130">
        <v>1</v>
      </c>
      <c r="M1163" s="129">
        <v>0.99406528189911</v>
      </c>
      <c r="N1163" s="131">
        <v>0.9</v>
      </c>
      <c r="O1163" s="129">
        <v>0.971305595408895</v>
      </c>
      <c r="P1163" s="129">
        <v>0.970899470899471</v>
      </c>
      <c r="Q1163" s="129">
        <v>0.978486912871997</v>
      </c>
      <c r="R1163" s="129">
        <v>0.976130730154844</v>
      </c>
      <c r="S1163" s="131">
        <v>0.9</v>
      </c>
      <c r="T1163" s="129">
        <v>0.962984218077475</v>
      </c>
      <c r="U1163" s="129">
        <v>0.965079365079365</v>
      </c>
      <c r="V1163" s="129">
        <v>0.945141627823593</v>
      </c>
      <c r="W1163" s="129">
        <v>0.962604810575923</v>
      </c>
      <c r="X1163" s="131">
        <v>0.92</v>
      </c>
      <c r="Y1163" s="131">
        <v>0.977181208053691</v>
      </c>
      <c r="Z1163" s="131">
        <v>0.979141104294479</v>
      </c>
      <c r="AA1163" s="131">
        <v>0.997991967871486</v>
      </c>
      <c r="AB1163" s="131">
        <v>0.983432657926102</v>
      </c>
      <c r="AC1163" s="131">
        <v>0.92</v>
      </c>
      <c r="AD1163" s="129">
        <v>0.998269896193772</v>
      </c>
      <c r="AE1163" s="129">
        <v>0.997034840622683</v>
      </c>
      <c r="AF1163" s="129">
        <v>0.998861047835991</v>
      </c>
      <c r="AG1163" s="129">
        <v>0.998219056099733</v>
      </c>
      <c r="AH1163" s="131">
        <v>0.92</v>
      </c>
      <c r="AI1163" s="129">
        <v>0.984397163120567</v>
      </c>
      <c r="AJ1163" s="129">
        <v>0.983733826247689</v>
      </c>
      <c r="AK1163" s="129">
        <v>0.990264679038637</v>
      </c>
      <c r="AL1163" s="129">
        <v>0.988921084029317</v>
      </c>
      <c r="AM1163" s="128">
        <v>0.99</v>
      </c>
      <c r="AN1163" s="133">
        <v>1</v>
      </c>
      <c r="AO1163" s="133">
        <v>1</v>
      </c>
      <c r="AP1163" s="133">
        <v>1</v>
      </c>
      <c r="AQ1163" s="133">
        <v>1</v>
      </c>
      <c r="AR1163" s="153">
        <v>0.0721861525408278</v>
      </c>
      <c r="AS1163" s="137">
        <v>0</v>
      </c>
      <c r="AT1163" s="137">
        <v>0</v>
      </c>
      <c r="AU1163" s="137">
        <v>0</v>
      </c>
      <c r="AV1163" s="137">
        <v>0.0184049079754601</v>
      </c>
      <c r="AW1163" s="93"/>
      <c r="AX1163" s="91"/>
    </row>
    <row r="1164" ht="14.5" spans="1:50">
      <c r="A1164" s="89"/>
      <c r="B1164" s="93"/>
      <c r="C1164" s="148" t="s">
        <v>1080</v>
      </c>
      <c r="D1164" s="126" t="s">
        <v>1081</v>
      </c>
      <c r="E1164" s="186" t="s">
        <v>1189</v>
      </c>
      <c r="F1164" s="186" t="s">
        <v>1189</v>
      </c>
      <c r="G1164" s="186" t="s">
        <v>1189</v>
      </c>
      <c r="H1164" s="186" t="s">
        <v>1189</v>
      </c>
      <c r="I1164" s="128">
        <v>0.9</v>
      </c>
      <c r="J1164" s="129">
        <v>0.95</v>
      </c>
      <c r="K1164" s="129">
        <v>0.925</v>
      </c>
      <c r="L1164" s="130">
        <v>0.914285714285714</v>
      </c>
      <c r="M1164" s="129">
        <v>0.947019867549669</v>
      </c>
      <c r="N1164" s="131">
        <v>0.9</v>
      </c>
      <c r="O1164" s="129">
        <v>0.976212542477603</v>
      </c>
      <c r="P1164" s="129">
        <v>0.983343615052437</v>
      </c>
      <c r="Q1164" s="129">
        <v>0.979786422578185</v>
      </c>
      <c r="R1164" s="129">
        <v>0.975821882066446</v>
      </c>
      <c r="S1164" s="131">
        <v>0.9</v>
      </c>
      <c r="T1164" s="129">
        <v>0.897126969416126</v>
      </c>
      <c r="U1164" s="129">
        <v>0.913016656384948</v>
      </c>
      <c r="V1164" s="129">
        <v>0.891304347826087</v>
      </c>
      <c r="W1164" s="129">
        <v>0.905270481822926</v>
      </c>
      <c r="X1164" s="131">
        <v>0.92</v>
      </c>
      <c r="Y1164" s="131">
        <v>0.93567599761763</v>
      </c>
      <c r="Z1164" s="131">
        <v>0.967663209273948</v>
      </c>
      <c r="AA1164" s="131">
        <v>0.944025834230355</v>
      </c>
      <c r="AB1164" s="131">
        <v>0.95160073299558</v>
      </c>
      <c r="AC1164" s="131">
        <v>0.92</v>
      </c>
      <c r="AD1164" s="129">
        <v>0.981925533196771</v>
      </c>
      <c r="AE1164" s="129">
        <v>0.993525944535704</v>
      </c>
      <c r="AF1164" s="129">
        <v>0.992719214941437</v>
      </c>
      <c r="AG1164" s="129">
        <v>0.987167772436534</v>
      </c>
      <c r="AH1164" s="131">
        <v>0.92</v>
      </c>
      <c r="AI1164" s="129">
        <v>0.953620829943043</v>
      </c>
      <c r="AJ1164" s="129">
        <v>0.970858895705521</v>
      </c>
      <c r="AK1164" s="129">
        <v>0.969586032103633</v>
      </c>
      <c r="AL1164" s="129">
        <v>0.96513815775565</v>
      </c>
      <c r="AM1164" s="128">
        <v>0.99</v>
      </c>
      <c r="AN1164" s="133">
        <v>1</v>
      </c>
      <c r="AO1164" s="133">
        <v>1</v>
      </c>
      <c r="AP1164" s="133">
        <v>1</v>
      </c>
      <c r="AQ1164" s="133">
        <v>1</v>
      </c>
      <c r="AR1164" s="153">
        <v>0.0721861525408278</v>
      </c>
      <c r="AS1164" s="137">
        <v>0.1875</v>
      </c>
      <c r="AT1164" s="137">
        <v>0.04</v>
      </c>
      <c r="AU1164" s="137">
        <v>0.03125</v>
      </c>
      <c r="AV1164" s="137">
        <v>0.0839416058394161</v>
      </c>
      <c r="AW1164" s="93"/>
      <c r="AX1164" s="91"/>
    </row>
    <row r="1165" ht="14.5" spans="1:50">
      <c r="A1165" s="89"/>
      <c r="B1165" s="93"/>
      <c r="C1165" s="148" t="s">
        <v>1080</v>
      </c>
      <c r="D1165" s="126" t="s">
        <v>1081</v>
      </c>
      <c r="E1165" s="186" t="s">
        <v>1190</v>
      </c>
      <c r="F1165" s="186" t="s">
        <v>1190</v>
      </c>
      <c r="G1165" s="186" t="s">
        <v>1190</v>
      </c>
      <c r="H1165" s="186" t="s">
        <v>1190</v>
      </c>
      <c r="I1165" s="128">
        <v>0.9</v>
      </c>
      <c r="J1165" s="129">
        <v>0.942307692307692</v>
      </c>
      <c r="K1165" s="129">
        <v>0.95</v>
      </c>
      <c r="L1165" s="130">
        <v>0.930232558139535</v>
      </c>
      <c r="M1165" s="129">
        <v>0.977570093457944</v>
      </c>
      <c r="N1165" s="131">
        <v>0.9</v>
      </c>
      <c r="O1165" s="129">
        <v>0.921400587659158</v>
      </c>
      <c r="P1165" s="129">
        <v>0.923741738688358</v>
      </c>
      <c r="Q1165" s="129">
        <v>0.879334648999154</v>
      </c>
      <c r="R1165" s="129">
        <v>0.87965128100854</v>
      </c>
      <c r="S1165" s="131">
        <v>0.9</v>
      </c>
      <c r="T1165" s="129">
        <v>0.906219392752204</v>
      </c>
      <c r="U1165" s="129">
        <v>0.937468225724453</v>
      </c>
      <c r="V1165" s="129">
        <v>0.93882153932901</v>
      </c>
      <c r="W1165" s="129">
        <v>0.914116510776738</v>
      </c>
      <c r="X1165" s="131">
        <v>0.92</v>
      </c>
      <c r="Y1165" s="131">
        <v>0.961221122112211</v>
      </c>
      <c r="Z1165" s="131">
        <v>0.929456625357483</v>
      </c>
      <c r="AA1165" s="131">
        <v>0.956889915319477</v>
      </c>
      <c r="AB1165" s="131">
        <v>0.937531720521062</v>
      </c>
      <c r="AC1165" s="131">
        <v>0.92</v>
      </c>
      <c r="AD1165" s="129">
        <v>0.997115661955581</v>
      </c>
      <c r="AE1165" s="129">
        <v>0.993329290479078</v>
      </c>
      <c r="AF1165" s="129">
        <v>0.984907497565725</v>
      </c>
      <c r="AG1165" s="129">
        <v>0.993293667370418</v>
      </c>
      <c r="AH1165" s="131">
        <v>0.92</v>
      </c>
      <c r="AI1165" s="129">
        <v>0.957437000614628</v>
      </c>
      <c r="AJ1165" s="129">
        <v>0.947381362183428</v>
      </c>
      <c r="AK1165" s="129">
        <v>0.976681799422204</v>
      </c>
      <c r="AL1165" s="129">
        <v>0.956425113104215</v>
      </c>
      <c r="AM1165" s="128">
        <v>0.99</v>
      </c>
      <c r="AN1165" s="133">
        <v>1</v>
      </c>
      <c r="AO1165" s="133">
        <v>1</v>
      </c>
      <c r="AP1165" s="133">
        <v>1</v>
      </c>
      <c r="AQ1165" s="133">
        <v>1</v>
      </c>
      <c r="AR1165" s="153">
        <v>0.0721861525408278</v>
      </c>
      <c r="AS1165" s="137">
        <v>0.0434782608695652</v>
      </c>
      <c r="AT1165" s="137">
        <v>0</v>
      </c>
      <c r="AU1165" s="137">
        <v>0</v>
      </c>
      <c r="AV1165" s="137">
        <v>0.0545454545454545</v>
      </c>
      <c r="AW1165" s="93"/>
      <c r="AX1165" s="91"/>
    </row>
    <row r="1166" ht="14.5" spans="1:50">
      <c r="A1166" s="89"/>
      <c r="B1166" s="93"/>
      <c r="C1166" s="148" t="s">
        <v>1080</v>
      </c>
      <c r="D1166" s="126" t="s">
        <v>1081</v>
      </c>
      <c r="E1166" s="186" t="s">
        <v>1191</v>
      </c>
      <c r="F1166" s="186" t="s">
        <v>1191</v>
      </c>
      <c r="G1166" s="186" t="s">
        <v>1191</v>
      </c>
      <c r="H1166" s="186" t="s">
        <v>1191</v>
      </c>
      <c r="I1166" s="128">
        <v>0.9</v>
      </c>
      <c r="J1166" s="129">
        <v>0.823529411764706</v>
      </c>
      <c r="K1166" s="129">
        <v>0.961538461538462</v>
      </c>
      <c r="L1166" s="130">
        <v>0.903225806451613</v>
      </c>
      <c r="M1166" s="129">
        <v>0.890756302521008</v>
      </c>
      <c r="N1166" s="131">
        <v>0.9</v>
      </c>
      <c r="O1166" s="129">
        <v>0.970600951145698</v>
      </c>
      <c r="P1166" s="129">
        <v>0.973967684021544</v>
      </c>
      <c r="Q1166" s="129">
        <v>0.98186215235792</v>
      </c>
      <c r="R1166" s="129">
        <v>0.968884657781341</v>
      </c>
      <c r="S1166" s="131">
        <v>0.9</v>
      </c>
      <c r="T1166" s="129">
        <v>0.909208819714656</v>
      </c>
      <c r="U1166" s="129">
        <v>0.90394973070018</v>
      </c>
      <c r="V1166" s="129">
        <v>0.920193470374849</v>
      </c>
      <c r="W1166" s="129">
        <v>0.914320072151518</v>
      </c>
      <c r="X1166" s="131">
        <v>0.92</v>
      </c>
      <c r="Y1166" s="131">
        <v>0.947327652982184</v>
      </c>
      <c r="Z1166" s="131">
        <v>0.951816160118606</v>
      </c>
      <c r="AA1166" s="131">
        <v>0.956419316843345</v>
      </c>
      <c r="AB1166" s="131">
        <v>0.949401176387216</v>
      </c>
      <c r="AC1166" s="131">
        <v>0.92</v>
      </c>
      <c r="AD1166" s="129">
        <v>0.996058269065981</v>
      </c>
      <c r="AE1166" s="129">
        <v>0.992000969579445</v>
      </c>
      <c r="AF1166" s="129">
        <v>0.997330169089291</v>
      </c>
      <c r="AG1166" s="129">
        <v>0.928172029267981</v>
      </c>
      <c r="AH1166" s="131">
        <v>0.92</v>
      </c>
      <c r="AI1166" s="129">
        <v>0.958391123439667</v>
      </c>
      <c r="AJ1166" s="129">
        <v>0.955357142857143</v>
      </c>
      <c r="AK1166" s="129">
        <v>0.966440271673991</v>
      </c>
      <c r="AL1166" s="129">
        <v>0.962404249699175</v>
      </c>
      <c r="AM1166" s="128">
        <v>0.99</v>
      </c>
      <c r="AN1166" s="133">
        <v>1</v>
      </c>
      <c r="AO1166" s="133">
        <v>1</v>
      </c>
      <c r="AP1166" s="133">
        <v>1</v>
      </c>
      <c r="AQ1166" s="133">
        <v>1</v>
      </c>
      <c r="AR1166" s="153">
        <v>0.0721861525408278</v>
      </c>
      <c r="AS1166" s="137">
        <v>0.032258064516129</v>
      </c>
      <c r="AT1166" s="137">
        <v>0.0416666666666667</v>
      </c>
      <c r="AU1166" s="137">
        <v>0.1</v>
      </c>
      <c r="AV1166" s="137">
        <v>0.0503355704697987</v>
      </c>
      <c r="AW1166" s="93"/>
      <c r="AX1166" s="91"/>
    </row>
    <row r="1167" ht="14.5" spans="1:50">
      <c r="A1167" s="89"/>
      <c r="B1167" s="93"/>
      <c r="C1167" s="148" t="s">
        <v>1080</v>
      </c>
      <c r="D1167" s="126" t="s">
        <v>1081</v>
      </c>
      <c r="E1167" s="186" t="s">
        <v>1192</v>
      </c>
      <c r="F1167" s="186" t="s">
        <v>1192</v>
      </c>
      <c r="G1167" s="186" t="s">
        <v>1192</v>
      </c>
      <c r="H1167" s="186" t="s">
        <v>1192</v>
      </c>
      <c r="I1167" s="128">
        <v>0.9</v>
      </c>
      <c r="J1167" s="129">
        <v>1</v>
      </c>
      <c r="K1167" s="129">
        <v>0.948717948717949</v>
      </c>
      <c r="L1167" s="130">
        <v>0.975</v>
      </c>
      <c r="M1167" s="129">
        <v>0.951002227171492</v>
      </c>
      <c r="N1167" s="131">
        <v>0.9</v>
      </c>
      <c r="O1167" s="129">
        <v>0.980482611781405</v>
      </c>
      <c r="P1167" s="129">
        <v>0.947058823529412</v>
      </c>
      <c r="Q1167" s="129">
        <v>0.992943129929431</v>
      </c>
      <c r="R1167" s="129">
        <v>0.988323109895795</v>
      </c>
      <c r="S1167" s="131">
        <v>0.9</v>
      </c>
      <c r="T1167" s="129">
        <v>0.931511710432931</v>
      </c>
      <c r="U1167" s="129">
        <v>0.902941176470588</v>
      </c>
      <c r="V1167" s="129">
        <v>0.957243669572437</v>
      </c>
      <c r="W1167" s="129">
        <v>0.943241445569433</v>
      </c>
      <c r="X1167" s="131">
        <v>0.92</v>
      </c>
      <c r="Y1167" s="131">
        <v>0.954248366013072</v>
      </c>
      <c r="Z1167" s="131">
        <v>0.964525993883792</v>
      </c>
      <c r="AA1167" s="131">
        <v>0.976897689768977</v>
      </c>
      <c r="AB1167" s="131">
        <v>0.965201465201465</v>
      </c>
      <c r="AC1167" s="131">
        <v>0.92</v>
      </c>
      <c r="AD1167" s="129">
        <v>0.997837136368552</v>
      </c>
      <c r="AE1167" s="129">
        <v>0.995367412140575</v>
      </c>
      <c r="AF1167" s="129">
        <v>0.991109625668449</v>
      </c>
      <c r="AG1167" s="129">
        <v>0.991398268292881</v>
      </c>
      <c r="AH1167" s="131">
        <v>0.92</v>
      </c>
      <c r="AI1167" s="129">
        <v>0.967118418129305</v>
      </c>
      <c r="AJ1167" s="129">
        <v>0.97228714524207</v>
      </c>
      <c r="AK1167" s="129">
        <v>0.984327908378541</v>
      </c>
      <c r="AL1167" s="129">
        <v>0.977778264776139</v>
      </c>
      <c r="AM1167" s="128">
        <v>0.99</v>
      </c>
      <c r="AN1167" s="133">
        <v>1</v>
      </c>
      <c r="AO1167" s="133">
        <v>1</v>
      </c>
      <c r="AP1167" s="133">
        <v>1</v>
      </c>
      <c r="AQ1167" s="133">
        <v>1</v>
      </c>
      <c r="AR1167" s="153">
        <v>0.0721861525408278</v>
      </c>
      <c r="AS1167" s="137">
        <v>0</v>
      </c>
      <c r="AT1167" s="137">
        <v>0</v>
      </c>
      <c r="AU1167" s="137">
        <v>0</v>
      </c>
      <c r="AV1167" s="137">
        <v>0.0225988700564972</v>
      </c>
      <c r="AW1167" s="93"/>
      <c r="AX1167" s="91"/>
    </row>
    <row r="1168" ht="14.5" spans="1:50">
      <c r="A1168" s="89"/>
      <c r="B1168" s="93"/>
      <c r="C1168" s="148" t="s">
        <v>1080</v>
      </c>
      <c r="D1168" s="126" t="s">
        <v>1081</v>
      </c>
      <c r="E1168" s="186" t="s">
        <v>1193</v>
      </c>
      <c r="F1168" s="186" t="s">
        <v>1193</v>
      </c>
      <c r="G1168" s="186" t="s">
        <v>1193</v>
      </c>
      <c r="H1168" s="186" t="s">
        <v>1193</v>
      </c>
      <c r="I1168" s="128">
        <v>0.9</v>
      </c>
      <c r="J1168" s="129">
        <v>0.805555555555556</v>
      </c>
      <c r="K1168" s="129">
        <v>0.794117647058823</v>
      </c>
      <c r="L1168" s="130">
        <v>0.878787878787879</v>
      </c>
      <c r="M1168" s="129">
        <v>0.86734693877551</v>
      </c>
      <c r="N1168" s="131">
        <v>0.9</v>
      </c>
      <c r="O1168" s="129">
        <v>0.97267292912041</v>
      </c>
      <c r="P1168" s="129">
        <v>0.982584784601283</v>
      </c>
      <c r="Q1168" s="129">
        <v>0.948605795516676</v>
      </c>
      <c r="R1168" s="129">
        <v>0.975308641975309</v>
      </c>
      <c r="S1168" s="131">
        <v>0.9</v>
      </c>
      <c r="T1168" s="129">
        <v>0.911187019641332</v>
      </c>
      <c r="U1168" s="129">
        <v>0.939505041246563</v>
      </c>
      <c r="V1168" s="129">
        <v>0.931109896118097</v>
      </c>
      <c r="W1168" s="129">
        <v>0.920702754036087</v>
      </c>
      <c r="X1168" s="131">
        <v>0.92</v>
      </c>
      <c r="Y1168" s="131">
        <v>0.938848920863309</v>
      </c>
      <c r="Z1168" s="131">
        <v>0.954110898661568</v>
      </c>
      <c r="AA1168" s="131">
        <v>0.96029776674938</v>
      </c>
      <c r="AB1168" s="131">
        <v>0.948869159484155</v>
      </c>
      <c r="AC1168" s="131">
        <v>0.92</v>
      </c>
      <c r="AD1168" s="129">
        <v>0.988219895287958</v>
      </c>
      <c r="AE1168" s="129">
        <v>0.998075865860363</v>
      </c>
      <c r="AF1168" s="129">
        <v>0.997245179063361</v>
      </c>
      <c r="AG1168" s="129">
        <v>0.992430003456619</v>
      </c>
      <c r="AH1168" s="131">
        <v>0.92</v>
      </c>
      <c r="AI1168" s="129">
        <v>0.948553054662379</v>
      </c>
      <c r="AJ1168" s="129">
        <v>0.966165413533835</v>
      </c>
      <c r="AK1168" s="129">
        <v>0.975332068311195</v>
      </c>
      <c r="AL1168" s="129">
        <v>0.961087361613504</v>
      </c>
      <c r="AM1168" s="128">
        <v>0.99</v>
      </c>
      <c r="AN1168" s="133">
        <v>1</v>
      </c>
      <c r="AO1168" s="133">
        <v>1</v>
      </c>
      <c r="AP1168" s="133">
        <v>1</v>
      </c>
      <c r="AQ1168" s="133">
        <v>0.999397953040337</v>
      </c>
      <c r="AR1168" s="153">
        <v>0.0721861525408278</v>
      </c>
      <c r="AS1168" s="137">
        <v>0</v>
      </c>
      <c r="AT1168" s="137">
        <v>0.0526315789473684</v>
      </c>
      <c r="AU1168" s="137">
        <v>0</v>
      </c>
      <c r="AV1168" s="137">
        <v>0.0188679245283019</v>
      </c>
      <c r="AW1168" s="93"/>
      <c r="AX1168" s="91"/>
    </row>
    <row r="1169" ht="14.5" spans="1:50">
      <c r="A1169" s="89"/>
      <c r="B1169" s="93"/>
      <c r="C1169" s="148" t="s">
        <v>1080</v>
      </c>
      <c r="D1169" s="126" t="s">
        <v>1081</v>
      </c>
      <c r="E1169" s="186" t="s">
        <v>1194</v>
      </c>
      <c r="F1169" s="186" t="s">
        <v>1194</v>
      </c>
      <c r="G1169" s="186" t="s">
        <v>1194</v>
      </c>
      <c r="H1169" s="186" t="s">
        <v>1194</v>
      </c>
      <c r="I1169" s="128">
        <v>0.9</v>
      </c>
      <c r="J1169" s="129">
        <v>0.962264150943396</v>
      </c>
      <c r="K1169" s="129">
        <v>0.941176470588235</v>
      </c>
      <c r="L1169" s="130">
        <v>0.903846153846154</v>
      </c>
      <c r="M1169" s="129">
        <v>0.938538205980066</v>
      </c>
      <c r="N1169" s="131">
        <v>0.9</v>
      </c>
      <c r="O1169" s="129">
        <v>0.987931850449598</v>
      </c>
      <c r="P1169" s="129">
        <v>0.993071593533487</v>
      </c>
      <c r="Q1169" s="129">
        <v>0.989716509171762</v>
      </c>
      <c r="R1169" s="129">
        <v>0.981414440138691</v>
      </c>
      <c r="S1169" s="131">
        <v>0.9</v>
      </c>
      <c r="T1169" s="129">
        <v>0.948651206814955</v>
      </c>
      <c r="U1169" s="129">
        <v>0.959815242494226</v>
      </c>
      <c r="V1169" s="129">
        <v>0.947470817120623</v>
      </c>
      <c r="W1169" s="129">
        <v>0.944421782582093</v>
      </c>
      <c r="X1169" s="131">
        <v>0.92</v>
      </c>
      <c r="Y1169" s="131">
        <v>0.951394422310757</v>
      </c>
      <c r="Z1169" s="131">
        <v>0.960909090909091</v>
      </c>
      <c r="AA1169" s="131">
        <v>0.960431654676259</v>
      </c>
      <c r="AB1169" s="131">
        <v>0.96119663545469</v>
      </c>
      <c r="AC1169" s="131">
        <v>0.92</v>
      </c>
      <c r="AD1169" s="129">
        <v>0.999251637043966</v>
      </c>
      <c r="AE1169" s="129">
        <v>0.9933989288828</v>
      </c>
      <c r="AF1169" s="129">
        <v>0.999238501370698</v>
      </c>
      <c r="AG1169" s="129">
        <v>0.995173093160709</v>
      </c>
      <c r="AH1169" s="131">
        <v>0.92</v>
      </c>
      <c r="AI1169" s="129">
        <v>0.966894299287411</v>
      </c>
      <c r="AJ1169" s="129">
        <v>0.974130036630037</v>
      </c>
      <c r="AK1169" s="129">
        <v>0.980954290296712</v>
      </c>
      <c r="AL1169" s="129">
        <v>0.975248677084465</v>
      </c>
      <c r="AM1169" s="128">
        <v>0.99</v>
      </c>
      <c r="AN1169" s="133">
        <v>1</v>
      </c>
      <c r="AO1169" s="133">
        <v>1</v>
      </c>
      <c r="AP1169" s="133">
        <v>1</v>
      </c>
      <c r="AQ1169" s="133">
        <v>1</v>
      </c>
      <c r="AR1169" s="153">
        <v>0.0721861525408278</v>
      </c>
      <c r="AS1169" s="137">
        <v>0</v>
      </c>
      <c r="AT1169" s="137">
        <v>0</v>
      </c>
      <c r="AU1169" s="137">
        <v>0.2</v>
      </c>
      <c r="AV1169" s="137">
        <v>0.0480349344978166</v>
      </c>
      <c r="AW1169" s="93"/>
      <c r="AX1169" s="91"/>
    </row>
    <row r="1170" ht="14.5" spans="1:50">
      <c r="A1170" s="89"/>
      <c r="B1170" s="93"/>
      <c r="C1170" s="148" t="s">
        <v>1080</v>
      </c>
      <c r="D1170" s="126" t="s">
        <v>1081</v>
      </c>
      <c r="E1170" s="186" t="s">
        <v>1195</v>
      </c>
      <c r="F1170" s="186" t="s">
        <v>1195</v>
      </c>
      <c r="G1170" s="186" t="s">
        <v>1195</v>
      </c>
      <c r="H1170" s="186" t="s">
        <v>1195</v>
      </c>
      <c r="I1170" s="128">
        <v>0.9</v>
      </c>
      <c r="J1170" s="129">
        <v>0.944444444444444</v>
      </c>
      <c r="K1170" s="129">
        <v>0.967741935483871</v>
      </c>
      <c r="L1170" s="130">
        <v>0.942857142857143</v>
      </c>
      <c r="M1170" s="129">
        <v>0.959427207637232</v>
      </c>
      <c r="N1170" s="131">
        <v>0.9</v>
      </c>
      <c r="O1170" s="129">
        <v>0.977555248618785</v>
      </c>
      <c r="P1170" s="129">
        <v>0.975903614457831</v>
      </c>
      <c r="Q1170" s="129">
        <v>0.983779044278825</v>
      </c>
      <c r="R1170" s="129">
        <v>0.945180023228804</v>
      </c>
      <c r="S1170" s="131">
        <v>0.9</v>
      </c>
      <c r="T1170" s="129">
        <v>0.926104972375691</v>
      </c>
      <c r="U1170" s="129">
        <v>0.936924167257264</v>
      </c>
      <c r="V1170" s="129">
        <v>0.939061814993424</v>
      </c>
      <c r="W1170" s="129">
        <v>0.924196670538134</v>
      </c>
      <c r="X1170" s="131">
        <v>0.92</v>
      </c>
      <c r="Y1170" s="131">
        <v>0.956579826319305</v>
      </c>
      <c r="Z1170" s="131">
        <v>0.962025316455696</v>
      </c>
      <c r="AA1170" s="131">
        <v>0.963051251489869</v>
      </c>
      <c r="AB1170" s="131">
        <v>0.952641052696915</v>
      </c>
      <c r="AC1170" s="131">
        <v>0.92</v>
      </c>
      <c r="AD1170" s="129">
        <v>0.997219580010244</v>
      </c>
      <c r="AE1170" s="129">
        <v>0.976688741721854</v>
      </c>
      <c r="AF1170" s="129">
        <v>0.987794955248169</v>
      </c>
      <c r="AG1170" s="129">
        <v>0.962752110299712</v>
      </c>
      <c r="AH1170" s="131">
        <v>0.92</v>
      </c>
      <c r="AI1170" s="129">
        <v>0.971545640792169</v>
      </c>
      <c r="AJ1170" s="129">
        <v>0.97085201793722</v>
      </c>
      <c r="AK1170" s="129">
        <v>0.979500320307495</v>
      </c>
      <c r="AL1170" s="129">
        <v>0.970015492789894</v>
      </c>
      <c r="AM1170" s="128">
        <v>0.99</v>
      </c>
      <c r="AN1170" s="133">
        <v>1</v>
      </c>
      <c r="AO1170" s="133">
        <v>1</v>
      </c>
      <c r="AP1170" s="133">
        <v>1</v>
      </c>
      <c r="AQ1170" s="133">
        <v>1</v>
      </c>
      <c r="AR1170" s="153">
        <v>0.0721861525408278</v>
      </c>
      <c r="AS1170" s="137">
        <v>0</v>
      </c>
      <c r="AT1170" s="137">
        <v>0</v>
      </c>
      <c r="AU1170" s="137">
        <v>0</v>
      </c>
      <c r="AV1170" s="137">
        <v>0.0205479452054795</v>
      </c>
      <c r="AW1170" s="93"/>
      <c r="AX1170" s="91"/>
    </row>
    <row r="1171" ht="14.5" spans="1:50">
      <c r="A1171" s="89"/>
      <c r="B1171" s="93"/>
      <c r="C1171" s="148" t="s">
        <v>1080</v>
      </c>
      <c r="D1171" s="126" t="s">
        <v>1081</v>
      </c>
      <c r="E1171" s="186" t="s">
        <v>1196</v>
      </c>
      <c r="F1171" s="186" t="s">
        <v>1196</v>
      </c>
      <c r="G1171" s="186" t="s">
        <v>1196</v>
      </c>
      <c r="H1171" s="186" t="s">
        <v>1196</v>
      </c>
      <c r="I1171" s="128">
        <v>0.9</v>
      </c>
      <c r="J1171" s="129">
        <v>0.981481481481482</v>
      </c>
      <c r="K1171" s="129">
        <v>0.955555555555556</v>
      </c>
      <c r="L1171" s="130">
        <v>0.96</v>
      </c>
      <c r="M1171" s="129">
        <v>0.940577249575552</v>
      </c>
      <c r="N1171" s="131">
        <v>0.9</v>
      </c>
      <c r="O1171" s="129">
        <v>0.970306995470559</v>
      </c>
      <c r="P1171" s="129">
        <v>0.978139298423996</v>
      </c>
      <c r="Q1171" s="129">
        <v>0.972765139378404</v>
      </c>
      <c r="R1171" s="129">
        <v>0.968955515349933</v>
      </c>
      <c r="S1171" s="131">
        <v>0.9</v>
      </c>
      <c r="T1171" s="129">
        <v>0.942878711625566</v>
      </c>
      <c r="U1171" s="129">
        <v>0.956786985256736</v>
      </c>
      <c r="V1171" s="129">
        <v>0.960589554629926</v>
      </c>
      <c r="W1171" s="129">
        <v>0.948106027971626</v>
      </c>
      <c r="X1171" s="131">
        <v>0.92</v>
      </c>
      <c r="Y1171" s="131">
        <v>0.945387792565397</v>
      </c>
      <c r="Z1171" s="131">
        <v>0.971952535059331</v>
      </c>
      <c r="AA1171" s="131">
        <v>0.973862536302033</v>
      </c>
      <c r="AB1171" s="131">
        <v>0.955224548219717</v>
      </c>
      <c r="AC1171" s="131">
        <v>0.92</v>
      </c>
      <c r="AD1171" s="129">
        <v>0.999523279834737</v>
      </c>
      <c r="AE1171" s="129">
        <v>0.994123792112823</v>
      </c>
      <c r="AF1171" s="129">
        <v>0.996616915422886</v>
      </c>
      <c r="AG1171" s="129">
        <v>0.945185092350352</v>
      </c>
      <c r="AH1171" s="131">
        <v>0.92</v>
      </c>
      <c r="AI1171" s="129">
        <v>0.967013324666883</v>
      </c>
      <c r="AJ1171" s="129">
        <v>0.979063072494112</v>
      </c>
      <c r="AK1171" s="129">
        <v>0.984833895040924</v>
      </c>
      <c r="AL1171" s="129">
        <v>0.972841103843867</v>
      </c>
      <c r="AM1171" s="128">
        <v>0.99</v>
      </c>
      <c r="AN1171" s="133">
        <v>1</v>
      </c>
      <c r="AO1171" s="133">
        <v>1</v>
      </c>
      <c r="AP1171" s="133">
        <v>1</v>
      </c>
      <c r="AQ1171" s="133">
        <v>1</v>
      </c>
      <c r="AR1171" s="153">
        <v>0.0721861525408278</v>
      </c>
      <c r="AS1171" s="137">
        <v>0</v>
      </c>
      <c r="AT1171" s="137">
        <v>0</v>
      </c>
      <c r="AU1171" s="137">
        <v>0.0476190476190476</v>
      </c>
      <c r="AV1171" s="137">
        <v>0.032520325203252</v>
      </c>
      <c r="AW1171" s="93"/>
      <c r="AX1171" s="91"/>
    </row>
    <row r="1172" ht="14.5" spans="1:50">
      <c r="A1172" s="89"/>
      <c r="B1172" s="93"/>
      <c r="C1172" s="148" t="s">
        <v>1080</v>
      </c>
      <c r="D1172" s="126" t="s">
        <v>1081</v>
      </c>
      <c r="E1172" s="186" t="s">
        <v>1197</v>
      </c>
      <c r="F1172" s="186" t="s">
        <v>1197</v>
      </c>
      <c r="G1172" s="186" t="s">
        <v>1197</v>
      </c>
      <c r="H1172" s="186" t="s">
        <v>1197</v>
      </c>
      <c r="I1172" s="128">
        <v>0.9</v>
      </c>
      <c r="J1172" s="129" t="s">
        <v>33</v>
      </c>
      <c r="K1172" s="129" t="s">
        <v>33</v>
      </c>
      <c r="L1172" s="130" t="s">
        <v>33</v>
      </c>
      <c r="M1172" s="129" t="s">
        <v>33</v>
      </c>
      <c r="N1172" s="131">
        <v>0.9</v>
      </c>
      <c r="O1172" s="129">
        <v>0</v>
      </c>
      <c r="P1172" s="129">
        <v>0</v>
      </c>
      <c r="Q1172" s="129">
        <v>0</v>
      </c>
      <c r="R1172" s="129">
        <v>0</v>
      </c>
      <c r="S1172" s="131">
        <v>0.9</v>
      </c>
      <c r="T1172" s="129">
        <v>1</v>
      </c>
      <c r="U1172" s="129">
        <v>1</v>
      </c>
      <c r="V1172" s="129">
        <v>1</v>
      </c>
      <c r="W1172" s="129">
        <v>1</v>
      </c>
      <c r="X1172" s="131">
        <v>0.92</v>
      </c>
      <c r="Y1172" s="131">
        <v>0</v>
      </c>
      <c r="Z1172" s="131">
        <v>0</v>
      </c>
      <c r="AA1172" s="131" t="s">
        <v>33</v>
      </c>
      <c r="AB1172" s="131">
        <v>0.6</v>
      </c>
      <c r="AC1172" s="131">
        <v>0.92</v>
      </c>
      <c r="AD1172" s="129">
        <v>0.995549575657214</v>
      </c>
      <c r="AE1172" s="129">
        <v>0.993050266565118</v>
      </c>
      <c r="AF1172" s="129">
        <v>0.990869051455581</v>
      </c>
      <c r="AG1172" s="129">
        <v>0.98262551552541</v>
      </c>
      <c r="AH1172" s="131">
        <v>0.92</v>
      </c>
      <c r="AI1172" s="129">
        <v>0.857142857142857</v>
      </c>
      <c r="AJ1172" s="129">
        <v>0.833333333333333</v>
      </c>
      <c r="AK1172" s="129">
        <v>1</v>
      </c>
      <c r="AL1172" s="129">
        <v>0.953488372093023</v>
      </c>
      <c r="AM1172" s="128">
        <v>0.99</v>
      </c>
      <c r="AN1172" s="133">
        <v>1</v>
      </c>
      <c r="AO1172" s="133">
        <v>1</v>
      </c>
      <c r="AP1172" s="133">
        <v>1</v>
      </c>
      <c r="AQ1172" s="133">
        <v>1</v>
      </c>
      <c r="AR1172" s="153">
        <v>0.0721861525408278</v>
      </c>
      <c r="AS1172" s="137" t="s">
        <v>33</v>
      </c>
      <c r="AT1172" s="137" t="s">
        <v>33</v>
      </c>
      <c r="AU1172" s="137" t="s">
        <v>33</v>
      </c>
      <c r="AV1172" s="137" t="s">
        <v>33</v>
      </c>
      <c r="AW1172" s="93"/>
      <c r="AX1172" s="91"/>
    </row>
    <row r="1173" ht="14.5" spans="1:50">
      <c r="A1173" s="89"/>
      <c r="B1173" s="93"/>
      <c r="C1173" s="148" t="s">
        <v>1080</v>
      </c>
      <c r="D1173" s="126" t="s">
        <v>1081</v>
      </c>
      <c r="E1173" s="186" t="s">
        <v>1198</v>
      </c>
      <c r="F1173" s="186" t="s">
        <v>1198</v>
      </c>
      <c r="G1173" s="186" t="s">
        <v>1198</v>
      </c>
      <c r="H1173" s="186" t="s">
        <v>1198</v>
      </c>
      <c r="I1173" s="128">
        <v>0.9</v>
      </c>
      <c r="J1173" s="129">
        <v>0.849056603773585</v>
      </c>
      <c r="K1173" s="129">
        <v>0.930232558139535</v>
      </c>
      <c r="L1173" s="130">
        <v>0.893617021276596</v>
      </c>
      <c r="M1173" s="129">
        <v>0.917398945518453</v>
      </c>
      <c r="N1173" s="131">
        <v>0.9</v>
      </c>
      <c r="O1173" s="129">
        <v>0.927485062466051</v>
      </c>
      <c r="P1173" s="129">
        <v>0.974666666666667</v>
      </c>
      <c r="Q1173" s="129">
        <v>0.948443579766537</v>
      </c>
      <c r="R1173" s="129">
        <v>0.956710885083178</v>
      </c>
      <c r="S1173" s="131">
        <v>0.9</v>
      </c>
      <c r="T1173" s="129">
        <v>0.865562194459533</v>
      </c>
      <c r="U1173" s="129">
        <v>0.902666666666667</v>
      </c>
      <c r="V1173" s="129">
        <v>0.897859922178988</v>
      </c>
      <c r="W1173" s="129">
        <v>0.900891516804019</v>
      </c>
      <c r="X1173" s="131">
        <v>0.92</v>
      </c>
      <c r="Y1173" s="131">
        <v>0.96</v>
      </c>
      <c r="Z1173" s="131">
        <v>0.943696450428397</v>
      </c>
      <c r="AA1173" s="131">
        <v>0.967878275570583</v>
      </c>
      <c r="AB1173" s="131">
        <v>0.956315144083384</v>
      </c>
      <c r="AC1173" s="131">
        <v>0.92</v>
      </c>
      <c r="AD1173" s="129">
        <v>0.996382428940568</v>
      </c>
      <c r="AE1173" s="129">
        <v>0.993740556874595</v>
      </c>
      <c r="AF1173" s="129">
        <v>0.996618765849535</v>
      </c>
      <c r="AG1173" s="129">
        <v>0.997414437017601</v>
      </c>
      <c r="AH1173" s="131">
        <v>0.92</v>
      </c>
      <c r="AI1173" s="129">
        <v>0.968403849645905</v>
      </c>
      <c r="AJ1173" s="129">
        <v>0.961072112316528</v>
      </c>
      <c r="AK1173" s="129">
        <v>0.981021555763824</v>
      </c>
      <c r="AL1173" s="129">
        <v>0.973860589812332</v>
      </c>
      <c r="AM1173" s="128">
        <v>0.99</v>
      </c>
      <c r="AN1173" s="133">
        <v>1</v>
      </c>
      <c r="AO1173" s="133">
        <v>1</v>
      </c>
      <c r="AP1173" s="133">
        <v>1</v>
      </c>
      <c r="AQ1173" s="133">
        <v>1</v>
      </c>
      <c r="AR1173" s="153">
        <v>0.0721861525408278</v>
      </c>
      <c r="AS1173" s="137">
        <v>0</v>
      </c>
      <c r="AT1173" s="137">
        <v>0.0909090909090909</v>
      </c>
      <c r="AU1173" s="137">
        <v>0.166666666666667</v>
      </c>
      <c r="AV1173" s="137">
        <v>0.0448717948717949</v>
      </c>
      <c r="AW1173" s="93"/>
      <c r="AX1173" s="91"/>
    </row>
    <row r="1174" ht="14.5" spans="1:50">
      <c r="A1174" s="89"/>
      <c r="B1174" s="93"/>
      <c r="C1174" s="148" t="s">
        <v>1080</v>
      </c>
      <c r="D1174" s="126" t="s">
        <v>1081</v>
      </c>
      <c r="E1174" s="186" t="s">
        <v>1199</v>
      </c>
      <c r="F1174" s="186" t="s">
        <v>1199</v>
      </c>
      <c r="G1174" s="186" t="s">
        <v>1199</v>
      </c>
      <c r="H1174" s="186" t="s">
        <v>1199</v>
      </c>
      <c r="I1174" s="128">
        <v>0.9</v>
      </c>
      <c r="J1174" s="129">
        <v>1</v>
      </c>
      <c r="K1174" s="129">
        <v>0.976190476190476</v>
      </c>
      <c r="L1174" s="130">
        <v>1</v>
      </c>
      <c r="M1174" s="129">
        <v>0.967153284671533</v>
      </c>
      <c r="N1174" s="131">
        <v>0.9</v>
      </c>
      <c r="O1174" s="129">
        <v>0.974901960784314</v>
      </c>
      <c r="P1174" s="129">
        <v>0.966666666666667</v>
      </c>
      <c r="Q1174" s="129">
        <v>0.972610556348074</v>
      </c>
      <c r="R1174" s="129">
        <v>0.971677440560973</v>
      </c>
      <c r="S1174" s="131">
        <v>0.9</v>
      </c>
      <c r="T1174" s="129">
        <v>0.950849673202614</v>
      </c>
      <c r="U1174" s="129">
        <v>0.945959595959596</v>
      </c>
      <c r="V1174" s="129">
        <v>0.9509272467903</v>
      </c>
      <c r="W1174" s="129">
        <v>0.948120959789635</v>
      </c>
      <c r="X1174" s="131">
        <v>0.92</v>
      </c>
      <c r="Y1174" s="131">
        <v>0.940427467030468</v>
      </c>
      <c r="Z1174" s="131">
        <v>0.957542908762421</v>
      </c>
      <c r="AA1174" s="131">
        <v>0.962828649138713</v>
      </c>
      <c r="AB1174" s="131">
        <v>0.95585898922238</v>
      </c>
      <c r="AC1174" s="131">
        <v>0.92</v>
      </c>
      <c r="AD1174" s="129">
        <v>0.997980138023902</v>
      </c>
      <c r="AE1174" s="129">
        <v>0.992647799375567</v>
      </c>
      <c r="AF1174" s="129">
        <v>0.995405179615706</v>
      </c>
      <c r="AG1174" s="129">
        <v>0.993016817486881</v>
      </c>
      <c r="AH1174" s="131">
        <v>0.92</v>
      </c>
      <c r="AI1174" s="129">
        <v>0.966307053941909</v>
      </c>
      <c r="AJ1174" s="129">
        <v>0.970441001191895</v>
      </c>
      <c r="AK1174" s="129">
        <v>0.981987847222222</v>
      </c>
      <c r="AL1174" s="129">
        <v>0.97486748156447</v>
      </c>
      <c r="AM1174" s="128">
        <v>0.99</v>
      </c>
      <c r="AN1174" s="133">
        <v>1</v>
      </c>
      <c r="AO1174" s="133">
        <v>1</v>
      </c>
      <c r="AP1174" s="133">
        <v>1</v>
      </c>
      <c r="AQ1174" s="133">
        <v>1</v>
      </c>
      <c r="AR1174" s="153">
        <v>0.0721861525408278</v>
      </c>
      <c r="AS1174" s="137">
        <v>0</v>
      </c>
      <c r="AT1174" s="137">
        <v>0.0666666666666667</v>
      </c>
      <c r="AU1174" s="137">
        <v>0</v>
      </c>
      <c r="AV1174" s="137">
        <v>0.0486486486486487</v>
      </c>
      <c r="AW1174" s="93"/>
      <c r="AX1174" s="91"/>
    </row>
    <row r="1175" ht="14.5" spans="1:50">
      <c r="A1175" s="89"/>
      <c r="B1175" s="93"/>
      <c r="C1175" s="148" t="s">
        <v>1080</v>
      </c>
      <c r="D1175" s="126" t="s">
        <v>1081</v>
      </c>
      <c r="E1175" s="186" t="s">
        <v>1200</v>
      </c>
      <c r="F1175" s="186" t="s">
        <v>1200</v>
      </c>
      <c r="G1175" s="186" t="s">
        <v>1200</v>
      </c>
      <c r="H1175" s="186" t="s">
        <v>1200</v>
      </c>
      <c r="I1175" s="128">
        <v>0.9</v>
      </c>
      <c r="J1175" s="129">
        <v>0.875</v>
      </c>
      <c r="K1175" s="129">
        <v>0.91304347826087</v>
      </c>
      <c r="L1175" s="130">
        <v>0.875</v>
      </c>
      <c r="M1175" s="129">
        <v>0.905594405594406</v>
      </c>
      <c r="N1175" s="131">
        <v>0.9</v>
      </c>
      <c r="O1175" s="129">
        <v>0.941061670569867</v>
      </c>
      <c r="P1175" s="129">
        <v>0.973619126133553</v>
      </c>
      <c r="Q1175" s="129">
        <v>0.985230234578627</v>
      </c>
      <c r="R1175" s="129">
        <v>0.979245676182538</v>
      </c>
      <c r="S1175" s="131">
        <v>0.9</v>
      </c>
      <c r="T1175" s="129">
        <v>0.914519906323185</v>
      </c>
      <c r="U1175" s="129">
        <v>0.949711459192086</v>
      </c>
      <c r="V1175" s="129">
        <v>0.920069504778454</v>
      </c>
      <c r="W1175" s="129">
        <v>0.938028755990831</v>
      </c>
      <c r="X1175" s="131">
        <v>0.92</v>
      </c>
      <c r="Y1175" s="131">
        <v>0.956662354463131</v>
      </c>
      <c r="Z1175" s="131">
        <v>0.953438395415473</v>
      </c>
      <c r="AA1175" s="131">
        <v>0.955752212389381</v>
      </c>
      <c r="AB1175" s="131">
        <v>0.965117809661709</v>
      </c>
      <c r="AC1175" s="131">
        <v>0.92</v>
      </c>
      <c r="AD1175" s="129">
        <v>0.99639855942377</v>
      </c>
      <c r="AE1175" s="129">
        <v>0.995869320315434</v>
      </c>
      <c r="AF1175" s="129">
        <v>0.978663208770482</v>
      </c>
      <c r="AG1175" s="129">
        <v>0.993916651951263</v>
      </c>
      <c r="AH1175" s="131">
        <v>0.92</v>
      </c>
      <c r="AI1175" s="129">
        <v>0.967380720545277</v>
      </c>
      <c r="AJ1175" s="129">
        <v>0.966283524904215</v>
      </c>
      <c r="AK1175" s="129">
        <v>0.974781765276431</v>
      </c>
      <c r="AL1175" s="129">
        <v>0.976756646425473</v>
      </c>
      <c r="AM1175" s="128">
        <v>0.99</v>
      </c>
      <c r="AN1175" s="133">
        <v>1</v>
      </c>
      <c r="AO1175" s="133">
        <v>1</v>
      </c>
      <c r="AP1175" s="133">
        <v>1</v>
      </c>
      <c r="AQ1175" s="133">
        <v>1</v>
      </c>
      <c r="AR1175" s="153">
        <v>0.0721861525408278</v>
      </c>
      <c r="AS1175" s="137">
        <v>0</v>
      </c>
      <c r="AT1175" s="137">
        <v>0</v>
      </c>
      <c r="AU1175" s="137">
        <v>0.0526315789473684</v>
      </c>
      <c r="AV1175" s="137">
        <v>0.0578034682080925</v>
      </c>
      <c r="AW1175" s="93"/>
      <c r="AX1175" s="91"/>
    </row>
    <row r="1176" ht="14.5" spans="1:50">
      <c r="A1176" s="89"/>
      <c r="B1176" s="93"/>
      <c r="C1176" s="148" t="s">
        <v>1080</v>
      </c>
      <c r="D1176" s="126" t="s">
        <v>1081</v>
      </c>
      <c r="E1176" s="186" t="s">
        <v>1201</v>
      </c>
      <c r="F1176" s="186" t="s">
        <v>1201</v>
      </c>
      <c r="G1176" s="186" t="s">
        <v>1201</v>
      </c>
      <c r="H1176" s="186" t="s">
        <v>1201</v>
      </c>
      <c r="I1176" s="128">
        <v>0.9</v>
      </c>
      <c r="J1176" s="129">
        <v>0.897959183673469</v>
      </c>
      <c r="K1176" s="129">
        <v>0.976190476190476</v>
      </c>
      <c r="L1176" s="130">
        <v>0.952380952380952</v>
      </c>
      <c r="M1176" s="129">
        <v>0.930711610486891</v>
      </c>
      <c r="N1176" s="131">
        <v>0.9</v>
      </c>
      <c r="O1176" s="129">
        <v>0.939699618919525</v>
      </c>
      <c r="P1176" s="129">
        <v>0.950554134697357</v>
      </c>
      <c r="Q1176" s="129">
        <v>0.948478376935398</v>
      </c>
      <c r="R1176" s="129">
        <v>0.953495152707923</v>
      </c>
      <c r="S1176" s="131">
        <v>0.9</v>
      </c>
      <c r="T1176" s="129">
        <v>0.903160726294553</v>
      </c>
      <c r="U1176" s="129">
        <v>0.917732310315431</v>
      </c>
      <c r="V1176" s="129">
        <v>0.899359316604378</v>
      </c>
      <c r="W1176" s="129">
        <v>0.913040309060427</v>
      </c>
      <c r="X1176" s="131">
        <v>0.92</v>
      </c>
      <c r="Y1176" s="131">
        <v>0.945742574257426</v>
      </c>
      <c r="Z1176" s="131">
        <v>0.938247011952191</v>
      </c>
      <c r="AA1176" s="131">
        <v>0.953323903818953</v>
      </c>
      <c r="AB1176" s="131">
        <v>0.951938327616097</v>
      </c>
      <c r="AC1176" s="131">
        <v>0.92</v>
      </c>
      <c r="AD1176" s="129">
        <v>0.998531301633927</v>
      </c>
      <c r="AE1176" s="129">
        <v>0.9978375038616</v>
      </c>
      <c r="AF1176" s="129">
        <v>0.99801412180053</v>
      </c>
      <c r="AG1176" s="129">
        <v>0.996309905156711</v>
      </c>
      <c r="AH1176" s="131">
        <v>0.92</v>
      </c>
      <c r="AI1176" s="129">
        <v>0.95820211852276</v>
      </c>
      <c r="AJ1176" s="129">
        <v>0.954713874022231</v>
      </c>
      <c r="AK1176" s="129">
        <v>0.96608527131783</v>
      </c>
      <c r="AL1176" s="129">
        <v>0.9661808861223</v>
      </c>
      <c r="AM1176" s="128">
        <v>0.99</v>
      </c>
      <c r="AN1176" s="133">
        <v>1</v>
      </c>
      <c r="AO1176" s="133">
        <v>1</v>
      </c>
      <c r="AP1176" s="133">
        <v>1</v>
      </c>
      <c r="AQ1176" s="133">
        <v>1</v>
      </c>
      <c r="AR1176" s="153">
        <v>0.0721861525408278</v>
      </c>
      <c r="AS1176" s="137">
        <v>0.0294117647058824</v>
      </c>
      <c r="AT1176" s="137">
        <v>0</v>
      </c>
      <c r="AU1176" s="137">
        <v>0</v>
      </c>
      <c r="AV1176" s="137">
        <v>0.03003003003003</v>
      </c>
      <c r="AW1176" s="93"/>
      <c r="AX1176" s="91"/>
    </row>
    <row r="1177" ht="14.5" spans="1:50">
      <c r="A1177" s="89"/>
      <c r="B1177" s="93"/>
      <c r="C1177" s="148" t="s">
        <v>1080</v>
      </c>
      <c r="D1177" s="126" t="s">
        <v>1081</v>
      </c>
      <c r="E1177" s="186" t="s">
        <v>1202</v>
      </c>
      <c r="F1177" s="186" t="s">
        <v>1202</v>
      </c>
      <c r="G1177" s="186" t="s">
        <v>1202</v>
      </c>
      <c r="H1177" s="186" t="s">
        <v>1202</v>
      </c>
      <c r="I1177" s="128">
        <v>0.9</v>
      </c>
      <c r="J1177" s="129">
        <v>0.912280701754386</v>
      </c>
      <c r="K1177" s="129">
        <v>0.933333333333333</v>
      </c>
      <c r="L1177" s="130">
        <v>0.9</v>
      </c>
      <c r="M1177" s="129">
        <v>0.913621262458472</v>
      </c>
      <c r="N1177" s="131">
        <v>0.9</v>
      </c>
      <c r="O1177" s="129">
        <v>0.796311645254869</v>
      </c>
      <c r="P1177" s="129">
        <v>0.86678587393831</v>
      </c>
      <c r="Q1177" s="129">
        <v>0.819167717528373</v>
      </c>
      <c r="R1177" s="129">
        <v>0.890103500407024</v>
      </c>
      <c r="S1177" s="131">
        <v>0.9</v>
      </c>
      <c r="T1177" s="129">
        <v>0.915872358060506</v>
      </c>
      <c r="U1177" s="129">
        <v>0.924899418864551</v>
      </c>
      <c r="V1177" s="129">
        <v>0.87515762925599</v>
      </c>
      <c r="W1177" s="129">
        <v>0.91198976625189</v>
      </c>
      <c r="X1177" s="131">
        <v>0.92</v>
      </c>
      <c r="Y1177" s="131">
        <v>0.951715374841169</v>
      </c>
      <c r="Z1177" s="131">
        <v>0.937115839243499</v>
      </c>
      <c r="AA1177" s="131">
        <v>0.940060698027314</v>
      </c>
      <c r="AB1177" s="131">
        <v>0.940138055901324</v>
      </c>
      <c r="AC1177" s="131">
        <v>0.92</v>
      </c>
      <c r="AD1177" s="129">
        <v>0.994258872651357</v>
      </c>
      <c r="AE1177" s="129">
        <v>0.982102547565301</v>
      </c>
      <c r="AF1177" s="129">
        <v>0.994594594594595</v>
      </c>
      <c r="AG1177" s="129">
        <v>0.989741887003478</v>
      </c>
      <c r="AH1177" s="131">
        <v>0.92</v>
      </c>
      <c r="AI1177" s="129">
        <v>0.963132999443517</v>
      </c>
      <c r="AJ1177" s="129">
        <v>0.95959595959596</v>
      </c>
      <c r="AK1177" s="129">
        <v>0.972374645222327</v>
      </c>
      <c r="AL1177" s="129">
        <v>0.963450418572538</v>
      </c>
      <c r="AM1177" s="128">
        <v>0.99</v>
      </c>
      <c r="AN1177" s="133">
        <v>1</v>
      </c>
      <c r="AO1177" s="133">
        <v>1</v>
      </c>
      <c r="AP1177" s="133">
        <v>1</v>
      </c>
      <c r="AQ1177" s="133">
        <v>1</v>
      </c>
      <c r="AR1177" s="153">
        <v>0.0721861525408278</v>
      </c>
      <c r="AS1177" s="137">
        <v>0.032258064516129</v>
      </c>
      <c r="AT1177" s="137">
        <v>0</v>
      </c>
      <c r="AU1177" s="137">
        <v>0</v>
      </c>
      <c r="AV1177" s="137">
        <v>0.0184331797235023</v>
      </c>
      <c r="AW1177" s="93"/>
      <c r="AX1177" s="91"/>
    </row>
    <row r="1178" ht="14.5" spans="1:50">
      <c r="A1178" s="89"/>
      <c r="B1178" s="93"/>
      <c r="C1178" s="148" t="s">
        <v>1080</v>
      </c>
      <c r="D1178" s="126" t="s">
        <v>1081</v>
      </c>
      <c r="E1178" s="186" t="s">
        <v>1203</v>
      </c>
      <c r="F1178" s="186" t="s">
        <v>1203</v>
      </c>
      <c r="G1178" s="186" t="s">
        <v>1203</v>
      </c>
      <c r="H1178" s="186" t="s">
        <v>1203</v>
      </c>
      <c r="I1178" s="128">
        <v>0.9</v>
      </c>
      <c r="J1178" s="129">
        <v>0.962264150943396</v>
      </c>
      <c r="K1178" s="129">
        <v>0.972222222222222</v>
      </c>
      <c r="L1178" s="130">
        <v>0.957446808510638</v>
      </c>
      <c r="M1178" s="129">
        <v>0.949033391915642</v>
      </c>
      <c r="N1178" s="131">
        <v>0.9</v>
      </c>
      <c r="O1178" s="129">
        <v>0.938247965533748</v>
      </c>
      <c r="P1178" s="129">
        <v>0.911877394636015</v>
      </c>
      <c r="Q1178" s="129">
        <v>0.968</v>
      </c>
      <c r="R1178" s="129">
        <v>0.955920797204607</v>
      </c>
      <c r="S1178" s="131">
        <v>0.9</v>
      </c>
      <c r="T1178" s="129">
        <v>0.916227860220201</v>
      </c>
      <c r="U1178" s="129">
        <v>0.903256704980843</v>
      </c>
      <c r="V1178" s="129">
        <v>0.945371428571429</v>
      </c>
      <c r="W1178" s="129">
        <v>0.926569173029636</v>
      </c>
      <c r="X1178" s="131">
        <v>0.92</v>
      </c>
      <c r="Y1178" s="131">
        <v>0.909693454846727</v>
      </c>
      <c r="Z1178" s="131">
        <v>0.911196911196911</v>
      </c>
      <c r="AA1178" s="131">
        <v>0.989690721649485</v>
      </c>
      <c r="AB1178" s="131">
        <v>0.9207838807618</v>
      </c>
      <c r="AC1178" s="131">
        <v>0.92</v>
      </c>
      <c r="AD1178" s="129">
        <v>0.993634024109441</v>
      </c>
      <c r="AE1178" s="129">
        <v>0.979094076655052</v>
      </c>
      <c r="AF1178" s="129">
        <v>0.982374287195438</v>
      </c>
      <c r="AG1178" s="129">
        <v>0.99410745616455</v>
      </c>
      <c r="AH1178" s="131">
        <v>0.92</v>
      </c>
      <c r="AI1178" s="129">
        <v>0.952690166975881</v>
      </c>
      <c r="AJ1178" s="129">
        <v>0.9424</v>
      </c>
      <c r="AK1178" s="129">
        <v>0.987898346107301</v>
      </c>
      <c r="AL1178" s="129">
        <v>0.959709992729623</v>
      </c>
      <c r="AM1178" s="128">
        <v>0.99</v>
      </c>
      <c r="AN1178" s="133">
        <v>1</v>
      </c>
      <c r="AO1178" s="133">
        <v>1</v>
      </c>
      <c r="AP1178" s="133">
        <v>1</v>
      </c>
      <c r="AQ1178" s="133">
        <v>1</v>
      </c>
      <c r="AR1178" s="153">
        <v>0.0721861525408278</v>
      </c>
      <c r="AS1178" s="137">
        <v>0.0606060606060606</v>
      </c>
      <c r="AT1178" s="137">
        <v>0.0555555555555556</v>
      </c>
      <c r="AU1178" s="137">
        <v>0.0357142857142857</v>
      </c>
      <c r="AV1178" s="137">
        <v>0.0357142857142857</v>
      </c>
      <c r="AW1178" s="93"/>
      <c r="AX1178" s="91"/>
    </row>
    <row r="1179" ht="14.5" spans="1:50">
      <c r="A1179" s="89"/>
      <c r="B1179" s="93"/>
      <c r="C1179" s="148" t="s">
        <v>1080</v>
      </c>
      <c r="D1179" s="126" t="s">
        <v>1081</v>
      </c>
      <c r="E1179" s="186" t="s">
        <v>1204</v>
      </c>
      <c r="F1179" s="186" t="s">
        <v>1204</v>
      </c>
      <c r="G1179" s="186" t="s">
        <v>1204</v>
      </c>
      <c r="H1179" s="186" t="s">
        <v>1204</v>
      </c>
      <c r="I1179" s="128">
        <v>0.9</v>
      </c>
      <c r="J1179" s="129">
        <v>0.933333333333333</v>
      </c>
      <c r="K1179" s="129">
        <v>0.91304347826087</v>
      </c>
      <c r="L1179" s="130">
        <v>0.916666666666667</v>
      </c>
      <c r="M1179" s="129">
        <v>0.932069510268562</v>
      </c>
      <c r="N1179" s="131">
        <v>0.9</v>
      </c>
      <c r="O1179" s="129">
        <v>0.968537215308758</v>
      </c>
      <c r="P1179" s="129">
        <v>0.970692268822638</v>
      </c>
      <c r="Q1179" s="129">
        <v>0.915212649945474</v>
      </c>
      <c r="R1179" s="129">
        <v>0.963582876851288</v>
      </c>
      <c r="S1179" s="131">
        <v>0.9</v>
      </c>
      <c r="T1179" s="129">
        <v>0.930265320497769</v>
      </c>
      <c r="U1179" s="129">
        <v>0.936836786255685</v>
      </c>
      <c r="V1179" s="129">
        <v>0.918211559432934</v>
      </c>
      <c r="W1179" s="129">
        <v>0.930234327449787</v>
      </c>
      <c r="X1179" s="131">
        <v>0.92</v>
      </c>
      <c r="Y1179" s="131">
        <v>0.9457928802589</v>
      </c>
      <c r="Z1179" s="131">
        <v>0.970181043663472</v>
      </c>
      <c r="AA1179" s="131">
        <v>0.947967479674797</v>
      </c>
      <c r="AB1179" s="131">
        <v>0.959356477561389</v>
      </c>
      <c r="AC1179" s="131">
        <v>0.92</v>
      </c>
      <c r="AD1179" s="129">
        <v>0.999034282955094</v>
      </c>
      <c r="AE1179" s="129">
        <v>0.992649632481624</v>
      </c>
      <c r="AF1179" s="129">
        <v>0.996706192358366</v>
      </c>
      <c r="AG1179" s="129">
        <v>0.996593102926146</v>
      </c>
      <c r="AH1179" s="131">
        <v>0.92</v>
      </c>
      <c r="AI1179" s="129">
        <v>0.967606915377616</v>
      </c>
      <c r="AJ1179" s="129">
        <v>0.970870459218643</v>
      </c>
      <c r="AK1179" s="129">
        <v>0.973149661452253</v>
      </c>
      <c r="AL1179" s="129">
        <v>0.973323185605839</v>
      </c>
      <c r="AM1179" s="128">
        <v>0.99</v>
      </c>
      <c r="AN1179" s="133">
        <v>1</v>
      </c>
      <c r="AO1179" s="133">
        <v>1</v>
      </c>
      <c r="AP1179" s="133">
        <v>1</v>
      </c>
      <c r="AQ1179" s="133">
        <v>1</v>
      </c>
      <c r="AR1179" s="153">
        <v>0.0721861525408278</v>
      </c>
      <c r="AS1179" s="137">
        <v>0.0909090909090909</v>
      </c>
      <c r="AT1179" s="137">
        <v>0.125</v>
      </c>
      <c r="AU1179" s="137">
        <v>0.05</v>
      </c>
      <c r="AV1179" s="137">
        <v>0.042654028436019</v>
      </c>
      <c r="AW1179" s="93"/>
      <c r="AX1179" s="91"/>
    </row>
    <row r="1180" ht="14.5" spans="1:50">
      <c r="A1180" s="89"/>
      <c r="B1180" s="93"/>
      <c r="C1180" s="148" t="s">
        <v>1080</v>
      </c>
      <c r="D1180" s="126" t="s">
        <v>1081</v>
      </c>
      <c r="E1180" s="186" t="s">
        <v>1205</v>
      </c>
      <c r="F1180" s="186" t="s">
        <v>1205</v>
      </c>
      <c r="G1180" s="186" t="s">
        <v>1205</v>
      </c>
      <c r="H1180" s="186" t="s">
        <v>1205</v>
      </c>
      <c r="I1180" s="128">
        <v>0.9</v>
      </c>
      <c r="J1180" s="129">
        <v>0.920454545454545</v>
      </c>
      <c r="K1180" s="129">
        <v>0.846153846153846</v>
      </c>
      <c r="L1180" s="130">
        <v>0.921052631578947</v>
      </c>
      <c r="M1180" s="129">
        <v>0.913377192982456</v>
      </c>
      <c r="N1180" s="131">
        <v>0.9</v>
      </c>
      <c r="O1180" s="129">
        <v>0.931047107639736</v>
      </c>
      <c r="P1180" s="129">
        <v>0.957424980764298</v>
      </c>
      <c r="Q1180" s="129">
        <v>0.951719346995485</v>
      </c>
      <c r="R1180" s="129">
        <v>0.961528629856851</v>
      </c>
      <c r="S1180" s="131">
        <v>0.9</v>
      </c>
      <c r="T1180" s="129">
        <v>0.919575298999268</v>
      </c>
      <c r="U1180" s="129">
        <v>0.941779943575276</v>
      </c>
      <c r="V1180" s="129">
        <v>0.919995368762302</v>
      </c>
      <c r="W1180" s="129">
        <v>0.935966257668712</v>
      </c>
      <c r="X1180" s="131">
        <v>0.92</v>
      </c>
      <c r="Y1180" s="131">
        <v>0.880260303687636</v>
      </c>
      <c r="Z1180" s="131">
        <v>0.896241397564849</v>
      </c>
      <c r="AA1180" s="131">
        <v>0.863636363636364</v>
      </c>
      <c r="AB1180" s="131">
        <v>0.900501882057716</v>
      </c>
      <c r="AC1180" s="131">
        <v>0.92</v>
      </c>
      <c r="AD1180" s="129">
        <v>0.997912559434072</v>
      </c>
      <c r="AE1180" s="129">
        <v>0.997356310584549</v>
      </c>
      <c r="AF1180" s="129">
        <v>0.992453548100704</v>
      </c>
      <c r="AG1180" s="129">
        <v>0.955834612406786</v>
      </c>
      <c r="AH1180" s="131">
        <v>0.92</v>
      </c>
      <c r="AI1180" s="129">
        <v>0.950280979140871</v>
      </c>
      <c r="AJ1180" s="129">
        <v>0.955425017277125</v>
      </c>
      <c r="AK1180" s="129">
        <v>0.96963850528026</v>
      </c>
      <c r="AL1180" s="129">
        <v>0.963553096078618</v>
      </c>
      <c r="AM1180" s="128">
        <v>0.99</v>
      </c>
      <c r="AN1180" s="133">
        <v>1</v>
      </c>
      <c r="AO1180" s="133">
        <v>1</v>
      </c>
      <c r="AP1180" s="133">
        <v>1</v>
      </c>
      <c r="AQ1180" s="133">
        <v>1</v>
      </c>
      <c r="AR1180" s="153">
        <v>0.0721861525408278</v>
      </c>
      <c r="AS1180" s="137">
        <v>0.04</v>
      </c>
      <c r="AT1180" s="137">
        <v>0.0869565217391304</v>
      </c>
      <c r="AU1180" s="137">
        <v>0.117647058823529</v>
      </c>
      <c r="AV1180" s="137">
        <v>0.0363128491620112</v>
      </c>
      <c r="AW1180" s="93"/>
      <c r="AX1180" s="91"/>
    </row>
    <row r="1181" ht="14.5" spans="1:50">
      <c r="A1181" s="89"/>
      <c r="B1181" s="93"/>
      <c r="C1181" s="148" t="s">
        <v>1080</v>
      </c>
      <c r="D1181" s="126" t="s">
        <v>1081</v>
      </c>
      <c r="E1181" s="186" t="s">
        <v>1206</v>
      </c>
      <c r="F1181" s="186" t="s">
        <v>1206</v>
      </c>
      <c r="G1181" s="186" t="s">
        <v>1206</v>
      </c>
      <c r="H1181" s="186" t="s">
        <v>1206</v>
      </c>
      <c r="I1181" s="128">
        <v>0.9</v>
      </c>
      <c r="J1181" s="129">
        <v>0.9</v>
      </c>
      <c r="K1181" s="129">
        <v>0.952380952380952</v>
      </c>
      <c r="L1181" s="130">
        <v>0.96</v>
      </c>
      <c r="M1181" s="129">
        <v>0.93167701863354</v>
      </c>
      <c r="N1181" s="131">
        <v>0.9</v>
      </c>
      <c r="O1181" s="129">
        <v>0.960884353741497</v>
      </c>
      <c r="P1181" s="129">
        <v>0.970136518771331</v>
      </c>
      <c r="Q1181" s="129">
        <v>0.91921320688444</v>
      </c>
      <c r="R1181" s="129">
        <v>0.949879388903779</v>
      </c>
      <c r="S1181" s="131">
        <v>0.9</v>
      </c>
      <c r="T1181" s="129">
        <v>0.900085034013605</v>
      </c>
      <c r="U1181" s="129">
        <v>0.899317406143345</v>
      </c>
      <c r="V1181" s="129">
        <v>0.929399367755532</v>
      </c>
      <c r="W1181" s="129">
        <v>0.923970338604485</v>
      </c>
      <c r="X1181" s="131">
        <v>0.92</v>
      </c>
      <c r="Y1181" s="131">
        <v>0.967136150234742</v>
      </c>
      <c r="Z1181" s="131">
        <v>0.940850277264325</v>
      </c>
      <c r="AA1181" s="131">
        <v>0.947058823529412</v>
      </c>
      <c r="AB1181" s="131">
        <v>0.958167647526642</v>
      </c>
      <c r="AC1181" s="131">
        <v>0.92</v>
      </c>
      <c r="AD1181" s="129">
        <v>0.993955674949631</v>
      </c>
      <c r="AE1181" s="129">
        <v>0.992005561348627</v>
      </c>
      <c r="AF1181" s="129">
        <v>0.942857142857143</v>
      </c>
      <c r="AG1181" s="129">
        <v>0.991586764429404</v>
      </c>
      <c r="AH1181" s="131">
        <v>0.92</v>
      </c>
      <c r="AI1181" s="129">
        <v>0.969909729187563</v>
      </c>
      <c r="AJ1181" s="129">
        <v>0.956800934033859</v>
      </c>
      <c r="AK1181" s="129">
        <v>0.979290869155946</v>
      </c>
      <c r="AL1181" s="129">
        <v>0.975833449574557</v>
      </c>
      <c r="AM1181" s="128">
        <v>0.99</v>
      </c>
      <c r="AN1181" s="133">
        <v>1</v>
      </c>
      <c r="AO1181" s="133">
        <v>1</v>
      </c>
      <c r="AP1181" s="133">
        <v>1</v>
      </c>
      <c r="AQ1181" s="133">
        <v>1</v>
      </c>
      <c r="AR1181" s="153">
        <v>0.0721861525408278</v>
      </c>
      <c r="AS1181" s="137">
        <v>0</v>
      </c>
      <c r="AT1181" s="137">
        <v>0.25</v>
      </c>
      <c r="AU1181" s="137">
        <v>0</v>
      </c>
      <c r="AV1181" s="137">
        <v>0.111111111111111</v>
      </c>
      <c r="AW1181" s="93"/>
      <c r="AX1181" s="91"/>
    </row>
    <row r="1182" ht="14.5" spans="1:50">
      <c r="A1182" s="89"/>
      <c r="B1182" s="93"/>
      <c r="C1182" s="148" t="s">
        <v>1080</v>
      </c>
      <c r="D1182" s="126" t="s">
        <v>1081</v>
      </c>
      <c r="E1182" s="186" t="s">
        <v>1207</v>
      </c>
      <c r="F1182" s="186" t="s">
        <v>1207</v>
      </c>
      <c r="G1182" s="186" t="s">
        <v>1207</v>
      </c>
      <c r="H1182" s="186" t="s">
        <v>1207</v>
      </c>
      <c r="I1182" s="128">
        <v>0.9</v>
      </c>
      <c r="J1182" s="129">
        <v>0.982456140350877</v>
      </c>
      <c r="K1182" s="129">
        <v>0.953488372093023</v>
      </c>
      <c r="L1182" s="130">
        <v>0.938775510204082</v>
      </c>
      <c r="M1182" s="129">
        <v>0.95514950166113</v>
      </c>
      <c r="N1182" s="131">
        <v>0.9</v>
      </c>
      <c r="O1182" s="129">
        <v>0.963441818992421</v>
      </c>
      <c r="P1182" s="129">
        <v>0.965965069413345</v>
      </c>
      <c r="Q1182" s="129">
        <v>0.984876140808344</v>
      </c>
      <c r="R1182" s="129">
        <v>0.97681109946112</v>
      </c>
      <c r="S1182" s="131">
        <v>0.9</v>
      </c>
      <c r="T1182" s="129">
        <v>0.927998216674097</v>
      </c>
      <c r="U1182" s="129">
        <v>0.917599641737573</v>
      </c>
      <c r="V1182" s="129">
        <v>0.940026075619296</v>
      </c>
      <c r="W1182" s="129">
        <v>0.93009192655629</v>
      </c>
      <c r="X1182" s="131">
        <v>0.92</v>
      </c>
      <c r="Y1182" s="131">
        <v>0.935012185215272</v>
      </c>
      <c r="Z1182" s="131">
        <v>0.924468085106383</v>
      </c>
      <c r="AA1182" s="131">
        <v>0.948275862068966</v>
      </c>
      <c r="AB1182" s="131">
        <v>0.947485080988917</v>
      </c>
      <c r="AC1182" s="131">
        <v>0.92</v>
      </c>
      <c r="AD1182" s="129">
        <v>0.996619718309859</v>
      </c>
      <c r="AE1182" s="129">
        <v>0.997762863534676</v>
      </c>
      <c r="AF1182" s="129">
        <v>1</v>
      </c>
      <c r="AG1182" s="129">
        <v>0.99853515625</v>
      </c>
      <c r="AH1182" s="131">
        <v>0.92</v>
      </c>
      <c r="AI1182" s="129">
        <v>0.961343361903096</v>
      </c>
      <c r="AJ1182" s="129">
        <v>0.957768673179956</v>
      </c>
      <c r="AK1182" s="129">
        <v>0.97361174850849</v>
      </c>
      <c r="AL1182" s="129">
        <v>0.97205316345297</v>
      </c>
      <c r="AM1182" s="128">
        <v>0.99</v>
      </c>
      <c r="AN1182" s="133">
        <v>1</v>
      </c>
      <c r="AO1182" s="133">
        <v>1</v>
      </c>
      <c r="AP1182" s="133">
        <v>1</v>
      </c>
      <c r="AQ1182" s="133">
        <v>1</v>
      </c>
      <c r="AR1182" s="153">
        <v>0.0721861525408278</v>
      </c>
      <c r="AS1182" s="137">
        <v>0</v>
      </c>
      <c r="AT1182" s="137">
        <v>0.0769230769230769</v>
      </c>
      <c r="AU1182" s="137">
        <v>0.111111111111111</v>
      </c>
      <c r="AV1182" s="137">
        <v>0.045045045045045</v>
      </c>
      <c r="AW1182" s="93"/>
      <c r="AX1182" s="91"/>
    </row>
    <row r="1183" ht="14.5" spans="1:50">
      <c r="A1183" s="89"/>
      <c r="B1183" s="93"/>
      <c r="C1183" s="148" t="s">
        <v>1080</v>
      </c>
      <c r="D1183" s="126" t="s">
        <v>1081</v>
      </c>
      <c r="E1183" s="186" t="s">
        <v>1208</v>
      </c>
      <c r="F1183" s="186" t="s">
        <v>1208</v>
      </c>
      <c r="G1183" s="186" t="s">
        <v>1208</v>
      </c>
      <c r="H1183" s="186" t="s">
        <v>1208</v>
      </c>
      <c r="I1183" s="128">
        <v>0.9</v>
      </c>
      <c r="J1183" s="129">
        <v>1</v>
      </c>
      <c r="K1183" s="129">
        <v>0.971428571428571</v>
      </c>
      <c r="L1183" s="130">
        <v>0.925</v>
      </c>
      <c r="M1183" s="129">
        <v>0.977272727272727</v>
      </c>
      <c r="N1183" s="131">
        <v>0.9</v>
      </c>
      <c r="O1183" s="129">
        <v>0.959839357429719</v>
      </c>
      <c r="P1183" s="129">
        <v>0.961422543701025</v>
      </c>
      <c r="Q1183" s="129">
        <v>0.957416095272465</v>
      </c>
      <c r="R1183" s="129">
        <v>0.962381786339755</v>
      </c>
      <c r="S1183" s="131">
        <v>0.9</v>
      </c>
      <c r="T1183" s="129">
        <v>0.888785912882298</v>
      </c>
      <c r="U1183" s="129">
        <v>0.884870403857746</v>
      </c>
      <c r="V1183" s="129">
        <v>0.903644893540238</v>
      </c>
      <c r="W1183" s="129">
        <v>0.913064798598949</v>
      </c>
      <c r="X1183" s="131">
        <v>0.92</v>
      </c>
      <c r="Y1183" s="131">
        <v>0.909177820267686</v>
      </c>
      <c r="Z1183" s="131">
        <v>0.916913946587537</v>
      </c>
      <c r="AA1183" s="131">
        <v>0.92156862745098</v>
      </c>
      <c r="AB1183" s="131">
        <v>0.931766242246164</v>
      </c>
      <c r="AC1183" s="131">
        <v>0.92</v>
      </c>
      <c r="AD1183" s="129">
        <v>0.988399071925754</v>
      </c>
      <c r="AE1183" s="129">
        <v>0.989028213166144</v>
      </c>
      <c r="AF1183" s="129">
        <v>0.989569752281617</v>
      </c>
      <c r="AG1183" s="129">
        <v>0.995174077904171</v>
      </c>
      <c r="AH1183" s="131">
        <v>0.92</v>
      </c>
      <c r="AI1183" s="129">
        <v>0.945365398085454</v>
      </c>
      <c r="AJ1183" s="129">
        <v>0.95458440445587</v>
      </c>
      <c r="AK1183" s="129">
        <v>0.967492260061919</v>
      </c>
      <c r="AL1183" s="129">
        <v>0.962294647588765</v>
      </c>
      <c r="AM1183" s="128">
        <v>0.99</v>
      </c>
      <c r="AN1183" s="133">
        <v>1</v>
      </c>
      <c r="AO1183" s="133">
        <v>1</v>
      </c>
      <c r="AP1183" s="133">
        <v>1</v>
      </c>
      <c r="AQ1183" s="133">
        <v>1</v>
      </c>
      <c r="AR1183" s="153">
        <v>0.0721861525408278</v>
      </c>
      <c r="AS1183" s="137">
        <v>0</v>
      </c>
      <c r="AT1183" s="137">
        <v>0</v>
      </c>
      <c r="AU1183" s="137">
        <v>0</v>
      </c>
      <c r="AV1183" s="137">
        <v>0.0338983050847458</v>
      </c>
      <c r="AW1183" s="93"/>
      <c r="AX1183" s="91"/>
    </row>
    <row r="1184" ht="14.5" spans="1:50">
      <c r="A1184" s="89"/>
      <c r="B1184" s="93"/>
      <c r="C1184" s="148" t="s">
        <v>1080</v>
      </c>
      <c r="D1184" s="126" t="s">
        <v>1081</v>
      </c>
      <c r="E1184" s="186" t="s">
        <v>1209</v>
      </c>
      <c r="F1184" s="186" t="s">
        <v>1209</v>
      </c>
      <c r="G1184" s="186" t="s">
        <v>1209</v>
      </c>
      <c r="H1184" s="186" t="s">
        <v>1209</v>
      </c>
      <c r="I1184" s="128">
        <v>0.9</v>
      </c>
      <c r="J1184" s="129">
        <v>0.959183673469388</v>
      </c>
      <c r="K1184" s="129">
        <v>1</v>
      </c>
      <c r="L1184" s="130">
        <v>0.875</v>
      </c>
      <c r="M1184" s="129">
        <v>0.965183752417795</v>
      </c>
      <c r="N1184" s="131">
        <v>0.9</v>
      </c>
      <c r="O1184" s="129">
        <v>0.941017449004669</v>
      </c>
      <c r="P1184" s="129">
        <v>0.92504835589942</v>
      </c>
      <c r="Q1184" s="129">
        <v>0.926146010186757</v>
      </c>
      <c r="R1184" s="129">
        <v>0.940321304857759</v>
      </c>
      <c r="S1184" s="131">
        <v>0.9</v>
      </c>
      <c r="T1184" s="129">
        <v>0.886704349963136</v>
      </c>
      <c r="U1184" s="129">
        <v>0.905222437137331</v>
      </c>
      <c r="V1184" s="129">
        <v>0.936615732880589</v>
      </c>
      <c r="W1184" s="129">
        <v>0.910509232741456</v>
      </c>
      <c r="X1184" s="131">
        <v>0.92</v>
      </c>
      <c r="Y1184" s="131">
        <v>0.939471440750213</v>
      </c>
      <c r="Z1184" s="131">
        <v>0.934824902723735</v>
      </c>
      <c r="AA1184" s="131">
        <v>0.933560477001704</v>
      </c>
      <c r="AB1184" s="131">
        <v>0.932689018132056</v>
      </c>
      <c r="AC1184" s="131">
        <v>0.92</v>
      </c>
      <c r="AD1184" s="129">
        <v>0.996662693682956</v>
      </c>
      <c r="AE1184" s="129">
        <v>0.983878847093307</v>
      </c>
      <c r="AF1184" s="129">
        <v>0.990092879256966</v>
      </c>
      <c r="AG1184" s="129">
        <v>0.994173356867657</v>
      </c>
      <c r="AH1184" s="131">
        <v>0.92</v>
      </c>
      <c r="AI1184" s="129">
        <v>0.964135826020603</v>
      </c>
      <c r="AJ1184" s="129">
        <v>0.954472069744914</v>
      </c>
      <c r="AK1184" s="129">
        <v>0.972336811453531</v>
      </c>
      <c r="AL1184" s="129">
        <v>0.961909094668928</v>
      </c>
      <c r="AM1184" s="128">
        <v>0.99</v>
      </c>
      <c r="AN1184" s="133">
        <v>1</v>
      </c>
      <c r="AO1184" s="133">
        <v>1</v>
      </c>
      <c r="AP1184" s="133">
        <v>1</v>
      </c>
      <c r="AQ1184" s="133">
        <v>1</v>
      </c>
      <c r="AR1184" s="153">
        <v>0.0721861525408278</v>
      </c>
      <c r="AS1184" s="137">
        <v>0</v>
      </c>
      <c r="AT1184" s="137">
        <v>0.0666666666666667</v>
      </c>
      <c r="AU1184" s="137">
        <v>0</v>
      </c>
      <c r="AV1184" s="137">
        <v>0.0373831775700935</v>
      </c>
      <c r="AW1184" s="93"/>
      <c r="AX1184" s="91"/>
    </row>
    <row r="1185" ht="14.5" spans="1:50">
      <c r="A1185" s="89"/>
      <c r="B1185" s="93"/>
      <c r="C1185" s="148" t="s">
        <v>1080</v>
      </c>
      <c r="D1185" s="126" t="s">
        <v>1081</v>
      </c>
      <c r="E1185" s="186" t="s">
        <v>1210</v>
      </c>
      <c r="F1185" s="186" t="s">
        <v>1210</v>
      </c>
      <c r="G1185" s="186" t="s">
        <v>1210</v>
      </c>
      <c r="H1185" s="186" t="s">
        <v>1210</v>
      </c>
      <c r="I1185" s="128">
        <v>0.9</v>
      </c>
      <c r="J1185" s="129">
        <v>0.983333333333333</v>
      </c>
      <c r="K1185" s="129">
        <v>0.904761904761905</v>
      </c>
      <c r="L1185" s="130">
        <v>0.909090909090909</v>
      </c>
      <c r="M1185" s="129">
        <v>0.92332268370607</v>
      </c>
      <c r="N1185" s="131">
        <v>0.9</v>
      </c>
      <c r="O1185" s="129">
        <v>0.97158273381295</v>
      </c>
      <c r="P1185" s="129">
        <v>0.988128491620112</v>
      </c>
      <c r="Q1185" s="129">
        <v>0.962218294299602</v>
      </c>
      <c r="R1185" s="129">
        <v>0.983293649244701</v>
      </c>
      <c r="S1185" s="131">
        <v>0.9</v>
      </c>
      <c r="T1185" s="129">
        <v>0.948021582733813</v>
      </c>
      <c r="U1185" s="129">
        <v>0.966829608938548</v>
      </c>
      <c r="V1185" s="129">
        <v>0.962660185594344</v>
      </c>
      <c r="W1185" s="129">
        <v>0.959248994886608</v>
      </c>
      <c r="X1185" s="131">
        <v>0.92</v>
      </c>
      <c r="Y1185" s="131">
        <v>0</v>
      </c>
      <c r="Z1185" s="131">
        <v>0</v>
      </c>
      <c r="AA1185" s="131" t="s">
        <v>33</v>
      </c>
      <c r="AB1185" s="131">
        <v>0</v>
      </c>
      <c r="AC1185" s="131">
        <v>0.92</v>
      </c>
      <c r="AD1185" s="129">
        <v>0.997924449979244</v>
      </c>
      <c r="AE1185" s="129">
        <v>0.998056365403304</v>
      </c>
      <c r="AF1185" s="129">
        <v>0.998837209302326</v>
      </c>
      <c r="AG1185" s="129">
        <v>0.998789483639115</v>
      </c>
      <c r="AH1185" s="131">
        <v>0.92</v>
      </c>
      <c r="AI1185" s="129">
        <v>0.975373000179759</v>
      </c>
      <c r="AJ1185" s="129">
        <v>0.978723404255319</v>
      </c>
      <c r="AK1185" s="129">
        <v>0.989836500220946</v>
      </c>
      <c r="AL1185" s="129">
        <v>0.983022402622746</v>
      </c>
      <c r="AM1185" s="128">
        <v>0.99</v>
      </c>
      <c r="AN1185" s="133">
        <v>1</v>
      </c>
      <c r="AO1185" s="133">
        <v>1</v>
      </c>
      <c r="AP1185" s="133">
        <v>1</v>
      </c>
      <c r="AQ1185" s="133">
        <v>1</v>
      </c>
      <c r="AR1185" s="153">
        <v>0.0721861525408278</v>
      </c>
      <c r="AS1185" s="137">
        <v>0.125</v>
      </c>
      <c r="AT1185" s="137">
        <v>0</v>
      </c>
      <c r="AU1185" s="137">
        <v>-0.0666666666666667</v>
      </c>
      <c r="AV1185" s="137">
        <v>0.0207253886010363</v>
      </c>
      <c r="AW1185" s="93"/>
      <c r="AX1185" s="91"/>
    </row>
    <row r="1186" ht="14.5" spans="1:50">
      <c r="A1186" s="89"/>
      <c r="B1186" s="93"/>
      <c r="C1186" s="148" t="s">
        <v>1080</v>
      </c>
      <c r="D1186" s="126" t="s">
        <v>1081</v>
      </c>
      <c r="E1186" s="186" t="s">
        <v>1211</v>
      </c>
      <c r="F1186" s="186" t="s">
        <v>1211</v>
      </c>
      <c r="G1186" s="186" t="s">
        <v>1211</v>
      </c>
      <c r="H1186" s="186" t="s">
        <v>1211</v>
      </c>
      <c r="I1186" s="128">
        <v>0.9</v>
      </c>
      <c r="J1186" s="129">
        <v>0.914634146341463</v>
      </c>
      <c r="K1186" s="129">
        <v>0.927536231884058</v>
      </c>
      <c r="L1186" s="130">
        <v>0.894736842105263</v>
      </c>
      <c r="M1186" s="129">
        <v>0.913525498891353</v>
      </c>
      <c r="N1186" s="131">
        <v>0.9</v>
      </c>
      <c r="O1186" s="129">
        <v>0.966036772216547</v>
      </c>
      <c r="P1186" s="129">
        <v>0.946821980248164</v>
      </c>
      <c r="Q1186" s="129">
        <v>0.954849012775842</v>
      </c>
      <c r="R1186" s="129">
        <v>0.951121648732446</v>
      </c>
      <c r="S1186" s="131">
        <v>0.9</v>
      </c>
      <c r="T1186" s="129">
        <v>0.907686414708887</v>
      </c>
      <c r="U1186" s="129">
        <v>0.918966827044821</v>
      </c>
      <c r="V1186" s="129">
        <v>0.939024390243902</v>
      </c>
      <c r="W1186" s="129">
        <v>0.919139678486751</v>
      </c>
      <c r="X1186" s="131">
        <v>0.92</v>
      </c>
      <c r="Y1186" s="131">
        <v>0</v>
      </c>
      <c r="Z1186" s="131">
        <v>0</v>
      </c>
      <c r="AA1186" s="131" t="s">
        <v>33</v>
      </c>
      <c r="AB1186" s="131">
        <v>0</v>
      </c>
      <c r="AC1186" s="131">
        <v>0.92</v>
      </c>
      <c r="AD1186" s="129">
        <v>1</v>
      </c>
      <c r="AE1186" s="129">
        <v>0.975813953488372</v>
      </c>
      <c r="AF1186" s="129">
        <v>0.723809523809524</v>
      </c>
      <c r="AG1186" s="129">
        <v>0.981522271169848</v>
      </c>
      <c r="AH1186" s="131">
        <v>0.92</v>
      </c>
      <c r="AI1186" s="129">
        <v>0.942339584130629</v>
      </c>
      <c r="AJ1186" s="129">
        <v>0.935239058942575</v>
      </c>
      <c r="AK1186" s="129">
        <v>0.961527293844367</v>
      </c>
      <c r="AL1186" s="129">
        <v>0.956469071157829</v>
      </c>
      <c r="AM1186" s="128">
        <v>0.99</v>
      </c>
      <c r="AN1186" s="133">
        <v>1</v>
      </c>
      <c r="AO1186" s="133">
        <v>1</v>
      </c>
      <c r="AP1186" s="133">
        <v>1</v>
      </c>
      <c r="AQ1186" s="133">
        <v>1</v>
      </c>
      <c r="AR1186" s="153">
        <v>0.0721861525408278</v>
      </c>
      <c r="AS1186" s="137">
        <v>0.125</v>
      </c>
      <c r="AT1186" s="137">
        <v>0.214285714285714</v>
      </c>
      <c r="AU1186" s="137">
        <v>0.117647058823529</v>
      </c>
      <c r="AV1186" s="137">
        <v>0.0666666666666667</v>
      </c>
      <c r="AW1186" s="93"/>
      <c r="AX1186" s="91"/>
    </row>
    <row r="1187" ht="14.5" spans="1:50">
      <c r="A1187" s="89"/>
      <c r="B1187" s="93"/>
      <c r="C1187" s="148" t="s">
        <v>1080</v>
      </c>
      <c r="D1187" s="126" t="s">
        <v>1081</v>
      </c>
      <c r="E1187" s="186" t="s">
        <v>1212</v>
      </c>
      <c r="F1187" s="186" t="s">
        <v>1212</v>
      </c>
      <c r="G1187" s="186" t="s">
        <v>1212</v>
      </c>
      <c r="H1187" s="186" t="s">
        <v>1212</v>
      </c>
      <c r="I1187" s="128">
        <v>0.9</v>
      </c>
      <c r="J1187" s="129">
        <v>0.972972972972973</v>
      </c>
      <c r="K1187" s="129">
        <v>0.96875</v>
      </c>
      <c r="L1187" s="130">
        <v>0.941176470588235</v>
      </c>
      <c r="M1187" s="129">
        <v>0.94390243902439</v>
      </c>
      <c r="N1187" s="131">
        <v>0.9</v>
      </c>
      <c r="O1187" s="129">
        <v>0.981818181818182</v>
      </c>
      <c r="P1187" s="129">
        <v>0.986308871851041</v>
      </c>
      <c r="Q1187" s="129">
        <v>0.991408292865148</v>
      </c>
      <c r="R1187" s="129">
        <v>0.987340978880742</v>
      </c>
      <c r="S1187" s="131">
        <v>0.9</v>
      </c>
      <c r="T1187" s="129">
        <v>0.969377990430622</v>
      </c>
      <c r="U1187" s="129">
        <v>0.945235487404162</v>
      </c>
      <c r="V1187" s="129">
        <v>0.980948823309675</v>
      </c>
      <c r="W1187" s="129">
        <v>0.969605815629504</v>
      </c>
      <c r="X1187" s="131">
        <v>0.92</v>
      </c>
      <c r="Y1187" s="131">
        <v>0</v>
      </c>
      <c r="Z1187" s="131">
        <v>0</v>
      </c>
      <c r="AA1187" s="131" t="s">
        <v>33</v>
      </c>
      <c r="AB1187" s="131">
        <v>0</v>
      </c>
      <c r="AC1187" s="131">
        <v>0.92</v>
      </c>
      <c r="AD1187" s="129">
        <v>0.996023856858847</v>
      </c>
      <c r="AE1187" s="129">
        <v>0.999201277955272</v>
      </c>
      <c r="AF1187" s="129">
        <v>0.997858672376874</v>
      </c>
      <c r="AG1187" s="129">
        <v>0.99800243182213</v>
      </c>
      <c r="AH1187" s="131">
        <v>0.92</v>
      </c>
      <c r="AI1187" s="129">
        <v>0.986288265306122</v>
      </c>
      <c r="AJ1187" s="129">
        <v>0.979770366320394</v>
      </c>
      <c r="AK1187" s="129">
        <v>0.992155397833396</v>
      </c>
      <c r="AL1187" s="129">
        <v>0.989504354909455</v>
      </c>
      <c r="AM1187" s="128">
        <v>0.99</v>
      </c>
      <c r="AN1187" s="133">
        <v>1</v>
      </c>
      <c r="AO1187" s="133">
        <v>1</v>
      </c>
      <c r="AP1187" s="133">
        <v>1</v>
      </c>
      <c r="AQ1187" s="133">
        <v>1</v>
      </c>
      <c r="AR1187" s="153">
        <v>0.0721861525408278</v>
      </c>
      <c r="AS1187" s="137">
        <v>0</v>
      </c>
      <c r="AT1187" s="137">
        <v>0</v>
      </c>
      <c r="AU1187" s="137">
        <v>0</v>
      </c>
      <c r="AV1187" s="137">
        <v>0.0654205607476635</v>
      </c>
      <c r="AW1187" s="93"/>
      <c r="AX1187" s="91"/>
    </row>
    <row r="1188" ht="14.5" spans="1:50">
      <c r="A1188" s="89"/>
      <c r="B1188" s="93"/>
      <c r="C1188" s="148" t="s">
        <v>1080</v>
      </c>
      <c r="D1188" s="126" t="s">
        <v>1081</v>
      </c>
      <c r="E1188" s="186" t="s">
        <v>1213</v>
      </c>
      <c r="F1188" s="186" t="s">
        <v>1213</v>
      </c>
      <c r="G1188" s="186" t="s">
        <v>1213</v>
      </c>
      <c r="H1188" s="186" t="s">
        <v>1213</v>
      </c>
      <c r="I1188" s="128">
        <v>0.9</v>
      </c>
      <c r="J1188" s="129">
        <v>0.925</v>
      </c>
      <c r="K1188" s="129">
        <v>0.933333333333333</v>
      </c>
      <c r="L1188" s="130">
        <v>0.878378378378378</v>
      </c>
      <c r="M1188" s="129">
        <v>0.915606936416185</v>
      </c>
      <c r="N1188" s="131">
        <v>0.9</v>
      </c>
      <c r="O1188" s="129">
        <v>0.920740268028079</v>
      </c>
      <c r="P1188" s="129">
        <v>0.980402137948587</v>
      </c>
      <c r="Q1188" s="129">
        <v>0.915478761699064</v>
      </c>
      <c r="R1188" s="129">
        <v>0.940634155869523</v>
      </c>
      <c r="S1188" s="131">
        <v>0.9</v>
      </c>
      <c r="T1188" s="129">
        <v>0.935290363752393</v>
      </c>
      <c r="U1188" s="129">
        <v>0.928480529396793</v>
      </c>
      <c r="V1188" s="129">
        <v>0.939380849532037</v>
      </c>
      <c r="W1188" s="129">
        <v>0.930281919395794</v>
      </c>
      <c r="X1188" s="131">
        <v>0.92</v>
      </c>
      <c r="Y1188" s="131">
        <v>0</v>
      </c>
      <c r="Z1188" s="131" t="s">
        <v>33</v>
      </c>
      <c r="AA1188" s="131" t="s">
        <v>33</v>
      </c>
      <c r="AB1188" s="131">
        <v>0</v>
      </c>
      <c r="AC1188" s="131">
        <v>0.92</v>
      </c>
      <c r="AD1188" s="129">
        <v>0.984591679506934</v>
      </c>
      <c r="AE1188" s="129">
        <v>0.981632653061224</v>
      </c>
      <c r="AF1188" s="129">
        <v>0.990196078431373</v>
      </c>
      <c r="AG1188" s="129">
        <v>0.985725210298241</v>
      </c>
      <c r="AH1188" s="131">
        <v>0.92</v>
      </c>
      <c r="AI1188" s="129">
        <v>0.955212453745055</v>
      </c>
      <c r="AJ1188" s="129">
        <v>0.955968439806567</v>
      </c>
      <c r="AK1188" s="129">
        <v>0.972930165586753</v>
      </c>
      <c r="AL1188" s="129">
        <v>0.96962160472929</v>
      </c>
      <c r="AM1188" s="128">
        <v>0.99</v>
      </c>
      <c r="AN1188" s="133">
        <v>1</v>
      </c>
      <c r="AO1188" s="133">
        <v>1</v>
      </c>
      <c r="AP1188" s="133">
        <v>1</v>
      </c>
      <c r="AQ1188" s="133">
        <v>1</v>
      </c>
      <c r="AR1188" s="153">
        <v>0.0721861525408278</v>
      </c>
      <c r="AS1188" s="137">
        <v>0</v>
      </c>
      <c r="AT1188" s="137">
        <v>0</v>
      </c>
      <c r="AU1188" s="137">
        <v>0</v>
      </c>
      <c r="AV1188" s="137">
        <v>0.0441176470588235</v>
      </c>
      <c r="AW1188" s="93"/>
      <c r="AX1188" s="91"/>
    </row>
    <row r="1189" ht="14.5" spans="1:50">
      <c r="A1189" s="89"/>
      <c r="B1189" s="93"/>
      <c r="C1189" s="148" t="s">
        <v>1080</v>
      </c>
      <c r="D1189" s="126" t="s">
        <v>1081</v>
      </c>
      <c r="E1189" s="186" t="s">
        <v>1214</v>
      </c>
      <c r="F1189" s="186" t="s">
        <v>1214</v>
      </c>
      <c r="G1189" s="186" t="s">
        <v>1214</v>
      </c>
      <c r="H1189" s="186" t="s">
        <v>1214</v>
      </c>
      <c r="I1189" s="128">
        <v>0.9</v>
      </c>
      <c r="J1189" s="129">
        <v>0.966666666666667</v>
      </c>
      <c r="K1189" s="129">
        <v>1</v>
      </c>
      <c r="L1189" s="130">
        <v>1</v>
      </c>
      <c r="M1189" s="129">
        <v>0.972307692307692</v>
      </c>
      <c r="N1189" s="131">
        <v>0.9</v>
      </c>
      <c r="O1189" s="129">
        <v>0.97184265010352</v>
      </c>
      <c r="P1189" s="129">
        <v>0.989147286821705</v>
      </c>
      <c r="Q1189" s="129">
        <v>0.984323040380047</v>
      </c>
      <c r="R1189" s="129">
        <v>0.982473473946475</v>
      </c>
      <c r="S1189" s="131">
        <v>0.9</v>
      </c>
      <c r="T1189" s="129">
        <v>0.935403726708074</v>
      </c>
      <c r="U1189" s="129">
        <v>0.966666666666667</v>
      </c>
      <c r="V1189" s="129">
        <v>0.961520190023753</v>
      </c>
      <c r="W1189" s="129">
        <v>0.960178701834271</v>
      </c>
      <c r="X1189" s="131">
        <v>0.92</v>
      </c>
      <c r="Y1189" s="131">
        <v>0.953472690492245</v>
      </c>
      <c r="Z1189" s="131">
        <v>0.966496722505462</v>
      </c>
      <c r="AA1189" s="131">
        <v>0.954054054054054</v>
      </c>
      <c r="AB1189" s="131">
        <v>0.973955904882435</v>
      </c>
      <c r="AC1189" s="131">
        <v>0.92</v>
      </c>
      <c r="AD1189" s="129">
        <v>0.986613782845811</v>
      </c>
      <c r="AE1189" s="129">
        <v>0.999168399168399</v>
      </c>
      <c r="AF1189" s="129">
        <v>0.997564216120461</v>
      </c>
      <c r="AG1189" s="129">
        <v>0.993166644028127</v>
      </c>
      <c r="AH1189" s="131">
        <v>0.92</v>
      </c>
      <c r="AI1189" s="129">
        <v>0.962288353001539</v>
      </c>
      <c r="AJ1189" s="129">
        <v>0.978220052572287</v>
      </c>
      <c r="AK1189" s="129">
        <v>0.977855887521968</v>
      </c>
      <c r="AL1189" s="129">
        <v>0.98331374853114</v>
      </c>
      <c r="AM1189" s="128">
        <v>0.99</v>
      </c>
      <c r="AN1189" s="133">
        <v>1</v>
      </c>
      <c r="AO1189" s="133">
        <v>1</v>
      </c>
      <c r="AP1189" s="133">
        <v>1</v>
      </c>
      <c r="AQ1189" s="133">
        <v>1</v>
      </c>
      <c r="AR1189" s="153">
        <v>0.0721861525408278</v>
      </c>
      <c r="AS1189" s="137">
        <v>0</v>
      </c>
      <c r="AT1189" s="137">
        <v>0.166666666666667</v>
      </c>
      <c r="AU1189" s="137">
        <v>0.0769230769230769</v>
      </c>
      <c r="AV1189" s="137">
        <v>0.0538922155688623</v>
      </c>
      <c r="AW1189" s="93"/>
      <c r="AX1189" s="91"/>
    </row>
    <row r="1190" ht="14.5" spans="1:50">
      <c r="A1190" s="89"/>
      <c r="B1190" s="93"/>
      <c r="C1190" s="148" t="s">
        <v>1080</v>
      </c>
      <c r="D1190" s="126" t="s">
        <v>1081</v>
      </c>
      <c r="E1190" s="186" t="s">
        <v>1215</v>
      </c>
      <c r="F1190" s="186" t="s">
        <v>1215</v>
      </c>
      <c r="G1190" s="186" t="s">
        <v>1215</v>
      </c>
      <c r="H1190" s="186" t="s">
        <v>1215</v>
      </c>
      <c r="I1190" s="128">
        <v>0.9</v>
      </c>
      <c r="J1190" s="129">
        <v>0.987179487179487</v>
      </c>
      <c r="K1190" s="129">
        <v>1</v>
      </c>
      <c r="L1190" s="130">
        <v>0.985915492957746</v>
      </c>
      <c r="M1190" s="129">
        <v>0.969178082191781</v>
      </c>
      <c r="N1190" s="131">
        <v>0.9</v>
      </c>
      <c r="O1190" s="129">
        <v>0.98943661971831</v>
      </c>
      <c r="P1190" s="129">
        <v>0.981190255935862</v>
      </c>
      <c r="Q1190" s="129">
        <v>0.98829994681794</v>
      </c>
      <c r="R1190" s="129">
        <v>0.985909737319581</v>
      </c>
      <c r="S1190" s="131">
        <v>0.9</v>
      </c>
      <c r="T1190" s="129">
        <v>0.950864276568502</v>
      </c>
      <c r="U1190" s="129">
        <v>0.964230650632131</v>
      </c>
      <c r="V1190" s="129">
        <v>0.943981563552562</v>
      </c>
      <c r="W1190" s="129">
        <v>0.950586004544191</v>
      </c>
      <c r="X1190" s="131">
        <v>0.92</v>
      </c>
      <c r="Y1190" s="131">
        <v>0.940509200907487</v>
      </c>
      <c r="Z1190" s="131">
        <v>0.941234084231146</v>
      </c>
      <c r="AA1190" s="131">
        <v>0.926575342465753</v>
      </c>
      <c r="AB1190" s="131">
        <v>0.944043189611148</v>
      </c>
      <c r="AC1190" s="131">
        <v>0.92</v>
      </c>
      <c r="AD1190" s="129">
        <v>0.998184058628964</v>
      </c>
      <c r="AE1190" s="129">
        <v>0.992719791089657</v>
      </c>
      <c r="AF1190" s="129">
        <v>0.986922814789572</v>
      </c>
      <c r="AG1190" s="129">
        <v>0.991946263239342</v>
      </c>
      <c r="AH1190" s="131">
        <v>0.92</v>
      </c>
      <c r="AI1190" s="129">
        <v>0.963586530931872</v>
      </c>
      <c r="AJ1190" s="129">
        <v>0.961239252081343</v>
      </c>
      <c r="AK1190" s="129">
        <v>0.967055042185617</v>
      </c>
      <c r="AL1190" s="129">
        <v>0.96792923122037</v>
      </c>
      <c r="AM1190" s="128">
        <v>0.99</v>
      </c>
      <c r="AN1190" s="133">
        <v>1</v>
      </c>
      <c r="AO1190" s="133">
        <v>1</v>
      </c>
      <c r="AP1190" s="133">
        <v>1</v>
      </c>
      <c r="AQ1190" s="133">
        <v>1</v>
      </c>
      <c r="AR1190" s="153">
        <v>0.0721861525408278</v>
      </c>
      <c r="AS1190" s="137">
        <v>0.0882352941176471</v>
      </c>
      <c r="AT1190" s="137">
        <v>0.0689655172413793</v>
      </c>
      <c r="AU1190" s="137">
        <v>0.08</v>
      </c>
      <c r="AV1190" s="137">
        <v>0.0514285714285714</v>
      </c>
      <c r="AW1190" s="93"/>
      <c r="AX1190" s="91"/>
    </row>
    <row r="1191" ht="14.5" spans="1:50">
      <c r="A1191" s="89"/>
      <c r="B1191" s="93"/>
      <c r="C1191" s="148" t="s">
        <v>1080</v>
      </c>
      <c r="D1191" s="126" t="s">
        <v>1081</v>
      </c>
      <c r="E1191" s="186" t="s">
        <v>1216</v>
      </c>
      <c r="F1191" s="186" t="s">
        <v>1216</v>
      </c>
      <c r="G1191" s="186" t="s">
        <v>1216</v>
      </c>
      <c r="H1191" s="186" t="s">
        <v>1216</v>
      </c>
      <c r="I1191" s="128">
        <v>0.9</v>
      </c>
      <c r="J1191" s="129">
        <v>0.9375</v>
      </c>
      <c r="K1191" s="129">
        <v>0.975609756097561</v>
      </c>
      <c r="L1191" s="130">
        <v>0.952380952380952</v>
      </c>
      <c r="M1191" s="129">
        <v>0.973333333333333</v>
      </c>
      <c r="N1191" s="131">
        <v>0.9</v>
      </c>
      <c r="O1191" s="129">
        <v>0.985411601250434</v>
      </c>
      <c r="P1191" s="129">
        <v>0.992248062015504</v>
      </c>
      <c r="Q1191" s="129">
        <v>0.986074847693647</v>
      </c>
      <c r="R1191" s="129">
        <v>0.987085649940179</v>
      </c>
      <c r="S1191" s="131">
        <v>0.9</v>
      </c>
      <c r="T1191" s="129">
        <v>0.952414032650226</v>
      </c>
      <c r="U1191" s="129">
        <v>0.963029218843172</v>
      </c>
      <c r="V1191" s="129">
        <v>0.966057441253264</v>
      </c>
      <c r="W1191" s="129">
        <v>0.959462312618763</v>
      </c>
      <c r="X1191" s="131">
        <v>0.92</v>
      </c>
      <c r="Y1191" s="131">
        <v>0.955264593562466</v>
      </c>
      <c r="Z1191" s="131">
        <v>0.965626652564781</v>
      </c>
      <c r="AA1191" s="131">
        <v>0.971334068357222</v>
      </c>
      <c r="AB1191" s="131">
        <v>0.964557222108075</v>
      </c>
      <c r="AC1191" s="131">
        <v>0.92</v>
      </c>
      <c r="AD1191" s="129">
        <v>0.992932862190813</v>
      </c>
      <c r="AE1191" s="129">
        <v>0.993136219640972</v>
      </c>
      <c r="AF1191" s="129">
        <v>0.988663202645253</v>
      </c>
      <c r="AG1191" s="129">
        <v>0.946921249771606</v>
      </c>
      <c r="AH1191" s="131">
        <v>0.92</v>
      </c>
      <c r="AI1191" s="129">
        <v>0.97134974533107</v>
      </c>
      <c r="AJ1191" s="129">
        <v>0.977578475336323</v>
      </c>
      <c r="AK1191" s="129">
        <v>0.980967238689548</v>
      </c>
      <c r="AL1191" s="129">
        <v>0.978116517018167</v>
      </c>
      <c r="AM1191" s="128">
        <v>0.99</v>
      </c>
      <c r="AN1191" s="133">
        <v>1</v>
      </c>
      <c r="AO1191" s="133">
        <v>1</v>
      </c>
      <c r="AP1191" s="133">
        <v>1</v>
      </c>
      <c r="AQ1191" s="133">
        <v>1</v>
      </c>
      <c r="AR1191" s="153">
        <v>0.0721861525408278</v>
      </c>
      <c r="AS1191" s="137">
        <v>0</v>
      </c>
      <c r="AT1191" s="137">
        <v>0.0769230769230769</v>
      </c>
      <c r="AU1191" s="137">
        <v>0</v>
      </c>
      <c r="AV1191" s="137">
        <v>0.0233918128654971</v>
      </c>
      <c r="AW1191" s="93"/>
      <c r="AX1191" s="91"/>
    </row>
    <row r="1192" ht="14.5" spans="1:50">
      <c r="A1192" s="89"/>
      <c r="B1192" s="93"/>
      <c r="C1192" s="148" t="s">
        <v>1080</v>
      </c>
      <c r="D1192" s="126" t="s">
        <v>1081</v>
      </c>
      <c r="E1192" s="186" t="s">
        <v>1217</v>
      </c>
      <c r="F1192" s="186" t="s">
        <v>1217</v>
      </c>
      <c r="G1192" s="186" t="s">
        <v>1217</v>
      </c>
      <c r="H1192" s="186" t="s">
        <v>1217</v>
      </c>
      <c r="I1192" s="128">
        <v>0.9</v>
      </c>
      <c r="J1192" s="129">
        <v>1</v>
      </c>
      <c r="K1192" s="129">
        <v>1</v>
      </c>
      <c r="L1192" s="130">
        <v>1</v>
      </c>
      <c r="M1192" s="129">
        <v>0.993734335839599</v>
      </c>
      <c r="N1192" s="131">
        <v>0.9</v>
      </c>
      <c r="O1192" s="129">
        <v>0.982663364450372</v>
      </c>
      <c r="P1192" s="129">
        <v>0.983914209115281</v>
      </c>
      <c r="Q1192" s="129">
        <v>0.971547536433033</v>
      </c>
      <c r="R1192" s="129">
        <v>0.983061428333611</v>
      </c>
      <c r="S1192" s="131">
        <v>0.9</v>
      </c>
      <c r="T1192" s="129">
        <v>0.945132406172604</v>
      </c>
      <c r="U1192" s="129">
        <v>0.96636607360468</v>
      </c>
      <c r="V1192" s="129">
        <v>0.940319222761971</v>
      </c>
      <c r="W1192" s="129">
        <v>0.950391210254703</v>
      </c>
      <c r="X1192" s="131">
        <v>0.92</v>
      </c>
      <c r="Y1192" s="131">
        <v>0.955268688081657</v>
      </c>
      <c r="Z1192" s="131">
        <v>0.967324490456163</v>
      </c>
      <c r="AA1192" s="131">
        <v>0.984077427411801</v>
      </c>
      <c r="AB1192" s="131">
        <v>0.965981243082659</v>
      </c>
      <c r="AC1192" s="131">
        <v>0.92</v>
      </c>
      <c r="AD1192" s="129">
        <v>0.993586428054205</v>
      </c>
      <c r="AE1192" s="129">
        <v>0.990179573512907</v>
      </c>
      <c r="AF1192" s="129">
        <v>0.894030277063696</v>
      </c>
      <c r="AG1192" s="129">
        <v>0.96858076422715</v>
      </c>
      <c r="AH1192" s="131">
        <v>0.92</v>
      </c>
      <c r="AI1192" s="129">
        <v>0.969827586206897</v>
      </c>
      <c r="AJ1192" s="129">
        <v>0.978735232800556</v>
      </c>
      <c r="AK1192" s="129">
        <v>0.984284176533907</v>
      </c>
      <c r="AL1192" s="129">
        <v>0.976031553398058</v>
      </c>
      <c r="AM1192" s="128">
        <v>0.99</v>
      </c>
      <c r="AN1192" s="133">
        <v>1</v>
      </c>
      <c r="AO1192" s="133">
        <v>1</v>
      </c>
      <c r="AP1192" s="133">
        <v>1</v>
      </c>
      <c r="AQ1192" s="133">
        <v>1</v>
      </c>
      <c r="AR1192" s="153">
        <v>0.0721861525408278</v>
      </c>
      <c r="AS1192" s="137">
        <v>0.037037037037037</v>
      </c>
      <c r="AT1192" s="137">
        <v>0.03125</v>
      </c>
      <c r="AU1192" s="137">
        <v>0.0303030303030303</v>
      </c>
      <c r="AV1192" s="137">
        <v>0.0260047281323877</v>
      </c>
      <c r="AW1192" s="93"/>
      <c r="AX1192" s="91"/>
    </row>
    <row r="1193" ht="14.5" spans="1:50">
      <c r="A1193" s="89"/>
      <c r="B1193" s="93"/>
      <c r="C1193" s="148" t="s">
        <v>1080</v>
      </c>
      <c r="D1193" s="126" t="s">
        <v>1081</v>
      </c>
      <c r="E1193" s="186" t="s">
        <v>1218</v>
      </c>
      <c r="F1193" s="186" t="s">
        <v>1218</v>
      </c>
      <c r="G1193" s="186" t="s">
        <v>1218</v>
      </c>
      <c r="H1193" s="186" t="s">
        <v>1218</v>
      </c>
      <c r="I1193" s="128">
        <v>0.9</v>
      </c>
      <c r="J1193" s="129">
        <v>0.862068965517241</v>
      </c>
      <c r="K1193" s="129">
        <v>0.869565217391304</v>
      </c>
      <c r="L1193" s="130">
        <v>0.84</v>
      </c>
      <c r="M1193" s="129">
        <v>0.866449511400652</v>
      </c>
      <c r="N1193" s="131">
        <v>0.9</v>
      </c>
      <c r="O1193" s="129">
        <v>0.968389362769694</v>
      </c>
      <c r="P1193" s="129">
        <v>0.977295162882527</v>
      </c>
      <c r="Q1193" s="129">
        <v>0.988950276243094</v>
      </c>
      <c r="R1193" s="129">
        <v>0.970982910884276</v>
      </c>
      <c r="S1193" s="131">
        <v>0.9</v>
      </c>
      <c r="T1193" s="129">
        <v>0.940291018564977</v>
      </c>
      <c r="U1193" s="129">
        <v>0.948667324777888</v>
      </c>
      <c r="V1193" s="129">
        <v>0.942909760589319</v>
      </c>
      <c r="W1193" s="129">
        <v>0.947012272049547</v>
      </c>
      <c r="X1193" s="131">
        <v>0.92</v>
      </c>
      <c r="Y1193" s="131">
        <v>0.960560911481157</v>
      </c>
      <c r="Z1193" s="131">
        <v>0.961504028648165</v>
      </c>
      <c r="AA1193" s="131">
        <v>0.958031837916064</v>
      </c>
      <c r="AB1193" s="131">
        <v>0.962189054726368</v>
      </c>
      <c r="AC1193" s="131">
        <v>0.92</v>
      </c>
      <c r="AD1193" s="129">
        <v>0.998487140695915</v>
      </c>
      <c r="AE1193" s="129">
        <v>0.997827975673328</v>
      </c>
      <c r="AF1193" s="129">
        <v>0.998579545454545</v>
      </c>
      <c r="AG1193" s="129">
        <v>0.965812663185379</v>
      </c>
      <c r="AH1193" s="131">
        <v>0.92</v>
      </c>
      <c r="AI1193" s="129">
        <v>0.970006381620932</v>
      </c>
      <c r="AJ1193" s="129">
        <v>0.974178403755869</v>
      </c>
      <c r="AK1193" s="129">
        <v>0.975431034482759</v>
      </c>
      <c r="AL1193" s="129">
        <v>0.976133495066059</v>
      </c>
      <c r="AM1193" s="128">
        <v>0.99</v>
      </c>
      <c r="AN1193" s="133">
        <v>1</v>
      </c>
      <c r="AO1193" s="133">
        <v>1</v>
      </c>
      <c r="AP1193" s="133">
        <v>1</v>
      </c>
      <c r="AQ1193" s="133">
        <v>1</v>
      </c>
      <c r="AR1193" s="153">
        <v>0.0721861525408278</v>
      </c>
      <c r="AS1193" s="137">
        <v>0.142857142857143</v>
      </c>
      <c r="AT1193" s="137">
        <v>0</v>
      </c>
      <c r="AU1193" s="137">
        <v>0</v>
      </c>
      <c r="AV1193" s="137">
        <v>0.112068965517241</v>
      </c>
      <c r="AW1193" s="93"/>
      <c r="AX1193" s="91"/>
    </row>
    <row r="1194" ht="14.5" spans="1:50">
      <c r="A1194" s="89"/>
      <c r="B1194" s="93"/>
      <c r="C1194" s="148" t="s">
        <v>1080</v>
      </c>
      <c r="D1194" s="126" t="s">
        <v>1081</v>
      </c>
      <c r="E1194" s="186" t="s">
        <v>1219</v>
      </c>
      <c r="F1194" s="186" t="s">
        <v>1219</v>
      </c>
      <c r="G1194" s="186" t="s">
        <v>1219</v>
      </c>
      <c r="H1194" s="186" t="s">
        <v>1219</v>
      </c>
      <c r="I1194" s="128">
        <v>0.9</v>
      </c>
      <c r="J1194" s="129">
        <v>0.924528301886792</v>
      </c>
      <c r="K1194" s="129">
        <v>0.911111111111111</v>
      </c>
      <c r="L1194" s="130">
        <v>0.891304347826087</v>
      </c>
      <c r="M1194" s="129">
        <v>0.914185639229422</v>
      </c>
      <c r="N1194" s="131">
        <v>0.9</v>
      </c>
      <c r="O1194" s="129">
        <v>0.958305647840532</v>
      </c>
      <c r="P1194" s="129">
        <v>0.957489206243773</v>
      </c>
      <c r="Q1194" s="129">
        <v>0.953519433685054</v>
      </c>
      <c r="R1194" s="129">
        <v>0.930185159596518</v>
      </c>
      <c r="S1194" s="131">
        <v>0.9</v>
      </c>
      <c r="T1194" s="129">
        <v>0.927574750830565</v>
      </c>
      <c r="U1194" s="129">
        <v>0.904682829624709</v>
      </c>
      <c r="V1194" s="129">
        <v>0.938025911580072</v>
      </c>
      <c r="W1194" s="129">
        <v>0.926402514854221</v>
      </c>
      <c r="X1194" s="131">
        <v>0.92</v>
      </c>
      <c r="Y1194" s="131">
        <v>0</v>
      </c>
      <c r="Z1194" s="131" t="s">
        <v>33</v>
      </c>
      <c r="AA1194" s="131">
        <v>1</v>
      </c>
      <c r="AB1194" s="131">
        <v>0.272727272727273</v>
      </c>
      <c r="AC1194" s="131">
        <v>0.92</v>
      </c>
      <c r="AD1194" s="129">
        <v>0.96099046870394</v>
      </c>
      <c r="AE1194" s="129">
        <v>0.994745279657998</v>
      </c>
      <c r="AF1194" s="129">
        <v>0.985500202511138</v>
      </c>
      <c r="AG1194" s="129">
        <v>0.979577048792974</v>
      </c>
      <c r="AH1194" s="131">
        <v>0.92</v>
      </c>
      <c r="AI1194" s="129">
        <v>0.970471134704711</v>
      </c>
      <c r="AJ1194" s="129">
        <v>0.951179010295583</v>
      </c>
      <c r="AK1194" s="129">
        <v>0.976095085470085</v>
      </c>
      <c r="AL1194" s="129">
        <v>0.972062505395839</v>
      </c>
      <c r="AM1194" s="128">
        <v>0.99</v>
      </c>
      <c r="AN1194" s="133">
        <v>1</v>
      </c>
      <c r="AO1194" s="133">
        <v>1</v>
      </c>
      <c r="AP1194" s="133">
        <v>1</v>
      </c>
      <c r="AQ1194" s="133">
        <v>1</v>
      </c>
      <c r="AR1194" s="153">
        <v>0.0721861525408278</v>
      </c>
      <c r="AS1194" s="137">
        <v>0</v>
      </c>
      <c r="AT1194" s="137">
        <v>0</v>
      </c>
      <c r="AU1194" s="137">
        <v>0.111111111111111</v>
      </c>
      <c r="AV1194" s="137">
        <v>0.0451612903225806</v>
      </c>
      <c r="AW1194" s="93"/>
      <c r="AX1194" s="91"/>
    </row>
    <row r="1195" ht="14.5" spans="1:50">
      <c r="A1195" s="89"/>
      <c r="B1195" s="93"/>
      <c r="C1195" s="148" t="s">
        <v>1080</v>
      </c>
      <c r="D1195" s="126" t="s">
        <v>1081</v>
      </c>
      <c r="E1195" s="186" t="s">
        <v>1220</v>
      </c>
      <c r="F1195" s="186" t="s">
        <v>1220</v>
      </c>
      <c r="G1195" s="186" t="s">
        <v>1220</v>
      </c>
      <c r="H1195" s="186" t="s">
        <v>1220</v>
      </c>
      <c r="I1195" s="128">
        <v>0.9</v>
      </c>
      <c r="J1195" s="129">
        <v>0.974025974025974</v>
      </c>
      <c r="K1195" s="129">
        <v>0.950819672131147</v>
      </c>
      <c r="L1195" s="130">
        <v>0.955223880597015</v>
      </c>
      <c r="M1195" s="129">
        <v>0.970023980815348</v>
      </c>
      <c r="N1195" s="131">
        <v>0.9</v>
      </c>
      <c r="O1195" s="129">
        <v>0.967753891771683</v>
      </c>
      <c r="P1195" s="129">
        <v>0.954696132596685</v>
      </c>
      <c r="Q1195" s="129">
        <v>0.959310344827586</v>
      </c>
      <c r="R1195" s="129">
        <v>0.960849742943059</v>
      </c>
      <c r="S1195" s="131">
        <v>0.9</v>
      </c>
      <c r="T1195" s="129">
        <v>0.948480355819125</v>
      </c>
      <c r="U1195" s="129">
        <v>0.930755064456722</v>
      </c>
      <c r="V1195" s="129">
        <v>0.944367816091954</v>
      </c>
      <c r="W1195" s="129">
        <v>0.944048889320012</v>
      </c>
      <c r="X1195" s="131">
        <v>0.92</v>
      </c>
      <c r="Y1195" s="131">
        <v>0.953564034309376</v>
      </c>
      <c r="Z1195" s="131">
        <v>0.939732142857143</v>
      </c>
      <c r="AA1195" s="131">
        <v>0.94</v>
      </c>
      <c r="AB1195" s="131">
        <v>0.938981653267368</v>
      </c>
      <c r="AC1195" s="131">
        <v>0.92</v>
      </c>
      <c r="AD1195" s="129">
        <v>0.99706498951782</v>
      </c>
      <c r="AE1195" s="129">
        <v>0.996783070423627</v>
      </c>
      <c r="AF1195" s="129">
        <v>0.994830557151063</v>
      </c>
      <c r="AG1195" s="129">
        <v>0.991856871473532</v>
      </c>
      <c r="AH1195" s="131">
        <v>0.92</v>
      </c>
      <c r="AI1195" s="129">
        <v>0.967874231032126</v>
      </c>
      <c r="AJ1195" s="129">
        <v>0.953178400546822</v>
      </c>
      <c r="AK1195" s="129">
        <v>0.970082644628099</v>
      </c>
      <c r="AL1195" s="129">
        <v>0.964600217520963</v>
      </c>
      <c r="AM1195" s="128">
        <v>0.99</v>
      </c>
      <c r="AN1195" s="133">
        <v>1</v>
      </c>
      <c r="AO1195" s="133">
        <v>1</v>
      </c>
      <c r="AP1195" s="133">
        <v>1</v>
      </c>
      <c r="AQ1195" s="133">
        <v>1</v>
      </c>
      <c r="AR1195" s="153">
        <v>0.0721861525408278</v>
      </c>
      <c r="AS1195" s="137">
        <v>0.0344827586206897</v>
      </c>
      <c r="AT1195" s="137">
        <v>0</v>
      </c>
      <c r="AU1195" s="137">
        <v>0.130434782608696</v>
      </c>
      <c r="AV1195" s="137">
        <v>0.05</v>
      </c>
      <c r="AW1195" s="93"/>
      <c r="AX1195" s="91"/>
    </row>
    <row r="1196" ht="14.5" spans="1:50">
      <c r="A1196" s="89"/>
      <c r="B1196" s="93"/>
      <c r="C1196" s="148" t="s">
        <v>1080</v>
      </c>
      <c r="D1196" s="126" t="s">
        <v>1081</v>
      </c>
      <c r="E1196" s="186" t="s">
        <v>1221</v>
      </c>
      <c r="F1196" s="186" t="s">
        <v>1221</v>
      </c>
      <c r="G1196" s="186" t="s">
        <v>1221</v>
      </c>
      <c r="H1196" s="186" t="s">
        <v>1221</v>
      </c>
      <c r="I1196" s="128">
        <v>0.9</v>
      </c>
      <c r="J1196" s="129">
        <v>0.930232558139535</v>
      </c>
      <c r="K1196" s="129">
        <v>0.944444444444444</v>
      </c>
      <c r="L1196" s="130">
        <v>0.923076923076923</v>
      </c>
      <c r="M1196" s="129">
        <v>0.965957446808511</v>
      </c>
      <c r="N1196" s="131">
        <v>0.9</v>
      </c>
      <c r="O1196" s="129">
        <v>0.946767001114827</v>
      </c>
      <c r="P1196" s="129">
        <v>0.938264738598443</v>
      </c>
      <c r="Q1196" s="129">
        <v>0.91854124062713</v>
      </c>
      <c r="R1196" s="129">
        <v>0.91982824539733</v>
      </c>
      <c r="S1196" s="131">
        <v>0.9</v>
      </c>
      <c r="T1196" s="129">
        <v>0.935061315496098</v>
      </c>
      <c r="U1196" s="129">
        <v>0.932146829810901</v>
      </c>
      <c r="V1196" s="129">
        <v>0.948193592365371</v>
      </c>
      <c r="W1196" s="129">
        <v>0.930621728133639</v>
      </c>
      <c r="X1196" s="131">
        <v>0.92</v>
      </c>
      <c r="Y1196" s="131">
        <v>0.959481361426256</v>
      </c>
      <c r="Z1196" s="131">
        <v>0.961343472750317</v>
      </c>
      <c r="AA1196" s="131">
        <v>0.942268041237113</v>
      </c>
      <c r="AB1196" s="131">
        <v>0.953117864934801</v>
      </c>
      <c r="AC1196" s="131">
        <v>0.92</v>
      </c>
      <c r="AD1196" s="129">
        <v>0.953673123270553</v>
      </c>
      <c r="AE1196" s="129">
        <v>0.997191687394688</v>
      </c>
      <c r="AF1196" s="129">
        <v>0.997624222817571</v>
      </c>
      <c r="AG1196" s="129">
        <v>0.990142055218238</v>
      </c>
      <c r="AH1196" s="131">
        <v>0.92</v>
      </c>
      <c r="AI1196" s="129">
        <v>0.974453225510017</v>
      </c>
      <c r="AJ1196" s="129">
        <v>0.971267772511848</v>
      </c>
      <c r="AK1196" s="129">
        <v>0.976434426229508</v>
      </c>
      <c r="AL1196" s="129">
        <v>0.96885703648548</v>
      </c>
      <c r="AM1196" s="128">
        <v>0.99</v>
      </c>
      <c r="AN1196" s="133">
        <v>1</v>
      </c>
      <c r="AO1196" s="133">
        <v>1</v>
      </c>
      <c r="AP1196" s="133">
        <v>1</v>
      </c>
      <c r="AQ1196" s="133">
        <v>1</v>
      </c>
      <c r="AR1196" s="153">
        <v>0.0721861525408278</v>
      </c>
      <c r="AS1196" s="137">
        <v>0.0588235294117647</v>
      </c>
      <c r="AT1196" s="137">
        <v>0.272727272727273</v>
      </c>
      <c r="AU1196" s="137">
        <v>0.0666666666666667</v>
      </c>
      <c r="AV1196" s="137">
        <v>0.0561224489795918</v>
      </c>
      <c r="AW1196" s="93"/>
      <c r="AX1196" s="91"/>
    </row>
    <row r="1197" ht="14.5" spans="1:50">
      <c r="A1197" s="89"/>
      <c r="B1197" s="93"/>
      <c r="C1197" s="148" t="s">
        <v>1080</v>
      </c>
      <c r="D1197" s="126" t="s">
        <v>1081</v>
      </c>
      <c r="E1197" s="186" t="s">
        <v>1222</v>
      </c>
      <c r="F1197" s="186" t="s">
        <v>1222</v>
      </c>
      <c r="G1197" s="186" t="s">
        <v>1222</v>
      </c>
      <c r="H1197" s="186" t="s">
        <v>1222</v>
      </c>
      <c r="I1197" s="128">
        <v>0.9</v>
      </c>
      <c r="J1197" s="129">
        <v>0.983050847457627</v>
      </c>
      <c r="K1197" s="129">
        <v>0.979591836734694</v>
      </c>
      <c r="L1197" s="130">
        <v>0.981132075471698</v>
      </c>
      <c r="M1197" s="129">
        <v>0.990445859872611</v>
      </c>
      <c r="N1197" s="131">
        <v>0.9</v>
      </c>
      <c r="O1197" s="129">
        <v>0.982199367088608</v>
      </c>
      <c r="P1197" s="129">
        <v>0.988797610156833</v>
      </c>
      <c r="Q1197" s="129">
        <v>0.978902953586498</v>
      </c>
      <c r="R1197" s="129">
        <v>0.983319617013589</v>
      </c>
      <c r="S1197" s="131">
        <v>0.9</v>
      </c>
      <c r="T1197" s="129">
        <v>0.916534810126582</v>
      </c>
      <c r="U1197" s="129">
        <v>0.925317401045556</v>
      </c>
      <c r="V1197" s="129">
        <v>0.914205344585091</v>
      </c>
      <c r="W1197" s="129">
        <v>0.92284068327345</v>
      </c>
      <c r="X1197" s="131">
        <v>0.92</v>
      </c>
      <c r="Y1197" s="131">
        <v>0.96194273287423</v>
      </c>
      <c r="Z1197" s="131">
        <v>0.967713401149934</v>
      </c>
      <c r="AA1197" s="131">
        <v>0.972952086553323</v>
      </c>
      <c r="AB1197" s="131">
        <v>0.959343737494998</v>
      </c>
      <c r="AC1197" s="131">
        <v>0.92</v>
      </c>
      <c r="AD1197" s="129">
        <v>1</v>
      </c>
      <c r="AE1197" s="129">
        <v>0.998398077693232</v>
      </c>
      <c r="AF1197" s="129">
        <v>1</v>
      </c>
      <c r="AG1197" s="129">
        <v>0.998748377526423</v>
      </c>
      <c r="AH1197" s="131">
        <v>0.92</v>
      </c>
      <c r="AI1197" s="129">
        <v>0.978502879078695</v>
      </c>
      <c r="AJ1197" s="129">
        <v>0.977120874670986</v>
      </c>
      <c r="AK1197" s="129">
        <v>0.983812949640288</v>
      </c>
      <c r="AL1197" s="129">
        <v>0.97619461337967</v>
      </c>
      <c r="AM1197" s="128">
        <v>0.99</v>
      </c>
      <c r="AN1197" s="133">
        <v>1</v>
      </c>
      <c r="AO1197" s="133">
        <v>1</v>
      </c>
      <c r="AP1197" s="133">
        <v>1</v>
      </c>
      <c r="AQ1197" s="133">
        <v>1</v>
      </c>
      <c r="AR1197" s="153">
        <v>0.0721861525408278</v>
      </c>
      <c r="AS1197" s="137">
        <v>0.0740740740740741</v>
      </c>
      <c r="AT1197" s="137">
        <v>0</v>
      </c>
      <c r="AU1197" s="137">
        <v>0.0625</v>
      </c>
      <c r="AV1197" s="137">
        <v>0.0185873605947955</v>
      </c>
      <c r="AW1197" s="93"/>
      <c r="AX1197" s="91"/>
    </row>
    <row r="1198" ht="14.5" spans="1:50">
      <c r="A1198" s="89"/>
      <c r="B1198" s="93"/>
      <c r="C1198" s="148" t="s">
        <v>1080</v>
      </c>
      <c r="D1198" s="126" t="s">
        <v>1081</v>
      </c>
      <c r="E1198" s="186" t="s">
        <v>1223</v>
      </c>
      <c r="F1198" s="186" t="s">
        <v>1223</v>
      </c>
      <c r="G1198" s="186" t="s">
        <v>1223</v>
      </c>
      <c r="H1198" s="186" t="s">
        <v>1223</v>
      </c>
      <c r="I1198" s="128">
        <v>0.9</v>
      </c>
      <c r="J1198" s="129">
        <v>0.948717948717949</v>
      </c>
      <c r="K1198" s="129">
        <v>0.970588235294118</v>
      </c>
      <c r="L1198" s="130">
        <v>0.96969696969697</v>
      </c>
      <c r="M1198" s="129">
        <v>0.968122786304604</v>
      </c>
      <c r="N1198" s="131">
        <v>0.9</v>
      </c>
      <c r="O1198" s="129">
        <v>0.981654492950569</v>
      </c>
      <c r="P1198" s="129">
        <v>0.978990172822772</v>
      </c>
      <c r="Q1198" s="129">
        <v>0.797709182682974</v>
      </c>
      <c r="R1198" s="129">
        <v>0.945031179036153</v>
      </c>
      <c r="S1198" s="131">
        <v>0.9</v>
      </c>
      <c r="T1198" s="129">
        <v>0.953626634958383</v>
      </c>
      <c r="U1198" s="129">
        <v>0.953913927482209</v>
      </c>
      <c r="V1198" s="129">
        <v>0.93263443991458</v>
      </c>
      <c r="W1198" s="129">
        <v>0.948743827271744</v>
      </c>
      <c r="X1198" s="131">
        <v>0.92</v>
      </c>
      <c r="Y1198" s="131">
        <v>0.970303421562298</v>
      </c>
      <c r="Z1198" s="131">
        <v>0.960477255779269</v>
      </c>
      <c r="AA1198" s="131">
        <v>0.961394769613948</v>
      </c>
      <c r="AB1198" s="131">
        <v>0.968991529091696</v>
      </c>
      <c r="AC1198" s="131">
        <v>0.92</v>
      </c>
      <c r="AD1198" s="129">
        <v>0.99665327978581</v>
      </c>
      <c r="AE1198" s="129">
        <v>0.996941896024465</v>
      </c>
      <c r="AF1198" s="129">
        <v>0.998576512455516</v>
      </c>
      <c r="AG1198" s="129">
        <v>0.996711762495302</v>
      </c>
      <c r="AH1198" s="131">
        <v>0.92</v>
      </c>
      <c r="AI1198" s="129">
        <v>0.980861244019139</v>
      </c>
      <c r="AJ1198" s="129">
        <v>0.974795882144125</v>
      </c>
      <c r="AK1198" s="129">
        <v>0.981648660648217</v>
      </c>
      <c r="AL1198" s="129">
        <v>0.982047107842579</v>
      </c>
      <c r="AM1198" s="128">
        <v>0.99</v>
      </c>
      <c r="AN1198" s="133">
        <v>1</v>
      </c>
      <c r="AO1198" s="133">
        <v>1</v>
      </c>
      <c r="AP1198" s="133">
        <v>1</v>
      </c>
      <c r="AQ1198" s="133">
        <v>1</v>
      </c>
      <c r="AR1198" s="153">
        <v>0.0721861525408278</v>
      </c>
      <c r="AS1198" s="137">
        <v>0.0294117647058824</v>
      </c>
      <c r="AT1198" s="137">
        <v>0.0476190476190476</v>
      </c>
      <c r="AU1198" s="137">
        <v>0.0833333333333333</v>
      </c>
      <c r="AV1198" s="137">
        <v>0.0664335664335664</v>
      </c>
      <c r="AW1198" s="93"/>
      <c r="AX1198" s="91"/>
    </row>
    <row r="1199" ht="14.5" spans="1:50">
      <c r="A1199" s="89"/>
      <c r="B1199" s="93"/>
      <c r="C1199" s="148" t="s">
        <v>1080</v>
      </c>
      <c r="D1199" s="126" t="s">
        <v>1081</v>
      </c>
      <c r="E1199" s="186" t="s">
        <v>1224</v>
      </c>
      <c r="F1199" s="186" t="s">
        <v>1224</v>
      </c>
      <c r="G1199" s="186" t="s">
        <v>1224</v>
      </c>
      <c r="H1199" s="186" t="s">
        <v>1224</v>
      </c>
      <c r="I1199" s="128">
        <v>0.9</v>
      </c>
      <c r="J1199" s="129">
        <v>0.944444444444444</v>
      </c>
      <c r="K1199" s="129">
        <v>0.96875</v>
      </c>
      <c r="L1199" s="130">
        <v>0.939393939393939</v>
      </c>
      <c r="M1199" s="129">
        <v>0.950738916256158</v>
      </c>
      <c r="N1199" s="131">
        <v>0.9</v>
      </c>
      <c r="O1199" s="129">
        <v>0.88476773496579</v>
      </c>
      <c r="P1199" s="129">
        <v>0.97610681658468</v>
      </c>
      <c r="Q1199" s="129">
        <v>0.885887096774194</v>
      </c>
      <c r="R1199" s="129">
        <v>0.948169585807713</v>
      </c>
      <c r="S1199" s="131">
        <v>0.9</v>
      </c>
      <c r="T1199" s="129">
        <v>0.929060136838315</v>
      </c>
      <c r="U1199" s="129">
        <v>0.934645115952214</v>
      </c>
      <c r="V1199" s="129">
        <v>0.856048387096774</v>
      </c>
      <c r="W1199" s="129">
        <v>0.935165000375855</v>
      </c>
      <c r="X1199" s="131">
        <v>0.92</v>
      </c>
      <c r="Y1199" s="131">
        <v>0.929906542056075</v>
      </c>
      <c r="Z1199" s="131">
        <v>0.951566951566952</v>
      </c>
      <c r="AA1199" s="131">
        <v>0.953083109919571</v>
      </c>
      <c r="AB1199" s="131">
        <v>0.947558426752803</v>
      </c>
      <c r="AC1199" s="131">
        <v>0.92</v>
      </c>
      <c r="AD1199" s="129">
        <v>0.998963193364438</v>
      </c>
      <c r="AE1199" s="129">
        <v>0.989894736842105</v>
      </c>
      <c r="AF1199" s="129">
        <v>0.995798319327731</v>
      </c>
      <c r="AG1199" s="129">
        <v>0.995785940704829</v>
      </c>
      <c r="AH1199" s="131">
        <v>0.92</v>
      </c>
      <c r="AI1199" s="129">
        <v>0.961637426900585</v>
      </c>
      <c r="AJ1199" s="129">
        <v>0.965688008489565</v>
      </c>
      <c r="AK1199" s="129">
        <v>0.976751394916305</v>
      </c>
      <c r="AL1199" s="129">
        <v>0.971553249203916</v>
      </c>
      <c r="AM1199" s="128">
        <v>0.99</v>
      </c>
      <c r="AN1199" s="133">
        <v>1</v>
      </c>
      <c r="AO1199" s="133">
        <v>1</v>
      </c>
      <c r="AP1199" s="133">
        <v>1</v>
      </c>
      <c r="AQ1199" s="133">
        <v>1</v>
      </c>
      <c r="AR1199" s="153">
        <v>0.0721861525408278</v>
      </c>
      <c r="AS1199" s="137">
        <v>0</v>
      </c>
      <c r="AT1199" s="137">
        <v>0.1</v>
      </c>
      <c r="AU1199" s="137">
        <v>0</v>
      </c>
      <c r="AV1199" s="137">
        <v>0.0294117647058824</v>
      </c>
      <c r="AW1199" s="93"/>
      <c r="AX1199" s="91"/>
    </row>
    <row r="1200" ht="14.5" spans="1:50">
      <c r="A1200" s="89"/>
      <c r="B1200" s="93"/>
      <c r="C1200" s="148" t="s">
        <v>1080</v>
      </c>
      <c r="D1200" s="126" t="s">
        <v>1081</v>
      </c>
      <c r="E1200" s="186" t="s">
        <v>1225</v>
      </c>
      <c r="F1200" s="186" t="s">
        <v>1225</v>
      </c>
      <c r="G1200" s="186" t="s">
        <v>1225</v>
      </c>
      <c r="H1200" s="186" t="s">
        <v>1225</v>
      </c>
      <c r="I1200" s="128">
        <v>0.9</v>
      </c>
      <c r="J1200" s="129">
        <v>1</v>
      </c>
      <c r="K1200" s="129">
        <v>1</v>
      </c>
      <c r="L1200" s="130">
        <v>1</v>
      </c>
      <c r="M1200" s="129">
        <v>1</v>
      </c>
      <c r="N1200" s="131">
        <v>0.9</v>
      </c>
      <c r="O1200" s="129">
        <v>0.933065211146222</v>
      </c>
      <c r="P1200" s="129">
        <v>0.985973115137347</v>
      </c>
      <c r="Q1200" s="129">
        <v>0.985581544376802</v>
      </c>
      <c r="R1200" s="129">
        <v>0.96067573645154</v>
      </c>
      <c r="S1200" s="131">
        <v>0.9</v>
      </c>
      <c r="T1200" s="129">
        <v>0.901752370008618</v>
      </c>
      <c r="U1200" s="129">
        <v>0.93395675043834</v>
      </c>
      <c r="V1200" s="129">
        <v>0.955783402755527</v>
      </c>
      <c r="W1200" s="129">
        <v>0.945384528895885</v>
      </c>
      <c r="X1200" s="131">
        <v>0.92</v>
      </c>
      <c r="Y1200" s="131">
        <v>0.959163346613546</v>
      </c>
      <c r="Z1200" s="131">
        <v>0.942216981132076</v>
      </c>
      <c r="AA1200" s="131">
        <v>0.967149758454106</v>
      </c>
      <c r="AB1200" s="131">
        <v>0.954382084600498</v>
      </c>
      <c r="AC1200" s="131">
        <v>0.92</v>
      </c>
      <c r="AD1200" s="129">
        <v>0.997248769186215</v>
      </c>
      <c r="AE1200" s="129">
        <v>0.992910284463895</v>
      </c>
      <c r="AF1200" s="129">
        <v>0.99344262295082</v>
      </c>
      <c r="AG1200" s="129">
        <v>0.994933292294579</v>
      </c>
      <c r="AH1200" s="131">
        <v>0.92</v>
      </c>
      <c r="AI1200" s="129">
        <v>0.977243764791553</v>
      </c>
      <c r="AJ1200" s="129">
        <v>0.961888009381413</v>
      </c>
      <c r="AK1200" s="129">
        <v>0.984119345524543</v>
      </c>
      <c r="AL1200" s="129">
        <v>0.976023250181642</v>
      </c>
      <c r="AM1200" s="128">
        <v>0.99</v>
      </c>
      <c r="AN1200" s="133">
        <v>1</v>
      </c>
      <c r="AO1200" s="133">
        <v>1</v>
      </c>
      <c r="AP1200" s="133">
        <v>1</v>
      </c>
      <c r="AQ1200" s="133">
        <v>1</v>
      </c>
      <c r="AR1200" s="153">
        <v>0.0721861525408278</v>
      </c>
      <c r="AS1200" s="137">
        <v>0</v>
      </c>
      <c r="AT1200" s="137">
        <v>0</v>
      </c>
      <c r="AU1200" s="137">
        <v>0.142857142857143</v>
      </c>
      <c r="AV1200" s="137">
        <v>0.092485549132948</v>
      </c>
      <c r="AW1200" s="93"/>
      <c r="AX1200" s="91"/>
    </row>
    <row r="1201" ht="14.5" spans="1:50">
      <c r="A1201" s="89"/>
      <c r="B1201" s="93"/>
      <c r="C1201" s="148" t="s">
        <v>1080</v>
      </c>
      <c r="D1201" s="126" t="s">
        <v>1081</v>
      </c>
      <c r="E1201" s="186" t="s">
        <v>1226</v>
      </c>
      <c r="F1201" s="186" t="s">
        <v>1226</v>
      </c>
      <c r="G1201" s="186" t="s">
        <v>1226</v>
      </c>
      <c r="H1201" s="186" t="s">
        <v>1226</v>
      </c>
      <c r="I1201" s="128">
        <v>0.9</v>
      </c>
      <c r="J1201" s="129">
        <v>0.975903614457831</v>
      </c>
      <c r="K1201" s="129">
        <v>0.984848484848485</v>
      </c>
      <c r="L1201" s="130">
        <v>0.955882352941177</v>
      </c>
      <c r="M1201" s="129">
        <v>0.951821386603995</v>
      </c>
      <c r="N1201" s="131">
        <v>0.9</v>
      </c>
      <c r="O1201" s="129">
        <v>0.972254335260116</v>
      </c>
      <c r="P1201" s="129">
        <v>0.963575042158516</v>
      </c>
      <c r="Q1201" s="129">
        <v>0.96547665751275</v>
      </c>
      <c r="R1201" s="129">
        <v>0.963809828376506</v>
      </c>
      <c r="S1201" s="131">
        <v>0.9</v>
      </c>
      <c r="T1201" s="129">
        <v>0.943022295623452</v>
      </c>
      <c r="U1201" s="129">
        <v>0.94637436762226</v>
      </c>
      <c r="V1201" s="129">
        <v>0.930561004315418</v>
      </c>
      <c r="W1201" s="129">
        <v>0.936929254166223</v>
      </c>
      <c r="X1201" s="131">
        <v>0.92</v>
      </c>
      <c r="Y1201" s="131">
        <v>0.951683748169839</v>
      </c>
      <c r="Z1201" s="131">
        <v>0.9570299071846</v>
      </c>
      <c r="AA1201" s="131">
        <v>0.946393117140966</v>
      </c>
      <c r="AB1201" s="131">
        <v>0.952689349022469</v>
      </c>
      <c r="AC1201" s="131">
        <v>0.92</v>
      </c>
      <c r="AD1201" s="129">
        <v>0.998380829015544</v>
      </c>
      <c r="AE1201" s="129">
        <v>0.993737640079103</v>
      </c>
      <c r="AF1201" s="129">
        <v>0.99679914643905</v>
      </c>
      <c r="AG1201" s="129">
        <v>0.99488670283178</v>
      </c>
      <c r="AH1201" s="131">
        <v>0.92</v>
      </c>
      <c r="AI1201" s="129">
        <v>0.972231021011509</v>
      </c>
      <c r="AJ1201" s="129">
        <v>0.971919673247107</v>
      </c>
      <c r="AK1201" s="129">
        <v>0.974277500378272</v>
      </c>
      <c r="AL1201" s="129">
        <v>0.973942975030553</v>
      </c>
      <c r="AM1201" s="128">
        <v>0.99</v>
      </c>
      <c r="AN1201" s="133">
        <v>1</v>
      </c>
      <c r="AO1201" s="133">
        <v>1</v>
      </c>
      <c r="AP1201" s="133">
        <v>1</v>
      </c>
      <c r="AQ1201" s="133">
        <v>1</v>
      </c>
      <c r="AR1201" s="153">
        <v>0.0721861525408278</v>
      </c>
      <c r="AS1201" s="137">
        <v>0.0625</v>
      </c>
      <c r="AT1201" s="137">
        <v>0.0714285714285714</v>
      </c>
      <c r="AU1201" s="137">
        <v>0</v>
      </c>
      <c r="AV1201" s="137">
        <v>0.050251256281407</v>
      </c>
      <c r="AW1201" s="93"/>
      <c r="AX1201" s="91"/>
    </row>
    <row r="1202" ht="14.5" spans="1:50">
      <c r="A1202" s="89"/>
      <c r="B1202" s="93"/>
      <c r="C1202" s="148" t="s">
        <v>1080</v>
      </c>
      <c r="D1202" s="126" t="s">
        <v>1081</v>
      </c>
      <c r="E1202" s="186" t="s">
        <v>1227</v>
      </c>
      <c r="F1202" s="186" t="s">
        <v>1227</v>
      </c>
      <c r="G1202" s="186" t="s">
        <v>1227</v>
      </c>
      <c r="H1202" s="186" t="s">
        <v>1227</v>
      </c>
      <c r="I1202" s="128">
        <v>0.9</v>
      </c>
      <c r="J1202" s="129">
        <v>0.983870967741935</v>
      </c>
      <c r="K1202" s="129">
        <v>1</v>
      </c>
      <c r="L1202" s="130">
        <v>0.981818181818182</v>
      </c>
      <c r="M1202" s="129">
        <v>0.992826398852224</v>
      </c>
      <c r="N1202" s="131">
        <v>0.9</v>
      </c>
      <c r="O1202" s="129">
        <v>0.988027862429256</v>
      </c>
      <c r="P1202" s="129">
        <v>0.991624790619765</v>
      </c>
      <c r="Q1202" s="129">
        <v>0.987832133101564</v>
      </c>
      <c r="R1202" s="129">
        <v>0.988189240577117</v>
      </c>
      <c r="S1202" s="131">
        <v>0.9</v>
      </c>
      <c r="T1202" s="129">
        <v>0.942751414888986</v>
      </c>
      <c r="U1202" s="129">
        <v>0.947236180904523</v>
      </c>
      <c r="V1202" s="129">
        <v>0.955053389620065</v>
      </c>
      <c r="W1202" s="129">
        <v>0.945598926294598</v>
      </c>
      <c r="X1202" s="131">
        <v>0.92</v>
      </c>
      <c r="Y1202" s="131">
        <v>0.958618331053352</v>
      </c>
      <c r="Z1202" s="131">
        <v>0.96604600219058</v>
      </c>
      <c r="AA1202" s="131">
        <v>0.970215934475056</v>
      </c>
      <c r="AB1202" s="131">
        <v>0.966134529147982</v>
      </c>
      <c r="AC1202" s="131">
        <v>0.92</v>
      </c>
      <c r="AD1202" s="129">
        <v>0.997606223818073</v>
      </c>
      <c r="AE1202" s="129">
        <v>0.995049504950495</v>
      </c>
      <c r="AF1202" s="129">
        <v>0.992273019961365</v>
      </c>
      <c r="AG1202" s="129">
        <v>0.968803149973207</v>
      </c>
      <c r="AH1202" s="131">
        <v>0.92</v>
      </c>
      <c r="AI1202" s="129">
        <v>0.975525405693003</v>
      </c>
      <c r="AJ1202" s="129">
        <v>0.976009362200117</v>
      </c>
      <c r="AK1202" s="129">
        <v>0.98342644320298</v>
      </c>
      <c r="AL1202" s="129">
        <v>0.980311651809702</v>
      </c>
      <c r="AM1202" s="128">
        <v>0.99</v>
      </c>
      <c r="AN1202" s="133">
        <v>1</v>
      </c>
      <c r="AO1202" s="133">
        <v>1</v>
      </c>
      <c r="AP1202" s="133">
        <v>1</v>
      </c>
      <c r="AQ1202" s="133">
        <v>1</v>
      </c>
      <c r="AR1202" s="153">
        <v>0.0721861525408278</v>
      </c>
      <c r="AS1202" s="137">
        <v>0.0333333333333333</v>
      </c>
      <c r="AT1202" s="137">
        <v>0</v>
      </c>
      <c r="AU1202" s="137">
        <v>0</v>
      </c>
      <c r="AV1202" s="137">
        <v>0.0327868852459016</v>
      </c>
      <c r="AW1202" s="93"/>
      <c r="AX1202" s="91"/>
    </row>
    <row r="1203" ht="14.5" spans="1:50">
      <c r="A1203" s="89"/>
      <c r="B1203" s="93"/>
      <c r="C1203" s="148" t="s">
        <v>1080</v>
      </c>
      <c r="D1203" s="126" t="s">
        <v>1081</v>
      </c>
      <c r="E1203" s="186" t="s">
        <v>1228</v>
      </c>
      <c r="F1203" s="186" t="s">
        <v>1228</v>
      </c>
      <c r="G1203" s="186" t="s">
        <v>1228</v>
      </c>
      <c r="H1203" s="186" t="s">
        <v>1228</v>
      </c>
      <c r="I1203" s="128">
        <v>0.9</v>
      </c>
      <c r="J1203" s="129">
        <v>0.972972972972973</v>
      </c>
      <c r="K1203" s="129">
        <v>0.983606557377049</v>
      </c>
      <c r="L1203" s="130">
        <v>0.985294117647059</v>
      </c>
      <c r="M1203" s="129">
        <v>0.984088127294982</v>
      </c>
      <c r="N1203" s="131">
        <v>0.9</v>
      </c>
      <c r="O1203" s="129">
        <v>0.975262622839715</v>
      </c>
      <c r="P1203" s="129">
        <v>0.984998404085541</v>
      </c>
      <c r="Q1203" s="129">
        <v>0.983295051158906</v>
      </c>
      <c r="R1203" s="129">
        <v>0.981682521240288</v>
      </c>
      <c r="S1203" s="131">
        <v>0.9</v>
      </c>
      <c r="T1203" s="129">
        <v>0.945272788885124</v>
      </c>
      <c r="U1203" s="129">
        <v>0.95850622406639</v>
      </c>
      <c r="V1203" s="129">
        <v>0.947379411150553</v>
      </c>
      <c r="W1203" s="129">
        <v>0.951891656379348</v>
      </c>
      <c r="X1203" s="131">
        <v>0.92</v>
      </c>
      <c r="Y1203" s="131">
        <v>0.959140435835351</v>
      </c>
      <c r="Z1203" s="131">
        <v>0.96358629130967</v>
      </c>
      <c r="AA1203" s="131">
        <v>0.974522292993631</v>
      </c>
      <c r="AB1203" s="131">
        <v>0.966875090882652</v>
      </c>
      <c r="AC1203" s="131">
        <v>0.92</v>
      </c>
      <c r="AD1203" s="129">
        <v>0.993904761904762</v>
      </c>
      <c r="AE1203" s="129">
        <v>0.983507203179334</v>
      </c>
      <c r="AF1203" s="129">
        <v>0.97031338288347</v>
      </c>
      <c r="AG1203" s="129">
        <v>0.961362723303961</v>
      </c>
      <c r="AH1203" s="131">
        <v>0.92</v>
      </c>
      <c r="AI1203" s="129">
        <v>0.97632493483927</v>
      </c>
      <c r="AJ1203" s="129">
        <v>0.978753319793782</v>
      </c>
      <c r="AK1203" s="129">
        <v>0.985267034990792</v>
      </c>
      <c r="AL1203" s="129">
        <v>0.980722379919984</v>
      </c>
      <c r="AM1203" s="128">
        <v>0.99</v>
      </c>
      <c r="AN1203" s="133">
        <v>1</v>
      </c>
      <c r="AO1203" s="133">
        <v>1</v>
      </c>
      <c r="AP1203" s="133">
        <v>1</v>
      </c>
      <c r="AQ1203" s="133">
        <v>1</v>
      </c>
      <c r="AR1203" s="153">
        <v>0.0721861525408278</v>
      </c>
      <c r="AS1203" s="137">
        <v>0.0810810810810811</v>
      </c>
      <c r="AT1203" s="137">
        <v>0.0357142857142857</v>
      </c>
      <c r="AU1203" s="137">
        <v>0.0277777777777778</v>
      </c>
      <c r="AV1203" s="137">
        <v>0.038659793814433</v>
      </c>
      <c r="AW1203" s="93"/>
      <c r="AX1203" s="91"/>
    </row>
    <row r="1204" ht="14.5" spans="1:50">
      <c r="A1204" s="89"/>
      <c r="B1204" s="93"/>
      <c r="C1204" s="148" t="s">
        <v>1080</v>
      </c>
      <c r="D1204" s="126" t="s">
        <v>1081</v>
      </c>
      <c r="E1204" s="186" t="s">
        <v>1229</v>
      </c>
      <c r="F1204" s="186" t="s">
        <v>1229</v>
      </c>
      <c r="G1204" s="186" t="s">
        <v>1229</v>
      </c>
      <c r="H1204" s="186" t="s">
        <v>1229</v>
      </c>
      <c r="I1204" s="128">
        <v>0.9</v>
      </c>
      <c r="J1204" s="129">
        <v>1</v>
      </c>
      <c r="K1204" s="129">
        <v>1</v>
      </c>
      <c r="L1204" s="130">
        <v>1</v>
      </c>
      <c r="M1204" s="129">
        <v>0.984848484848485</v>
      </c>
      <c r="N1204" s="131">
        <v>0.9</v>
      </c>
      <c r="O1204" s="129">
        <v>0.991029474583511</v>
      </c>
      <c r="P1204" s="129">
        <v>0.991978609625668</v>
      </c>
      <c r="Q1204" s="129">
        <v>0.99282982791587</v>
      </c>
      <c r="R1204" s="129">
        <v>0.990818733153639</v>
      </c>
      <c r="S1204" s="131">
        <v>0.9</v>
      </c>
      <c r="T1204" s="129">
        <v>0.967108073472875</v>
      </c>
      <c r="U1204" s="129">
        <v>0.96524064171123</v>
      </c>
      <c r="V1204" s="129">
        <v>0.969407265774379</v>
      </c>
      <c r="W1204" s="129">
        <v>0.966096698113208</v>
      </c>
      <c r="X1204" s="131">
        <v>0.92</v>
      </c>
      <c r="Y1204" s="131">
        <v>0.974647887323944</v>
      </c>
      <c r="Z1204" s="131">
        <v>0.975124378109453</v>
      </c>
      <c r="AA1204" s="131">
        <v>0.98586118251928</v>
      </c>
      <c r="AB1204" s="131">
        <v>0.976259043337782</v>
      </c>
      <c r="AC1204" s="131">
        <v>0.92</v>
      </c>
      <c r="AD1204" s="129">
        <v>0.998069072051197</v>
      </c>
      <c r="AE1204" s="129">
        <v>0.80661431398838</v>
      </c>
      <c r="AF1204" s="129">
        <v>0.989401433329969</v>
      </c>
      <c r="AG1204" s="129">
        <v>0.931793330293465</v>
      </c>
      <c r="AH1204" s="131">
        <v>0.92</v>
      </c>
      <c r="AI1204" s="129">
        <v>0.984844456261633</v>
      </c>
      <c r="AJ1204" s="129">
        <v>0.983715766099186</v>
      </c>
      <c r="AK1204" s="129">
        <v>0.991637630662021</v>
      </c>
      <c r="AL1204" s="129">
        <v>0.986730905931601</v>
      </c>
      <c r="AM1204" s="128">
        <v>0.99</v>
      </c>
      <c r="AN1204" s="133">
        <v>1</v>
      </c>
      <c r="AO1204" s="133">
        <v>1</v>
      </c>
      <c r="AP1204" s="133">
        <v>1</v>
      </c>
      <c r="AQ1204" s="133">
        <v>0.995884773662551</v>
      </c>
      <c r="AR1204" s="153">
        <v>0.0721861525408278</v>
      </c>
      <c r="AS1204" s="137">
        <v>0.153846153846154</v>
      </c>
      <c r="AT1204" s="137">
        <v>0</v>
      </c>
      <c r="AU1204" s="137">
        <v>0</v>
      </c>
      <c r="AV1204" s="137">
        <v>0.0516129032258065</v>
      </c>
      <c r="AW1204" s="93"/>
      <c r="AX1204" s="91"/>
    </row>
    <row r="1205" ht="14.5" spans="1:50">
      <c r="A1205" s="89"/>
      <c r="B1205" s="93"/>
      <c r="C1205" s="148" t="s">
        <v>1080</v>
      </c>
      <c r="D1205" s="126" t="s">
        <v>1081</v>
      </c>
      <c r="E1205" s="186" t="s">
        <v>1230</v>
      </c>
      <c r="F1205" s="186" t="s">
        <v>1230</v>
      </c>
      <c r="G1205" s="186" t="s">
        <v>1230</v>
      </c>
      <c r="H1205" s="186" t="s">
        <v>1230</v>
      </c>
      <c r="I1205" s="128">
        <v>0.9</v>
      </c>
      <c r="J1205" s="129">
        <v>1</v>
      </c>
      <c r="K1205" s="129">
        <v>1</v>
      </c>
      <c r="L1205" s="130">
        <v>1</v>
      </c>
      <c r="M1205" s="129">
        <v>0.983451536643026</v>
      </c>
      <c r="N1205" s="131">
        <v>0.9</v>
      </c>
      <c r="O1205" s="129">
        <v>0.984705025491624</v>
      </c>
      <c r="P1205" s="129">
        <v>0.994691439946914</v>
      </c>
      <c r="Q1205" s="129">
        <v>0.99515631880229</v>
      </c>
      <c r="R1205" s="129">
        <v>0.990754095935501</v>
      </c>
      <c r="S1205" s="131">
        <v>0.9</v>
      </c>
      <c r="T1205" s="129">
        <v>0.943918426802622</v>
      </c>
      <c r="U1205" s="129">
        <v>0.957531519575315</v>
      </c>
      <c r="V1205" s="129">
        <v>0.953764861294584</v>
      </c>
      <c r="W1205" s="129">
        <v>0.951847331632087</v>
      </c>
      <c r="X1205" s="131">
        <v>0.92</v>
      </c>
      <c r="Y1205" s="131">
        <v>0.965635738831615</v>
      </c>
      <c r="Z1205" s="131">
        <v>0.964360587002096</v>
      </c>
      <c r="AA1205" s="131">
        <v>0.970753655793026</v>
      </c>
      <c r="AB1205" s="131">
        <v>0.968360262947718</v>
      </c>
      <c r="AC1205" s="131">
        <v>0.92</v>
      </c>
      <c r="AD1205" s="129">
        <v>0.999417164505318</v>
      </c>
      <c r="AE1205" s="129">
        <v>0.997207818109294</v>
      </c>
      <c r="AF1205" s="129">
        <v>0.998042094958394</v>
      </c>
      <c r="AG1205" s="129">
        <v>0.997439359967387</v>
      </c>
      <c r="AH1205" s="131">
        <v>0.92</v>
      </c>
      <c r="AI1205" s="129">
        <v>0.979073909171861</v>
      </c>
      <c r="AJ1205" s="129">
        <v>0.977535738597685</v>
      </c>
      <c r="AK1205" s="129">
        <v>0.984177215189873</v>
      </c>
      <c r="AL1205" s="129">
        <v>0.982365432554704</v>
      </c>
      <c r="AM1205" s="128">
        <v>0.99</v>
      </c>
      <c r="AN1205" s="133">
        <v>1</v>
      </c>
      <c r="AO1205" s="133">
        <v>1</v>
      </c>
      <c r="AP1205" s="133">
        <v>1</v>
      </c>
      <c r="AQ1205" s="133">
        <v>1</v>
      </c>
      <c r="AR1205" s="153">
        <v>0.0721861525408278</v>
      </c>
      <c r="AS1205" s="137">
        <v>0.0769230769230769</v>
      </c>
      <c r="AT1205" s="137">
        <v>0</v>
      </c>
      <c r="AU1205" s="137">
        <v>0</v>
      </c>
      <c r="AV1205" s="137">
        <v>0.037037037037037</v>
      </c>
      <c r="AW1205" s="93"/>
      <c r="AX1205" s="91"/>
    </row>
    <row r="1206" ht="14.5" spans="1:50">
      <c r="A1206" s="89"/>
      <c r="B1206" s="93"/>
      <c r="C1206" s="148" t="s">
        <v>1080</v>
      </c>
      <c r="D1206" s="126" t="s">
        <v>1081</v>
      </c>
      <c r="E1206" s="186" t="s">
        <v>1231</v>
      </c>
      <c r="F1206" s="186" t="s">
        <v>1231</v>
      </c>
      <c r="G1206" s="186" t="s">
        <v>1231</v>
      </c>
      <c r="H1206" s="186" t="s">
        <v>1231</v>
      </c>
      <c r="I1206" s="128">
        <v>0.9</v>
      </c>
      <c r="J1206" s="129">
        <v>0.976190476190476</v>
      </c>
      <c r="K1206" s="129">
        <v>0.973684210526316</v>
      </c>
      <c r="L1206" s="130">
        <v>1</v>
      </c>
      <c r="M1206" s="129">
        <v>0.98695652173913</v>
      </c>
      <c r="N1206" s="131">
        <v>0.9</v>
      </c>
      <c r="O1206" s="129">
        <v>0.9860450364732</v>
      </c>
      <c r="P1206" s="129">
        <v>0.974564926372155</v>
      </c>
      <c r="Q1206" s="129">
        <v>0.98</v>
      </c>
      <c r="R1206" s="129">
        <v>0.985691153630085</v>
      </c>
      <c r="S1206" s="131">
        <v>0.9</v>
      </c>
      <c r="T1206" s="129">
        <v>0.943228671106882</v>
      </c>
      <c r="U1206" s="129">
        <v>0.965863453815261</v>
      </c>
      <c r="V1206" s="129">
        <v>0.944210526315789</v>
      </c>
      <c r="W1206" s="129">
        <v>0.950959981494333</v>
      </c>
      <c r="X1206" s="131">
        <v>0.92</v>
      </c>
      <c r="Y1206" s="131">
        <v>0.972747497219132</v>
      </c>
      <c r="Z1206" s="131">
        <v>0.980484920165583</v>
      </c>
      <c r="AA1206" s="131">
        <v>0.967849223946785</v>
      </c>
      <c r="AB1206" s="131">
        <v>0.973569453307807</v>
      </c>
      <c r="AC1206" s="131">
        <v>0.92</v>
      </c>
      <c r="AD1206" s="129">
        <v>0.993960849645981</v>
      </c>
      <c r="AE1206" s="129">
        <v>0.995887337986042</v>
      </c>
      <c r="AF1206" s="129">
        <v>0.960576923076923</v>
      </c>
      <c r="AG1206" s="129">
        <v>0.969906071479353</v>
      </c>
      <c r="AH1206" s="131">
        <v>0.92</v>
      </c>
      <c r="AI1206" s="129">
        <v>0.981623586429725</v>
      </c>
      <c r="AJ1206" s="129">
        <v>0.987131198995606</v>
      </c>
      <c r="AK1206" s="129">
        <v>0.987473347547974</v>
      </c>
      <c r="AL1206" s="129">
        <v>0.984981252037822</v>
      </c>
      <c r="AM1206" s="128">
        <v>0.99</v>
      </c>
      <c r="AN1206" s="133">
        <v>1</v>
      </c>
      <c r="AO1206" s="133">
        <v>1</v>
      </c>
      <c r="AP1206" s="133">
        <v>1</v>
      </c>
      <c r="AQ1206" s="133">
        <v>1</v>
      </c>
      <c r="AR1206" s="153">
        <v>0.0721861525408278</v>
      </c>
      <c r="AS1206" s="137">
        <v>0.133333333333333</v>
      </c>
      <c r="AT1206" s="137">
        <v>0.142857142857143</v>
      </c>
      <c r="AU1206" s="137">
        <v>0</v>
      </c>
      <c r="AV1206" s="137">
        <v>0.0431034482758621</v>
      </c>
      <c r="AW1206" s="93"/>
      <c r="AX1206" s="91"/>
    </row>
    <row r="1207" ht="14.5" spans="1:50">
      <c r="A1207" s="89"/>
      <c r="B1207" s="93"/>
      <c r="C1207" s="148" t="s">
        <v>1080</v>
      </c>
      <c r="D1207" s="126" t="s">
        <v>1081</v>
      </c>
      <c r="E1207" s="186" t="s">
        <v>1232</v>
      </c>
      <c r="F1207" s="186" t="s">
        <v>1232</v>
      </c>
      <c r="G1207" s="186" t="s">
        <v>1232</v>
      </c>
      <c r="H1207" s="186" t="s">
        <v>1232</v>
      </c>
      <c r="I1207" s="128">
        <v>0.9</v>
      </c>
      <c r="J1207" s="129">
        <v>0.964285714285714</v>
      </c>
      <c r="K1207" s="129">
        <v>0.909090909090909</v>
      </c>
      <c r="L1207" s="130">
        <v>0.956521739130435</v>
      </c>
      <c r="M1207" s="129">
        <v>0.936666666666667</v>
      </c>
      <c r="N1207" s="131">
        <v>0.9</v>
      </c>
      <c r="O1207" s="129">
        <v>0.97081475476287</v>
      </c>
      <c r="P1207" s="129">
        <v>0.981132075471698</v>
      </c>
      <c r="Q1207" s="129">
        <v>0.981201044386423</v>
      </c>
      <c r="R1207" s="129">
        <v>0.984030184705831</v>
      </c>
      <c r="S1207" s="131">
        <v>0.9</v>
      </c>
      <c r="T1207" s="129">
        <v>0.940008107012566</v>
      </c>
      <c r="U1207" s="129">
        <v>0.932075471698113</v>
      </c>
      <c r="V1207" s="129">
        <v>0.911227154046997</v>
      </c>
      <c r="W1207" s="129">
        <v>0.943315930329487</v>
      </c>
      <c r="X1207" s="131">
        <v>0.92</v>
      </c>
      <c r="Y1207" s="131">
        <v>0.955089820359281</v>
      </c>
      <c r="Z1207" s="131">
        <v>0.945181255526083</v>
      </c>
      <c r="AA1207" s="131">
        <v>0.941031941031941</v>
      </c>
      <c r="AB1207" s="131">
        <v>0.954855811711784</v>
      </c>
      <c r="AC1207" s="131">
        <v>0.92</v>
      </c>
      <c r="AD1207" s="129">
        <v>0.9984</v>
      </c>
      <c r="AE1207" s="129">
        <v>0.995189586870402</v>
      </c>
      <c r="AF1207" s="129">
        <v>0.997553816046967</v>
      </c>
      <c r="AG1207" s="129">
        <v>0.997513461886805</v>
      </c>
      <c r="AH1207" s="131">
        <v>0.92</v>
      </c>
      <c r="AI1207" s="129">
        <v>0.968445963712858</v>
      </c>
      <c r="AJ1207" s="129">
        <v>0.960292104062072</v>
      </c>
      <c r="AK1207" s="129">
        <v>0.965921582997435</v>
      </c>
      <c r="AL1207" s="129">
        <v>0.972448429475357</v>
      </c>
      <c r="AM1207" s="128">
        <v>0.99</v>
      </c>
      <c r="AN1207" s="133">
        <v>1</v>
      </c>
      <c r="AO1207" s="133">
        <v>1</v>
      </c>
      <c r="AP1207" s="133">
        <v>1</v>
      </c>
      <c r="AQ1207" s="133">
        <v>1</v>
      </c>
      <c r="AR1207" s="153">
        <v>0.0721861525408278</v>
      </c>
      <c r="AS1207" s="137">
        <v>0.25</v>
      </c>
      <c r="AT1207" s="137">
        <v>0</v>
      </c>
      <c r="AU1207" s="137">
        <v>0</v>
      </c>
      <c r="AV1207" s="137">
        <v>0.0416666666666667</v>
      </c>
      <c r="AW1207" s="93"/>
      <c r="AX1207" s="91"/>
    </row>
    <row r="1208" ht="14.5" spans="1:50">
      <c r="A1208" s="89"/>
      <c r="B1208" s="93"/>
      <c r="C1208" s="148" t="s">
        <v>1080</v>
      </c>
      <c r="D1208" s="126" t="s">
        <v>1081</v>
      </c>
      <c r="E1208" s="186" t="s">
        <v>1233</v>
      </c>
      <c r="F1208" s="186" t="s">
        <v>1233</v>
      </c>
      <c r="G1208" s="186" t="s">
        <v>1233</v>
      </c>
      <c r="H1208" s="186" t="s">
        <v>1233</v>
      </c>
      <c r="I1208" s="128">
        <v>0.9</v>
      </c>
      <c r="J1208" s="129">
        <v>0.886792452830189</v>
      </c>
      <c r="K1208" s="129">
        <v>0.904761904761905</v>
      </c>
      <c r="L1208" s="130">
        <v>0.928571428571429</v>
      </c>
      <c r="M1208" s="129">
        <v>0.922413793103448</v>
      </c>
      <c r="N1208" s="131">
        <v>0.9</v>
      </c>
      <c r="O1208" s="129">
        <v>0.888098999473407</v>
      </c>
      <c r="P1208" s="129">
        <v>0.918933054393305</v>
      </c>
      <c r="Q1208" s="129">
        <v>0.914572864321608</v>
      </c>
      <c r="R1208" s="129">
        <v>0.926798625711502</v>
      </c>
      <c r="S1208" s="131">
        <v>0.9</v>
      </c>
      <c r="T1208" s="129">
        <v>0.918114797261717</v>
      </c>
      <c r="U1208" s="129">
        <v>0.935146443514644</v>
      </c>
      <c r="V1208" s="129">
        <v>0.896245935560154</v>
      </c>
      <c r="W1208" s="129">
        <v>0.922824470539972</v>
      </c>
      <c r="X1208" s="131">
        <v>0.92</v>
      </c>
      <c r="Y1208" s="131">
        <v>0.950931394820536</v>
      </c>
      <c r="Z1208" s="131">
        <v>0.947368421052632</v>
      </c>
      <c r="AA1208" s="131">
        <v>0.940017905102954</v>
      </c>
      <c r="AB1208" s="131">
        <v>0.956710766210088</v>
      </c>
      <c r="AC1208" s="131">
        <v>0.92</v>
      </c>
      <c r="AD1208" s="129">
        <v>0.998442367601246</v>
      </c>
      <c r="AE1208" s="129">
        <v>0.995876288659794</v>
      </c>
      <c r="AF1208" s="129">
        <v>0.992886884108258</v>
      </c>
      <c r="AG1208" s="129">
        <v>0.995065319938554</v>
      </c>
      <c r="AH1208" s="131">
        <v>0.92</v>
      </c>
      <c r="AI1208" s="129">
        <v>0.969494915819303</v>
      </c>
      <c r="AJ1208" s="129">
        <v>0.968060244092444</v>
      </c>
      <c r="AK1208" s="129">
        <v>0.971555555555556</v>
      </c>
      <c r="AL1208" s="129">
        <v>0.975645695364238</v>
      </c>
      <c r="AM1208" s="128">
        <v>0.99</v>
      </c>
      <c r="AN1208" s="133">
        <v>1</v>
      </c>
      <c r="AO1208" s="133">
        <v>1</v>
      </c>
      <c r="AP1208" s="133">
        <v>1</v>
      </c>
      <c r="AQ1208" s="133">
        <v>1</v>
      </c>
      <c r="AR1208" s="153">
        <v>0.0721861525408278</v>
      </c>
      <c r="AS1208" s="137">
        <v>0</v>
      </c>
      <c r="AT1208" s="137">
        <v>0.166666666666667</v>
      </c>
      <c r="AU1208" s="137">
        <v>0.0666666666666667</v>
      </c>
      <c r="AV1208" s="137">
        <v>0.0625</v>
      </c>
      <c r="AW1208" s="93"/>
      <c r="AX1208" s="91"/>
    </row>
    <row r="1209" ht="14.5" spans="1:50">
      <c r="A1209" s="89"/>
      <c r="B1209" s="93"/>
      <c r="C1209" s="148" t="s">
        <v>1080</v>
      </c>
      <c r="D1209" s="126" t="s">
        <v>1081</v>
      </c>
      <c r="E1209" s="186" t="s">
        <v>1234</v>
      </c>
      <c r="F1209" s="186" t="s">
        <v>1234</v>
      </c>
      <c r="G1209" s="186" t="s">
        <v>1234</v>
      </c>
      <c r="H1209" s="186" t="s">
        <v>1234</v>
      </c>
      <c r="I1209" s="128">
        <v>0.9</v>
      </c>
      <c r="J1209" s="129">
        <v>1</v>
      </c>
      <c r="K1209" s="129">
        <v>1</v>
      </c>
      <c r="L1209" s="130">
        <v>0.972222222222222</v>
      </c>
      <c r="M1209" s="129">
        <v>0.995444191343964</v>
      </c>
      <c r="N1209" s="131">
        <v>0.9</v>
      </c>
      <c r="O1209" s="129">
        <v>0.991587802313354</v>
      </c>
      <c r="P1209" s="129">
        <v>0.942257217847769</v>
      </c>
      <c r="Q1209" s="129">
        <v>0.957878315132605</v>
      </c>
      <c r="R1209" s="129">
        <v>0.984407330771505</v>
      </c>
      <c r="S1209" s="131">
        <v>0.9</v>
      </c>
      <c r="T1209" s="129">
        <v>0.955134945671223</v>
      </c>
      <c r="U1209" s="129">
        <v>0.95997375328084</v>
      </c>
      <c r="V1209" s="129">
        <v>0.963338533541342</v>
      </c>
      <c r="W1209" s="129">
        <v>0.958247117942654</v>
      </c>
      <c r="X1209" s="131">
        <v>0.92</v>
      </c>
      <c r="Y1209" s="131">
        <v>0.965993623804463</v>
      </c>
      <c r="Z1209" s="131">
        <v>0.982786444324906</v>
      </c>
      <c r="AA1209" s="131">
        <v>0.973002159827214</v>
      </c>
      <c r="AB1209" s="131">
        <v>0.976724137931035</v>
      </c>
      <c r="AC1209" s="131">
        <v>0.92</v>
      </c>
      <c r="AD1209" s="129">
        <v>1</v>
      </c>
      <c r="AE1209" s="129">
        <v>0.998883928571429</v>
      </c>
      <c r="AF1209" s="129">
        <v>0.994505494505495</v>
      </c>
      <c r="AG1209" s="129">
        <v>0.992179530771846</v>
      </c>
      <c r="AH1209" s="131">
        <v>0.92</v>
      </c>
      <c r="AI1209" s="129">
        <v>0.97909186906019</v>
      </c>
      <c r="AJ1209" s="129">
        <v>0.984924623115578</v>
      </c>
      <c r="AK1209" s="129">
        <v>0.987392550143266</v>
      </c>
      <c r="AL1209" s="129">
        <v>0.985972910182791</v>
      </c>
      <c r="AM1209" s="128">
        <v>0.99</v>
      </c>
      <c r="AN1209" s="133">
        <v>1</v>
      </c>
      <c r="AO1209" s="133">
        <v>1</v>
      </c>
      <c r="AP1209" s="133">
        <v>1</v>
      </c>
      <c r="AQ1209" s="133">
        <v>1</v>
      </c>
      <c r="AR1209" s="153">
        <v>0.0721861525408278</v>
      </c>
      <c r="AS1209" s="137">
        <v>0</v>
      </c>
      <c r="AT1209" s="137">
        <v>0.166666666666667</v>
      </c>
      <c r="AU1209" s="137">
        <v>0.111111111111111</v>
      </c>
      <c r="AV1209" s="137">
        <v>0.0606060606060606</v>
      </c>
      <c r="AW1209" s="93"/>
      <c r="AX1209" s="91"/>
    </row>
    <row r="1210" ht="14.5" spans="1:50">
      <c r="A1210" s="89"/>
      <c r="B1210" s="93"/>
      <c r="C1210" s="148" t="s">
        <v>1080</v>
      </c>
      <c r="D1210" s="126" t="s">
        <v>1081</v>
      </c>
      <c r="E1210" s="186" t="s">
        <v>1235</v>
      </c>
      <c r="F1210" s="186" t="s">
        <v>1235</v>
      </c>
      <c r="G1210" s="186" t="s">
        <v>1235</v>
      </c>
      <c r="H1210" s="186" t="s">
        <v>1235</v>
      </c>
      <c r="I1210" s="128">
        <v>0.9</v>
      </c>
      <c r="J1210" s="129">
        <v>0.971428571428571</v>
      </c>
      <c r="K1210" s="129">
        <v>1</v>
      </c>
      <c r="L1210" s="130">
        <v>1</v>
      </c>
      <c r="M1210" s="129">
        <v>0.987277353689567</v>
      </c>
      <c r="N1210" s="131">
        <v>0.9</v>
      </c>
      <c r="O1210" s="129">
        <v>0.957983193277311</v>
      </c>
      <c r="P1210" s="129">
        <v>0.928676470588235</v>
      </c>
      <c r="Q1210" s="129">
        <v>0.962451445835132</v>
      </c>
      <c r="R1210" s="129">
        <v>0.944011310846294</v>
      </c>
      <c r="S1210" s="131">
        <v>0.9</v>
      </c>
      <c r="T1210" s="129">
        <v>0.944614209320092</v>
      </c>
      <c r="U1210" s="129">
        <v>0.950735294117647</v>
      </c>
      <c r="V1210" s="129">
        <v>0.958567112645663</v>
      </c>
      <c r="W1210" s="129">
        <v>0.943082205615027</v>
      </c>
      <c r="X1210" s="131">
        <v>0.92</v>
      </c>
      <c r="Y1210" s="131">
        <v>0.951653944020356</v>
      </c>
      <c r="Z1210" s="131">
        <v>0.969014084507042</v>
      </c>
      <c r="AA1210" s="131">
        <v>0.977393617021277</v>
      </c>
      <c r="AB1210" s="131">
        <v>0.96854134565999</v>
      </c>
      <c r="AC1210" s="131">
        <v>0.92</v>
      </c>
      <c r="AD1210" s="129">
        <v>0.990838820498139</v>
      </c>
      <c r="AE1210" s="129">
        <v>0.997532006786981</v>
      </c>
      <c r="AF1210" s="129">
        <v>0.992753623188406</v>
      </c>
      <c r="AG1210" s="129">
        <v>0.99463349490553</v>
      </c>
      <c r="AH1210" s="131">
        <v>0.92</v>
      </c>
      <c r="AI1210" s="129">
        <v>0.971360381861575</v>
      </c>
      <c r="AJ1210" s="129">
        <v>0.978425026968716</v>
      </c>
      <c r="AK1210" s="129">
        <v>0.987618116650375</v>
      </c>
      <c r="AL1210" s="129">
        <v>0.981726668650203</v>
      </c>
      <c r="AM1210" s="128">
        <v>0.99</v>
      </c>
      <c r="AN1210" s="133">
        <v>1</v>
      </c>
      <c r="AO1210" s="133">
        <v>1</v>
      </c>
      <c r="AP1210" s="133">
        <v>1</v>
      </c>
      <c r="AQ1210" s="133">
        <v>1</v>
      </c>
      <c r="AR1210" s="153">
        <v>0.0721861525408278</v>
      </c>
      <c r="AS1210" s="137">
        <v>0</v>
      </c>
      <c r="AT1210" s="137">
        <v>0</v>
      </c>
      <c r="AU1210" s="137">
        <v>0</v>
      </c>
      <c r="AV1210" s="137">
        <v>0.0245901639344262</v>
      </c>
      <c r="AW1210" s="93"/>
      <c r="AX1210" s="91"/>
    </row>
    <row r="1211" ht="14.5" spans="1:50">
      <c r="A1211" s="89"/>
      <c r="B1211" s="93"/>
      <c r="C1211" s="148" t="s">
        <v>1080</v>
      </c>
      <c r="D1211" s="126" t="s">
        <v>1081</v>
      </c>
      <c r="E1211" s="186" t="s">
        <v>1236</v>
      </c>
      <c r="F1211" s="186" t="s">
        <v>1236</v>
      </c>
      <c r="G1211" s="186" t="s">
        <v>1236</v>
      </c>
      <c r="H1211" s="186" t="s">
        <v>1236</v>
      </c>
      <c r="I1211" s="128">
        <v>0.9</v>
      </c>
      <c r="J1211" s="129">
        <v>0.951612903225806</v>
      </c>
      <c r="K1211" s="129">
        <v>0.959183673469388</v>
      </c>
      <c r="L1211" s="130">
        <v>0.92156862745098</v>
      </c>
      <c r="M1211" s="129">
        <v>0.965465465465465</v>
      </c>
      <c r="N1211" s="131">
        <v>0.9</v>
      </c>
      <c r="O1211" s="129">
        <v>0.986400937866354</v>
      </c>
      <c r="P1211" s="129">
        <v>0.986388770735857</v>
      </c>
      <c r="Q1211" s="129">
        <v>0.945557963163597</v>
      </c>
      <c r="R1211" s="129">
        <v>0.975168360475083</v>
      </c>
      <c r="S1211" s="131">
        <v>0.9</v>
      </c>
      <c r="T1211" s="129">
        <v>0.940445486518171</v>
      </c>
      <c r="U1211" s="129">
        <v>0.93619736282433</v>
      </c>
      <c r="V1211" s="129">
        <v>0.919014084507042</v>
      </c>
      <c r="W1211" s="129">
        <v>0.935545487939268</v>
      </c>
      <c r="X1211" s="131">
        <v>0.92</v>
      </c>
      <c r="Y1211" s="131">
        <v>0.953147877013177</v>
      </c>
      <c r="Z1211" s="131">
        <v>0.952476038338658</v>
      </c>
      <c r="AA1211" s="131">
        <v>0.963057324840764</v>
      </c>
      <c r="AB1211" s="131">
        <v>0.946612943842861</v>
      </c>
      <c r="AC1211" s="131">
        <v>0.92</v>
      </c>
      <c r="AD1211" s="129">
        <v>0.988018433179723</v>
      </c>
      <c r="AE1211" s="129">
        <v>0.996141124586549</v>
      </c>
      <c r="AF1211" s="129">
        <v>0.980582524271845</v>
      </c>
      <c r="AG1211" s="129">
        <v>0.991735537190083</v>
      </c>
      <c r="AH1211" s="131">
        <v>0.92</v>
      </c>
      <c r="AI1211" s="129">
        <v>0.971845076461341</v>
      </c>
      <c r="AJ1211" s="129">
        <v>0.967462932454695</v>
      </c>
      <c r="AK1211" s="129">
        <v>0.983086278981376</v>
      </c>
      <c r="AL1211" s="129">
        <v>0.971253314683684</v>
      </c>
      <c r="AM1211" s="128">
        <v>0.99</v>
      </c>
      <c r="AN1211" s="133">
        <v>1</v>
      </c>
      <c r="AO1211" s="133">
        <v>1</v>
      </c>
      <c r="AP1211" s="133">
        <v>1</v>
      </c>
      <c r="AQ1211" s="133">
        <v>1</v>
      </c>
      <c r="AR1211" s="153">
        <v>0.0721861525408278</v>
      </c>
      <c r="AS1211" s="137">
        <v>0.0476190476190476</v>
      </c>
      <c r="AT1211" s="137">
        <v>0</v>
      </c>
      <c r="AU1211" s="137">
        <v>0</v>
      </c>
      <c r="AV1211" s="137">
        <v>0.0303030303030303</v>
      </c>
      <c r="AW1211" s="93"/>
      <c r="AX1211" s="91"/>
    </row>
    <row r="1212" ht="14.5" spans="1:50">
      <c r="A1212" s="89"/>
      <c r="B1212" s="93"/>
      <c r="C1212" s="148" t="s">
        <v>1080</v>
      </c>
      <c r="D1212" s="126" t="s">
        <v>1081</v>
      </c>
      <c r="E1212" s="186" t="s">
        <v>1237</v>
      </c>
      <c r="F1212" s="186" t="s">
        <v>1237</v>
      </c>
      <c r="G1212" s="186" t="s">
        <v>1237</v>
      </c>
      <c r="H1212" s="186" t="s">
        <v>1237</v>
      </c>
      <c r="I1212" s="128">
        <v>0.9</v>
      </c>
      <c r="J1212" s="129">
        <v>0.973684210526316</v>
      </c>
      <c r="K1212" s="129">
        <v>0.866666666666667</v>
      </c>
      <c r="L1212" s="130">
        <v>0.933333333333333</v>
      </c>
      <c r="M1212" s="129">
        <v>0.9075</v>
      </c>
      <c r="N1212" s="131">
        <v>0.9</v>
      </c>
      <c r="O1212" s="129">
        <v>0.937642585551331</v>
      </c>
      <c r="P1212" s="129">
        <v>0.949408404732762</v>
      </c>
      <c r="Q1212" s="129">
        <v>0.911030860144452</v>
      </c>
      <c r="R1212" s="129">
        <v>0.913370119945079</v>
      </c>
      <c r="S1212" s="131">
        <v>0.9</v>
      </c>
      <c r="T1212" s="129">
        <v>0.84638783269962</v>
      </c>
      <c r="U1212" s="129">
        <v>0.858017135862913</v>
      </c>
      <c r="V1212" s="129">
        <v>0.847669074195666</v>
      </c>
      <c r="W1212" s="129">
        <v>0.839434211548924</v>
      </c>
      <c r="X1212" s="131">
        <v>0.92</v>
      </c>
      <c r="Y1212" s="131">
        <v>0.941687344913151</v>
      </c>
      <c r="Z1212" s="131">
        <v>0.938733125649013</v>
      </c>
      <c r="AA1212" s="131">
        <v>0.942307692307692</v>
      </c>
      <c r="AB1212" s="131">
        <v>0.92893710385178</v>
      </c>
      <c r="AC1212" s="131">
        <v>0.92</v>
      </c>
      <c r="AD1212" s="129">
        <v>0.999820208558073</v>
      </c>
      <c r="AE1212" s="129">
        <v>0.998611882287618</v>
      </c>
      <c r="AF1212" s="129">
        <v>0.998601398601399</v>
      </c>
      <c r="AG1212" s="129">
        <v>0.996537688973464</v>
      </c>
      <c r="AH1212" s="131">
        <v>0.92</v>
      </c>
      <c r="AI1212" s="129">
        <v>0.969059145443065</v>
      </c>
      <c r="AJ1212" s="129">
        <v>0.954305799648506</v>
      </c>
      <c r="AK1212" s="129">
        <v>0.969550369948776</v>
      </c>
      <c r="AL1212" s="129">
        <v>0.960775097741791</v>
      </c>
      <c r="AM1212" s="128">
        <v>0.99</v>
      </c>
      <c r="AN1212" s="133">
        <v>1</v>
      </c>
      <c r="AO1212" s="133">
        <v>1</v>
      </c>
      <c r="AP1212" s="133">
        <v>1</v>
      </c>
      <c r="AQ1212" s="133">
        <v>1</v>
      </c>
      <c r="AR1212" s="153">
        <v>0.0721861525408278</v>
      </c>
      <c r="AS1212" s="137">
        <v>0.125</v>
      </c>
      <c r="AT1212" s="137">
        <v>0.05</v>
      </c>
      <c r="AU1212" s="137">
        <v>0.0833333333333333</v>
      </c>
      <c r="AV1212" s="137">
        <v>0.0531400966183575</v>
      </c>
      <c r="AW1212" s="93"/>
      <c r="AX1212" s="91"/>
    </row>
    <row r="1213" ht="14.5" spans="1:50">
      <c r="A1213" s="89"/>
      <c r="B1213" s="93"/>
      <c r="C1213" s="148" t="s">
        <v>1080</v>
      </c>
      <c r="D1213" s="126" t="s">
        <v>1081</v>
      </c>
      <c r="E1213" s="186" t="s">
        <v>1238</v>
      </c>
      <c r="F1213" s="186" t="s">
        <v>1238</v>
      </c>
      <c r="G1213" s="186" t="s">
        <v>1238</v>
      </c>
      <c r="H1213" s="186" t="s">
        <v>1238</v>
      </c>
      <c r="I1213" s="128">
        <v>0.9</v>
      </c>
      <c r="J1213" s="129">
        <v>0.833333333333333</v>
      </c>
      <c r="K1213" s="129">
        <v>0.823529411764706</v>
      </c>
      <c r="L1213" s="130">
        <v>0.886363636363636</v>
      </c>
      <c r="M1213" s="129">
        <v>0.85934819897084</v>
      </c>
      <c r="N1213" s="131">
        <v>0.9</v>
      </c>
      <c r="O1213" s="129">
        <v>0.844440176685231</v>
      </c>
      <c r="P1213" s="129">
        <v>0.882389162561576</v>
      </c>
      <c r="Q1213" s="129">
        <v>0.660055936943809</v>
      </c>
      <c r="R1213" s="129">
        <v>0.832561776022056</v>
      </c>
      <c r="S1213" s="131">
        <v>0.9</v>
      </c>
      <c r="T1213" s="129">
        <v>0.633762243134242</v>
      </c>
      <c r="U1213" s="129">
        <v>0.681650246305419</v>
      </c>
      <c r="V1213" s="129">
        <v>0.545639460971269</v>
      </c>
      <c r="W1213" s="129">
        <v>0.624344176285414</v>
      </c>
      <c r="X1213" s="131">
        <v>0.92</v>
      </c>
      <c r="Y1213" s="131">
        <v>0.743169398907104</v>
      </c>
      <c r="Z1213" s="131">
        <v>0.719932716568545</v>
      </c>
      <c r="AA1213" s="131">
        <v>0.502546689303905</v>
      </c>
      <c r="AB1213" s="131">
        <v>0.637278885961611</v>
      </c>
      <c r="AC1213" s="131">
        <v>0.92</v>
      </c>
      <c r="AD1213" s="129">
        <v>1</v>
      </c>
      <c r="AE1213" s="129">
        <v>0.996960486322188</v>
      </c>
      <c r="AF1213" s="129">
        <v>0.985915492957746</v>
      </c>
      <c r="AG1213" s="129">
        <v>0.972789115646258</v>
      </c>
      <c r="AH1213" s="131">
        <v>0.92</v>
      </c>
      <c r="AI1213" s="129">
        <v>0.888659793814433</v>
      </c>
      <c r="AJ1213" s="129">
        <v>0.856209150326797</v>
      </c>
      <c r="AK1213" s="129">
        <v>0.817558602388324</v>
      </c>
      <c r="AL1213" s="129">
        <v>0.833116674826533</v>
      </c>
      <c r="AM1213" s="128">
        <v>0.99</v>
      </c>
      <c r="AN1213" s="133">
        <v>1</v>
      </c>
      <c r="AO1213" s="133">
        <v>1</v>
      </c>
      <c r="AP1213" s="133">
        <v>1</v>
      </c>
      <c r="AQ1213" s="133">
        <v>1</v>
      </c>
      <c r="AR1213" s="153">
        <v>0.0721861525408278</v>
      </c>
      <c r="AS1213" s="137">
        <v>0</v>
      </c>
      <c r="AT1213" s="137">
        <v>0.0689655172413793</v>
      </c>
      <c r="AU1213" s="137">
        <v>0.0344827586206897</v>
      </c>
      <c r="AV1213" s="137">
        <v>0.0457746478873239</v>
      </c>
      <c r="AW1213" s="93"/>
      <c r="AX1213" s="91"/>
    </row>
    <row r="1214" ht="14.5" spans="1:50">
      <c r="A1214" s="89"/>
      <c r="B1214" s="93"/>
      <c r="C1214" s="148" t="s">
        <v>1080</v>
      </c>
      <c r="D1214" s="126" t="s">
        <v>1081</v>
      </c>
      <c r="E1214" s="186" t="s">
        <v>1239</v>
      </c>
      <c r="F1214" s="186" t="s">
        <v>1239</v>
      </c>
      <c r="G1214" s="186" t="s">
        <v>1239</v>
      </c>
      <c r="H1214" s="186" t="s">
        <v>1239</v>
      </c>
      <c r="I1214" s="128">
        <v>0.9</v>
      </c>
      <c r="J1214" s="129">
        <v>1</v>
      </c>
      <c r="K1214" s="129">
        <v>0.954545454545455</v>
      </c>
      <c r="L1214" s="130">
        <v>0.906976744186046</v>
      </c>
      <c r="M1214" s="129">
        <v>0.890977443609023</v>
      </c>
      <c r="N1214" s="131">
        <v>0.9</v>
      </c>
      <c r="O1214" s="129">
        <v>0.981542247744053</v>
      </c>
      <c r="P1214" s="129">
        <v>0.979429329794293</v>
      </c>
      <c r="Q1214" s="129">
        <v>0.98451390880413</v>
      </c>
      <c r="R1214" s="129">
        <v>0.980769653897775</v>
      </c>
      <c r="S1214" s="131">
        <v>0.9</v>
      </c>
      <c r="T1214" s="129">
        <v>0.895200984413454</v>
      </c>
      <c r="U1214" s="129">
        <v>0.914399469143995</v>
      </c>
      <c r="V1214" s="129">
        <v>0.916260395755664</v>
      </c>
      <c r="W1214" s="129">
        <v>0.891746793108759</v>
      </c>
      <c r="X1214" s="131">
        <v>0.92</v>
      </c>
      <c r="Y1214" s="131">
        <v>0.943231441048035</v>
      </c>
      <c r="Z1214" s="131">
        <v>0.957219251336898</v>
      </c>
      <c r="AA1214" s="131">
        <v>0.941176470588235</v>
      </c>
      <c r="AB1214" s="131">
        <v>0.939015506296181</v>
      </c>
      <c r="AC1214" s="131">
        <v>0.92</v>
      </c>
      <c r="AD1214" s="129">
        <v>1</v>
      </c>
      <c r="AE1214" s="129">
        <v>1</v>
      </c>
      <c r="AF1214" s="129">
        <v>1</v>
      </c>
      <c r="AG1214" s="129">
        <v>0.999381761978362</v>
      </c>
      <c r="AH1214" s="131">
        <v>0.92</v>
      </c>
      <c r="AI1214" s="129">
        <v>0.97289364640884</v>
      </c>
      <c r="AJ1214" s="129">
        <v>0.975822050290135</v>
      </c>
      <c r="AK1214" s="129">
        <v>0.973958333333333</v>
      </c>
      <c r="AL1214" s="129">
        <v>0.968179589167983</v>
      </c>
      <c r="AM1214" s="128">
        <v>0.99</v>
      </c>
      <c r="AN1214" s="133">
        <v>1</v>
      </c>
      <c r="AO1214" s="133">
        <v>1</v>
      </c>
      <c r="AP1214" s="133">
        <v>1</v>
      </c>
      <c r="AQ1214" s="133">
        <v>1</v>
      </c>
      <c r="AR1214" s="153">
        <v>0.0721861525408278</v>
      </c>
      <c r="AS1214" s="137">
        <v>0.0869565217391304</v>
      </c>
      <c r="AT1214" s="137">
        <v>0.0833333333333333</v>
      </c>
      <c r="AU1214" s="137">
        <v>0.09375</v>
      </c>
      <c r="AV1214" s="137">
        <v>0.0333333333333333</v>
      </c>
      <c r="AW1214" s="93"/>
      <c r="AX1214" s="91"/>
    </row>
    <row r="1215" ht="14.5" spans="1:50">
      <c r="A1215" s="89"/>
      <c r="B1215" s="93"/>
      <c r="C1215" s="148" t="s">
        <v>1080</v>
      </c>
      <c r="D1215" s="126" t="s">
        <v>1081</v>
      </c>
      <c r="E1215" s="186" t="s">
        <v>1240</v>
      </c>
      <c r="F1215" s="186" t="s">
        <v>1240</v>
      </c>
      <c r="G1215" s="186" t="s">
        <v>1240</v>
      </c>
      <c r="H1215" s="186" t="s">
        <v>1240</v>
      </c>
      <c r="I1215" s="128">
        <v>0.9</v>
      </c>
      <c r="J1215" s="129" t="s">
        <v>33</v>
      </c>
      <c r="K1215" s="129" t="s">
        <v>33</v>
      </c>
      <c r="L1215" s="130" t="s">
        <v>33</v>
      </c>
      <c r="M1215" s="129" t="s">
        <v>33</v>
      </c>
      <c r="N1215" s="131">
        <v>0.9</v>
      </c>
      <c r="O1215" s="129">
        <v>0</v>
      </c>
      <c r="P1215" s="129">
        <v>0</v>
      </c>
      <c r="Q1215" s="129">
        <v>0</v>
      </c>
      <c r="R1215" s="129">
        <v>0</v>
      </c>
      <c r="S1215" s="131">
        <v>0.9</v>
      </c>
      <c r="T1215" s="129">
        <v>1</v>
      </c>
      <c r="U1215" s="129">
        <v>0</v>
      </c>
      <c r="V1215" s="129">
        <v>1</v>
      </c>
      <c r="W1215" s="129">
        <v>0.5</v>
      </c>
      <c r="X1215" s="131">
        <v>0.92</v>
      </c>
      <c r="Y1215" s="131" t="s">
        <v>33</v>
      </c>
      <c r="Z1215" s="131" t="s">
        <v>33</v>
      </c>
      <c r="AA1215" s="131" t="s">
        <v>33</v>
      </c>
      <c r="AB1215" s="131">
        <v>1</v>
      </c>
      <c r="AC1215" s="131">
        <v>0.92</v>
      </c>
      <c r="AD1215" s="129">
        <v>0.995026331187829</v>
      </c>
      <c r="AE1215" s="129">
        <v>0.995942656207736</v>
      </c>
      <c r="AF1215" s="129">
        <v>0.988991888760139</v>
      </c>
      <c r="AG1215" s="129">
        <v>0.873082713173891</v>
      </c>
      <c r="AH1215" s="131">
        <v>0.92</v>
      </c>
      <c r="AI1215" s="129">
        <v>1</v>
      </c>
      <c r="AJ1215" s="129">
        <v>0</v>
      </c>
      <c r="AK1215" s="129">
        <v>1</v>
      </c>
      <c r="AL1215" s="129">
        <v>0.736842105263158</v>
      </c>
      <c r="AM1215" s="128">
        <v>0.99</v>
      </c>
      <c r="AN1215" s="133">
        <v>1</v>
      </c>
      <c r="AO1215" s="133">
        <v>1</v>
      </c>
      <c r="AP1215" s="133">
        <v>1</v>
      </c>
      <c r="AQ1215" s="133">
        <v>1</v>
      </c>
      <c r="AR1215" s="153">
        <v>0.0721861525408278</v>
      </c>
      <c r="AS1215" s="137" t="s">
        <v>33</v>
      </c>
      <c r="AT1215" s="137" t="s">
        <v>33</v>
      </c>
      <c r="AU1215" s="137" t="s">
        <v>33</v>
      </c>
      <c r="AV1215" s="137" t="s">
        <v>33</v>
      </c>
      <c r="AW1215" s="93"/>
      <c r="AX1215" s="91"/>
    </row>
    <row r="1216" ht="14.5" spans="1:50">
      <c r="A1216" s="89"/>
      <c r="B1216" s="93"/>
      <c r="C1216" s="148" t="s">
        <v>1080</v>
      </c>
      <c r="D1216" s="126" t="s">
        <v>1081</v>
      </c>
      <c r="E1216" s="186" t="s">
        <v>1241</v>
      </c>
      <c r="F1216" s="186" t="s">
        <v>1241</v>
      </c>
      <c r="G1216" s="186" t="s">
        <v>1241</v>
      </c>
      <c r="H1216" s="186" t="s">
        <v>1241</v>
      </c>
      <c r="I1216" s="128">
        <v>0.9</v>
      </c>
      <c r="J1216" s="129">
        <v>0.96</v>
      </c>
      <c r="K1216" s="129">
        <v>0.976744186046512</v>
      </c>
      <c r="L1216" s="130">
        <v>0.955555555555556</v>
      </c>
      <c r="M1216" s="129">
        <v>0.957281553398058</v>
      </c>
      <c r="N1216" s="131">
        <v>0.9</v>
      </c>
      <c r="O1216" s="129">
        <v>0.841671486408329</v>
      </c>
      <c r="P1216" s="129">
        <v>0.988079019073569</v>
      </c>
      <c r="Q1216" s="129">
        <v>0.987494515138219</v>
      </c>
      <c r="R1216" s="129">
        <v>0.903454512570085</v>
      </c>
      <c r="S1216" s="131">
        <v>0.9</v>
      </c>
      <c r="T1216" s="129">
        <v>0.784702139965298</v>
      </c>
      <c r="U1216" s="129">
        <v>0.898160762942779</v>
      </c>
      <c r="V1216" s="129">
        <v>0.837209302325581</v>
      </c>
      <c r="W1216" s="129">
        <v>0.804648218484355</v>
      </c>
      <c r="X1216" s="131">
        <v>0.92</v>
      </c>
      <c r="Y1216" s="131">
        <v>0.930670685757347</v>
      </c>
      <c r="Z1216" s="131">
        <v>0.936943620178042</v>
      </c>
      <c r="AA1216" s="131">
        <v>0.885174418604651</v>
      </c>
      <c r="AB1216" s="131">
        <v>0.908662345315262</v>
      </c>
      <c r="AC1216" s="131">
        <v>0.92</v>
      </c>
      <c r="AD1216" s="129">
        <v>0.998506273650667</v>
      </c>
      <c r="AE1216" s="129">
        <v>0.997933227344992</v>
      </c>
      <c r="AF1216" s="129">
        <v>0.997039960532807</v>
      </c>
      <c r="AG1216" s="129">
        <v>0.992687303047208</v>
      </c>
      <c r="AH1216" s="131">
        <v>0.92</v>
      </c>
      <c r="AI1216" s="129">
        <v>0.95402717127608</v>
      </c>
      <c r="AJ1216" s="129">
        <v>0.95820686434742</v>
      </c>
      <c r="AK1216" s="129">
        <v>0.955775829203202</v>
      </c>
      <c r="AL1216" s="129">
        <v>0.943533860330788</v>
      </c>
      <c r="AM1216" s="128">
        <v>0.99</v>
      </c>
      <c r="AN1216" s="133">
        <v>1</v>
      </c>
      <c r="AO1216" s="133">
        <v>1</v>
      </c>
      <c r="AP1216" s="133">
        <v>1</v>
      </c>
      <c r="AQ1216" s="133">
        <v>1</v>
      </c>
      <c r="AR1216" s="153">
        <v>0.0721861525408278</v>
      </c>
      <c r="AS1216" s="137">
        <v>0.0975609756097561</v>
      </c>
      <c r="AT1216" s="137">
        <v>0.138888888888889</v>
      </c>
      <c r="AU1216" s="137">
        <v>0.0508474576271186</v>
      </c>
      <c r="AV1216" s="137">
        <v>0.0239043824701195</v>
      </c>
      <c r="AW1216" s="93"/>
      <c r="AX1216" s="91"/>
    </row>
    <row r="1217" ht="14.5" spans="1:50">
      <c r="A1217" s="89"/>
      <c r="B1217" s="93"/>
      <c r="C1217" s="148" t="s">
        <v>1080</v>
      </c>
      <c r="D1217" s="126" t="s">
        <v>1081</v>
      </c>
      <c r="E1217" s="187" t="s">
        <v>1242</v>
      </c>
      <c r="F1217" s="187" t="s">
        <v>1242</v>
      </c>
      <c r="G1217" s="187" t="s">
        <v>1242</v>
      </c>
      <c r="H1217" s="187" t="s">
        <v>1242</v>
      </c>
      <c r="I1217" s="128">
        <v>0.9</v>
      </c>
      <c r="J1217" s="129">
        <v>0.970588235294118</v>
      </c>
      <c r="K1217" s="129">
        <v>1</v>
      </c>
      <c r="L1217" s="130">
        <v>0.939393939393939</v>
      </c>
      <c r="M1217" s="129">
        <v>0.952112676056338</v>
      </c>
      <c r="N1217" s="131">
        <v>0.9</v>
      </c>
      <c r="O1217" s="129">
        <v>0.862776877363587</v>
      </c>
      <c r="P1217" s="129">
        <v>0.976255088195387</v>
      </c>
      <c r="Q1217" s="129">
        <v>0.980513307984791</v>
      </c>
      <c r="R1217" s="129">
        <v>0.95868361697765</v>
      </c>
      <c r="S1217" s="131">
        <v>0.9</v>
      </c>
      <c r="T1217" s="129">
        <v>0.894381415451107</v>
      </c>
      <c r="U1217" s="129">
        <v>0.91044776119403</v>
      </c>
      <c r="V1217" s="129">
        <v>0.893536121673004</v>
      </c>
      <c r="W1217" s="129">
        <v>0.863714031850181</v>
      </c>
      <c r="X1217" s="131">
        <v>0.92</v>
      </c>
      <c r="Y1217" s="131">
        <v>0.916775032509753</v>
      </c>
      <c r="Z1217" s="131">
        <v>0.895095367847411</v>
      </c>
      <c r="AA1217" s="131">
        <v>0.879765395894428</v>
      </c>
      <c r="AB1217" s="131">
        <v>0.883160463697376</v>
      </c>
      <c r="AC1217" s="131">
        <v>0.92</v>
      </c>
      <c r="AD1217" s="129">
        <v>0.998315080033698</v>
      </c>
      <c r="AE1217" s="129">
        <v>0.997647849462366</v>
      </c>
      <c r="AF1217" s="129">
        <v>0.993392070484581</v>
      </c>
      <c r="AG1217" s="129">
        <v>0.997324025596277</v>
      </c>
      <c r="AH1217" s="131">
        <v>0.92</v>
      </c>
      <c r="AI1217" s="129">
        <v>0.951475849731664</v>
      </c>
      <c r="AJ1217" s="129">
        <v>0.940670289855073</v>
      </c>
      <c r="AK1217" s="129">
        <v>0.955828220858896</v>
      </c>
      <c r="AL1217" s="129">
        <v>0.938133392892041</v>
      </c>
      <c r="AM1217" s="128">
        <v>0.99</v>
      </c>
      <c r="AN1217" s="133">
        <v>1</v>
      </c>
      <c r="AO1217" s="133">
        <v>1</v>
      </c>
      <c r="AP1217" s="133">
        <v>1</v>
      </c>
      <c r="AQ1217" s="133">
        <v>1</v>
      </c>
      <c r="AR1217" s="153">
        <v>0.0721861525408278</v>
      </c>
      <c r="AS1217" s="137">
        <v>0.111111111111111</v>
      </c>
      <c r="AT1217" s="137">
        <v>0.0909090909090909</v>
      </c>
      <c r="AU1217" s="137">
        <v>0.05</v>
      </c>
      <c r="AV1217" s="137">
        <v>0.0552763819095477</v>
      </c>
      <c r="AW1217" s="93"/>
      <c r="AX1217" s="91"/>
    </row>
    <row r="1218" ht="14.5" spans="1:50">
      <c r="A1218" s="89"/>
      <c r="B1218" s="93"/>
      <c r="C1218" s="148" t="s">
        <v>1080</v>
      </c>
      <c r="D1218" s="126" t="s">
        <v>1081</v>
      </c>
      <c r="E1218" s="186" t="s">
        <v>1243</v>
      </c>
      <c r="F1218" s="186" t="s">
        <v>1243</v>
      </c>
      <c r="G1218" s="186" t="s">
        <v>1243</v>
      </c>
      <c r="H1218" s="186" t="s">
        <v>1243</v>
      </c>
      <c r="I1218" s="128">
        <v>0.9</v>
      </c>
      <c r="J1218" s="129" t="s">
        <v>33</v>
      </c>
      <c r="K1218" s="129" t="s">
        <v>33</v>
      </c>
      <c r="L1218" s="130" t="s">
        <v>33</v>
      </c>
      <c r="M1218" s="129" t="s">
        <v>33</v>
      </c>
      <c r="N1218" s="131">
        <v>0.9</v>
      </c>
      <c r="O1218" s="129">
        <v>0</v>
      </c>
      <c r="P1218" s="129" t="s">
        <v>33</v>
      </c>
      <c r="Q1218" s="129" t="s">
        <v>33</v>
      </c>
      <c r="R1218" s="129">
        <v>0.272727272727273</v>
      </c>
      <c r="S1218" s="131">
        <v>0.9</v>
      </c>
      <c r="T1218" s="129">
        <v>1</v>
      </c>
      <c r="U1218" s="129" t="s">
        <v>33</v>
      </c>
      <c r="V1218" s="129" t="s">
        <v>33</v>
      </c>
      <c r="W1218" s="129">
        <v>1</v>
      </c>
      <c r="X1218" s="131">
        <v>0.92</v>
      </c>
      <c r="Y1218" s="131" t="s">
        <v>33</v>
      </c>
      <c r="Z1218" s="131" t="s">
        <v>33</v>
      </c>
      <c r="AA1218" s="131" t="s">
        <v>33</v>
      </c>
      <c r="AB1218" s="131">
        <v>0</v>
      </c>
      <c r="AC1218" s="131">
        <v>0.92</v>
      </c>
      <c r="AD1218" s="129">
        <v>0.998282524688708</v>
      </c>
      <c r="AE1218" s="129">
        <v>0.996507786691836</v>
      </c>
      <c r="AF1218" s="129">
        <v>0.817122966731374</v>
      </c>
      <c r="AG1218" s="129">
        <v>0.962435290473873</v>
      </c>
      <c r="AH1218" s="131">
        <v>0.92</v>
      </c>
      <c r="AI1218" s="129">
        <v>1</v>
      </c>
      <c r="AJ1218" s="129" t="s">
        <v>33</v>
      </c>
      <c r="AK1218" s="129">
        <v>1</v>
      </c>
      <c r="AL1218" s="129">
        <v>0.944444444444444</v>
      </c>
      <c r="AM1218" s="128">
        <v>0.99</v>
      </c>
      <c r="AN1218" s="133">
        <v>1</v>
      </c>
      <c r="AO1218" s="133">
        <v>1</v>
      </c>
      <c r="AP1218" s="133">
        <v>1</v>
      </c>
      <c r="AQ1218" s="133">
        <v>1</v>
      </c>
      <c r="AR1218" s="153">
        <v>0.0721861525408278</v>
      </c>
      <c r="AS1218" s="137" t="s">
        <v>33</v>
      </c>
      <c r="AT1218" s="137" t="s">
        <v>33</v>
      </c>
      <c r="AU1218" s="137" t="s">
        <v>33</v>
      </c>
      <c r="AV1218" s="137" t="s">
        <v>33</v>
      </c>
      <c r="AW1218" s="93"/>
      <c r="AX1218" s="91"/>
    </row>
    <row r="1219" ht="14.5" spans="1:50">
      <c r="A1219" s="89"/>
      <c r="B1219" s="93"/>
      <c r="C1219" s="148" t="s">
        <v>1080</v>
      </c>
      <c r="D1219" s="126" t="s">
        <v>1081</v>
      </c>
      <c r="E1219" s="186" t="s">
        <v>1244</v>
      </c>
      <c r="F1219" s="186" t="s">
        <v>1244</v>
      </c>
      <c r="G1219" s="186" t="s">
        <v>1244</v>
      </c>
      <c r="H1219" s="186" t="s">
        <v>1244</v>
      </c>
      <c r="I1219" s="128">
        <v>0.9</v>
      </c>
      <c r="J1219" s="129" t="s">
        <v>33</v>
      </c>
      <c r="K1219" s="129" t="s">
        <v>33</v>
      </c>
      <c r="L1219" s="130" t="s">
        <v>33</v>
      </c>
      <c r="M1219" s="129" t="s">
        <v>33</v>
      </c>
      <c r="N1219" s="131">
        <v>0.9</v>
      </c>
      <c r="O1219" s="129">
        <v>0.998223801065719</v>
      </c>
      <c r="P1219" s="129">
        <v>0.00796812749003984</v>
      </c>
      <c r="Q1219" s="129">
        <v>0.794573643410853</v>
      </c>
      <c r="R1219" s="129">
        <v>0.888769285970578</v>
      </c>
      <c r="S1219" s="131">
        <v>0.9</v>
      </c>
      <c r="T1219" s="129">
        <v>0.996447602131439</v>
      </c>
      <c r="U1219" s="129">
        <v>1</v>
      </c>
      <c r="V1219" s="129">
        <v>0.998062015503876</v>
      </c>
      <c r="W1219" s="129">
        <v>0.997488338715465</v>
      </c>
      <c r="X1219" s="131">
        <v>0.92</v>
      </c>
      <c r="Y1219" s="131">
        <v>1</v>
      </c>
      <c r="Z1219" s="131">
        <v>1</v>
      </c>
      <c r="AA1219" s="131">
        <v>0.99236641221374</v>
      </c>
      <c r="AB1219" s="131">
        <v>0.997476871320437</v>
      </c>
      <c r="AC1219" s="131">
        <v>0.92</v>
      </c>
      <c r="AD1219" s="129">
        <v>0.997729852440409</v>
      </c>
      <c r="AE1219" s="129">
        <v>0.846424249409324</v>
      </c>
      <c r="AF1219" s="129">
        <v>0.989385940539039</v>
      </c>
      <c r="AG1219" s="129">
        <v>0.959789127817349</v>
      </c>
      <c r="AH1219" s="131">
        <v>0.92</v>
      </c>
      <c r="AI1219" s="129">
        <v>0.998546511627907</v>
      </c>
      <c r="AJ1219" s="129">
        <v>1</v>
      </c>
      <c r="AK1219" s="129">
        <v>0.996908809891808</v>
      </c>
      <c r="AL1219" s="129">
        <v>0.997635584453968</v>
      </c>
      <c r="AM1219" s="128">
        <v>0.99</v>
      </c>
      <c r="AN1219" s="133">
        <v>1</v>
      </c>
      <c r="AO1219" s="133">
        <v>1</v>
      </c>
      <c r="AP1219" s="133">
        <v>1</v>
      </c>
      <c r="AQ1219" s="133">
        <v>1</v>
      </c>
      <c r="AR1219" s="153">
        <v>0.0721861525408278</v>
      </c>
      <c r="AS1219" s="137">
        <v>0.0246913580246914</v>
      </c>
      <c r="AT1219" s="137">
        <v>0</v>
      </c>
      <c r="AU1219" s="137">
        <v>0.00862068965517241</v>
      </c>
      <c r="AV1219" s="137">
        <v>0.00851581508515815</v>
      </c>
      <c r="AW1219" s="93"/>
      <c r="AX1219" s="91"/>
    </row>
    <row r="1220" ht="14.5" spans="1:50">
      <c r="A1220" s="89"/>
      <c r="B1220" s="93"/>
      <c r="C1220" s="148" t="s">
        <v>1080</v>
      </c>
      <c r="D1220" s="126" t="s">
        <v>1081</v>
      </c>
      <c r="E1220" s="188" t="s">
        <v>1245</v>
      </c>
      <c r="F1220" s="188" t="s">
        <v>1245</v>
      </c>
      <c r="G1220" s="188" t="s">
        <v>1245</v>
      </c>
      <c r="H1220" s="188" t="s">
        <v>1245</v>
      </c>
      <c r="I1220" s="128">
        <v>0.9</v>
      </c>
      <c r="J1220" s="129">
        <v>0.947368421052632</v>
      </c>
      <c r="K1220" s="129">
        <v>0.75</v>
      </c>
      <c r="L1220" s="130">
        <v>0.764705882352941</v>
      </c>
      <c r="M1220" s="129">
        <v>0.892156862745098</v>
      </c>
      <c r="N1220" s="131">
        <v>0.9</v>
      </c>
      <c r="O1220" s="129">
        <v>0.955366631243358</v>
      </c>
      <c r="P1220" s="129">
        <v>0.932129963898917</v>
      </c>
      <c r="Q1220" s="129">
        <v>0.953134510042605</v>
      </c>
      <c r="R1220" s="129">
        <v>0.941276505287772</v>
      </c>
      <c r="S1220" s="131">
        <v>0.9</v>
      </c>
      <c r="T1220" s="129">
        <v>0.90913921360255</v>
      </c>
      <c r="U1220" s="129">
        <v>0.931407942238267</v>
      </c>
      <c r="V1220" s="129">
        <v>0.89592209373098</v>
      </c>
      <c r="W1220" s="129">
        <v>0.904341818568316</v>
      </c>
      <c r="X1220" s="131">
        <v>0.92</v>
      </c>
      <c r="Y1220" s="131">
        <v>0.949790794979079</v>
      </c>
      <c r="Z1220" s="131">
        <v>0.95643153526971</v>
      </c>
      <c r="AA1220" s="131">
        <v>0.969798657718121</v>
      </c>
      <c r="AB1220" s="131">
        <v>0.946068434171765</v>
      </c>
      <c r="AC1220" s="131">
        <v>0.92</v>
      </c>
      <c r="AD1220" s="129">
        <v>0.872088458518712</v>
      </c>
      <c r="AE1220" s="129">
        <v>0.920961488756785</v>
      </c>
      <c r="AF1220" s="129">
        <v>0.801499084366083</v>
      </c>
      <c r="AG1220" s="129">
        <v>0.866593553488722</v>
      </c>
      <c r="AH1220" s="131">
        <v>0.92</v>
      </c>
      <c r="AI1220" s="129">
        <v>0.969093988145639</v>
      </c>
      <c r="AJ1220" s="129">
        <v>0.967862881628281</v>
      </c>
      <c r="AK1220" s="129">
        <v>0.976816074188563</v>
      </c>
      <c r="AL1220" s="129">
        <v>0.972210272735094</v>
      </c>
      <c r="AM1220" s="128">
        <v>0.99</v>
      </c>
      <c r="AN1220" s="133">
        <v>1</v>
      </c>
      <c r="AO1220" s="133">
        <v>1</v>
      </c>
      <c r="AP1220" s="133">
        <v>1</v>
      </c>
      <c r="AQ1220" s="133">
        <v>1</v>
      </c>
      <c r="AR1220" s="153">
        <v>0.0721861525408278</v>
      </c>
      <c r="AS1220" s="137">
        <v>0</v>
      </c>
      <c r="AT1220" s="137">
        <v>-0.25</v>
      </c>
      <c r="AU1220" s="137">
        <v>0.0909090909090909</v>
      </c>
      <c r="AV1220" s="137">
        <v>0.0467289719626168</v>
      </c>
      <c r="AW1220" s="93"/>
      <c r="AX1220" s="91"/>
    </row>
    <row r="1221" ht="14.5" spans="1:50">
      <c r="A1221" s="89"/>
      <c r="B1221" s="93"/>
      <c r="C1221" s="148" t="s">
        <v>1080</v>
      </c>
      <c r="D1221" s="126" t="s">
        <v>1081</v>
      </c>
      <c r="E1221" s="186" t="s">
        <v>1246</v>
      </c>
      <c r="F1221" s="186" t="s">
        <v>1246</v>
      </c>
      <c r="G1221" s="186" t="s">
        <v>1246</v>
      </c>
      <c r="H1221" s="186" t="s">
        <v>1246</v>
      </c>
      <c r="I1221" s="128">
        <v>0.9</v>
      </c>
      <c r="J1221" s="129" t="s">
        <v>33</v>
      </c>
      <c r="K1221" s="129" t="s">
        <v>33</v>
      </c>
      <c r="L1221" s="130" t="s">
        <v>33</v>
      </c>
      <c r="M1221" s="129" t="s">
        <v>33</v>
      </c>
      <c r="N1221" s="131">
        <v>0.9</v>
      </c>
      <c r="O1221" s="129" t="s">
        <v>33</v>
      </c>
      <c r="P1221" s="129">
        <v>0</v>
      </c>
      <c r="Q1221" s="129" t="s">
        <v>33</v>
      </c>
      <c r="R1221" s="129">
        <v>0</v>
      </c>
      <c r="S1221" s="131">
        <v>0.9</v>
      </c>
      <c r="T1221" s="129" t="s">
        <v>33</v>
      </c>
      <c r="U1221" s="129">
        <v>1</v>
      </c>
      <c r="V1221" s="129" t="s">
        <v>33</v>
      </c>
      <c r="W1221" s="129">
        <v>0.857142857142857</v>
      </c>
      <c r="X1221" s="131">
        <v>0.92</v>
      </c>
      <c r="Y1221" s="131" t="s">
        <v>33</v>
      </c>
      <c r="Z1221" s="131" t="s">
        <v>33</v>
      </c>
      <c r="AA1221" s="131" t="s">
        <v>33</v>
      </c>
      <c r="AB1221" s="131" t="s">
        <v>33</v>
      </c>
      <c r="AC1221" s="131">
        <v>0.92</v>
      </c>
      <c r="AD1221" s="129">
        <v>0.818590964168253</v>
      </c>
      <c r="AE1221" s="129">
        <v>0.992983440920573</v>
      </c>
      <c r="AF1221" s="129">
        <v>0.994107309004445</v>
      </c>
      <c r="AG1221" s="129">
        <v>0.914401948656473</v>
      </c>
      <c r="AH1221" s="131">
        <v>0.92</v>
      </c>
      <c r="AI1221" s="129" t="s">
        <v>33</v>
      </c>
      <c r="AJ1221" s="129">
        <v>1</v>
      </c>
      <c r="AK1221" s="129" t="s">
        <v>33</v>
      </c>
      <c r="AL1221" s="129">
        <v>0.857142857142857</v>
      </c>
      <c r="AM1221" s="128">
        <v>0.99</v>
      </c>
      <c r="AN1221" s="133">
        <v>1</v>
      </c>
      <c r="AO1221" s="133">
        <v>1</v>
      </c>
      <c r="AP1221" s="133">
        <v>1</v>
      </c>
      <c r="AQ1221" s="133">
        <v>1</v>
      </c>
      <c r="AR1221" s="153">
        <v>0.0721861525408278</v>
      </c>
      <c r="AS1221" s="137" t="s">
        <v>33</v>
      </c>
      <c r="AT1221" s="137" t="s">
        <v>33</v>
      </c>
      <c r="AU1221" s="137" t="s">
        <v>33</v>
      </c>
      <c r="AV1221" s="137" t="s">
        <v>33</v>
      </c>
      <c r="AW1221" s="93"/>
      <c r="AX1221" s="91"/>
    </row>
    <row r="1222" ht="14.5" spans="1:50">
      <c r="A1222" s="89"/>
      <c r="B1222" s="93"/>
      <c r="C1222" s="148" t="s">
        <v>1080</v>
      </c>
      <c r="D1222" s="126" t="s">
        <v>1081</v>
      </c>
      <c r="E1222" s="186" t="s">
        <v>1247</v>
      </c>
      <c r="F1222" s="186" t="s">
        <v>1247</v>
      </c>
      <c r="G1222" s="186" t="s">
        <v>1247</v>
      </c>
      <c r="H1222" s="186" t="s">
        <v>1247</v>
      </c>
      <c r="I1222" s="128">
        <v>0.9</v>
      </c>
      <c r="J1222" s="129">
        <v>0.985714285714286</v>
      </c>
      <c r="K1222" s="129">
        <v>0.948275862068966</v>
      </c>
      <c r="L1222" s="130">
        <v>0.953846153846154</v>
      </c>
      <c r="M1222" s="129">
        <v>0.963109354413702</v>
      </c>
      <c r="N1222" s="131">
        <v>0.9</v>
      </c>
      <c r="O1222" s="129">
        <v>0.858967420716528</v>
      </c>
      <c r="P1222" s="129">
        <v>0.978842563783447</v>
      </c>
      <c r="Q1222" s="129">
        <v>0.888260449717202</v>
      </c>
      <c r="R1222" s="129">
        <v>0.934387078165561</v>
      </c>
      <c r="S1222" s="131">
        <v>0.9</v>
      </c>
      <c r="T1222" s="129">
        <v>0.894036151098604</v>
      </c>
      <c r="U1222" s="129">
        <v>0.912725575606721</v>
      </c>
      <c r="V1222" s="129">
        <v>0.923161815422817</v>
      </c>
      <c r="W1222" s="129">
        <v>0.904597634842804</v>
      </c>
      <c r="X1222" s="131">
        <v>0.92</v>
      </c>
      <c r="Y1222" s="131">
        <v>0.939547761882787</v>
      </c>
      <c r="Z1222" s="131">
        <v>0.942028985507246</v>
      </c>
      <c r="AA1222" s="131">
        <v>0.957903097696585</v>
      </c>
      <c r="AB1222" s="131">
        <v>0.93512281590276</v>
      </c>
      <c r="AC1222" s="131">
        <v>0.92</v>
      </c>
      <c r="AD1222" s="129">
        <v>0.876651272688218</v>
      </c>
      <c r="AE1222" s="129">
        <v>0.978506270414812</v>
      </c>
      <c r="AF1222" s="129">
        <v>0.974569844453058</v>
      </c>
      <c r="AG1222" s="129">
        <v>0.94467054654645</v>
      </c>
      <c r="AH1222" s="131">
        <v>0.92</v>
      </c>
      <c r="AI1222" s="129">
        <v>0.964232488822653</v>
      </c>
      <c r="AJ1222" s="129">
        <v>0.961668928086839</v>
      </c>
      <c r="AK1222" s="129">
        <v>0.967567567567568</v>
      </c>
      <c r="AL1222" s="129">
        <v>0.964260212709985</v>
      </c>
      <c r="AM1222" s="128">
        <v>0.99</v>
      </c>
      <c r="AN1222" s="133">
        <v>1</v>
      </c>
      <c r="AO1222" s="133">
        <v>1</v>
      </c>
      <c r="AP1222" s="133">
        <v>1</v>
      </c>
      <c r="AQ1222" s="133">
        <v>1</v>
      </c>
      <c r="AR1222" s="153">
        <v>0.0721861525408278</v>
      </c>
      <c r="AS1222" s="137">
        <v>0.0857142857142857</v>
      </c>
      <c r="AT1222" s="137">
        <v>0.137931034482759</v>
      </c>
      <c r="AU1222" s="137">
        <v>0</v>
      </c>
      <c r="AV1222" s="137">
        <v>0.052896725440806</v>
      </c>
      <c r="AW1222" s="93"/>
      <c r="AX1222" s="91"/>
    </row>
    <row r="1223" ht="14.5" spans="1:50">
      <c r="A1223" s="89"/>
      <c r="B1223" s="93"/>
      <c r="C1223" s="148" t="s">
        <v>1080</v>
      </c>
      <c r="D1223" s="126" t="s">
        <v>1081</v>
      </c>
      <c r="E1223" s="186" t="s">
        <v>1248</v>
      </c>
      <c r="F1223" s="186" t="s">
        <v>1248</v>
      </c>
      <c r="G1223" s="186" t="s">
        <v>1248</v>
      </c>
      <c r="H1223" s="186" t="s">
        <v>1248</v>
      </c>
      <c r="I1223" s="128">
        <v>0.9</v>
      </c>
      <c r="J1223" s="129">
        <v>0.95</v>
      </c>
      <c r="K1223" s="129">
        <v>0.972602739726027</v>
      </c>
      <c r="L1223" s="130">
        <v>0.986486486486487</v>
      </c>
      <c r="M1223" s="129">
        <v>0.91638418079096</v>
      </c>
      <c r="N1223" s="131">
        <v>0.9</v>
      </c>
      <c r="O1223" s="129">
        <v>0.951735928458706</v>
      </c>
      <c r="P1223" s="129">
        <v>0.951984635083227</v>
      </c>
      <c r="Q1223" s="129">
        <v>0.948255114320096</v>
      </c>
      <c r="R1223" s="129">
        <v>0.952469828795958</v>
      </c>
      <c r="S1223" s="131">
        <v>0.9</v>
      </c>
      <c r="T1223" s="129">
        <v>0.847711730668069</v>
      </c>
      <c r="U1223" s="129">
        <v>0.89543320529236</v>
      </c>
      <c r="V1223" s="129">
        <v>0.894619219528967</v>
      </c>
      <c r="W1223" s="129">
        <v>0.886051080550098</v>
      </c>
      <c r="X1223" s="131">
        <v>0.92</v>
      </c>
      <c r="Y1223" s="131">
        <v>0.919087136929461</v>
      </c>
      <c r="Z1223" s="131">
        <v>0.926133469179827</v>
      </c>
      <c r="AA1223" s="131">
        <v>0.948387096774194</v>
      </c>
      <c r="AB1223" s="131">
        <v>0.934126205184458</v>
      </c>
      <c r="AC1223" s="131">
        <v>0.92</v>
      </c>
      <c r="AD1223" s="129">
        <v>0.996720236142998</v>
      </c>
      <c r="AE1223" s="129">
        <v>0.993890020366599</v>
      </c>
      <c r="AF1223" s="129">
        <v>0.933135215453195</v>
      </c>
      <c r="AG1223" s="129">
        <v>0.994077592126345</v>
      </c>
      <c r="AH1223" s="131">
        <v>0.92</v>
      </c>
      <c r="AI1223" s="129">
        <v>0.942824171212757</v>
      </c>
      <c r="AJ1223" s="129">
        <v>0.950218077906452</v>
      </c>
      <c r="AK1223" s="129">
        <v>0.963094708759449</v>
      </c>
      <c r="AL1223" s="129">
        <v>0.962274800198673</v>
      </c>
      <c r="AM1223" s="128">
        <v>0.99</v>
      </c>
      <c r="AN1223" s="133">
        <v>1</v>
      </c>
      <c r="AO1223" s="133">
        <v>1</v>
      </c>
      <c r="AP1223" s="133">
        <v>1</v>
      </c>
      <c r="AQ1223" s="133">
        <v>1</v>
      </c>
      <c r="AR1223" s="153">
        <v>0.0721861525408278</v>
      </c>
      <c r="AS1223" s="137">
        <v>0.032258064516129</v>
      </c>
      <c r="AT1223" s="137">
        <v>0</v>
      </c>
      <c r="AU1223" s="137">
        <v>0.0789473684210526</v>
      </c>
      <c r="AV1223" s="137">
        <v>0.0341463414634146</v>
      </c>
      <c r="AW1223" s="93"/>
      <c r="AX1223" s="91"/>
    </row>
    <row r="1224" ht="14.5" spans="1:50">
      <c r="A1224" s="89"/>
      <c r="B1224" s="93"/>
      <c r="C1224" s="148" t="s">
        <v>1080</v>
      </c>
      <c r="D1224" s="126" t="s">
        <v>1081</v>
      </c>
      <c r="E1224" s="186" t="s">
        <v>1249</v>
      </c>
      <c r="F1224" s="186" t="s">
        <v>1249</v>
      </c>
      <c r="G1224" s="186" t="s">
        <v>1249</v>
      </c>
      <c r="H1224" s="186" t="s">
        <v>1249</v>
      </c>
      <c r="I1224" s="128">
        <v>0.9</v>
      </c>
      <c r="J1224" s="129" t="s">
        <v>33</v>
      </c>
      <c r="K1224" s="129" t="s">
        <v>33</v>
      </c>
      <c r="L1224" s="130" t="s">
        <v>33</v>
      </c>
      <c r="M1224" s="129" t="s">
        <v>33</v>
      </c>
      <c r="N1224" s="131">
        <v>0.9</v>
      </c>
      <c r="O1224" s="129" t="s">
        <v>33</v>
      </c>
      <c r="P1224" s="129">
        <v>1</v>
      </c>
      <c r="Q1224" s="129" t="s">
        <v>33</v>
      </c>
      <c r="R1224" s="129">
        <v>1</v>
      </c>
      <c r="S1224" s="131">
        <v>0.9</v>
      </c>
      <c r="T1224" s="129" t="s">
        <v>33</v>
      </c>
      <c r="U1224" s="129">
        <v>1</v>
      </c>
      <c r="V1224" s="129" t="s">
        <v>33</v>
      </c>
      <c r="W1224" s="129">
        <v>1</v>
      </c>
      <c r="X1224" s="131">
        <v>0.92</v>
      </c>
      <c r="Y1224" s="131" t="s">
        <v>33</v>
      </c>
      <c r="Z1224" s="131" t="s">
        <v>33</v>
      </c>
      <c r="AA1224" s="131" t="s">
        <v>33</v>
      </c>
      <c r="AB1224" s="131">
        <v>1</v>
      </c>
      <c r="AC1224" s="131">
        <v>0.92</v>
      </c>
      <c r="AD1224" s="129">
        <v>1</v>
      </c>
      <c r="AE1224" s="129">
        <v>0.99873031995937</v>
      </c>
      <c r="AF1224" s="129">
        <v>0.998948475289169</v>
      </c>
      <c r="AG1224" s="129">
        <v>0.999095966620306</v>
      </c>
      <c r="AH1224" s="131">
        <v>0.92</v>
      </c>
      <c r="AI1224" s="129" t="s">
        <v>33</v>
      </c>
      <c r="AJ1224" s="129">
        <v>1</v>
      </c>
      <c r="AK1224" s="129" t="s">
        <v>33</v>
      </c>
      <c r="AL1224" s="129">
        <v>1</v>
      </c>
      <c r="AM1224" s="128">
        <v>0.99</v>
      </c>
      <c r="AN1224" s="133">
        <v>1</v>
      </c>
      <c r="AO1224" s="133">
        <v>1</v>
      </c>
      <c r="AP1224" s="133">
        <v>1</v>
      </c>
      <c r="AQ1224" s="133">
        <v>1</v>
      </c>
      <c r="AR1224" s="153">
        <v>0.0721861525408278</v>
      </c>
      <c r="AS1224" s="137" t="s">
        <v>33</v>
      </c>
      <c r="AT1224" s="137" t="s">
        <v>33</v>
      </c>
      <c r="AU1224" s="137" t="s">
        <v>33</v>
      </c>
      <c r="AV1224" s="137" t="s">
        <v>33</v>
      </c>
      <c r="AW1224" s="93"/>
      <c r="AX1224" s="91"/>
    </row>
    <row r="1225" ht="14.5" spans="1:50">
      <c r="A1225" s="89"/>
      <c r="B1225" s="93"/>
      <c r="C1225" s="148" t="s">
        <v>1080</v>
      </c>
      <c r="D1225" s="126" t="s">
        <v>1081</v>
      </c>
      <c r="E1225" s="186" t="s">
        <v>1250</v>
      </c>
      <c r="F1225" s="186" t="s">
        <v>1250</v>
      </c>
      <c r="G1225" s="186" t="s">
        <v>1250</v>
      </c>
      <c r="H1225" s="186" t="s">
        <v>1250</v>
      </c>
      <c r="I1225" s="128">
        <v>0.9</v>
      </c>
      <c r="J1225" s="129">
        <v>0.96875</v>
      </c>
      <c r="K1225" s="129">
        <v>0.886792452830189</v>
      </c>
      <c r="L1225" s="130">
        <v>0.964285714285714</v>
      </c>
      <c r="M1225" s="129">
        <v>0.939024390243902</v>
      </c>
      <c r="N1225" s="131">
        <v>0.9</v>
      </c>
      <c r="O1225" s="129">
        <v>0.946562450151539</v>
      </c>
      <c r="P1225" s="129">
        <v>0.923804780876494</v>
      </c>
      <c r="Q1225" s="129">
        <v>0.937099110283468</v>
      </c>
      <c r="R1225" s="129">
        <v>0.947992732010011</v>
      </c>
      <c r="S1225" s="131">
        <v>0.9</v>
      </c>
      <c r="T1225" s="129">
        <v>0.916254586058383</v>
      </c>
      <c r="U1225" s="129">
        <v>0.92355577689243</v>
      </c>
      <c r="V1225" s="129">
        <v>0.937719842747776</v>
      </c>
      <c r="W1225" s="129">
        <v>0.91088141520107</v>
      </c>
      <c r="X1225" s="131">
        <v>0.92</v>
      </c>
      <c r="Y1225" s="131">
        <v>0.952426260704091</v>
      </c>
      <c r="Z1225" s="131">
        <v>0.950699043414275</v>
      </c>
      <c r="AA1225" s="131">
        <v>0.953343701399689</v>
      </c>
      <c r="AB1225" s="131">
        <v>0.94806345116354</v>
      </c>
      <c r="AC1225" s="131">
        <v>0.92</v>
      </c>
      <c r="AD1225" s="129">
        <v>0.997659906396256</v>
      </c>
      <c r="AE1225" s="129">
        <v>0.995250841896209</v>
      </c>
      <c r="AF1225" s="129">
        <v>0.738777492541456</v>
      </c>
      <c r="AG1225" s="129">
        <v>0.914910153047281</v>
      </c>
      <c r="AH1225" s="131">
        <v>0.92</v>
      </c>
      <c r="AI1225" s="129">
        <v>0.973914231084403</v>
      </c>
      <c r="AJ1225" s="129">
        <v>0.969302325581395</v>
      </c>
      <c r="AK1225" s="129">
        <v>0.97918188458729</v>
      </c>
      <c r="AL1225" s="129">
        <v>0.970790232321519</v>
      </c>
      <c r="AM1225" s="128">
        <v>0.99</v>
      </c>
      <c r="AN1225" s="133">
        <v>1</v>
      </c>
      <c r="AO1225" s="133">
        <v>1</v>
      </c>
      <c r="AP1225" s="133">
        <v>1</v>
      </c>
      <c r="AQ1225" s="133">
        <v>1</v>
      </c>
      <c r="AR1225" s="153">
        <v>0.0721861525408278</v>
      </c>
      <c r="AS1225" s="137">
        <v>0.0232558139534884</v>
      </c>
      <c r="AT1225" s="137">
        <v>0.0645161290322581</v>
      </c>
      <c r="AU1225" s="137">
        <v>0.0303030303030303</v>
      </c>
      <c r="AV1225" s="137">
        <v>0.0249433106575964</v>
      </c>
      <c r="AW1225" s="93"/>
      <c r="AX1225" s="91"/>
    </row>
    <row r="1226" ht="14.5" spans="1:50">
      <c r="A1226" s="89"/>
      <c r="B1226" s="93"/>
      <c r="C1226" s="148" t="s">
        <v>1080</v>
      </c>
      <c r="D1226" s="126" t="s">
        <v>1081</v>
      </c>
      <c r="E1226" s="186" t="s">
        <v>1251</v>
      </c>
      <c r="F1226" s="186" t="s">
        <v>1251</v>
      </c>
      <c r="G1226" s="186" t="s">
        <v>1251</v>
      </c>
      <c r="H1226" s="186" t="s">
        <v>1251</v>
      </c>
      <c r="I1226" s="128">
        <v>0.9</v>
      </c>
      <c r="J1226" s="129" t="s">
        <v>33</v>
      </c>
      <c r="K1226" s="129" t="s">
        <v>33</v>
      </c>
      <c r="L1226" s="130" t="s">
        <v>33</v>
      </c>
      <c r="M1226" s="129" t="s">
        <v>33</v>
      </c>
      <c r="N1226" s="131">
        <v>0.9</v>
      </c>
      <c r="O1226" s="129" t="s">
        <v>33</v>
      </c>
      <c r="P1226" s="129">
        <v>0</v>
      </c>
      <c r="Q1226" s="129" t="s">
        <v>33</v>
      </c>
      <c r="R1226" s="129">
        <v>0</v>
      </c>
      <c r="S1226" s="131">
        <v>0.9</v>
      </c>
      <c r="T1226" s="129" t="s">
        <v>33</v>
      </c>
      <c r="U1226" s="129">
        <v>1</v>
      </c>
      <c r="V1226" s="129" t="s">
        <v>33</v>
      </c>
      <c r="W1226" s="129">
        <v>1</v>
      </c>
      <c r="X1226" s="131">
        <v>0.92</v>
      </c>
      <c r="Y1226" s="131" t="s">
        <v>33</v>
      </c>
      <c r="Z1226" s="131" t="s">
        <v>33</v>
      </c>
      <c r="AA1226" s="131" t="s">
        <v>33</v>
      </c>
      <c r="AB1226" s="131">
        <v>1</v>
      </c>
      <c r="AC1226" s="131">
        <v>0.92</v>
      </c>
      <c r="AD1226" s="129">
        <v>0.995719735740207</v>
      </c>
      <c r="AE1226" s="129">
        <v>0.992309540975727</v>
      </c>
      <c r="AF1226" s="129">
        <v>0.976087085836655</v>
      </c>
      <c r="AG1226" s="129">
        <v>0.99056006188653</v>
      </c>
      <c r="AH1226" s="131">
        <v>0.92</v>
      </c>
      <c r="AI1226" s="129" t="s">
        <v>33</v>
      </c>
      <c r="AJ1226" s="129">
        <v>1</v>
      </c>
      <c r="AK1226" s="129" t="s">
        <v>33</v>
      </c>
      <c r="AL1226" s="129">
        <v>1</v>
      </c>
      <c r="AM1226" s="128">
        <v>0.99</v>
      </c>
      <c r="AN1226" s="133">
        <v>1</v>
      </c>
      <c r="AO1226" s="133">
        <v>1</v>
      </c>
      <c r="AP1226" s="133">
        <v>1</v>
      </c>
      <c r="AQ1226" s="133">
        <v>1</v>
      </c>
      <c r="AR1226" s="153">
        <v>0.0721861525408278</v>
      </c>
      <c r="AS1226" s="137" t="s">
        <v>33</v>
      </c>
      <c r="AT1226" s="137" t="s">
        <v>33</v>
      </c>
      <c r="AU1226" s="137" t="s">
        <v>33</v>
      </c>
      <c r="AV1226" s="137" t="s">
        <v>33</v>
      </c>
      <c r="AW1226" s="93"/>
      <c r="AX1226" s="91"/>
    </row>
    <row r="1227" ht="14.5" spans="1:50">
      <c r="A1227" s="89"/>
      <c r="B1227" s="93"/>
      <c r="C1227" s="148" t="s">
        <v>1080</v>
      </c>
      <c r="D1227" s="126" t="s">
        <v>1081</v>
      </c>
      <c r="E1227" s="186" t="s">
        <v>1252</v>
      </c>
      <c r="F1227" s="186" t="s">
        <v>1252</v>
      </c>
      <c r="G1227" s="186" t="s">
        <v>1252</v>
      </c>
      <c r="H1227" s="186" t="s">
        <v>1252</v>
      </c>
      <c r="I1227" s="128">
        <v>0.9</v>
      </c>
      <c r="J1227" s="129" t="s">
        <v>33</v>
      </c>
      <c r="K1227" s="129" t="s">
        <v>33</v>
      </c>
      <c r="L1227" s="130" t="s">
        <v>33</v>
      </c>
      <c r="M1227" s="129" t="s">
        <v>33</v>
      </c>
      <c r="N1227" s="131">
        <v>0.9</v>
      </c>
      <c r="O1227" s="129" t="s">
        <v>33</v>
      </c>
      <c r="P1227" s="129" t="s">
        <v>33</v>
      </c>
      <c r="Q1227" s="129" t="s">
        <v>33</v>
      </c>
      <c r="R1227" s="129">
        <v>0</v>
      </c>
      <c r="S1227" s="131">
        <v>0.9</v>
      </c>
      <c r="T1227" s="129" t="s">
        <v>33</v>
      </c>
      <c r="U1227" s="129" t="s">
        <v>33</v>
      </c>
      <c r="V1227" s="129" t="s">
        <v>33</v>
      </c>
      <c r="W1227" s="129">
        <v>1</v>
      </c>
      <c r="X1227" s="131">
        <v>0.92</v>
      </c>
      <c r="Y1227" s="131" t="s">
        <v>33</v>
      </c>
      <c r="Z1227" s="131" t="s">
        <v>33</v>
      </c>
      <c r="AA1227" s="131" t="s">
        <v>33</v>
      </c>
      <c r="AB1227" s="131">
        <v>1</v>
      </c>
      <c r="AC1227" s="131">
        <v>0.92</v>
      </c>
      <c r="AD1227" s="129">
        <v>0.999490229396771</v>
      </c>
      <c r="AE1227" s="129">
        <v>0.998611259480825</v>
      </c>
      <c r="AF1227" s="129">
        <v>0.998850574712644</v>
      </c>
      <c r="AG1227" s="129">
        <v>0.9972376889146</v>
      </c>
      <c r="AH1227" s="131">
        <v>0.92</v>
      </c>
      <c r="AI1227" s="129" t="s">
        <v>33</v>
      </c>
      <c r="AJ1227" s="129" t="s">
        <v>33</v>
      </c>
      <c r="AK1227" s="129">
        <v>1</v>
      </c>
      <c r="AL1227" s="129">
        <v>1</v>
      </c>
      <c r="AM1227" s="128">
        <v>0.99</v>
      </c>
      <c r="AN1227" s="133">
        <v>1</v>
      </c>
      <c r="AO1227" s="133">
        <v>1</v>
      </c>
      <c r="AP1227" s="133">
        <v>1</v>
      </c>
      <c r="AQ1227" s="133">
        <v>1</v>
      </c>
      <c r="AR1227" s="153">
        <v>0.0721861525408278</v>
      </c>
      <c r="AS1227" s="137" t="s">
        <v>33</v>
      </c>
      <c r="AT1227" s="137" t="s">
        <v>33</v>
      </c>
      <c r="AU1227" s="137" t="s">
        <v>33</v>
      </c>
      <c r="AV1227" s="137" t="s">
        <v>33</v>
      </c>
      <c r="AW1227" s="93"/>
      <c r="AX1227" s="91"/>
    </row>
    <row r="1228" ht="14.5" spans="1:50">
      <c r="A1228" s="89"/>
      <c r="B1228" s="93"/>
      <c r="C1228" s="148" t="s">
        <v>1080</v>
      </c>
      <c r="D1228" s="126" t="s">
        <v>1081</v>
      </c>
      <c r="E1228" s="186" t="s">
        <v>1253</v>
      </c>
      <c r="F1228" s="186" t="s">
        <v>1253</v>
      </c>
      <c r="G1228" s="186" t="s">
        <v>1253</v>
      </c>
      <c r="H1228" s="186" t="s">
        <v>1253</v>
      </c>
      <c r="I1228" s="128">
        <v>0.9</v>
      </c>
      <c r="J1228" s="129">
        <v>0.851851851851852</v>
      </c>
      <c r="K1228" s="129">
        <v>0.923076923076923</v>
      </c>
      <c r="L1228" s="130">
        <v>0.96</v>
      </c>
      <c r="M1228" s="129">
        <v>0.943859649122807</v>
      </c>
      <c r="N1228" s="131">
        <v>0.9</v>
      </c>
      <c r="O1228" s="129">
        <v>0.788328387734916</v>
      </c>
      <c r="P1228" s="129">
        <v>0.980034227039361</v>
      </c>
      <c r="Q1228" s="129">
        <v>0.961346066393815</v>
      </c>
      <c r="R1228" s="129">
        <v>0.839826532063131</v>
      </c>
      <c r="S1228" s="131">
        <v>0.9</v>
      </c>
      <c r="T1228" s="129">
        <v>0.811078140454995</v>
      </c>
      <c r="U1228" s="129">
        <v>0.897889332572733</v>
      </c>
      <c r="V1228" s="129">
        <v>0.841746248294679</v>
      </c>
      <c r="W1228" s="129">
        <v>0.812633300156406</v>
      </c>
      <c r="X1228" s="131">
        <v>0.92</v>
      </c>
      <c r="Y1228" s="131">
        <v>0.881516587677725</v>
      </c>
      <c r="Z1228" s="131">
        <v>0.942048517520216</v>
      </c>
      <c r="AA1228" s="131">
        <v>0.878186968838527</v>
      </c>
      <c r="AB1228" s="131">
        <v>0.850546176762661</v>
      </c>
      <c r="AC1228" s="131">
        <v>0.92</v>
      </c>
      <c r="AD1228" s="129">
        <v>0.997497654050672</v>
      </c>
      <c r="AE1228" s="129">
        <v>0.988954213433102</v>
      </c>
      <c r="AF1228" s="129">
        <v>0.998899284534948</v>
      </c>
      <c r="AG1228" s="129">
        <v>0.997591934104515</v>
      </c>
      <c r="AH1228" s="131">
        <v>0.92</v>
      </c>
      <c r="AI1228" s="129">
        <v>0.932915189528225</v>
      </c>
      <c r="AJ1228" s="129">
        <v>0.955911823647295</v>
      </c>
      <c r="AK1228" s="129">
        <v>0.952586206896552</v>
      </c>
      <c r="AL1228" s="129">
        <v>0.933226042428676</v>
      </c>
      <c r="AM1228" s="128">
        <v>0.99</v>
      </c>
      <c r="AN1228" s="133">
        <v>1</v>
      </c>
      <c r="AO1228" s="133">
        <v>1</v>
      </c>
      <c r="AP1228" s="133">
        <v>1</v>
      </c>
      <c r="AQ1228" s="133">
        <v>1</v>
      </c>
      <c r="AR1228" s="153">
        <v>0.0721861525408278</v>
      </c>
      <c r="AS1228" s="137">
        <v>0</v>
      </c>
      <c r="AT1228" s="137">
        <v>-0.0555555555555556</v>
      </c>
      <c r="AU1228" s="137">
        <v>0.032258064516129</v>
      </c>
      <c r="AV1228" s="137">
        <v>0</v>
      </c>
      <c r="AW1228" s="93"/>
      <c r="AX1228" s="91"/>
    </row>
    <row r="1229" ht="14.5" spans="1:50">
      <c r="A1229" s="89"/>
      <c r="B1229" s="93"/>
      <c r="C1229" s="148" t="s">
        <v>1080</v>
      </c>
      <c r="D1229" s="126" t="s">
        <v>1081</v>
      </c>
      <c r="E1229" s="186" t="s">
        <v>1254</v>
      </c>
      <c r="F1229" s="186" t="s">
        <v>1254</v>
      </c>
      <c r="G1229" s="186" t="s">
        <v>1254</v>
      </c>
      <c r="H1229" s="186" t="s">
        <v>1254</v>
      </c>
      <c r="I1229" s="128">
        <v>0.9</v>
      </c>
      <c r="J1229" s="129">
        <v>0.9375</v>
      </c>
      <c r="K1229" s="129">
        <v>1</v>
      </c>
      <c r="L1229" s="130">
        <v>1</v>
      </c>
      <c r="M1229" s="129">
        <v>0.975069252077562</v>
      </c>
      <c r="N1229" s="131">
        <v>0.9</v>
      </c>
      <c r="O1229" s="129">
        <v>0.969072164948454</v>
      </c>
      <c r="P1229" s="129">
        <v>0.958864664747018</v>
      </c>
      <c r="Q1229" s="129">
        <v>0.951954105414127</v>
      </c>
      <c r="R1229" s="129">
        <v>0.960392271662763</v>
      </c>
      <c r="S1229" s="131">
        <v>0.9</v>
      </c>
      <c r="T1229" s="129">
        <v>0.927548682703322</v>
      </c>
      <c r="U1229" s="129">
        <v>0.932538050185109</v>
      </c>
      <c r="V1229" s="129">
        <v>0.92577984940839</v>
      </c>
      <c r="W1229" s="129">
        <v>0.931528103044497</v>
      </c>
      <c r="X1229" s="131">
        <v>0.92</v>
      </c>
      <c r="Y1229" s="131">
        <v>0.966772151898734</v>
      </c>
      <c r="Z1229" s="131">
        <v>0.964125560538117</v>
      </c>
      <c r="AA1229" s="131">
        <v>0.980582524271845</v>
      </c>
      <c r="AB1229" s="131">
        <v>0.968980992608237</v>
      </c>
      <c r="AC1229" s="131">
        <v>0.92</v>
      </c>
      <c r="AD1229" s="129">
        <v>0.999475890985325</v>
      </c>
      <c r="AE1229" s="129">
        <v>0.999527707808564</v>
      </c>
      <c r="AF1229" s="129">
        <v>0.9994245959094</v>
      </c>
      <c r="AG1229" s="129">
        <v>0.998183135289238</v>
      </c>
      <c r="AH1229" s="131">
        <v>0.92</v>
      </c>
      <c r="AI1229" s="129">
        <v>0.982064953950557</v>
      </c>
      <c r="AJ1229" s="129">
        <v>0.979241877256318</v>
      </c>
      <c r="AK1229" s="129">
        <v>0.983363581367211</v>
      </c>
      <c r="AL1229" s="129">
        <v>0.982425896662357</v>
      </c>
      <c r="AM1229" s="128">
        <v>0.99</v>
      </c>
      <c r="AN1229" s="133">
        <v>1</v>
      </c>
      <c r="AO1229" s="133">
        <v>1</v>
      </c>
      <c r="AP1229" s="133">
        <v>1</v>
      </c>
      <c r="AQ1229" s="133">
        <v>1</v>
      </c>
      <c r="AR1229" s="153">
        <v>0.0721861525408278</v>
      </c>
      <c r="AS1229" s="137">
        <v>0.05</v>
      </c>
      <c r="AT1229" s="137">
        <v>0.133333333333333</v>
      </c>
      <c r="AU1229" s="137">
        <v>-0.0555555555555556</v>
      </c>
      <c r="AV1229" s="137">
        <v>0.00442477876106195</v>
      </c>
      <c r="AW1229" s="93"/>
      <c r="AX1229" s="91"/>
    </row>
    <row r="1230" ht="14.5" spans="1:50">
      <c r="A1230" s="89"/>
      <c r="B1230" s="93"/>
      <c r="C1230" s="148" t="s">
        <v>1080</v>
      </c>
      <c r="D1230" s="126" t="s">
        <v>1081</v>
      </c>
      <c r="E1230" s="186" t="s">
        <v>1255</v>
      </c>
      <c r="F1230" s="186" t="s">
        <v>1255</v>
      </c>
      <c r="G1230" s="186" t="s">
        <v>1255</v>
      </c>
      <c r="H1230" s="186" t="s">
        <v>1255</v>
      </c>
      <c r="I1230" s="128">
        <v>0.9</v>
      </c>
      <c r="J1230" s="129">
        <v>0.96</v>
      </c>
      <c r="K1230" s="129">
        <v>0.966666666666667</v>
      </c>
      <c r="L1230" s="130">
        <v>1</v>
      </c>
      <c r="M1230" s="129">
        <v>0.985879332477535</v>
      </c>
      <c r="N1230" s="131">
        <v>0.9</v>
      </c>
      <c r="O1230" s="129">
        <v>0.492689897768495</v>
      </c>
      <c r="P1230" s="129">
        <v>0.961364493026762</v>
      </c>
      <c r="Q1230" s="129">
        <v>0.954021220974935</v>
      </c>
      <c r="R1230" s="129">
        <v>0.878314399792329</v>
      </c>
      <c r="S1230" s="131">
        <v>0.9</v>
      </c>
      <c r="T1230" s="129">
        <v>0.693085632626141</v>
      </c>
      <c r="U1230" s="129">
        <v>0.852242744063325</v>
      </c>
      <c r="V1230" s="129">
        <v>0.82269721666923</v>
      </c>
      <c r="W1230" s="129">
        <v>0.795295251987095</v>
      </c>
      <c r="X1230" s="131">
        <v>0.92</v>
      </c>
      <c r="Y1230" s="131">
        <v>0.882270168855535</v>
      </c>
      <c r="Z1230" s="131">
        <v>0.899163797343827</v>
      </c>
      <c r="AA1230" s="131">
        <v>0.842592592592593</v>
      </c>
      <c r="AB1230" s="131">
        <v>0.877148801051133</v>
      </c>
      <c r="AC1230" s="131">
        <v>0.92</v>
      </c>
      <c r="AD1230" s="129">
        <v>0.997938144329897</v>
      </c>
      <c r="AE1230" s="129">
        <v>0.988043001316367</v>
      </c>
      <c r="AF1230" s="129">
        <v>0.995288944723618</v>
      </c>
      <c r="AG1230" s="129">
        <v>0.985910189223962</v>
      </c>
      <c r="AH1230" s="131">
        <v>0.92</v>
      </c>
      <c r="AI1230" s="129">
        <v>0.946299759551162</v>
      </c>
      <c r="AJ1230" s="129">
        <v>0.947949311895354</v>
      </c>
      <c r="AK1230" s="129">
        <v>0.947826086956522</v>
      </c>
      <c r="AL1230" s="129">
        <v>0.944667977613069</v>
      </c>
      <c r="AM1230" s="128">
        <v>0.99</v>
      </c>
      <c r="AN1230" s="133">
        <v>1</v>
      </c>
      <c r="AO1230" s="133">
        <v>1</v>
      </c>
      <c r="AP1230" s="133">
        <v>1</v>
      </c>
      <c r="AQ1230" s="133">
        <v>1</v>
      </c>
      <c r="AR1230" s="153">
        <v>0.0721861525408278</v>
      </c>
      <c r="AS1230" s="137">
        <v>0.0289855072463768</v>
      </c>
      <c r="AT1230" s="137">
        <v>0</v>
      </c>
      <c r="AU1230" s="137">
        <v>0.0352941176470588</v>
      </c>
      <c r="AV1230" s="137">
        <v>0.0357568533969011</v>
      </c>
      <c r="AW1230" s="93"/>
      <c r="AX1230" s="91"/>
    </row>
    <row r="1231" ht="14.5" spans="1:50">
      <c r="A1231" s="89"/>
      <c r="B1231" s="93"/>
      <c r="C1231" s="148" t="s">
        <v>1080</v>
      </c>
      <c r="D1231" s="126" t="s">
        <v>1081</v>
      </c>
      <c r="E1231" s="186" t="s">
        <v>1256</v>
      </c>
      <c r="F1231" s="186" t="s">
        <v>1256</v>
      </c>
      <c r="G1231" s="186" t="s">
        <v>1256</v>
      </c>
      <c r="H1231" s="186" t="s">
        <v>1256</v>
      </c>
      <c r="I1231" s="128">
        <v>0.9</v>
      </c>
      <c r="J1231" s="129" t="s">
        <v>33</v>
      </c>
      <c r="K1231" s="129" t="s">
        <v>33</v>
      </c>
      <c r="L1231" s="130" t="s">
        <v>33</v>
      </c>
      <c r="M1231" s="129" t="s">
        <v>33</v>
      </c>
      <c r="N1231" s="131">
        <v>0.9</v>
      </c>
      <c r="O1231" s="129" t="s">
        <v>33</v>
      </c>
      <c r="P1231" s="129">
        <v>0</v>
      </c>
      <c r="Q1231" s="129" t="s">
        <v>33</v>
      </c>
      <c r="R1231" s="129">
        <v>0</v>
      </c>
      <c r="S1231" s="131">
        <v>0.9</v>
      </c>
      <c r="T1231" s="129" t="s">
        <v>33</v>
      </c>
      <c r="U1231" s="129">
        <v>0.5</v>
      </c>
      <c r="V1231" s="129" t="s">
        <v>33</v>
      </c>
      <c r="W1231" s="129">
        <v>0.5</v>
      </c>
      <c r="X1231" s="131">
        <v>0.92</v>
      </c>
      <c r="Y1231" s="131" t="s">
        <v>33</v>
      </c>
      <c r="Z1231" s="131" t="s">
        <v>33</v>
      </c>
      <c r="AA1231" s="131" t="s">
        <v>33</v>
      </c>
      <c r="AB1231" s="131" t="s">
        <v>33</v>
      </c>
      <c r="AC1231" s="131">
        <v>0.92</v>
      </c>
      <c r="AD1231" s="129" t="s">
        <v>33</v>
      </c>
      <c r="AE1231" s="129" t="s">
        <v>33</v>
      </c>
      <c r="AF1231" s="129" t="s">
        <v>33</v>
      </c>
      <c r="AG1231" s="129">
        <v>0.814747794616603</v>
      </c>
      <c r="AH1231" s="131">
        <v>0.92</v>
      </c>
      <c r="AI1231" s="129" t="s">
        <v>33</v>
      </c>
      <c r="AJ1231" s="129">
        <v>0.666666666666667</v>
      </c>
      <c r="AK1231" s="129" t="s">
        <v>33</v>
      </c>
      <c r="AL1231" s="129">
        <v>0.666666666666667</v>
      </c>
      <c r="AM1231" s="128">
        <v>0.99</v>
      </c>
      <c r="AN1231" s="133" t="s">
        <v>33</v>
      </c>
      <c r="AO1231" s="133" t="s">
        <v>33</v>
      </c>
      <c r="AP1231" s="133" t="s">
        <v>33</v>
      </c>
      <c r="AQ1231" s="133">
        <v>1</v>
      </c>
      <c r="AR1231" s="153">
        <v>0.0721861525408278</v>
      </c>
      <c r="AS1231" s="137" t="s">
        <v>33</v>
      </c>
      <c r="AT1231" s="137" t="s">
        <v>33</v>
      </c>
      <c r="AU1231" s="137" t="s">
        <v>33</v>
      </c>
      <c r="AV1231" s="137" t="s">
        <v>33</v>
      </c>
      <c r="AW1231" s="93"/>
      <c r="AX1231" s="91"/>
    </row>
    <row r="1232" ht="14.5" spans="1:50">
      <c r="A1232" s="89"/>
      <c r="B1232" s="93"/>
      <c r="C1232" s="148" t="s">
        <v>1080</v>
      </c>
      <c r="D1232" s="126" t="s">
        <v>1081</v>
      </c>
      <c r="E1232" s="186" t="s">
        <v>1257</v>
      </c>
      <c r="F1232" s="186" t="s">
        <v>1257</v>
      </c>
      <c r="G1232" s="186" t="s">
        <v>1257</v>
      </c>
      <c r="H1232" s="186" t="s">
        <v>1257</v>
      </c>
      <c r="I1232" s="128">
        <v>0.9</v>
      </c>
      <c r="J1232" s="129">
        <v>0.882352941176471</v>
      </c>
      <c r="K1232" s="129">
        <v>0.931034482758621</v>
      </c>
      <c r="L1232" s="130">
        <v>0.838709677419355</v>
      </c>
      <c r="M1232" s="129">
        <v>0.914893617021277</v>
      </c>
      <c r="N1232" s="131">
        <v>0.9</v>
      </c>
      <c r="O1232" s="129">
        <v>0.951824817518248</v>
      </c>
      <c r="P1232" s="129">
        <v>0.973756365060713</v>
      </c>
      <c r="Q1232" s="129">
        <v>0.972520530638029</v>
      </c>
      <c r="R1232" s="129">
        <v>0.965057037055446</v>
      </c>
      <c r="S1232" s="131">
        <v>0.9</v>
      </c>
      <c r="T1232" s="129">
        <v>0.869343065693431</v>
      </c>
      <c r="U1232" s="129">
        <v>0.916568742655699</v>
      </c>
      <c r="V1232" s="129">
        <v>0.908717624763108</v>
      </c>
      <c r="W1232" s="129">
        <v>0.884360166016353</v>
      </c>
      <c r="X1232" s="131">
        <v>0.92</v>
      </c>
      <c r="Y1232" s="131">
        <v>0.940149625935162</v>
      </c>
      <c r="Z1232" s="131">
        <v>0.957905544147844</v>
      </c>
      <c r="AA1232" s="131">
        <v>0.955823293172691</v>
      </c>
      <c r="AB1232" s="131">
        <v>0.938651026392962</v>
      </c>
      <c r="AC1232" s="131">
        <v>0.92</v>
      </c>
      <c r="AD1232" s="129">
        <v>0.98515057113188</v>
      </c>
      <c r="AE1232" s="129">
        <v>0.982293612252521</v>
      </c>
      <c r="AF1232" s="129">
        <v>0.984338800852562</v>
      </c>
      <c r="AG1232" s="129">
        <v>0.985693578406567</v>
      </c>
      <c r="AH1232" s="131">
        <v>0.92</v>
      </c>
      <c r="AI1232" s="129">
        <v>0.963355048859935</v>
      </c>
      <c r="AJ1232" s="129">
        <v>0.972214346470088</v>
      </c>
      <c r="AK1232" s="129">
        <v>0.971615720524017</v>
      </c>
      <c r="AL1232" s="129">
        <v>0.96614513913097</v>
      </c>
      <c r="AM1232" s="128">
        <v>0.99</v>
      </c>
      <c r="AN1232" s="133">
        <v>1</v>
      </c>
      <c r="AO1232" s="133">
        <v>1</v>
      </c>
      <c r="AP1232" s="133">
        <v>1</v>
      </c>
      <c r="AQ1232" s="133">
        <v>1</v>
      </c>
      <c r="AR1232" s="153">
        <v>0.0721861525408278</v>
      </c>
      <c r="AS1232" s="137">
        <v>0.0384615384615385</v>
      </c>
      <c r="AT1232" s="137">
        <v>0.0344827586206897</v>
      </c>
      <c r="AU1232" s="137">
        <v>0.0909090909090909</v>
      </c>
      <c r="AV1232" s="137">
        <v>0.0389221556886228</v>
      </c>
      <c r="AW1232" s="93"/>
      <c r="AX1232" s="91"/>
    </row>
    <row r="1233" ht="14.5" spans="1:50">
      <c r="A1233" s="89"/>
      <c r="B1233" s="93"/>
      <c r="C1233" s="148" t="s">
        <v>1080</v>
      </c>
      <c r="D1233" s="126" t="s">
        <v>1081</v>
      </c>
      <c r="E1233" s="186" t="s">
        <v>1258</v>
      </c>
      <c r="F1233" s="186" t="s">
        <v>1258</v>
      </c>
      <c r="G1233" s="186" t="s">
        <v>1258</v>
      </c>
      <c r="H1233" s="186" t="s">
        <v>1258</v>
      </c>
      <c r="I1233" s="128">
        <v>0.9</v>
      </c>
      <c r="J1233" s="129" t="s">
        <v>33</v>
      </c>
      <c r="K1233" s="129" t="s">
        <v>33</v>
      </c>
      <c r="L1233" s="130" t="s">
        <v>33</v>
      </c>
      <c r="M1233" s="129" t="s">
        <v>33</v>
      </c>
      <c r="N1233" s="131">
        <v>0.9</v>
      </c>
      <c r="O1233" s="129" t="s">
        <v>33</v>
      </c>
      <c r="P1233" s="129" t="s">
        <v>33</v>
      </c>
      <c r="Q1233" s="129" t="s">
        <v>33</v>
      </c>
      <c r="R1233" s="129">
        <v>0</v>
      </c>
      <c r="S1233" s="131">
        <v>0.9</v>
      </c>
      <c r="T1233" s="129" t="s">
        <v>33</v>
      </c>
      <c r="U1233" s="129" t="s">
        <v>33</v>
      </c>
      <c r="V1233" s="129" t="s">
        <v>33</v>
      </c>
      <c r="W1233" s="129">
        <v>0.888888888888889</v>
      </c>
      <c r="X1233" s="131">
        <v>0.92</v>
      </c>
      <c r="Y1233" s="131" t="s">
        <v>33</v>
      </c>
      <c r="Z1233" s="131">
        <v>1</v>
      </c>
      <c r="AA1233" s="131" t="s">
        <v>33</v>
      </c>
      <c r="AB1233" s="131">
        <v>1</v>
      </c>
      <c r="AC1233" s="131">
        <v>0.92</v>
      </c>
      <c r="AD1233" s="129">
        <v>0.999255121042831</v>
      </c>
      <c r="AE1233" s="129">
        <v>0.997793712079426</v>
      </c>
      <c r="AF1233" s="129">
        <v>0.166158536585366</v>
      </c>
      <c r="AG1233" s="129">
        <v>0.828676429332884</v>
      </c>
      <c r="AH1233" s="131">
        <v>0.92</v>
      </c>
      <c r="AI1233" s="129" t="s">
        <v>33</v>
      </c>
      <c r="AJ1233" s="129">
        <v>1</v>
      </c>
      <c r="AK1233" s="129" t="s">
        <v>33</v>
      </c>
      <c r="AL1233" s="129">
        <v>1</v>
      </c>
      <c r="AM1233" s="128">
        <v>0.99</v>
      </c>
      <c r="AN1233" s="133">
        <v>1</v>
      </c>
      <c r="AO1233" s="133">
        <v>1</v>
      </c>
      <c r="AP1233" s="133">
        <v>1</v>
      </c>
      <c r="AQ1233" s="133">
        <v>1</v>
      </c>
      <c r="AR1233" s="153">
        <v>0.0721861525408278</v>
      </c>
      <c r="AS1233" s="137" t="s">
        <v>33</v>
      </c>
      <c r="AT1233" s="137" t="s">
        <v>33</v>
      </c>
      <c r="AU1233" s="137" t="s">
        <v>33</v>
      </c>
      <c r="AV1233" s="137" t="s">
        <v>33</v>
      </c>
      <c r="AW1233" s="93"/>
      <c r="AX1233" s="91"/>
    </row>
    <row r="1234" ht="14.5" spans="1:50">
      <c r="A1234" s="89"/>
      <c r="B1234" s="93"/>
      <c r="C1234" s="148" t="s">
        <v>1080</v>
      </c>
      <c r="D1234" s="126" t="s">
        <v>1081</v>
      </c>
      <c r="E1234" s="186" t="s">
        <v>1259</v>
      </c>
      <c r="F1234" s="186" t="s">
        <v>1259</v>
      </c>
      <c r="G1234" s="186" t="s">
        <v>1259</v>
      </c>
      <c r="H1234" s="186" t="s">
        <v>1259</v>
      </c>
      <c r="I1234" s="128">
        <v>0.9</v>
      </c>
      <c r="J1234" s="129">
        <v>0.925373134328358</v>
      </c>
      <c r="K1234" s="129">
        <v>0.924528301886792</v>
      </c>
      <c r="L1234" s="130">
        <v>0.910714285714286</v>
      </c>
      <c r="M1234" s="129">
        <v>0.939882697947214</v>
      </c>
      <c r="N1234" s="131">
        <v>0.9</v>
      </c>
      <c r="O1234" s="129">
        <v>0.962286158631415</v>
      </c>
      <c r="P1234" s="129">
        <v>0.963074929820773</v>
      </c>
      <c r="Q1234" s="129">
        <v>0.960284951024043</v>
      </c>
      <c r="R1234" s="129">
        <v>0.953263331274449</v>
      </c>
      <c r="S1234" s="131">
        <v>0.9</v>
      </c>
      <c r="T1234" s="129">
        <v>0.920813893208916</v>
      </c>
      <c r="U1234" s="129">
        <v>0.937378535953358</v>
      </c>
      <c r="V1234" s="129">
        <v>0.894390026714158</v>
      </c>
      <c r="W1234" s="129">
        <v>0.899375471827603</v>
      </c>
      <c r="X1234" s="131">
        <v>0.92</v>
      </c>
      <c r="Y1234" s="131">
        <v>0.958333333333333</v>
      </c>
      <c r="Z1234" s="131">
        <v>0.937960042060988</v>
      </c>
      <c r="AA1234" s="131">
        <v>0.951508620689655</v>
      </c>
      <c r="AB1234" s="131">
        <v>0.94535552193646</v>
      </c>
      <c r="AC1234" s="131">
        <v>0.92</v>
      </c>
      <c r="AD1234" s="129">
        <v>0.998903709117486</v>
      </c>
      <c r="AE1234" s="129">
        <v>0.998432798395186</v>
      </c>
      <c r="AF1234" s="129">
        <v>0.99898522229974</v>
      </c>
      <c r="AG1234" s="129">
        <v>0.974224135990938</v>
      </c>
      <c r="AH1234" s="131">
        <v>0.92</v>
      </c>
      <c r="AI1234" s="129">
        <v>0.973566878980892</v>
      </c>
      <c r="AJ1234" s="129">
        <v>0.967697489283527</v>
      </c>
      <c r="AK1234" s="129">
        <v>0.974633251833741</v>
      </c>
      <c r="AL1234" s="129">
        <v>0.971190745236683</v>
      </c>
      <c r="AM1234" s="128">
        <v>0.99</v>
      </c>
      <c r="AN1234" s="133">
        <v>1</v>
      </c>
      <c r="AO1234" s="133">
        <v>1</v>
      </c>
      <c r="AP1234" s="133">
        <v>1</v>
      </c>
      <c r="AQ1234" s="133">
        <v>1</v>
      </c>
      <c r="AR1234" s="153">
        <v>0.0721861525408278</v>
      </c>
      <c r="AS1234" s="137">
        <v>0</v>
      </c>
      <c r="AT1234" s="137">
        <v>0.0909090909090909</v>
      </c>
      <c r="AU1234" s="137">
        <v>0.108108108108108</v>
      </c>
      <c r="AV1234" s="137">
        <v>0.00970873786407767</v>
      </c>
      <c r="AW1234" s="93"/>
      <c r="AX1234" s="91"/>
    </row>
    <row r="1235" ht="14.5" spans="1:50">
      <c r="A1235" s="89"/>
      <c r="B1235" s="93"/>
      <c r="C1235" s="148" t="s">
        <v>1080</v>
      </c>
      <c r="D1235" s="126" t="s">
        <v>1081</v>
      </c>
      <c r="E1235" s="186" t="s">
        <v>1260</v>
      </c>
      <c r="F1235" s="186" t="s">
        <v>1260</v>
      </c>
      <c r="G1235" s="186" t="s">
        <v>1260</v>
      </c>
      <c r="H1235" s="186" t="s">
        <v>1260</v>
      </c>
      <c r="I1235" s="128">
        <v>0.9</v>
      </c>
      <c r="J1235" s="129">
        <v>0.975</v>
      </c>
      <c r="K1235" s="129">
        <v>1</v>
      </c>
      <c r="L1235" s="130">
        <v>0.972972972972973</v>
      </c>
      <c r="M1235" s="129">
        <v>0.95067264573991</v>
      </c>
      <c r="N1235" s="131">
        <v>0.9</v>
      </c>
      <c r="O1235" s="129">
        <v>0.916717325227964</v>
      </c>
      <c r="P1235" s="129">
        <v>0.978050355067786</v>
      </c>
      <c r="Q1235" s="129">
        <v>0.972931950417405</v>
      </c>
      <c r="R1235" s="129">
        <v>0.950400545423555</v>
      </c>
      <c r="S1235" s="131">
        <v>0.9</v>
      </c>
      <c r="T1235" s="129">
        <v>0.877001013171226</v>
      </c>
      <c r="U1235" s="129">
        <v>0.928986442866365</v>
      </c>
      <c r="V1235" s="129">
        <v>0.91955476853023</v>
      </c>
      <c r="W1235" s="129">
        <v>0.904891767513209</v>
      </c>
      <c r="X1235" s="131">
        <v>0.92</v>
      </c>
      <c r="Y1235" s="131">
        <v>0.941282746160795</v>
      </c>
      <c r="Z1235" s="131">
        <v>0.954421148587056</v>
      </c>
      <c r="AA1235" s="131">
        <v>0.954159592529711</v>
      </c>
      <c r="AB1235" s="131">
        <v>0.938553122792856</v>
      </c>
      <c r="AC1235" s="131">
        <v>0.92</v>
      </c>
      <c r="AD1235" s="129">
        <v>0.997423133235725</v>
      </c>
      <c r="AE1235" s="129">
        <v>0.994807121661721</v>
      </c>
      <c r="AF1235" s="129">
        <v>0.934382866163232</v>
      </c>
      <c r="AG1235" s="129">
        <v>0.941418560532735</v>
      </c>
      <c r="AH1235" s="131">
        <v>0.92</v>
      </c>
      <c r="AI1235" s="129">
        <v>0.960609069844422</v>
      </c>
      <c r="AJ1235" s="129">
        <v>0.972109654350417</v>
      </c>
      <c r="AK1235" s="129">
        <v>0.974240422721268</v>
      </c>
      <c r="AL1235" s="129">
        <v>0.966225724739657</v>
      </c>
      <c r="AM1235" s="128">
        <v>0.99</v>
      </c>
      <c r="AN1235" s="133">
        <v>1</v>
      </c>
      <c r="AO1235" s="133">
        <v>1</v>
      </c>
      <c r="AP1235" s="133">
        <v>1</v>
      </c>
      <c r="AQ1235" s="133">
        <v>1</v>
      </c>
      <c r="AR1235" s="153">
        <v>0.0721861525408278</v>
      </c>
      <c r="AS1235" s="137">
        <v>0.295454545454545</v>
      </c>
      <c r="AT1235" s="137">
        <v>0.0833333333333333</v>
      </c>
      <c r="AU1235" s="137">
        <v>0.0333333333333333</v>
      </c>
      <c r="AV1235" s="137">
        <v>0.0755287009063444</v>
      </c>
      <c r="AW1235" s="93"/>
      <c r="AX1235" s="91"/>
    </row>
    <row r="1236" ht="14.5" spans="1:50">
      <c r="A1236" s="89"/>
      <c r="B1236" s="93"/>
      <c r="C1236" s="148" t="s">
        <v>1080</v>
      </c>
      <c r="D1236" s="126" t="s">
        <v>1081</v>
      </c>
      <c r="E1236" s="186" t="s">
        <v>1261</v>
      </c>
      <c r="F1236" s="186" t="s">
        <v>1261</v>
      </c>
      <c r="G1236" s="186" t="s">
        <v>1261</v>
      </c>
      <c r="H1236" s="186" t="s">
        <v>1261</v>
      </c>
      <c r="I1236" s="128">
        <v>0.9</v>
      </c>
      <c r="J1236" s="129" t="s">
        <v>33</v>
      </c>
      <c r="K1236" s="129" t="s">
        <v>33</v>
      </c>
      <c r="L1236" s="130" t="s">
        <v>33</v>
      </c>
      <c r="M1236" s="129" t="s">
        <v>33</v>
      </c>
      <c r="N1236" s="131">
        <v>0.9</v>
      </c>
      <c r="O1236" s="129">
        <v>0</v>
      </c>
      <c r="P1236" s="129">
        <v>0</v>
      </c>
      <c r="Q1236" s="129">
        <v>0.4</v>
      </c>
      <c r="R1236" s="129">
        <v>0.317073170731707</v>
      </c>
      <c r="S1236" s="131">
        <v>0.9</v>
      </c>
      <c r="T1236" s="129">
        <v>0</v>
      </c>
      <c r="U1236" s="129">
        <v>0.2</v>
      </c>
      <c r="V1236" s="129">
        <v>0.6</v>
      </c>
      <c r="W1236" s="129">
        <v>0.75609756097561</v>
      </c>
      <c r="X1236" s="131">
        <v>0.92</v>
      </c>
      <c r="Y1236" s="131">
        <v>0</v>
      </c>
      <c r="Z1236" s="131" t="s">
        <v>33</v>
      </c>
      <c r="AA1236" s="131" t="s">
        <v>33</v>
      </c>
      <c r="AB1236" s="131">
        <v>0.5</v>
      </c>
      <c r="AC1236" s="131">
        <v>0.92</v>
      </c>
      <c r="AD1236" s="129">
        <v>0.99937996031746</v>
      </c>
      <c r="AE1236" s="129">
        <v>0.758911912010213</v>
      </c>
      <c r="AF1236" s="129">
        <v>0.990065586419753</v>
      </c>
      <c r="AG1236" s="129">
        <v>0.958633488803692</v>
      </c>
      <c r="AH1236" s="131">
        <v>0.92</v>
      </c>
      <c r="AI1236" s="129">
        <v>0.2</v>
      </c>
      <c r="AJ1236" s="129">
        <v>0.2</v>
      </c>
      <c r="AK1236" s="129">
        <v>0.6</v>
      </c>
      <c r="AL1236" s="129">
        <v>0.74</v>
      </c>
      <c r="AM1236" s="128">
        <v>0.99</v>
      </c>
      <c r="AN1236" s="133">
        <v>1</v>
      </c>
      <c r="AO1236" s="133">
        <v>1</v>
      </c>
      <c r="AP1236" s="133">
        <v>1</v>
      </c>
      <c r="AQ1236" s="133">
        <v>1</v>
      </c>
      <c r="AR1236" s="153">
        <v>0.0721861525408278</v>
      </c>
      <c r="AS1236" s="137" t="s">
        <v>33</v>
      </c>
      <c r="AT1236" s="137" t="s">
        <v>33</v>
      </c>
      <c r="AU1236" s="137" t="s">
        <v>33</v>
      </c>
      <c r="AV1236" s="137" t="s">
        <v>33</v>
      </c>
      <c r="AW1236" s="93"/>
      <c r="AX1236" s="91"/>
    </row>
    <row r="1237" ht="14.5" spans="1:50">
      <c r="A1237" s="89"/>
      <c r="B1237" s="93"/>
      <c r="C1237" s="148" t="s">
        <v>1080</v>
      </c>
      <c r="D1237" s="126" t="s">
        <v>1081</v>
      </c>
      <c r="E1237" s="186" t="s">
        <v>1262</v>
      </c>
      <c r="F1237" s="186" t="s">
        <v>1262</v>
      </c>
      <c r="G1237" s="186" t="s">
        <v>1262</v>
      </c>
      <c r="H1237" s="186" t="s">
        <v>1262</v>
      </c>
      <c r="I1237" s="128">
        <v>0.9</v>
      </c>
      <c r="J1237" s="129">
        <v>0.967741935483871</v>
      </c>
      <c r="K1237" s="129">
        <v>0.96</v>
      </c>
      <c r="L1237" s="130">
        <v>0.962264150943396</v>
      </c>
      <c r="M1237" s="129">
        <v>0.963581183611533</v>
      </c>
      <c r="N1237" s="131">
        <v>0.9</v>
      </c>
      <c r="O1237" s="129">
        <v>0.69703808180536</v>
      </c>
      <c r="P1237" s="129">
        <v>0.971977052074139</v>
      </c>
      <c r="Q1237" s="129">
        <v>0.903114848079495</v>
      </c>
      <c r="R1237" s="129">
        <v>0.8280769407336</v>
      </c>
      <c r="S1237" s="131">
        <v>0.9</v>
      </c>
      <c r="T1237" s="129">
        <v>0.758815232722144</v>
      </c>
      <c r="U1237" s="129">
        <v>0.851721094439541</v>
      </c>
      <c r="V1237" s="129">
        <v>0.80087903688133</v>
      </c>
      <c r="W1237" s="129">
        <v>0.813126444169</v>
      </c>
      <c r="X1237" s="131">
        <v>0.92</v>
      </c>
      <c r="Y1237" s="131">
        <v>0.930186170212766</v>
      </c>
      <c r="Z1237" s="131">
        <v>0.940856970428485</v>
      </c>
      <c r="AA1237" s="131">
        <v>0.925802879291251</v>
      </c>
      <c r="AB1237" s="131">
        <v>0.935292060160895</v>
      </c>
      <c r="AC1237" s="131">
        <v>0.92</v>
      </c>
      <c r="AD1237" s="129">
        <v>0.996981076503939</v>
      </c>
      <c r="AE1237" s="129">
        <v>0.95807210031348</v>
      </c>
      <c r="AF1237" s="129">
        <v>0.967931473877956</v>
      </c>
      <c r="AG1237" s="129">
        <v>0.960491029526134</v>
      </c>
      <c r="AH1237" s="131">
        <v>0.92</v>
      </c>
      <c r="AI1237" s="129">
        <v>0.9524086572027</v>
      </c>
      <c r="AJ1237" s="129">
        <v>0.958151559217967</v>
      </c>
      <c r="AK1237" s="129">
        <v>0.958116036505867</v>
      </c>
      <c r="AL1237" s="129">
        <v>0.960990859783045</v>
      </c>
      <c r="AM1237" s="128">
        <v>0.99</v>
      </c>
      <c r="AN1237" s="133">
        <v>1</v>
      </c>
      <c r="AO1237" s="133">
        <v>1</v>
      </c>
      <c r="AP1237" s="133">
        <v>1</v>
      </c>
      <c r="AQ1237" s="133">
        <v>1</v>
      </c>
      <c r="AR1237" s="153">
        <v>0.0721861525408278</v>
      </c>
      <c r="AS1237" s="137">
        <v>0.0540540540540541</v>
      </c>
      <c r="AT1237" s="137">
        <v>0.0256410256410256</v>
      </c>
      <c r="AU1237" s="137">
        <v>0.06</v>
      </c>
      <c r="AV1237" s="137">
        <v>0.0113636363636364</v>
      </c>
      <c r="AW1237" s="93"/>
      <c r="AX1237" s="91"/>
    </row>
    <row r="1238" ht="14.5" spans="1:50">
      <c r="A1238" s="89"/>
      <c r="B1238" s="93"/>
      <c r="C1238" s="148" t="s">
        <v>1080</v>
      </c>
      <c r="D1238" s="126" t="s">
        <v>1081</v>
      </c>
      <c r="E1238" s="186" t="s">
        <v>1263</v>
      </c>
      <c r="F1238" s="186" t="s">
        <v>1263</v>
      </c>
      <c r="G1238" s="186" t="s">
        <v>1263</v>
      </c>
      <c r="H1238" s="186" t="s">
        <v>1263</v>
      </c>
      <c r="I1238" s="128">
        <v>0.9</v>
      </c>
      <c r="J1238" s="129" t="s">
        <v>33</v>
      </c>
      <c r="K1238" s="129" t="s">
        <v>33</v>
      </c>
      <c r="L1238" s="130" t="s">
        <v>33</v>
      </c>
      <c r="M1238" s="129" t="s">
        <v>33</v>
      </c>
      <c r="N1238" s="131">
        <v>0.9</v>
      </c>
      <c r="O1238" s="129" t="s">
        <v>33</v>
      </c>
      <c r="P1238" s="129" t="s">
        <v>33</v>
      </c>
      <c r="Q1238" s="129">
        <v>0</v>
      </c>
      <c r="R1238" s="129">
        <v>0</v>
      </c>
      <c r="S1238" s="131">
        <v>0.9</v>
      </c>
      <c r="T1238" s="129" t="s">
        <v>33</v>
      </c>
      <c r="U1238" s="129" t="s">
        <v>33</v>
      </c>
      <c r="V1238" s="129">
        <v>1</v>
      </c>
      <c r="W1238" s="129">
        <v>1</v>
      </c>
      <c r="X1238" s="131">
        <v>0.92</v>
      </c>
      <c r="Y1238" s="131" t="s">
        <v>33</v>
      </c>
      <c r="Z1238" s="131" t="s">
        <v>33</v>
      </c>
      <c r="AA1238" s="131" t="s">
        <v>33</v>
      </c>
      <c r="AB1238" s="131" t="s">
        <v>33</v>
      </c>
      <c r="AC1238" s="131">
        <v>0.92</v>
      </c>
      <c r="AD1238" s="129">
        <v>0.999041227229147</v>
      </c>
      <c r="AE1238" s="129">
        <v>0.942120343839542</v>
      </c>
      <c r="AF1238" s="129">
        <v>0.436046511627907</v>
      </c>
      <c r="AG1238" s="129">
        <v>0.877283751010509</v>
      </c>
      <c r="AH1238" s="131">
        <v>0.92</v>
      </c>
      <c r="AI1238" s="129" t="s">
        <v>33</v>
      </c>
      <c r="AJ1238" s="129" t="s">
        <v>33</v>
      </c>
      <c r="AK1238" s="129">
        <v>1</v>
      </c>
      <c r="AL1238" s="129">
        <v>1</v>
      </c>
      <c r="AM1238" s="128">
        <v>0.99</v>
      </c>
      <c r="AN1238" s="133">
        <v>1</v>
      </c>
      <c r="AO1238" s="133">
        <v>1</v>
      </c>
      <c r="AP1238" s="133">
        <v>1</v>
      </c>
      <c r="AQ1238" s="133">
        <v>1</v>
      </c>
      <c r="AR1238" s="153">
        <v>0.0721861525408278</v>
      </c>
      <c r="AS1238" s="137" t="s">
        <v>33</v>
      </c>
      <c r="AT1238" s="137" t="s">
        <v>33</v>
      </c>
      <c r="AU1238" s="137" t="s">
        <v>33</v>
      </c>
      <c r="AV1238" s="137" t="s">
        <v>33</v>
      </c>
      <c r="AW1238" s="93"/>
      <c r="AX1238" s="91"/>
    </row>
    <row r="1239" ht="14.5" spans="1:50">
      <c r="A1239" s="89"/>
      <c r="B1239" s="93"/>
      <c r="C1239" s="148" t="s">
        <v>1080</v>
      </c>
      <c r="D1239" s="126" t="s">
        <v>1081</v>
      </c>
      <c r="E1239" s="186" t="s">
        <v>1264</v>
      </c>
      <c r="F1239" s="186" t="s">
        <v>1264</v>
      </c>
      <c r="G1239" s="186" t="s">
        <v>1264</v>
      </c>
      <c r="H1239" s="186" t="s">
        <v>1264</v>
      </c>
      <c r="I1239" s="128">
        <v>0.9</v>
      </c>
      <c r="J1239" s="129" t="s">
        <v>33</v>
      </c>
      <c r="K1239" s="129" t="s">
        <v>33</v>
      </c>
      <c r="L1239" s="130" t="s">
        <v>33</v>
      </c>
      <c r="M1239" s="129" t="s">
        <v>33</v>
      </c>
      <c r="N1239" s="131">
        <v>0.9</v>
      </c>
      <c r="O1239" s="129">
        <v>0</v>
      </c>
      <c r="P1239" s="129">
        <v>0</v>
      </c>
      <c r="Q1239" s="129">
        <v>0</v>
      </c>
      <c r="R1239" s="129">
        <v>0</v>
      </c>
      <c r="S1239" s="131">
        <v>0.9</v>
      </c>
      <c r="T1239" s="129">
        <v>1</v>
      </c>
      <c r="U1239" s="129">
        <v>1</v>
      </c>
      <c r="V1239" s="129">
        <v>1</v>
      </c>
      <c r="W1239" s="129">
        <v>1</v>
      </c>
      <c r="X1239" s="131">
        <v>0.92</v>
      </c>
      <c r="Y1239" s="131" t="s">
        <v>33</v>
      </c>
      <c r="Z1239" s="131">
        <v>1</v>
      </c>
      <c r="AA1239" s="131" t="s">
        <v>33</v>
      </c>
      <c r="AB1239" s="131">
        <v>1</v>
      </c>
      <c r="AC1239" s="131">
        <v>0.92</v>
      </c>
      <c r="AD1239" s="129">
        <v>0.996712763545681</v>
      </c>
      <c r="AE1239" s="129">
        <v>0.998011504864711</v>
      </c>
      <c r="AF1239" s="129">
        <v>0.964874106310227</v>
      </c>
      <c r="AG1239" s="129">
        <v>0.956801316409589</v>
      </c>
      <c r="AH1239" s="131">
        <v>0.92</v>
      </c>
      <c r="AI1239" s="129">
        <v>1</v>
      </c>
      <c r="AJ1239" s="129">
        <v>1</v>
      </c>
      <c r="AK1239" s="129">
        <v>1</v>
      </c>
      <c r="AL1239" s="129">
        <v>1</v>
      </c>
      <c r="AM1239" s="128">
        <v>0.99</v>
      </c>
      <c r="AN1239" s="133">
        <v>1</v>
      </c>
      <c r="AO1239" s="133">
        <v>1</v>
      </c>
      <c r="AP1239" s="133">
        <v>1</v>
      </c>
      <c r="AQ1239" s="133">
        <v>1</v>
      </c>
      <c r="AR1239" s="153">
        <v>0.0721861525408278</v>
      </c>
      <c r="AS1239" s="137" t="s">
        <v>33</v>
      </c>
      <c r="AT1239" s="137" t="s">
        <v>33</v>
      </c>
      <c r="AU1239" s="137" t="s">
        <v>33</v>
      </c>
      <c r="AV1239" s="137" t="s">
        <v>33</v>
      </c>
      <c r="AW1239" s="93"/>
      <c r="AX1239" s="91"/>
    </row>
    <row r="1240" ht="14.5" spans="1:50">
      <c r="A1240" s="89"/>
      <c r="B1240" s="93"/>
      <c r="C1240" s="148" t="s">
        <v>1080</v>
      </c>
      <c r="D1240" s="126" t="s">
        <v>1081</v>
      </c>
      <c r="E1240" s="186" t="s">
        <v>1265</v>
      </c>
      <c r="F1240" s="186" t="s">
        <v>1265</v>
      </c>
      <c r="G1240" s="186" t="s">
        <v>1265</v>
      </c>
      <c r="H1240" s="186" t="s">
        <v>1265</v>
      </c>
      <c r="I1240" s="128">
        <v>0.9</v>
      </c>
      <c r="J1240" s="129" t="s">
        <v>33</v>
      </c>
      <c r="K1240" s="129" t="s">
        <v>33</v>
      </c>
      <c r="L1240" s="130" t="s">
        <v>33</v>
      </c>
      <c r="M1240" s="129" t="s">
        <v>33</v>
      </c>
      <c r="N1240" s="131">
        <v>0.9</v>
      </c>
      <c r="O1240" s="129" t="s">
        <v>33</v>
      </c>
      <c r="P1240" s="129" t="s">
        <v>33</v>
      </c>
      <c r="Q1240" s="129">
        <v>0</v>
      </c>
      <c r="R1240" s="129">
        <v>0</v>
      </c>
      <c r="S1240" s="131">
        <v>0.9</v>
      </c>
      <c r="T1240" s="129" t="s">
        <v>33</v>
      </c>
      <c r="U1240" s="129" t="s">
        <v>33</v>
      </c>
      <c r="V1240" s="129">
        <v>1</v>
      </c>
      <c r="W1240" s="129">
        <v>1</v>
      </c>
      <c r="X1240" s="131">
        <v>0.92</v>
      </c>
      <c r="Y1240" s="131" t="s">
        <v>33</v>
      </c>
      <c r="Z1240" s="131" t="s">
        <v>33</v>
      </c>
      <c r="AA1240" s="131" t="s">
        <v>33</v>
      </c>
      <c r="AB1240" s="131">
        <v>1</v>
      </c>
      <c r="AC1240" s="131">
        <v>0.92</v>
      </c>
      <c r="AD1240" s="129">
        <v>0.9978184991274</v>
      </c>
      <c r="AE1240" s="129">
        <v>0.307911753518448</v>
      </c>
      <c r="AF1240" s="129">
        <v>0.915580384854128</v>
      </c>
      <c r="AG1240" s="129">
        <v>0.916517055655296</v>
      </c>
      <c r="AH1240" s="131">
        <v>0.92</v>
      </c>
      <c r="AI1240" s="129" t="s">
        <v>33</v>
      </c>
      <c r="AJ1240" s="129" t="s">
        <v>33</v>
      </c>
      <c r="AK1240" s="129">
        <v>1</v>
      </c>
      <c r="AL1240" s="129">
        <v>1</v>
      </c>
      <c r="AM1240" s="128">
        <v>0.99</v>
      </c>
      <c r="AN1240" s="133">
        <v>1</v>
      </c>
      <c r="AO1240" s="133">
        <v>1</v>
      </c>
      <c r="AP1240" s="133">
        <v>1</v>
      </c>
      <c r="AQ1240" s="133">
        <v>1</v>
      </c>
      <c r="AR1240" s="153">
        <v>0.0721861525408278</v>
      </c>
      <c r="AS1240" s="137" t="s">
        <v>33</v>
      </c>
      <c r="AT1240" s="137" t="s">
        <v>33</v>
      </c>
      <c r="AU1240" s="137" t="s">
        <v>33</v>
      </c>
      <c r="AV1240" s="137" t="s">
        <v>33</v>
      </c>
      <c r="AW1240" s="93"/>
      <c r="AX1240" s="91"/>
    </row>
    <row r="1241" ht="14.5" spans="1:50">
      <c r="A1241" s="89"/>
      <c r="B1241" s="93"/>
      <c r="C1241" s="148" t="s">
        <v>1080</v>
      </c>
      <c r="D1241" s="126" t="s">
        <v>1081</v>
      </c>
      <c r="E1241" s="186" t="s">
        <v>1266</v>
      </c>
      <c r="F1241" s="186" t="s">
        <v>1266</v>
      </c>
      <c r="G1241" s="186" t="s">
        <v>1266</v>
      </c>
      <c r="H1241" s="186" t="s">
        <v>1266</v>
      </c>
      <c r="I1241" s="128">
        <v>0.9</v>
      </c>
      <c r="J1241" s="129">
        <v>1</v>
      </c>
      <c r="K1241" s="129">
        <v>0.955223880597015</v>
      </c>
      <c r="L1241" s="130">
        <v>0.931506849315068</v>
      </c>
      <c r="M1241" s="129">
        <v>0.967194570135747</v>
      </c>
      <c r="N1241" s="131">
        <v>0.9</v>
      </c>
      <c r="O1241" s="129">
        <v>0.927578273482045</v>
      </c>
      <c r="P1241" s="129">
        <v>0.959167461074039</v>
      </c>
      <c r="Q1241" s="129">
        <v>0.940391099123398</v>
      </c>
      <c r="R1241" s="129">
        <v>0.936365396197195</v>
      </c>
      <c r="S1241" s="131">
        <v>0.9</v>
      </c>
      <c r="T1241" s="129">
        <v>0.87446233870161</v>
      </c>
      <c r="U1241" s="129">
        <v>0.896568160152526</v>
      </c>
      <c r="V1241" s="129">
        <v>0.884018880647336</v>
      </c>
      <c r="W1241" s="129">
        <v>0.888712036479394</v>
      </c>
      <c r="X1241" s="131">
        <v>0.92</v>
      </c>
      <c r="Y1241" s="131">
        <v>0.913250714966635</v>
      </c>
      <c r="Z1241" s="131">
        <v>0.913513513513514</v>
      </c>
      <c r="AA1241" s="131">
        <v>0.904040404040404</v>
      </c>
      <c r="AB1241" s="131">
        <v>0.913636577449551</v>
      </c>
      <c r="AC1241" s="131">
        <v>0.92</v>
      </c>
      <c r="AD1241" s="129">
        <v>0.999604508601938</v>
      </c>
      <c r="AE1241" s="129">
        <v>0.996202740630675</v>
      </c>
      <c r="AF1241" s="129">
        <v>0.989799171182659</v>
      </c>
      <c r="AG1241" s="129">
        <v>0.99217226872279</v>
      </c>
      <c r="AH1241" s="131">
        <v>0.92</v>
      </c>
      <c r="AI1241" s="129">
        <v>0.95808878234273</v>
      </c>
      <c r="AJ1241" s="129">
        <v>0.952523278537763</v>
      </c>
      <c r="AK1241" s="129">
        <v>0.965717606042998</v>
      </c>
      <c r="AL1241" s="129">
        <v>0.959327463371085</v>
      </c>
      <c r="AM1241" s="128">
        <v>0.99</v>
      </c>
      <c r="AN1241" s="133">
        <v>1</v>
      </c>
      <c r="AO1241" s="133">
        <v>1</v>
      </c>
      <c r="AP1241" s="133">
        <v>1</v>
      </c>
      <c r="AQ1241" s="133">
        <v>1</v>
      </c>
      <c r="AR1241" s="153">
        <v>0.0721861525408278</v>
      </c>
      <c r="AS1241" s="137">
        <v>0.0158730158730159</v>
      </c>
      <c r="AT1241" s="137">
        <v>0.0735294117647059</v>
      </c>
      <c r="AU1241" s="137">
        <v>0.0588235294117647</v>
      </c>
      <c r="AV1241" s="137">
        <v>0.0444444444444444</v>
      </c>
      <c r="AW1241" s="93"/>
      <c r="AX1241" s="91"/>
    </row>
    <row r="1242" ht="14.5" spans="1:50">
      <c r="A1242" s="89"/>
      <c r="B1242" s="93"/>
      <c r="C1242" s="148" t="s">
        <v>1080</v>
      </c>
      <c r="D1242" s="126" t="s">
        <v>1081</v>
      </c>
      <c r="E1242" s="189" t="s">
        <v>1267</v>
      </c>
      <c r="F1242" s="189" t="s">
        <v>1267</v>
      </c>
      <c r="G1242" s="189" t="s">
        <v>1267</v>
      </c>
      <c r="H1242" s="189" t="s">
        <v>1267</v>
      </c>
      <c r="I1242" s="128">
        <v>0.9</v>
      </c>
      <c r="J1242" s="129" t="s">
        <v>33</v>
      </c>
      <c r="K1242" s="129" t="s">
        <v>33</v>
      </c>
      <c r="L1242" s="130" t="s">
        <v>33</v>
      </c>
      <c r="M1242" s="129" t="s">
        <v>33</v>
      </c>
      <c r="N1242" s="131">
        <v>0.9</v>
      </c>
      <c r="O1242" s="129">
        <v>0</v>
      </c>
      <c r="P1242" s="129">
        <v>0</v>
      </c>
      <c r="Q1242" s="129">
        <v>0</v>
      </c>
      <c r="R1242" s="129">
        <v>0</v>
      </c>
      <c r="S1242" s="131">
        <v>0.9</v>
      </c>
      <c r="T1242" s="129">
        <v>1</v>
      </c>
      <c r="U1242" s="129">
        <v>1</v>
      </c>
      <c r="V1242" s="129">
        <v>0.980769230769231</v>
      </c>
      <c r="W1242" s="129">
        <v>0.990990990990991</v>
      </c>
      <c r="X1242" s="131">
        <v>0.92</v>
      </c>
      <c r="Y1242" s="131">
        <v>0.888888888888889</v>
      </c>
      <c r="Z1242" s="131">
        <v>1</v>
      </c>
      <c r="AA1242" s="131">
        <v>0.928571428571429</v>
      </c>
      <c r="AB1242" s="131">
        <v>0.971428571428571</v>
      </c>
      <c r="AC1242" s="131">
        <v>0.92</v>
      </c>
      <c r="AD1242" s="129">
        <v>1</v>
      </c>
      <c r="AE1242" s="129">
        <v>0.910471204188482</v>
      </c>
      <c r="AF1242" s="129">
        <v>0.983929875821768</v>
      </c>
      <c r="AG1242" s="129">
        <v>0.976622381195708</v>
      </c>
      <c r="AH1242" s="131">
        <v>0.92</v>
      </c>
      <c r="AI1242" s="129">
        <v>0.985074626865672</v>
      </c>
      <c r="AJ1242" s="129">
        <v>1</v>
      </c>
      <c r="AK1242" s="129">
        <v>0.96969696969697</v>
      </c>
      <c r="AL1242" s="129">
        <v>0.987878787878788</v>
      </c>
      <c r="AM1242" s="128">
        <v>0.99</v>
      </c>
      <c r="AN1242" s="133">
        <v>1</v>
      </c>
      <c r="AO1242" s="133">
        <v>1</v>
      </c>
      <c r="AP1242" s="133">
        <v>0.952830188679245</v>
      </c>
      <c r="AQ1242" s="133">
        <v>0.989711934156379</v>
      </c>
      <c r="AR1242" s="153">
        <v>0.0721861525408278</v>
      </c>
      <c r="AS1242" s="137" t="s">
        <v>33</v>
      </c>
      <c r="AT1242" s="137" t="s">
        <v>33</v>
      </c>
      <c r="AU1242" s="137" t="s">
        <v>33</v>
      </c>
      <c r="AV1242" s="137" t="s">
        <v>33</v>
      </c>
      <c r="AW1242" s="93"/>
      <c r="AX1242" s="91"/>
    </row>
    <row r="1243" ht="14.5" spans="1:50">
      <c r="A1243" s="89"/>
      <c r="B1243" s="93"/>
      <c r="C1243" s="148" t="s">
        <v>1080</v>
      </c>
      <c r="D1243" s="126" t="s">
        <v>1081</v>
      </c>
      <c r="E1243" s="186" t="s">
        <v>1268</v>
      </c>
      <c r="F1243" s="186" t="s">
        <v>1268</v>
      </c>
      <c r="G1243" s="186" t="s">
        <v>1268</v>
      </c>
      <c r="H1243" s="186" t="s">
        <v>1268</v>
      </c>
      <c r="I1243" s="128">
        <v>0.9</v>
      </c>
      <c r="J1243" s="129">
        <v>0.978723404255319</v>
      </c>
      <c r="K1243" s="129">
        <v>0.976744186046512</v>
      </c>
      <c r="L1243" s="130">
        <v>1</v>
      </c>
      <c r="M1243" s="129">
        <v>0.987295825771325</v>
      </c>
      <c r="N1243" s="131">
        <v>0.9</v>
      </c>
      <c r="O1243" s="129">
        <v>0.937083959630663</v>
      </c>
      <c r="P1243" s="129">
        <v>0.953631647211414</v>
      </c>
      <c r="Q1243" s="129">
        <v>0.986065573770492</v>
      </c>
      <c r="R1243" s="129">
        <v>0.969932861954364</v>
      </c>
      <c r="S1243" s="131">
        <v>0.9</v>
      </c>
      <c r="T1243" s="129">
        <v>0.863431393601031</v>
      </c>
      <c r="U1243" s="129">
        <v>0.881647211413748</v>
      </c>
      <c r="V1243" s="129">
        <v>0.894535519125683</v>
      </c>
      <c r="W1243" s="129">
        <v>0.87640800303348</v>
      </c>
      <c r="X1243" s="131">
        <v>0.92</v>
      </c>
      <c r="Y1243" s="131">
        <v>0.914720812182741</v>
      </c>
      <c r="Z1243" s="131">
        <v>0.922753988245172</v>
      </c>
      <c r="AA1243" s="131">
        <v>0.926470588235294</v>
      </c>
      <c r="AB1243" s="131">
        <v>0.908485029344474</v>
      </c>
      <c r="AC1243" s="131">
        <v>0.92</v>
      </c>
      <c r="AD1243" s="129">
        <v>0.986893509766856</v>
      </c>
      <c r="AE1243" s="129">
        <v>0.980112299632987</v>
      </c>
      <c r="AF1243" s="129">
        <v>0.992190030592046</v>
      </c>
      <c r="AG1243" s="129">
        <v>0.942652487107701</v>
      </c>
      <c r="AH1243" s="131">
        <v>0.92</v>
      </c>
      <c r="AI1243" s="129">
        <v>0.958887116781854</v>
      </c>
      <c r="AJ1243" s="129">
        <v>0.957670720299345</v>
      </c>
      <c r="AK1243" s="129">
        <v>0.967979728173232</v>
      </c>
      <c r="AL1243" s="129">
        <v>0.950958245281644</v>
      </c>
      <c r="AM1243" s="128">
        <v>0.99</v>
      </c>
      <c r="AN1243" s="133">
        <v>1</v>
      </c>
      <c r="AO1243" s="133">
        <v>1</v>
      </c>
      <c r="AP1243" s="133">
        <v>1</v>
      </c>
      <c r="AQ1243" s="133">
        <v>1</v>
      </c>
      <c r="AR1243" s="153">
        <v>0.0721861525408278</v>
      </c>
      <c r="AS1243" s="137">
        <v>0.0666666666666667</v>
      </c>
      <c r="AT1243" s="137">
        <v>0.153846153846154</v>
      </c>
      <c r="AU1243" s="137">
        <v>0</v>
      </c>
      <c r="AV1243" s="137">
        <v>-0.0168067226890756</v>
      </c>
      <c r="AW1243" s="93"/>
      <c r="AX1243" s="91"/>
    </row>
    <row r="1244" ht="14.5" spans="1:50">
      <c r="A1244" s="89"/>
      <c r="B1244" s="93"/>
      <c r="C1244" s="148" t="s">
        <v>1080</v>
      </c>
      <c r="D1244" s="126" t="s">
        <v>1081</v>
      </c>
      <c r="E1244" s="186" t="s">
        <v>1269</v>
      </c>
      <c r="F1244" s="186" t="s">
        <v>1269</v>
      </c>
      <c r="G1244" s="186" t="s">
        <v>1269</v>
      </c>
      <c r="H1244" s="186" t="s">
        <v>1269</v>
      </c>
      <c r="I1244" s="128">
        <v>0.9</v>
      </c>
      <c r="J1244" s="129">
        <v>0.982758620689655</v>
      </c>
      <c r="K1244" s="129">
        <v>0.979591836734694</v>
      </c>
      <c r="L1244" s="130">
        <v>0.978260869565217</v>
      </c>
      <c r="M1244" s="129">
        <v>0.965625</v>
      </c>
      <c r="N1244" s="131">
        <v>0.9</v>
      </c>
      <c r="O1244" s="129">
        <v>0.950788939228246</v>
      </c>
      <c r="P1244" s="129">
        <v>0.951604418726986</v>
      </c>
      <c r="Q1244" s="129">
        <v>0.941008771929825</v>
      </c>
      <c r="R1244" s="129">
        <v>0.932666541500964</v>
      </c>
      <c r="S1244" s="131">
        <v>0.9</v>
      </c>
      <c r="T1244" s="129">
        <v>0.867052023121387</v>
      </c>
      <c r="U1244" s="129">
        <v>0.895581273014203</v>
      </c>
      <c r="V1244" s="129">
        <v>0.843640350877193</v>
      </c>
      <c r="W1244" s="129">
        <v>0.884176210551469</v>
      </c>
      <c r="X1244" s="131">
        <v>0.92</v>
      </c>
      <c r="Y1244" s="131">
        <v>0.926666666666667</v>
      </c>
      <c r="Z1244" s="131">
        <v>0.927444794952681</v>
      </c>
      <c r="AA1244" s="131">
        <v>0.921348314606742</v>
      </c>
      <c r="AB1244" s="131">
        <v>0.908601712189156</v>
      </c>
      <c r="AC1244" s="131">
        <v>0.92</v>
      </c>
      <c r="AD1244" s="129">
        <v>0.998565279770445</v>
      </c>
      <c r="AE1244" s="129">
        <v>0.995143273433706</v>
      </c>
      <c r="AF1244" s="129">
        <v>0.952385097493036</v>
      </c>
      <c r="AG1244" s="129">
        <v>0.988230879755466</v>
      </c>
      <c r="AH1244" s="131">
        <v>0.92</v>
      </c>
      <c r="AI1244" s="129">
        <v>0.957110906459676</v>
      </c>
      <c r="AJ1244" s="129">
        <v>0.957790927021696</v>
      </c>
      <c r="AK1244" s="129">
        <v>0.956018957345972</v>
      </c>
      <c r="AL1244" s="129">
        <v>0.954873213202196</v>
      </c>
      <c r="AM1244" s="128">
        <v>0.99</v>
      </c>
      <c r="AN1244" s="133">
        <v>1</v>
      </c>
      <c r="AO1244" s="133">
        <v>1</v>
      </c>
      <c r="AP1244" s="133">
        <v>1</v>
      </c>
      <c r="AQ1244" s="133">
        <v>1</v>
      </c>
      <c r="AR1244" s="153">
        <v>0.0721861525408278</v>
      </c>
      <c r="AS1244" s="137">
        <v>0.121212121212121</v>
      </c>
      <c r="AT1244" s="137">
        <v>0.0294117647058824</v>
      </c>
      <c r="AU1244" s="137">
        <v>0.08</v>
      </c>
      <c r="AV1244" s="137">
        <v>0.0784883720930233</v>
      </c>
      <c r="AW1244" s="93"/>
      <c r="AX1244" s="91"/>
    </row>
    <row r="1245" ht="14.5" spans="1:50">
      <c r="A1245" s="89"/>
      <c r="B1245" s="93"/>
      <c r="C1245" s="148" t="s">
        <v>1080</v>
      </c>
      <c r="D1245" s="126" t="s">
        <v>1081</v>
      </c>
      <c r="E1245" s="186" t="s">
        <v>1270</v>
      </c>
      <c r="F1245" s="186" t="s">
        <v>1270</v>
      </c>
      <c r="G1245" s="186" t="s">
        <v>1270</v>
      </c>
      <c r="H1245" s="186" t="s">
        <v>1270</v>
      </c>
      <c r="I1245" s="128">
        <v>0.9</v>
      </c>
      <c r="J1245" s="129">
        <v>1</v>
      </c>
      <c r="K1245" s="129">
        <v>1</v>
      </c>
      <c r="L1245" s="130">
        <v>1</v>
      </c>
      <c r="M1245" s="129">
        <v>0.992700729927007</v>
      </c>
      <c r="N1245" s="131">
        <v>0.9</v>
      </c>
      <c r="O1245" s="129">
        <v>0.923928470053931</v>
      </c>
      <c r="P1245" s="129">
        <v>0.969245107176142</v>
      </c>
      <c r="Q1245" s="129">
        <v>0.971512052593134</v>
      </c>
      <c r="R1245" s="129">
        <v>0.929713648196355</v>
      </c>
      <c r="S1245" s="131">
        <v>0.9</v>
      </c>
      <c r="T1245" s="129">
        <v>0.885892705080897</v>
      </c>
      <c r="U1245" s="129">
        <v>0.90354147250699</v>
      </c>
      <c r="V1245" s="129">
        <v>0.889335281227173</v>
      </c>
      <c r="W1245" s="129">
        <v>0.901233420106607</v>
      </c>
      <c r="X1245" s="131">
        <v>0.92</v>
      </c>
      <c r="Y1245" s="131">
        <v>0.923694779116466</v>
      </c>
      <c r="Z1245" s="131">
        <v>0.916897506925208</v>
      </c>
      <c r="AA1245" s="131">
        <v>0.956140350877193</v>
      </c>
      <c r="AB1245" s="131">
        <v>0.927377521613833</v>
      </c>
      <c r="AC1245" s="131">
        <v>0.92</v>
      </c>
      <c r="AD1245" s="129">
        <v>0.983729369074096</v>
      </c>
      <c r="AE1245" s="129">
        <v>0.982584529874942</v>
      </c>
      <c r="AF1245" s="129">
        <v>0.841272485009993</v>
      </c>
      <c r="AG1245" s="129">
        <v>0.946114562493419</v>
      </c>
      <c r="AH1245" s="131">
        <v>0.92</v>
      </c>
      <c r="AI1245" s="129">
        <v>0.960421545667447</v>
      </c>
      <c r="AJ1245" s="129">
        <v>0.960613454165214</v>
      </c>
      <c r="AK1245" s="129">
        <v>0.977457733249843</v>
      </c>
      <c r="AL1245" s="129">
        <v>0.966182958863584</v>
      </c>
      <c r="AM1245" s="128">
        <v>0.99</v>
      </c>
      <c r="AN1245" s="133">
        <v>1</v>
      </c>
      <c r="AO1245" s="133">
        <v>1</v>
      </c>
      <c r="AP1245" s="133">
        <v>1</v>
      </c>
      <c r="AQ1245" s="133">
        <v>1</v>
      </c>
      <c r="AR1245" s="153">
        <v>0.0721861525408278</v>
      </c>
      <c r="AS1245" s="137">
        <v>0</v>
      </c>
      <c r="AT1245" s="137">
        <v>0.0810810810810811</v>
      </c>
      <c r="AU1245" s="137">
        <v>0.0212765957446809</v>
      </c>
      <c r="AV1245" s="137">
        <v>0.032520325203252</v>
      </c>
      <c r="AW1245" s="93"/>
      <c r="AX1245" s="91"/>
    </row>
    <row r="1246" ht="14.5" spans="1:50">
      <c r="A1246" s="89"/>
      <c r="B1246" s="93"/>
      <c r="C1246" s="148" t="s">
        <v>1080</v>
      </c>
      <c r="D1246" s="126" t="s">
        <v>1081</v>
      </c>
      <c r="E1246" s="186" t="s">
        <v>1271</v>
      </c>
      <c r="F1246" s="186" t="s">
        <v>1271</v>
      </c>
      <c r="G1246" s="186" t="s">
        <v>1271</v>
      </c>
      <c r="H1246" s="186" t="s">
        <v>1271</v>
      </c>
      <c r="I1246" s="128">
        <v>0.9</v>
      </c>
      <c r="J1246" s="129" t="s">
        <v>33</v>
      </c>
      <c r="K1246" s="129" t="s">
        <v>33</v>
      </c>
      <c r="L1246" s="130" t="s">
        <v>33</v>
      </c>
      <c r="M1246" s="129" t="s">
        <v>33</v>
      </c>
      <c r="N1246" s="131">
        <v>0.9</v>
      </c>
      <c r="O1246" s="129">
        <v>0.450331125827815</v>
      </c>
      <c r="P1246" s="129">
        <v>0.572307692307692</v>
      </c>
      <c r="Q1246" s="129">
        <v>0.596153846153846</v>
      </c>
      <c r="R1246" s="129">
        <v>0.492895204262877</v>
      </c>
      <c r="S1246" s="131">
        <v>0.9</v>
      </c>
      <c r="T1246" s="129">
        <v>0.996688741721854</v>
      </c>
      <c r="U1246" s="129">
        <v>1</v>
      </c>
      <c r="V1246" s="129">
        <v>1</v>
      </c>
      <c r="W1246" s="129">
        <v>0.992007104795737</v>
      </c>
      <c r="X1246" s="131">
        <v>0.92</v>
      </c>
      <c r="Y1246" s="131">
        <v>1</v>
      </c>
      <c r="Z1246" s="131">
        <v>0.979381443298969</v>
      </c>
      <c r="AA1246" s="131">
        <v>0.958762886597938</v>
      </c>
      <c r="AB1246" s="131">
        <v>0.985781990521327</v>
      </c>
      <c r="AC1246" s="131">
        <v>0.92</v>
      </c>
      <c r="AD1246" s="129">
        <v>0.994448850118953</v>
      </c>
      <c r="AE1246" s="129">
        <v>0.9741979790052</v>
      </c>
      <c r="AF1246" s="129">
        <v>0.980504108062944</v>
      </c>
      <c r="AG1246" s="129">
        <v>0.973701230523707</v>
      </c>
      <c r="AH1246" s="131">
        <v>0.92</v>
      </c>
      <c r="AI1246" s="129">
        <v>1</v>
      </c>
      <c r="AJ1246" s="129">
        <v>0.995283018867924</v>
      </c>
      <c r="AK1246" s="129">
        <v>0.988857938718663</v>
      </c>
      <c r="AL1246" s="129">
        <v>0.990825688073395</v>
      </c>
      <c r="AM1246" s="128">
        <v>0.99</v>
      </c>
      <c r="AN1246" s="133">
        <v>1</v>
      </c>
      <c r="AO1246" s="133">
        <v>1</v>
      </c>
      <c r="AP1246" s="133">
        <v>1</v>
      </c>
      <c r="AQ1246" s="133">
        <v>1</v>
      </c>
      <c r="AR1246" s="153">
        <v>0.0721861525408278</v>
      </c>
      <c r="AS1246" s="137" t="s">
        <v>33</v>
      </c>
      <c r="AT1246" s="137" t="s">
        <v>33</v>
      </c>
      <c r="AU1246" s="137">
        <v>0</v>
      </c>
      <c r="AV1246" s="137">
        <v>0</v>
      </c>
      <c r="AW1246" s="93"/>
      <c r="AX1246" s="91"/>
    </row>
    <row r="1247" ht="14.5" spans="1:50">
      <c r="A1247" s="89"/>
      <c r="B1247" s="93"/>
      <c r="C1247" s="148" t="s">
        <v>1080</v>
      </c>
      <c r="D1247" s="126" t="s">
        <v>1081</v>
      </c>
      <c r="E1247" s="186" t="s">
        <v>1272</v>
      </c>
      <c r="F1247" s="186" t="s">
        <v>1272</v>
      </c>
      <c r="G1247" s="186" t="s">
        <v>1272</v>
      </c>
      <c r="H1247" s="186" t="s">
        <v>1272</v>
      </c>
      <c r="I1247" s="128">
        <v>0.9</v>
      </c>
      <c r="J1247" s="129" t="s">
        <v>33</v>
      </c>
      <c r="K1247" s="129" t="s">
        <v>33</v>
      </c>
      <c r="L1247" s="130" t="s">
        <v>33</v>
      </c>
      <c r="M1247" s="129" t="s">
        <v>33</v>
      </c>
      <c r="N1247" s="131">
        <v>0.9</v>
      </c>
      <c r="O1247" s="129">
        <v>0</v>
      </c>
      <c r="P1247" s="129">
        <v>0</v>
      </c>
      <c r="Q1247" s="129">
        <v>0</v>
      </c>
      <c r="R1247" s="129">
        <v>0</v>
      </c>
      <c r="S1247" s="131">
        <v>0.9</v>
      </c>
      <c r="T1247" s="129">
        <v>0</v>
      </c>
      <c r="U1247" s="129">
        <v>1</v>
      </c>
      <c r="V1247" s="129">
        <v>1</v>
      </c>
      <c r="W1247" s="129">
        <v>0.888888888888889</v>
      </c>
      <c r="X1247" s="131">
        <v>0.92</v>
      </c>
      <c r="Y1247" s="131" t="s">
        <v>33</v>
      </c>
      <c r="Z1247" s="131" t="s">
        <v>33</v>
      </c>
      <c r="AA1247" s="131" t="s">
        <v>33</v>
      </c>
      <c r="AB1247" s="131">
        <v>1</v>
      </c>
      <c r="AC1247" s="131">
        <v>0.92</v>
      </c>
      <c r="AD1247" s="129">
        <v>0.992957746478873</v>
      </c>
      <c r="AE1247" s="129">
        <v>0.988744249779779</v>
      </c>
      <c r="AF1247" s="129">
        <v>0.986949685534591</v>
      </c>
      <c r="AG1247" s="129">
        <v>0.973301603087779</v>
      </c>
      <c r="AH1247" s="131">
        <v>0.92</v>
      </c>
      <c r="AI1247" s="129">
        <v>0</v>
      </c>
      <c r="AJ1247" s="129">
        <v>1</v>
      </c>
      <c r="AK1247" s="129">
        <v>1</v>
      </c>
      <c r="AL1247" s="129">
        <v>0.909090909090909</v>
      </c>
      <c r="AM1247" s="128">
        <v>0.99</v>
      </c>
      <c r="AN1247" s="133">
        <v>1</v>
      </c>
      <c r="AO1247" s="133">
        <v>1</v>
      </c>
      <c r="AP1247" s="133">
        <v>1</v>
      </c>
      <c r="AQ1247" s="133">
        <v>1</v>
      </c>
      <c r="AR1247" s="153">
        <v>0.0721861525408278</v>
      </c>
      <c r="AS1247" s="137" t="s">
        <v>33</v>
      </c>
      <c r="AT1247" s="137" t="s">
        <v>33</v>
      </c>
      <c r="AU1247" s="137" t="s">
        <v>33</v>
      </c>
      <c r="AV1247" s="137" t="s">
        <v>33</v>
      </c>
      <c r="AW1247" s="93"/>
      <c r="AX1247" s="91"/>
    </row>
    <row r="1248" ht="14.5" spans="1:50">
      <c r="A1248" s="89"/>
      <c r="B1248" s="93"/>
      <c r="C1248" s="148" t="s">
        <v>1080</v>
      </c>
      <c r="D1248" s="126" t="s">
        <v>1081</v>
      </c>
      <c r="E1248" s="186" t="s">
        <v>1273</v>
      </c>
      <c r="F1248" s="186" t="s">
        <v>1273</v>
      </c>
      <c r="G1248" s="186" t="s">
        <v>1273</v>
      </c>
      <c r="H1248" s="186" t="s">
        <v>1273</v>
      </c>
      <c r="I1248" s="128">
        <v>0.9</v>
      </c>
      <c r="J1248" s="129">
        <v>0.952380952380952</v>
      </c>
      <c r="K1248" s="129">
        <v>0.944444444444444</v>
      </c>
      <c r="L1248" s="130">
        <v>0.9</v>
      </c>
      <c r="M1248" s="129">
        <v>0.932489451476793</v>
      </c>
      <c r="N1248" s="131">
        <v>0.9</v>
      </c>
      <c r="O1248" s="129">
        <v>0.955150015465512</v>
      </c>
      <c r="P1248" s="129">
        <v>0.978940217391304</v>
      </c>
      <c r="Q1248" s="129">
        <v>0.971842157445965</v>
      </c>
      <c r="R1248" s="129">
        <v>0.932398358575454</v>
      </c>
      <c r="S1248" s="131">
        <v>0.9</v>
      </c>
      <c r="T1248" s="129">
        <v>0.833281781626972</v>
      </c>
      <c r="U1248" s="129">
        <v>0.899003623188406</v>
      </c>
      <c r="V1248" s="129">
        <v>0.894308943089431</v>
      </c>
      <c r="W1248" s="129">
        <v>0.859242901168444</v>
      </c>
      <c r="X1248" s="131">
        <v>0.92</v>
      </c>
      <c r="Y1248" s="131">
        <v>0.942612942612943</v>
      </c>
      <c r="Z1248" s="131">
        <v>0.921855921855922</v>
      </c>
      <c r="AA1248" s="131">
        <v>0.925887265135699</v>
      </c>
      <c r="AB1248" s="131">
        <v>0.902811648257065</v>
      </c>
      <c r="AC1248" s="131">
        <v>0.92</v>
      </c>
      <c r="AD1248" s="129">
        <v>0.996675038024831</v>
      </c>
      <c r="AE1248" s="129">
        <v>0.996617466174662</v>
      </c>
      <c r="AF1248" s="129">
        <v>0.996165243158445</v>
      </c>
      <c r="AG1248" s="129">
        <v>0.991487532694898</v>
      </c>
      <c r="AH1248" s="131">
        <v>0.92</v>
      </c>
      <c r="AI1248" s="129">
        <v>0.963726095003084</v>
      </c>
      <c r="AJ1248" s="129">
        <v>0.945874587458746</v>
      </c>
      <c r="AK1248" s="129">
        <v>0.966189207195203</v>
      </c>
      <c r="AL1248" s="129">
        <v>0.952200415299082</v>
      </c>
      <c r="AM1248" s="128">
        <v>0.99</v>
      </c>
      <c r="AN1248" s="133">
        <v>1</v>
      </c>
      <c r="AO1248" s="133">
        <v>1</v>
      </c>
      <c r="AP1248" s="133">
        <v>1</v>
      </c>
      <c r="AQ1248" s="133">
        <v>1</v>
      </c>
      <c r="AR1248" s="153">
        <v>0.0721861525408278</v>
      </c>
      <c r="AS1248" s="137">
        <v>0</v>
      </c>
      <c r="AT1248" s="137">
        <v>0</v>
      </c>
      <c r="AU1248" s="137">
        <v>0</v>
      </c>
      <c r="AV1248" s="137">
        <v>0.00740740740740741</v>
      </c>
      <c r="AW1248" s="93"/>
      <c r="AX1248" s="91"/>
    </row>
    <row r="1249" ht="14.5" spans="1:50">
      <c r="A1249" s="89"/>
      <c r="B1249" s="93"/>
      <c r="C1249" s="148" t="s">
        <v>1080</v>
      </c>
      <c r="D1249" s="126" t="s">
        <v>1081</v>
      </c>
      <c r="E1249" s="186" t="s">
        <v>1274</v>
      </c>
      <c r="F1249" s="186" t="s">
        <v>1274</v>
      </c>
      <c r="G1249" s="186" t="s">
        <v>1274</v>
      </c>
      <c r="H1249" s="186" t="s">
        <v>1274</v>
      </c>
      <c r="I1249" s="128">
        <v>0.9</v>
      </c>
      <c r="J1249" s="129" t="s">
        <v>33</v>
      </c>
      <c r="K1249" s="129" t="s">
        <v>33</v>
      </c>
      <c r="L1249" s="130" t="s">
        <v>33</v>
      </c>
      <c r="M1249" s="129" t="s">
        <v>33</v>
      </c>
      <c r="N1249" s="131">
        <v>0.9</v>
      </c>
      <c r="O1249" s="129">
        <v>0</v>
      </c>
      <c r="P1249" s="129">
        <v>0</v>
      </c>
      <c r="Q1249" s="129">
        <v>0</v>
      </c>
      <c r="R1249" s="129">
        <v>0</v>
      </c>
      <c r="S1249" s="131">
        <v>0.9</v>
      </c>
      <c r="T1249" s="129">
        <v>1</v>
      </c>
      <c r="U1249" s="129">
        <v>1</v>
      </c>
      <c r="V1249" s="129">
        <v>1</v>
      </c>
      <c r="W1249" s="129">
        <v>0.925373134328358</v>
      </c>
      <c r="X1249" s="131">
        <v>0.92</v>
      </c>
      <c r="Y1249" s="131">
        <v>1</v>
      </c>
      <c r="Z1249" s="131" t="s">
        <v>33</v>
      </c>
      <c r="AA1249" s="131">
        <v>1</v>
      </c>
      <c r="AB1249" s="131">
        <v>1</v>
      </c>
      <c r="AC1249" s="131">
        <v>0.92</v>
      </c>
      <c r="AD1249" s="129">
        <v>0.998676498392891</v>
      </c>
      <c r="AE1249" s="129">
        <v>0.998616714697406</v>
      </c>
      <c r="AF1249" s="129">
        <v>0.958206686930091</v>
      </c>
      <c r="AG1249" s="129">
        <v>0.996363915311445</v>
      </c>
      <c r="AH1249" s="131">
        <v>0.92</v>
      </c>
      <c r="AI1249" s="129">
        <v>1</v>
      </c>
      <c r="AJ1249" s="129">
        <v>0.8</v>
      </c>
      <c r="AK1249" s="129">
        <v>1</v>
      </c>
      <c r="AL1249" s="129">
        <v>0.919191919191919</v>
      </c>
      <c r="AM1249" s="128">
        <v>0.99</v>
      </c>
      <c r="AN1249" s="133">
        <v>1</v>
      </c>
      <c r="AO1249" s="133">
        <v>1</v>
      </c>
      <c r="AP1249" s="133">
        <v>1</v>
      </c>
      <c r="AQ1249" s="133">
        <v>1</v>
      </c>
      <c r="AR1249" s="153">
        <v>0.0721861525408278</v>
      </c>
      <c r="AS1249" s="137" t="s">
        <v>33</v>
      </c>
      <c r="AT1249" s="137" t="s">
        <v>33</v>
      </c>
      <c r="AU1249" s="137" t="s">
        <v>33</v>
      </c>
      <c r="AV1249" s="137" t="s">
        <v>33</v>
      </c>
      <c r="AW1249" s="93"/>
      <c r="AX1249" s="91"/>
    </row>
    <row r="1250" ht="14.5" spans="1:50">
      <c r="A1250" s="89"/>
      <c r="B1250" s="93"/>
      <c r="C1250" s="148" t="s">
        <v>1080</v>
      </c>
      <c r="D1250" s="126" t="s">
        <v>1081</v>
      </c>
      <c r="E1250" s="186" t="s">
        <v>1275</v>
      </c>
      <c r="F1250" s="186" t="s">
        <v>1275</v>
      </c>
      <c r="G1250" s="186" t="s">
        <v>1275</v>
      </c>
      <c r="H1250" s="186" t="s">
        <v>1275</v>
      </c>
      <c r="I1250" s="128">
        <v>0.9</v>
      </c>
      <c r="J1250" s="129">
        <v>1</v>
      </c>
      <c r="K1250" s="129">
        <v>1</v>
      </c>
      <c r="L1250" s="130">
        <v>0.986301369863014</v>
      </c>
      <c r="M1250" s="129">
        <v>0.992673992673993</v>
      </c>
      <c r="N1250" s="131">
        <v>0.9</v>
      </c>
      <c r="O1250" s="129">
        <v>0.956661685251178</v>
      </c>
      <c r="P1250" s="129">
        <v>0.930572263275477</v>
      </c>
      <c r="Q1250" s="129">
        <v>0.931567016151884</v>
      </c>
      <c r="R1250" s="129">
        <v>0.933286774134457</v>
      </c>
      <c r="S1250" s="131">
        <v>0.9</v>
      </c>
      <c r="T1250" s="129">
        <v>0.896309920680538</v>
      </c>
      <c r="U1250" s="129">
        <v>0.903419831586183</v>
      </c>
      <c r="V1250" s="129">
        <v>0.883961462170587</v>
      </c>
      <c r="W1250" s="129">
        <v>0.871393570250962</v>
      </c>
      <c r="X1250" s="131">
        <v>0.92</v>
      </c>
      <c r="Y1250" s="131">
        <v>0.908496732026144</v>
      </c>
      <c r="Z1250" s="131">
        <v>0.922744928787225</v>
      </c>
      <c r="AA1250" s="131">
        <v>0.918451400329489</v>
      </c>
      <c r="AB1250" s="131">
        <v>0.888258677525693</v>
      </c>
      <c r="AC1250" s="131">
        <v>0.92</v>
      </c>
      <c r="AD1250" s="129">
        <v>0.996434513905396</v>
      </c>
      <c r="AE1250" s="129">
        <v>0.995839913716729</v>
      </c>
      <c r="AF1250" s="129">
        <v>0.892470867350499</v>
      </c>
      <c r="AG1250" s="129">
        <v>0.978053616438454</v>
      </c>
      <c r="AH1250" s="131">
        <v>0.92</v>
      </c>
      <c r="AI1250" s="129">
        <v>0.953706230104593</v>
      </c>
      <c r="AJ1250" s="129">
        <v>0.955383480825959</v>
      </c>
      <c r="AK1250" s="129">
        <v>0.963141993957704</v>
      </c>
      <c r="AL1250" s="129">
        <v>0.940363191865688</v>
      </c>
      <c r="AM1250" s="128">
        <v>0.99</v>
      </c>
      <c r="AN1250" s="133">
        <v>1</v>
      </c>
      <c r="AO1250" s="133">
        <v>1</v>
      </c>
      <c r="AP1250" s="133">
        <v>1</v>
      </c>
      <c r="AQ1250" s="133">
        <v>1</v>
      </c>
      <c r="AR1250" s="153">
        <v>0.0721861525408278</v>
      </c>
      <c r="AS1250" s="137">
        <v>0.0612244897959184</v>
      </c>
      <c r="AT1250" s="137">
        <v>0</v>
      </c>
      <c r="AU1250" s="137">
        <v>0</v>
      </c>
      <c r="AV1250" s="137">
        <v>0.0340715502555366</v>
      </c>
      <c r="AW1250" s="93"/>
      <c r="AX1250" s="91"/>
    </row>
    <row r="1251" ht="14.5" spans="1:50">
      <c r="A1251" s="89"/>
      <c r="B1251" s="93"/>
      <c r="C1251" s="148" t="s">
        <v>1080</v>
      </c>
      <c r="D1251" s="126" t="s">
        <v>1081</v>
      </c>
      <c r="E1251" s="186" t="s">
        <v>1276</v>
      </c>
      <c r="F1251" s="186" t="s">
        <v>1276</v>
      </c>
      <c r="G1251" s="186" t="s">
        <v>1276</v>
      </c>
      <c r="H1251" s="186" t="s">
        <v>1276</v>
      </c>
      <c r="I1251" s="128">
        <v>0.9</v>
      </c>
      <c r="J1251" s="129">
        <v>0.842105263157895</v>
      </c>
      <c r="K1251" s="129">
        <v>0.773584905660377</v>
      </c>
      <c r="L1251" s="130">
        <v>0.854166666666667</v>
      </c>
      <c r="M1251" s="129">
        <v>0.865116279069767</v>
      </c>
      <c r="N1251" s="131">
        <v>0.9</v>
      </c>
      <c r="O1251" s="129">
        <v>0.958883994126285</v>
      </c>
      <c r="P1251" s="129">
        <v>0.964884094560477</v>
      </c>
      <c r="Q1251" s="129">
        <v>0.926270857586341</v>
      </c>
      <c r="R1251" s="129">
        <v>0.933292980087225</v>
      </c>
      <c r="S1251" s="131">
        <v>0.9</v>
      </c>
      <c r="T1251" s="129">
        <v>0.795301027900147</v>
      </c>
      <c r="U1251" s="129">
        <v>0.850355749368832</v>
      </c>
      <c r="V1251" s="129">
        <v>0.745440434613892</v>
      </c>
      <c r="W1251" s="129">
        <v>0.796728282969378</v>
      </c>
      <c r="X1251" s="131">
        <v>0.92</v>
      </c>
      <c r="Y1251" s="131">
        <v>0.884668508287293</v>
      </c>
      <c r="Z1251" s="131">
        <v>0.870603015075377</v>
      </c>
      <c r="AA1251" s="131">
        <v>0.838129496402878</v>
      </c>
      <c r="AB1251" s="131">
        <v>0.872613260057775</v>
      </c>
      <c r="AC1251" s="131">
        <v>0.92</v>
      </c>
      <c r="AD1251" s="129">
        <v>0.952504662936318</v>
      </c>
      <c r="AE1251" s="129">
        <v>0.975566999013915</v>
      </c>
      <c r="AF1251" s="129">
        <v>0.986633249791145</v>
      </c>
      <c r="AG1251" s="129">
        <v>0.971301417530493</v>
      </c>
      <c r="AH1251" s="131">
        <v>0.92</v>
      </c>
      <c r="AI1251" s="129">
        <v>0.936062000484379</v>
      </c>
      <c r="AJ1251" s="129">
        <v>0.927239119475718</v>
      </c>
      <c r="AK1251" s="129">
        <v>0.917181499415595</v>
      </c>
      <c r="AL1251" s="129">
        <v>0.931185776782989</v>
      </c>
      <c r="AM1251" s="128">
        <v>0.99</v>
      </c>
      <c r="AN1251" s="133">
        <v>1</v>
      </c>
      <c r="AO1251" s="133">
        <v>1</v>
      </c>
      <c r="AP1251" s="133">
        <v>1</v>
      </c>
      <c r="AQ1251" s="133">
        <v>1</v>
      </c>
      <c r="AR1251" s="153">
        <v>0.0721861525408278</v>
      </c>
      <c r="AS1251" s="137">
        <v>0.0222222222222222</v>
      </c>
      <c r="AT1251" s="137">
        <v>0.105263157894737</v>
      </c>
      <c r="AU1251" s="137">
        <v>0.0697674418604651</v>
      </c>
      <c r="AV1251" s="137">
        <v>0.0335570469798658</v>
      </c>
      <c r="AW1251" s="93"/>
      <c r="AX1251" s="91"/>
    </row>
    <row r="1252" ht="14.5" spans="1:50">
      <c r="A1252" s="89"/>
      <c r="B1252" s="93"/>
      <c r="C1252" s="148" t="s">
        <v>1080</v>
      </c>
      <c r="D1252" s="126" t="s">
        <v>1081</v>
      </c>
      <c r="E1252" s="186" t="s">
        <v>1277</v>
      </c>
      <c r="F1252" s="186" t="s">
        <v>1277</v>
      </c>
      <c r="G1252" s="186" t="s">
        <v>1277</v>
      </c>
      <c r="H1252" s="186" t="s">
        <v>1277</v>
      </c>
      <c r="I1252" s="128">
        <v>0.9</v>
      </c>
      <c r="J1252" s="129">
        <v>1</v>
      </c>
      <c r="K1252" s="129">
        <v>1</v>
      </c>
      <c r="L1252" s="130">
        <v>1</v>
      </c>
      <c r="M1252" s="129">
        <v>0.988919667590028</v>
      </c>
      <c r="N1252" s="131">
        <v>0.9</v>
      </c>
      <c r="O1252" s="129">
        <v>0.98016</v>
      </c>
      <c r="P1252" s="129">
        <v>0.984917043740573</v>
      </c>
      <c r="Q1252" s="129">
        <v>0.977254588986433</v>
      </c>
      <c r="R1252" s="129">
        <v>0.978137868693294</v>
      </c>
      <c r="S1252" s="131">
        <v>0.9</v>
      </c>
      <c r="T1252" s="129">
        <v>0.92928</v>
      </c>
      <c r="U1252" s="129">
        <v>0.959276018099548</v>
      </c>
      <c r="V1252" s="129">
        <v>0.954110135674382</v>
      </c>
      <c r="W1252" s="129">
        <v>0.917004251899963</v>
      </c>
      <c r="X1252" s="131">
        <v>0.92</v>
      </c>
      <c r="Y1252" s="131">
        <v>0.946084724005135</v>
      </c>
      <c r="Z1252" s="131">
        <v>0.95112285336856</v>
      </c>
      <c r="AA1252" s="131">
        <v>0.953316953316953</v>
      </c>
      <c r="AB1252" s="131">
        <v>0.916666666666667</v>
      </c>
      <c r="AC1252" s="131">
        <v>0.92</v>
      </c>
      <c r="AD1252" s="129">
        <v>0.999207502311452</v>
      </c>
      <c r="AE1252" s="129">
        <v>0.999366527302673</v>
      </c>
      <c r="AF1252" s="129">
        <v>0.99416358405261</v>
      </c>
      <c r="AG1252" s="129">
        <v>0.98637531817567</v>
      </c>
      <c r="AH1252" s="131">
        <v>0.92</v>
      </c>
      <c r="AI1252" s="129">
        <v>0.955430327868853</v>
      </c>
      <c r="AJ1252" s="129">
        <v>0.970502549162418</v>
      </c>
      <c r="AK1252" s="129">
        <v>0.978029522828699</v>
      </c>
      <c r="AL1252" s="129">
        <v>0.946479257641921</v>
      </c>
      <c r="AM1252" s="128">
        <v>0.99</v>
      </c>
      <c r="AN1252" s="133">
        <v>1</v>
      </c>
      <c r="AO1252" s="133">
        <v>1</v>
      </c>
      <c r="AP1252" s="133">
        <v>1</v>
      </c>
      <c r="AQ1252" s="133">
        <v>1</v>
      </c>
      <c r="AR1252" s="153">
        <v>0.0721861525408278</v>
      </c>
      <c r="AS1252" s="137">
        <v>0.0666666666666667</v>
      </c>
      <c r="AT1252" s="137">
        <v>0.176470588235294</v>
      </c>
      <c r="AU1252" s="137">
        <v>0.0588235294117647</v>
      </c>
      <c r="AV1252" s="137">
        <v>0.0621468926553672</v>
      </c>
      <c r="AW1252" s="93"/>
      <c r="AX1252" s="91"/>
    </row>
    <row r="1253" ht="14.5" spans="1:50">
      <c r="A1253" s="89"/>
      <c r="B1253" s="93"/>
      <c r="C1253" s="148" t="s">
        <v>1080</v>
      </c>
      <c r="D1253" s="126" t="s">
        <v>1081</v>
      </c>
      <c r="E1253" s="186" t="s">
        <v>1278</v>
      </c>
      <c r="F1253" s="186" t="s">
        <v>1278</v>
      </c>
      <c r="G1253" s="186" t="s">
        <v>1278</v>
      </c>
      <c r="H1253" s="186" t="s">
        <v>1278</v>
      </c>
      <c r="I1253" s="128">
        <v>0.9</v>
      </c>
      <c r="J1253" s="129">
        <v>0.921875</v>
      </c>
      <c r="K1253" s="129">
        <v>0.96</v>
      </c>
      <c r="L1253" s="130">
        <v>0.983050847457627</v>
      </c>
      <c r="M1253" s="129">
        <v>0.96969696969697</v>
      </c>
      <c r="N1253" s="131">
        <v>0.9</v>
      </c>
      <c r="O1253" s="129">
        <v>0.975046787273862</v>
      </c>
      <c r="P1253" s="129">
        <v>0.985282522996058</v>
      </c>
      <c r="Q1253" s="129">
        <v>0.980983208577787</v>
      </c>
      <c r="R1253" s="129">
        <v>0.983884240844877</v>
      </c>
      <c r="S1253" s="131">
        <v>0.9</v>
      </c>
      <c r="T1253" s="129">
        <v>0.878509045539613</v>
      </c>
      <c r="U1253" s="129">
        <v>0.90407358738502</v>
      </c>
      <c r="V1253" s="129">
        <v>0.878616224964596</v>
      </c>
      <c r="W1253" s="129">
        <v>0.888389795638458</v>
      </c>
      <c r="X1253" s="131">
        <v>0.92</v>
      </c>
      <c r="Y1253" s="131">
        <v>0.933054393305439</v>
      </c>
      <c r="Z1253" s="131">
        <v>0.935870331219168</v>
      </c>
      <c r="AA1253" s="131">
        <v>0.948148148148148</v>
      </c>
      <c r="AB1253" s="131">
        <v>0.932654107394592</v>
      </c>
      <c r="AC1253" s="131">
        <v>0.92</v>
      </c>
      <c r="AD1253" s="129">
        <v>0.997635933806147</v>
      </c>
      <c r="AE1253" s="129">
        <v>0.998723404255319</v>
      </c>
      <c r="AF1253" s="129">
        <v>0.996486605182257</v>
      </c>
      <c r="AG1253" s="129">
        <v>0.998530616177675</v>
      </c>
      <c r="AH1253" s="131">
        <v>0.92</v>
      </c>
      <c r="AI1253" s="129">
        <v>0.950802956920724</v>
      </c>
      <c r="AJ1253" s="129">
        <v>0.957120980091884</v>
      </c>
      <c r="AK1253" s="129">
        <v>0.967321397531723</v>
      </c>
      <c r="AL1253" s="129">
        <v>0.952556768234133</v>
      </c>
      <c r="AM1253" s="128">
        <v>0.99</v>
      </c>
      <c r="AN1253" s="133">
        <v>1</v>
      </c>
      <c r="AO1253" s="133">
        <v>1</v>
      </c>
      <c r="AP1253" s="133">
        <v>1</v>
      </c>
      <c r="AQ1253" s="133">
        <v>1</v>
      </c>
      <c r="AR1253" s="153">
        <v>0.0721861525408278</v>
      </c>
      <c r="AS1253" s="137">
        <v>0.0769230769230769</v>
      </c>
      <c r="AT1253" s="137">
        <v>0.0909090909090909</v>
      </c>
      <c r="AU1253" s="137">
        <v>0.0454545454545455</v>
      </c>
      <c r="AV1253" s="137">
        <v>0.0509708737864078</v>
      </c>
      <c r="AW1253" s="93"/>
      <c r="AX1253" s="91"/>
    </row>
    <row r="1254" ht="14.5" spans="1:50">
      <c r="A1254" s="89"/>
      <c r="B1254" s="93"/>
      <c r="C1254" s="148" t="s">
        <v>1080</v>
      </c>
      <c r="D1254" s="126" t="s">
        <v>1081</v>
      </c>
      <c r="E1254" s="186" t="s">
        <v>1279</v>
      </c>
      <c r="F1254" s="186" t="s">
        <v>1279</v>
      </c>
      <c r="G1254" s="186" t="s">
        <v>1279</v>
      </c>
      <c r="H1254" s="186" t="s">
        <v>1279</v>
      </c>
      <c r="I1254" s="128">
        <v>0.9</v>
      </c>
      <c r="J1254" s="129">
        <v>1</v>
      </c>
      <c r="K1254" s="129">
        <v>1</v>
      </c>
      <c r="L1254" s="130">
        <v>1</v>
      </c>
      <c r="M1254" s="129">
        <v>0.992146596858639</v>
      </c>
      <c r="N1254" s="131">
        <v>0.9</v>
      </c>
      <c r="O1254" s="129">
        <v>0.991376451077944</v>
      </c>
      <c r="P1254" s="129">
        <v>0.976697061803445</v>
      </c>
      <c r="Q1254" s="129">
        <v>0.986307053941909</v>
      </c>
      <c r="R1254" s="129">
        <v>0.982241541986791</v>
      </c>
      <c r="S1254" s="131">
        <v>0.9</v>
      </c>
      <c r="T1254" s="129">
        <v>0.929684908789386</v>
      </c>
      <c r="U1254" s="129">
        <v>0.944782168186423</v>
      </c>
      <c r="V1254" s="129">
        <v>0.924066390041494</v>
      </c>
      <c r="W1254" s="129">
        <v>0.912993664914409</v>
      </c>
      <c r="X1254" s="131">
        <v>0.92</v>
      </c>
      <c r="Y1254" s="131">
        <v>0.924608819345661</v>
      </c>
      <c r="Z1254" s="131">
        <v>0.95177304964539</v>
      </c>
      <c r="AA1254" s="131">
        <v>0.943850267379679</v>
      </c>
      <c r="AB1254" s="131">
        <v>0.936476948490764</v>
      </c>
      <c r="AC1254" s="131">
        <v>0.92</v>
      </c>
      <c r="AD1254" s="129">
        <v>0.994675186368477</v>
      </c>
      <c r="AE1254" s="129">
        <v>0.991672218520986</v>
      </c>
      <c r="AF1254" s="129">
        <v>0.995477062244239</v>
      </c>
      <c r="AG1254" s="129">
        <v>0.99280854514048</v>
      </c>
      <c r="AH1254" s="131">
        <v>0.92</v>
      </c>
      <c r="AI1254" s="129">
        <v>0.969069392146315</v>
      </c>
      <c r="AJ1254" s="129">
        <v>0.972035794183445</v>
      </c>
      <c r="AK1254" s="129">
        <v>0.979166666666667</v>
      </c>
      <c r="AL1254" s="129">
        <v>0.962438084755091</v>
      </c>
      <c r="AM1254" s="128">
        <v>0.99</v>
      </c>
      <c r="AN1254" s="133">
        <v>1</v>
      </c>
      <c r="AO1254" s="133">
        <v>1</v>
      </c>
      <c r="AP1254" s="133">
        <v>1</v>
      </c>
      <c r="AQ1254" s="133">
        <v>1</v>
      </c>
      <c r="AR1254" s="153">
        <v>0.0721861525408278</v>
      </c>
      <c r="AS1254" s="137">
        <v>0.166666666666667</v>
      </c>
      <c r="AT1254" s="137">
        <v>0</v>
      </c>
      <c r="AU1254" s="137">
        <v>0.0909090909090909</v>
      </c>
      <c r="AV1254" s="137">
        <v>0.062015503875969</v>
      </c>
      <c r="AW1254" s="93"/>
      <c r="AX1254" s="91"/>
    </row>
    <row r="1255" ht="14.5" spans="1:50">
      <c r="A1255" s="89"/>
      <c r="B1255" s="93"/>
      <c r="C1255" s="148" t="s">
        <v>1080</v>
      </c>
      <c r="D1255" s="126" t="s">
        <v>1081</v>
      </c>
      <c r="E1255" s="186" t="s">
        <v>1280</v>
      </c>
      <c r="F1255" s="186" t="s">
        <v>1280</v>
      </c>
      <c r="G1255" s="186" t="s">
        <v>1280</v>
      </c>
      <c r="H1255" s="186" t="s">
        <v>1280</v>
      </c>
      <c r="I1255" s="128">
        <v>0.9</v>
      </c>
      <c r="J1255" s="129">
        <v>0.971014492753623</v>
      </c>
      <c r="K1255" s="129">
        <v>0.951612903225806</v>
      </c>
      <c r="L1255" s="130">
        <v>0.949152542372881</v>
      </c>
      <c r="M1255" s="129">
        <v>0.950335570469799</v>
      </c>
      <c r="N1255" s="131">
        <v>0.9</v>
      </c>
      <c r="O1255" s="129">
        <v>0.941262848751836</v>
      </c>
      <c r="P1255" s="129">
        <v>0.950204290091931</v>
      </c>
      <c r="Q1255" s="129">
        <v>0.94845971563981</v>
      </c>
      <c r="R1255" s="129">
        <v>0.951646870524808</v>
      </c>
      <c r="S1255" s="131">
        <v>0.9</v>
      </c>
      <c r="T1255" s="129">
        <v>0.902594224180127</v>
      </c>
      <c r="U1255" s="129">
        <v>0.912921348314607</v>
      </c>
      <c r="V1255" s="129">
        <v>0.899684044233807</v>
      </c>
      <c r="W1255" s="129">
        <v>0.905938842557493</v>
      </c>
      <c r="X1255" s="131">
        <v>0.92</v>
      </c>
      <c r="Y1255" s="131">
        <v>0.934081346423562</v>
      </c>
      <c r="Z1255" s="131">
        <v>0.909203980099503</v>
      </c>
      <c r="AA1255" s="131">
        <v>0.939787485242031</v>
      </c>
      <c r="AB1255" s="131">
        <v>0.928985927752793</v>
      </c>
      <c r="AC1255" s="131">
        <v>0.92</v>
      </c>
      <c r="AD1255" s="129">
        <v>0.979411764705882</v>
      </c>
      <c r="AE1255" s="129">
        <v>0.979051819184123</v>
      </c>
      <c r="AF1255" s="129">
        <v>0.985276073619632</v>
      </c>
      <c r="AG1255" s="129">
        <v>0.980691056910569</v>
      </c>
      <c r="AH1255" s="131">
        <v>0.92</v>
      </c>
      <c r="AI1255" s="129">
        <v>0.958967571144937</v>
      </c>
      <c r="AJ1255" s="129">
        <v>0.95114890537362</v>
      </c>
      <c r="AK1255" s="129">
        <v>0.960751141938758</v>
      </c>
      <c r="AL1255" s="129">
        <v>0.963514825092614</v>
      </c>
      <c r="AM1255" s="128">
        <v>0.99</v>
      </c>
      <c r="AN1255" s="133">
        <v>1</v>
      </c>
      <c r="AO1255" s="133">
        <v>1</v>
      </c>
      <c r="AP1255" s="133">
        <v>1</v>
      </c>
      <c r="AQ1255" s="133">
        <v>1</v>
      </c>
      <c r="AR1255" s="153">
        <v>0.0721861525408278</v>
      </c>
      <c r="AS1255" s="137">
        <v>0.0384615384615385</v>
      </c>
      <c r="AT1255" s="137">
        <v>0</v>
      </c>
      <c r="AU1255" s="137">
        <v>0</v>
      </c>
      <c r="AV1255" s="137">
        <v>0.00696864111498258</v>
      </c>
      <c r="AW1255" s="93"/>
      <c r="AX1255" s="91"/>
    </row>
    <row r="1256" ht="14.5" spans="1:50">
      <c r="A1256" s="89"/>
      <c r="B1256" s="93"/>
      <c r="C1256" s="148" t="s">
        <v>1080</v>
      </c>
      <c r="D1256" s="126" t="s">
        <v>1081</v>
      </c>
      <c r="E1256" s="186" t="s">
        <v>1281</v>
      </c>
      <c r="F1256" s="186" t="s">
        <v>1281</v>
      </c>
      <c r="G1256" s="186" t="s">
        <v>1281</v>
      </c>
      <c r="H1256" s="186" t="s">
        <v>1281</v>
      </c>
      <c r="I1256" s="128">
        <v>0.9</v>
      </c>
      <c r="J1256" s="129" t="s">
        <v>33</v>
      </c>
      <c r="K1256" s="129" t="s">
        <v>33</v>
      </c>
      <c r="L1256" s="130" t="s">
        <v>33</v>
      </c>
      <c r="M1256" s="129" t="s">
        <v>33</v>
      </c>
      <c r="N1256" s="131">
        <v>0.9</v>
      </c>
      <c r="O1256" s="129">
        <v>0</v>
      </c>
      <c r="P1256" s="129">
        <v>1</v>
      </c>
      <c r="Q1256" s="129" t="s">
        <v>33</v>
      </c>
      <c r="R1256" s="129">
        <v>0.823529411764706</v>
      </c>
      <c r="S1256" s="131">
        <v>0.9</v>
      </c>
      <c r="T1256" s="129">
        <v>0</v>
      </c>
      <c r="U1256" s="129">
        <v>1</v>
      </c>
      <c r="V1256" s="129" t="s">
        <v>33</v>
      </c>
      <c r="W1256" s="129">
        <v>0.823529411764706</v>
      </c>
      <c r="X1256" s="131">
        <v>0.92</v>
      </c>
      <c r="Y1256" s="131" t="s">
        <v>33</v>
      </c>
      <c r="Z1256" s="131" t="s">
        <v>33</v>
      </c>
      <c r="AA1256" s="131" t="s">
        <v>33</v>
      </c>
      <c r="AB1256" s="131" t="s">
        <v>33</v>
      </c>
      <c r="AC1256" s="131">
        <v>0.92</v>
      </c>
      <c r="AD1256" s="129">
        <v>0.994613434727503</v>
      </c>
      <c r="AE1256" s="129">
        <v>0.99228045325779</v>
      </c>
      <c r="AF1256" s="129">
        <v>0.994381252569549</v>
      </c>
      <c r="AG1256" s="129">
        <v>0.983316227492804</v>
      </c>
      <c r="AH1256" s="131">
        <v>0.92</v>
      </c>
      <c r="AI1256" s="129">
        <v>0</v>
      </c>
      <c r="AJ1256" s="129">
        <v>1</v>
      </c>
      <c r="AK1256" s="129" t="s">
        <v>33</v>
      </c>
      <c r="AL1256" s="129">
        <v>0.892857142857143</v>
      </c>
      <c r="AM1256" s="128">
        <v>0.99</v>
      </c>
      <c r="AN1256" s="133">
        <v>1</v>
      </c>
      <c r="AO1256" s="133">
        <v>1</v>
      </c>
      <c r="AP1256" s="133">
        <v>1</v>
      </c>
      <c r="AQ1256" s="133">
        <v>1</v>
      </c>
      <c r="AR1256" s="153">
        <v>0.0721861525408278</v>
      </c>
      <c r="AS1256" s="137">
        <v>0</v>
      </c>
      <c r="AT1256" s="137">
        <v>0</v>
      </c>
      <c r="AU1256" s="137">
        <v>0</v>
      </c>
      <c r="AV1256" s="137">
        <v>0.5</v>
      </c>
      <c r="AW1256" s="93"/>
      <c r="AX1256" s="91"/>
    </row>
    <row r="1257" ht="14.5" spans="1:50">
      <c r="A1257" s="89"/>
      <c r="B1257" s="93"/>
      <c r="C1257" s="148" t="s">
        <v>1080</v>
      </c>
      <c r="D1257" s="126" t="s">
        <v>1081</v>
      </c>
      <c r="E1257" s="186" t="s">
        <v>1282</v>
      </c>
      <c r="F1257" s="186" t="s">
        <v>1282</v>
      </c>
      <c r="G1257" s="186" t="s">
        <v>1282</v>
      </c>
      <c r="H1257" s="186" t="s">
        <v>1282</v>
      </c>
      <c r="I1257" s="128">
        <v>0.9</v>
      </c>
      <c r="J1257" s="129">
        <v>1</v>
      </c>
      <c r="K1257" s="129">
        <v>0.875</v>
      </c>
      <c r="L1257" s="130">
        <v>0.888888888888889</v>
      </c>
      <c r="M1257" s="129">
        <v>0.955813953488372</v>
      </c>
      <c r="N1257" s="131">
        <v>0.9</v>
      </c>
      <c r="O1257" s="129">
        <v>0.988035507526052</v>
      </c>
      <c r="P1257" s="129">
        <v>0.947134112409571</v>
      </c>
      <c r="Q1257" s="129">
        <v>0.991416309012876</v>
      </c>
      <c r="R1257" s="129">
        <v>0.986273910236809</v>
      </c>
      <c r="S1257" s="131">
        <v>0.9</v>
      </c>
      <c r="T1257" s="129">
        <v>0.967194133539174</v>
      </c>
      <c r="U1257" s="129">
        <v>0.961602671118531</v>
      </c>
      <c r="V1257" s="129">
        <v>0.972688255950058</v>
      </c>
      <c r="W1257" s="129">
        <v>0.969354126320796</v>
      </c>
      <c r="X1257" s="131">
        <v>0.92</v>
      </c>
      <c r="Y1257" s="131">
        <v>0.965583173996176</v>
      </c>
      <c r="Z1257" s="131">
        <v>0.971175166297118</v>
      </c>
      <c r="AA1257" s="131">
        <v>0.975609756097561</v>
      </c>
      <c r="AB1257" s="131">
        <v>0.975151344502323</v>
      </c>
      <c r="AC1257" s="131">
        <v>0.92</v>
      </c>
      <c r="AD1257" s="129">
        <v>0.999409681227863</v>
      </c>
      <c r="AE1257" s="129">
        <v>0.996605566870333</v>
      </c>
      <c r="AF1257" s="129">
        <v>0.995628946090335</v>
      </c>
      <c r="AG1257" s="129">
        <v>0.995982468955442</v>
      </c>
      <c r="AH1257" s="131">
        <v>0.92</v>
      </c>
      <c r="AI1257" s="129">
        <v>0.97965356062689</v>
      </c>
      <c r="AJ1257" s="129">
        <v>0.978510559466469</v>
      </c>
      <c r="AK1257" s="129">
        <v>0.985548387096774</v>
      </c>
      <c r="AL1257" s="129">
        <v>0.984557223049605</v>
      </c>
      <c r="AM1257" s="128">
        <v>0.99</v>
      </c>
      <c r="AN1257" s="133">
        <v>1</v>
      </c>
      <c r="AO1257" s="133">
        <v>1</v>
      </c>
      <c r="AP1257" s="133">
        <v>1</v>
      </c>
      <c r="AQ1257" s="133">
        <v>1</v>
      </c>
      <c r="AR1257" s="153">
        <v>0.0721861525408278</v>
      </c>
      <c r="AS1257" s="137">
        <v>0</v>
      </c>
      <c r="AT1257" s="137">
        <v>0</v>
      </c>
      <c r="AU1257" s="137">
        <v>0</v>
      </c>
      <c r="AV1257" s="137">
        <v>0.0254777070063694</v>
      </c>
      <c r="AW1257" s="93"/>
      <c r="AX1257" s="91"/>
    </row>
    <row r="1258" ht="14.5" spans="1:50">
      <c r="A1258" s="89"/>
      <c r="B1258" s="93"/>
      <c r="C1258" s="148" t="s">
        <v>1080</v>
      </c>
      <c r="D1258" s="126" t="s">
        <v>1081</v>
      </c>
      <c r="E1258" s="186" t="s">
        <v>1283</v>
      </c>
      <c r="F1258" s="186" t="s">
        <v>1283</v>
      </c>
      <c r="G1258" s="186" t="s">
        <v>1283</v>
      </c>
      <c r="H1258" s="186" t="s">
        <v>1283</v>
      </c>
      <c r="I1258" s="128">
        <v>0.9</v>
      </c>
      <c r="J1258" s="129">
        <v>0.930232558139535</v>
      </c>
      <c r="K1258" s="129">
        <v>1</v>
      </c>
      <c r="L1258" s="130">
        <v>0.945945945945946</v>
      </c>
      <c r="M1258" s="129">
        <v>0.952991452991453</v>
      </c>
      <c r="N1258" s="131">
        <v>0.9</v>
      </c>
      <c r="O1258" s="129">
        <v>0.996414485478666</v>
      </c>
      <c r="P1258" s="129">
        <v>0.992098765432099</v>
      </c>
      <c r="Q1258" s="129">
        <v>0.984667165295438</v>
      </c>
      <c r="R1258" s="129">
        <v>0.98149536634376</v>
      </c>
      <c r="S1258" s="131">
        <v>0.9</v>
      </c>
      <c r="T1258" s="129">
        <v>0.936894944424525</v>
      </c>
      <c r="U1258" s="129">
        <v>0.918024691358025</v>
      </c>
      <c r="V1258" s="129">
        <v>0.93979057591623</v>
      </c>
      <c r="W1258" s="129">
        <v>0.939387577602495</v>
      </c>
      <c r="X1258" s="131">
        <v>0.92</v>
      </c>
      <c r="Y1258" s="131">
        <v>0.962962962962963</v>
      </c>
      <c r="Z1258" s="131">
        <v>0.950420954162769</v>
      </c>
      <c r="AA1258" s="131">
        <v>0.960969044414536</v>
      </c>
      <c r="AB1258" s="131">
        <v>0.961840273383116</v>
      </c>
      <c r="AC1258" s="131">
        <v>0.92</v>
      </c>
      <c r="AD1258" s="129">
        <v>0.998715478484265</v>
      </c>
      <c r="AE1258" s="129">
        <v>0.974153297682709</v>
      </c>
      <c r="AF1258" s="129">
        <v>0.994263862332696</v>
      </c>
      <c r="AG1258" s="129">
        <v>0.997077938435186</v>
      </c>
      <c r="AH1258" s="131">
        <v>0.92</v>
      </c>
      <c r="AI1258" s="129">
        <v>0.978332908488402</v>
      </c>
      <c r="AJ1258" s="129">
        <v>0.96606334841629</v>
      </c>
      <c r="AK1258" s="129">
        <v>0.978605769230769</v>
      </c>
      <c r="AL1258" s="129">
        <v>0.978617350260417</v>
      </c>
      <c r="AM1258" s="128">
        <v>0.99</v>
      </c>
      <c r="AN1258" s="133">
        <v>1</v>
      </c>
      <c r="AO1258" s="133">
        <v>1</v>
      </c>
      <c r="AP1258" s="133">
        <v>1</v>
      </c>
      <c r="AQ1258" s="133">
        <v>1</v>
      </c>
      <c r="AR1258" s="153">
        <v>0.0721861525408278</v>
      </c>
      <c r="AS1258" s="137">
        <v>0.1</v>
      </c>
      <c r="AT1258" s="137">
        <v>0</v>
      </c>
      <c r="AU1258" s="137">
        <v>0</v>
      </c>
      <c r="AV1258" s="137">
        <v>0.0769230769230769</v>
      </c>
      <c r="AW1258" s="93"/>
      <c r="AX1258" s="91"/>
    </row>
    <row r="1259" ht="14.5" spans="1:50">
      <c r="A1259" s="89"/>
      <c r="B1259" s="93"/>
      <c r="C1259" s="148" t="s">
        <v>1080</v>
      </c>
      <c r="D1259" s="126" t="s">
        <v>1081</v>
      </c>
      <c r="E1259" s="186" t="s">
        <v>1284</v>
      </c>
      <c r="F1259" s="186" t="s">
        <v>1284</v>
      </c>
      <c r="G1259" s="186" t="s">
        <v>1284</v>
      </c>
      <c r="H1259" s="186" t="s">
        <v>1284</v>
      </c>
      <c r="I1259" s="128">
        <v>0.9</v>
      </c>
      <c r="J1259" s="129">
        <v>0.928571428571429</v>
      </c>
      <c r="K1259" s="129">
        <v>0.852941176470588</v>
      </c>
      <c r="L1259" s="130">
        <v>0.863636363636364</v>
      </c>
      <c r="M1259" s="129">
        <v>0.9</v>
      </c>
      <c r="N1259" s="131">
        <v>0.9</v>
      </c>
      <c r="O1259" s="129">
        <v>0.981240063593005</v>
      </c>
      <c r="P1259" s="129">
        <v>0.97108843537415</v>
      </c>
      <c r="Q1259" s="129">
        <v>0.988261421319797</v>
      </c>
      <c r="R1259" s="129">
        <v>0.972773586481445</v>
      </c>
      <c r="S1259" s="131">
        <v>0.9</v>
      </c>
      <c r="T1259" s="129">
        <v>0.916693163751987</v>
      </c>
      <c r="U1259" s="129">
        <v>0.918792517006803</v>
      </c>
      <c r="V1259" s="129">
        <v>0.949555837563452</v>
      </c>
      <c r="W1259" s="129">
        <v>0.935664374599816</v>
      </c>
      <c r="X1259" s="131">
        <v>0.92</v>
      </c>
      <c r="Y1259" s="131">
        <v>0.923336141533277</v>
      </c>
      <c r="Z1259" s="131">
        <v>0.929707112970711</v>
      </c>
      <c r="AA1259" s="131">
        <v>0.94185303514377</v>
      </c>
      <c r="AB1259" s="131">
        <v>0.945001448855404</v>
      </c>
      <c r="AC1259" s="131">
        <v>0.92</v>
      </c>
      <c r="AD1259" s="129">
        <v>0.998869737213902</v>
      </c>
      <c r="AE1259" s="129">
        <v>0.998456109395677</v>
      </c>
      <c r="AF1259" s="129">
        <v>0.999402033087503</v>
      </c>
      <c r="AG1259" s="129">
        <v>0.998544093178037</v>
      </c>
      <c r="AH1259" s="131">
        <v>0.92</v>
      </c>
      <c r="AI1259" s="129">
        <v>0.960064635272391</v>
      </c>
      <c r="AJ1259" s="129">
        <v>0.958556526642233</v>
      </c>
      <c r="AK1259" s="129">
        <v>0.972016111935552</v>
      </c>
      <c r="AL1259" s="129">
        <v>0.97059265944645</v>
      </c>
      <c r="AM1259" s="128">
        <v>0.99</v>
      </c>
      <c r="AN1259" s="133">
        <v>1</v>
      </c>
      <c r="AO1259" s="133">
        <v>1</v>
      </c>
      <c r="AP1259" s="133">
        <v>1</v>
      </c>
      <c r="AQ1259" s="133">
        <v>1</v>
      </c>
      <c r="AR1259" s="153">
        <v>0.0721861525408278</v>
      </c>
      <c r="AS1259" s="137">
        <v>0.25</v>
      </c>
      <c r="AT1259" s="137">
        <v>0.125</v>
      </c>
      <c r="AU1259" s="137">
        <v>0.0666666666666667</v>
      </c>
      <c r="AV1259" s="137">
        <v>0.048951048951049</v>
      </c>
      <c r="AW1259" s="93"/>
      <c r="AX1259" s="91"/>
    </row>
    <row r="1260" ht="14.5" spans="1:50">
      <c r="A1260" s="89"/>
      <c r="B1260" s="93"/>
      <c r="C1260" s="148" t="s">
        <v>1080</v>
      </c>
      <c r="D1260" s="126" t="s">
        <v>1081</v>
      </c>
      <c r="E1260" s="186" t="s">
        <v>1285</v>
      </c>
      <c r="F1260" s="186" t="s">
        <v>1285</v>
      </c>
      <c r="G1260" s="186" t="s">
        <v>1285</v>
      </c>
      <c r="H1260" s="186" t="s">
        <v>1285</v>
      </c>
      <c r="I1260" s="128">
        <v>0.9</v>
      </c>
      <c r="J1260" s="129">
        <v>0.926829268292683</v>
      </c>
      <c r="K1260" s="129">
        <v>0.885714285714286</v>
      </c>
      <c r="L1260" s="130">
        <v>0.897435897435897</v>
      </c>
      <c r="M1260" s="129">
        <v>0.915966386554622</v>
      </c>
      <c r="N1260" s="131">
        <v>0.9</v>
      </c>
      <c r="O1260" s="129">
        <v>0.990442477876106</v>
      </c>
      <c r="P1260" s="129">
        <v>0.931686810299527</v>
      </c>
      <c r="Q1260" s="129">
        <v>0.988209285187915</v>
      </c>
      <c r="R1260" s="129">
        <v>0.978683225042409</v>
      </c>
      <c r="S1260" s="131">
        <v>0.9</v>
      </c>
      <c r="T1260" s="129">
        <v>0.963893805309735</v>
      </c>
      <c r="U1260" s="129">
        <v>0.963741460851287</v>
      </c>
      <c r="V1260" s="129">
        <v>0.973470891672808</v>
      </c>
      <c r="W1260" s="129">
        <v>0.96789680888519</v>
      </c>
      <c r="X1260" s="131">
        <v>0.92</v>
      </c>
      <c r="Y1260" s="131">
        <v>0.960489181561618</v>
      </c>
      <c r="Z1260" s="131">
        <v>0.968478260869565</v>
      </c>
      <c r="AA1260" s="131">
        <v>0.973913043478261</v>
      </c>
      <c r="AB1260" s="131">
        <v>0.971452669824174</v>
      </c>
      <c r="AC1260" s="131">
        <v>0.92</v>
      </c>
      <c r="AD1260" s="129">
        <v>1</v>
      </c>
      <c r="AE1260" s="129">
        <v>1</v>
      </c>
      <c r="AF1260" s="129">
        <v>0.999019607843137</v>
      </c>
      <c r="AG1260" s="129">
        <v>0.997341603898981</v>
      </c>
      <c r="AH1260" s="131">
        <v>0.92</v>
      </c>
      <c r="AI1260" s="129">
        <v>0.976851851851852</v>
      </c>
      <c r="AJ1260" s="129">
        <v>0.975912150194828</v>
      </c>
      <c r="AK1260" s="129">
        <v>0.986321446018564</v>
      </c>
      <c r="AL1260" s="129">
        <v>0.983007264233827</v>
      </c>
      <c r="AM1260" s="128">
        <v>0.99</v>
      </c>
      <c r="AN1260" s="133">
        <v>1</v>
      </c>
      <c r="AO1260" s="133">
        <v>1</v>
      </c>
      <c r="AP1260" s="133">
        <v>1</v>
      </c>
      <c r="AQ1260" s="133">
        <v>1</v>
      </c>
      <c r="AR1260" s="153">
        <v>0.0721861525408278</v>
      </c>
      <c r="AS1260" s="137">
        <v>0</v>
      </c>
      <c r="AT1260" s="137">
        <v>0</v>
      </c>
      <c r="AU1260" s="137">
        <v>0</v>
      </c>
      <c r="AV1260" s="137">
        <v>0.0163934426229508</v>
      </c>
      <c r="AW1260" s="93"/>
      <c r="AX1260" s="91"/>
    </row>
    <row r="1261" ht="14.5" spans="1:50">
      <c r="A1261" s="89"/>
      <c r="B1261" s="93"/>
      <c r="C1261" s="148" t="s">
        <v>1080</v>
      </c>
      <c r="D1261" s="126" t="s">
        <v>1081</v>
      </c>
      <c r="E1261" s="186" t="s">
        <v>1286</v>
      </c>
      <c r="F1261" s="186" t="s">
        <v>1286</v>
      </c>
      <c r="G1261" s="186" t="s">
        <v>1286</v>
      </c>
      <c r="H1261" s="186" t="s">
        <v>1286</v>
      </c>
      <c r="I1261" s="128">
        <v>0.9</v>
      </c>
      <c r="J1261" s="129">
        <v>1</v>
      </c>
      <c r="K1261" s="129">
        <v>0.956521739130435</v>
      </c>
      <c r="L1261" s="130">
        <v>0.923076923076923</v>
      </c>
      <c r="M1261" s="129">
        <v>0.95583596214511</v>
      </c>
      <c r="N1261" s="131">
        <v>0.9</v>
      </c>
      <c r="O1261" s="129">
        <v>0.986856516976999</v>
      </c>
      <c r="P1261" s="129">
        <v>0.988005997001499</v>
      </c>
      <c r="Q1261" s="129">
        <v>0.955273329652126</v>
      </c>
      <c r="R1261" s="129">
        <v>0.983465577041859</v>
      </c>
      <c r="S1261" s="131">
        <v>0.9</v>
      </c>
      <c r="T1261" s="129">
        <v>0.972070098576123</v>
      </c>
      <c r="U1261" s="129">
        <v>0.963268365817091</v>
      </c>
      <c r="V1261" s="129">
        <v>0.96797349530646</v>
      </c>
      <c r="W1261" s="129">
        <v>0.962845061053832</v>
      </c>
      <c r="X1261" s="131">
        <v>0.92</v>
      </c>
      <c r="Y1261" s="131">
        <v>0.96551724137931</v>
      </c>
      <c r="Z1261" s="131">
        <v>0.965891472868217</v>
      </c>
      <c r="AA1261" s="131">
        <v>0.953461975028377</v>
      </c>
      <c r="AB1261" s="131">
        <v>0.965062034739454</v>
      </c>
      <c r="AC1261" s="131">
        <v>0.92</v>
      </c>
      <c r="AD1261" s="129">
        <v>0.999318801089918</v>
      </c>
      <c r="AE1261" s="129">
        <v>0.994092373791622</v>
      </c>
      <c r="AF1261" s="129">
        <v>0.995419309372798</v>
      </c>
      <c r="AG1261" s="129">
        <v>0.995994699753057</v>
      </c>
      <c r="AH1261" s="131">
        <v>0.92</v>
      </c>
      <c r="AI1261" s="129">
        <v>0.979615836926695</v>
      </c>
      <c r="AJ1261" s="129">
        <v>0.975745325922183</v>
      </c>
      <c r="AK1261" s="129">
        <v>0.975482912332838</v>
      </c>
      <c r="AL1261" s="129">
        <v>0.979469219894615</v>
      </c>
      <c r="AM1261" s="128">
        <v>0.99</v>
      </c>
      <c r="AN1261" s="133">
        <v>1</v>
      </c>
      <c r="AO1261" s="133">
        <v>1</v>
      </c>
      <c r="AP1261" s="133">
        <v>1</v>
      </c>
      <c r="AQ1261" s="133">
        <v>1</v>
      </c>
      <c r="AR1261" s="153">
        <v>0.0721861525408278</v>
      </c>
      <c r="AS1261" s="137">
        <v>0.125</v>
      </c>
      <c r="AT1261" s="137">
        <v>0</v>
      </c>
      <c r="AU1261" s="137">
        <v>0</v>
      </c>
      <c r="AV1261" s="137">
        <v>-0.00833333333333333</v>
      </c>
      <c r="AW1261" s="93"/>
      <c r="AX1261" s="91"/>
    </row>
    <row r="1262" ht="14.5" spans="1:50">
      <c r="A1262" s="89"/>
      <c r="B1262" s="93"/>
      <c r="C1262" s="148" t="s">
        <v>1080</v>
      </c>
      <c r="D1262" s="126" t="s">
        <v>1081</v>
      </c>
      <c r="E1262" s="186" t="s">
        <v>1287</v>
      </c>
      <c r="F1262" s="186" t="s">
        <v>1287</v>
      </c>
      <c r="G1262" s="186" t="s">
        <v>1287</v>
      </c>
      <c r="H1262" s="186" t="s">
        <v>1287</v>
      </c>
      <c r="I1262" s="128">
        <v>0.9</v>
      </c>
      <c r="J1262" s="129">
        <v>0.951219512195122</v>
      </c>
      <c r="K1262" s="129">
        <v>0.970588235294118</v>
      </c>
      <c r="L1262" s="130">
        <v>0.945945945945946</v>
      </c>
      <c r="M1262" s="129">
        <v>0.944915254237288</v>
      </c>
      <c r="N1262" s="131">
        <v>0.9</v>
      </c>
      <c r="O1262" s="129">
        <v>0.949152542372881</v>
      </c>
      <c r="P1262" s="129">
        <v>0.936428966279713</v>
      </c>
      <c r="Q1262" s="129">
        <v>0.916275430359937</v>
      </c>
      <c r="R1262" s="129">
        <v>0.950651673028646</v>
      </c>
      <c r="S1262" s="131">
        <v>0.9</v>
      </c>
      <c r="T1262" s="129">
        <v>0.970338983050847</v>
      </c>
      <c r="U1262" s="129">
        <v>0.955223880597015</v>
      </c>
      <c r="V1262" s="129">
        <v>0.969874804381847</v>
      </c>
      <c r="W1262" s="129">
        <v>0.972419959420888</v>
      </c>
      <c r="X1262" s="131">
        <v>0.92</v>
      </c>
      <c r="Y1262" s="131">
        <v>0.952293577981651</v>
      </c>
      <c r="Z1262" s="131">
        <v>0.957273652085453</v>
      </c>
      <c r="AA1262" s="131">
        <v>0.976680384087791</v>
      </c>
      <c r="AB1262" s="131">
        <v>0.970427963849017</v>
      </c>
      <c r="AC1262" s="131">
        <v>0.92</v>
      </c>
      <c r="AD1262" s="129">
        <v>0.999488883209813</v>
      </c>
      <c r="AE1262" s="129">
        <v>0.993377483443709</v>
      </c>
      <c r="AF1262" s="129">
        <v>0.524083150245057</v>
      </c>
      <c r="AG1262" s="129">
        <v>0.944017173791301</v>
      </c>
      <c r="AH1262" s="131">
        <v>0.92</v>
      </c>
      <c r="AI1262" s="129">
        <v>0.974498100922409</v>
      </c>
      <c r="AJ1262" s="129">
        <v>0.976361031518625</v>
      </c>
      <c r="AK1262" s="129">
        <v>0.986301369863014</v>
      </c>
      <c r="AL1262" s="129">
        <v>0.983731363574568</v>
      </c>
      <c r="AM1262" s="128">
        <v>0.99</v>
      </c>
      <c r="AN1262" s="133">
        <v>1</v>
      </c>
      <c r="AO1262" s="133">
        <v>1</v>
      </c>
      <c r="AP1262" s="133">
        <v>1</v>
      </c>
      <c r="AQ1262" s="133">
        <v>1</v>
      </c>
      <c r="AR1262" s="153">
        <v>0.0721861525408278</v>
      </c>
      <c r="AS1262" s="137">
        <v>0</v>
      </c>
      <c r="AT1262" s="137">
        <v>0.1</v>
      </c>
      <c r="AU1262" s="137">
        <v>0</v>
      </c>
      <c r="AV1262" s="137">
        <v>0.0319148936170213</v>
      </c>
      <c r="AW1262" s="93"/>
      <c r="AX1262" s="91"/>
    </row>
    <row r="1263" ht="14.5" spans="1:50">
      <c r="A1263" s="89"/>
      <c r="B1263" s="93"/>
      <c r="C1263" s="148" t="s">
        <v>1080</v>
      </c>
      <c r="D1263" s="126" t="s">
        <v>1081</v>
      </c>
      <c r="E1263" s="186" t="s">
        <v>1288</v>
      </c>
      <c r="F1263" s="186" t="s">
        <v>1288</v>
      </c>
      <c r="G1263" s="186" t="s">
        <v>1288</v>
      </c>
      <c r="H1263" s="186" t="s">
        <v>1288</v>
      </c>
      <c r="I1263" s="128">
        <v>0.9</v>
      </c>
      <c r="J1263" s="129">
        <v>0.909090909090909</v>
      </c>
      <c r="K1263" s="129">
        <v>0.928571428571429</v>
      </c>
      <c r="L1263" s="130">
        <v>0.96875</v>
      </c>
      <c r="M1263" s="129">
        <v>0.928217821782178</v>
      </c>
      <c r="N1263" s="131">
        <v>0.9</v>
      </c>
      <c r="O1263" s="129">
        <v>0.99003984063745</v>
      </c>
      <c r="P1263" s="129">
        <v>0.948883666274971</v>
      </c>
      <c r="Q1263" s="129">
        <v>0.994017094017094</v>
      </c>
      <c r="R1263" s="129">
        <v>0.975927429317708</v>
      </c>
      <c r="S1263" s="131">
        <v>0.9</v>
      </c>
      <c r="T1263" s="129">
        <v>0.972509960159363</v>
      </c>
      <c r="U1263" s="129">
        <v>0.929494712103408</v>
      </c>
      <c r="V1263" s="129">
        <v>0.970940170940171</v>
      </c>
      <c r="W1263" s="129">
        <v>0.965938371395291</v>
      </c>
      <c r="X1263" s="131">
        <v>0.92</v>
      </c>
      <c r="Y1263" s="131">
        <v>0.968085106382979</v>
      </c>
      <c r="Z1263" s="131">
        <v>0.960659898477157</v>
      </c>
      <c r="AA1263" s="131">
        <v>0.975702353834472</v>
      </c>
      <c r="AB1263" s="131">
        <v>0.966764061358656</v>
      </c>
      <c r="AC1263" s="131">
        <v>0.92</v>
      </c>
      <c r="AD1263" s="129">
        <v>1</v>
      </c>
      <c r="AE1263" s="129">
        <v>0.995260663507109</v>
      </c>
      <c r="AF1263" s="129">
        <v>0.992598684210526</v>
      </c>
      <c r="AG1263" s="129">
        <v>0.993662213086674</v>
      </c>
      <c r="AH1263" s="131">
        <v>0.92</v>
      </c>
      <c r="AI1263" s="129">
        <v>0.980869565217391</v>
      </c>
      <c r="AJ1263" s="129">
        <v>0.980321285140562</v>
      </c>
      <c r="AK1263" s="129">
        <v>0.985780694558381</v>
      </c>
      <c r="AL1263" s="129">
        <v>0.982510826631133</v>
      </c>
      <c r="AM1263" s="128">
        <v>0.99</v>
      </c>
      <c r="AN1263" s="133">
        <v>1</v>
      </c>
      <c r="AO1263" s="133">
        <v>1</v>
      </c>
      <c r="AP1263" s="133">
        <v>1</v>
      </c>
      <c r="AQ1263" s="133">
        <v>1</v>
      </c>
      <c r="AR1263" s="153">
        <v>0.0721861525408278</v>
      </c>
      <c r="AS1263" s="137">
        <v>0</v>
      </c>
      <c r="AT1263" s="137">
        <v>0</v>
      </c>
      <c r="AU1263" s="137">
        <v>0.0909090909090909</v>
      </c>
      <c r="AV1263" s="137">
        <v>0.0357142857142857</v>
      </c>
      <c r="AW1263" s="93"/>
      <c r="AX1263" s="91"/>
    </row>
    <row r="1264" ht="14.5" spans="1:50">
      <c r="A1264" s="89"/>
      <c r="B1264" s="93"/>
      <c r="C1264" s="148" t="s">
        <v>1080</v>
      </c>
      <c r="D1264" s="126" t="s">
        <v>1081</v>
      </c>
      <c r="E1264" s="186" t="s">
        <v>1289</v>
      </c>
      <c r="F1264" s="186" t="s">
        <v>1289</v>
      </c>
      <c r="G1264" s="186" t="s">
        <v>1289</v>
      </c>
      <c r="H1264" s="186" t="s">
        <v>1289</v>
      </c>
      <c r="I1264" s="128">
        <v>0.9</v>
      </c>
      <c r="J1264" s="129">
        <v>1</v>
      </c>
      <c r="K1264" s="129">
        <v>0.944444444444444</v>
      </c>
      <c r="L1264" s="130">
        <v>0.947368421052632</v>
      </c>
      <c r="M1264" s="129">
        <v>0.94468085106383</v>
      </c>
      <c r="N1264" s="131">
        <v>0.9</v>
      </c>
      <c r="O1264" s="129">
        <v>0.992577597840756</v>
      </c>
      <c r="P1264" s="129">
        <v>0.991469194312796</v>
      </c>
      <c r="Q1264" s="129">
        <v>0.992192582953806</v>
      </c>
      <c r="R1264" s="129">
        <v>0.988268608414239</v>
      </c>
      <c r="S1264" s="131">
        <v>0.9</v>
      </c>
      <c r="T1264" s="129">
        <v>0.964237516869096</v>
      </c>
      <c r="U1264" s="129">
        <v>0.956398104265403</v>
      </c>
      <c r="V1264" s="129">
        <v>0.958360442420299</v>
      </c>
      <c r="W1264" s="129">
        <v>0.965961627369394</v>
      </c>
      <c r="X1264" s="131">
        <v>0.92</v>
      </c>
      <c r="Y1264" s="131">
        <v>0.966832504145937</v>
      </c>
      <c r="Z1264" s="131">
        <v>0.968224299065421</v>
      </c>
      <c r="AA1264" s="131">
        <v>0.974801061007958</v>
      </c>
      <c r="AB1264" s="131">
        <v>0.971462974111981</v>
      </c>
      <c r="AC1264" s="131">
        <v>0.92</v>
      </c>
      <c r="AD1264" s="129">
        <v>1</v>
      </c>
      <c r="AE1264" s="129">
        <v>0.994047619047619</v>
      </c>
      <c r="AF1264" s="129">
        <v>0.99646017699115</v>
      </c>
      <c r="AG1264" s="129">
        <v>0.998231292517007</v>
      </c>
      <c r="AH1264" s="131">
        <v>0.92</v>
      </c>
      <c r="AI1264" s="129">
        <v>0.985131894484413</v>
      </c>
      <c r="AJ1264" s="129">
        <v>0.981761006289308</v>
      </c>
      <c r="AK1264" s="129">
        <v>0.98515931907464</v>
      </c>
      <c r="AL1264" s="129">
        <v>0.985200515443789</v>
      </c>
      <c r="AM1264" s="128">
        <v>0.99</v>
      </c>
      <c r="AN1264" s="133">
        <v>1</v>
      </c>
      <c r="AO1264" s="133">
        <v>1</v>
      </c>
      <c r="AP1264" s="133">
        <v>1</v>
      </c>
      <c r="AQ1264" s="133">
        <v>1</v>
      </c>
      <c r="AR1264" s="153">
        <v>0.0721861525408278</v>
      </c>
      <c r="AS1264" s="137">
        <v>0</v>
      </c>
      <c r="AT1264" s="137" t="s">
        <v>33</v>
      </c>
      <c r="AU1264" s="137">
        <v>0.166666666666667</v>
      </c>
      <c r="AV1264" s="137">
        <v>0.0862068965517241</v>
      </c>
      <c r="AW1264" s="93"/>
      <c r="AX1264" s="91"/>
    </row>
    <row r="1265" ht="14.5" spans="1:50">
      <c r="A1265" s="89"/>
      <c r="B1265" s="93"/>
      <c r="C1265" s="148" t="s">
        <v>1080</v>
      </c>
      <c r="D1265" s="126" t="s">
        <v>1081</v>
      </c>
      <c r="E1265" s="186" t="s">
        <v>1290</v>
      </c>
      <c r="F1265" s="186" t="s">
        <v>1290</v>
      </c>
      <c r="G1265" s="186" t="s">
        <v>1290</v>
      </c>
      <c r="H1265" s="186" t="s">
        <v>1290</v>
      </c>
      <c r="I1265" s="128">
        <v>0.9</v>
      </c>
      <c r="J1265" s="129">
        <v>0.906976744186046</v>
      </c>
      <c r="K1265" s="129">
        <v>0.771428571428571</v>
      </c>
      <c r="L1265" s="130">
        <v>0.894736842105263</v>
      </c>
      <c r="M1265" s="129">
        <v>0.861344537815126</v>
      </c>
      <c r="N1265" s="131">
        <v>0.9</v>
      </c>
      <c r="O1265" s="129">
        <v>0.989847715736041</v>
      </c>
      <c r="P1265" s="129">
        <v>0.989408099688474</v>
      </c>
      <c r="Q1265" s="129">
        <v>0.990802675585284</v>
      </c>
      <c r="R1265" s="129">
        <v>0.973163641520136</v>
      </c>
      <c r="S1265" s="131">
        <v>0.9</v>
      </c>
      <c r="T1265" s="129">
        <v>0.941624365482233</v>
      </c>
      <c r="U1265" s="129">
        <v>0.929595015576324</v>
      </c>
      <c r="V1265" s="129">
        <v>0.95443143812709</v>
      </c>
      <c r="W1265" s="129">
        <v>0.940087918321044</v>
      </c>
      <c r="X1265" s="131">
        <v>0.92</v>
      </c>
      <c r="Y1265" s="131">
        <v>0.929806714140387</v>
      </c>
      <c r="Z1265" s="131">
        <v>0.916861826697892</v>
      </c>
      <c r="AA1265" s="131">
        <v>0.932515337423313</v>
      </c>
      <c r="AB1265" s="131">
        <v>0.930598441405676</v>
      </c>
      <c r="AC1265" s="131">
        <v>0.92</v>
      </c>
      <c r="AD1265" s="129">
        <v>1</v>
      </c>
      <c r="AE1265" s="129">
        <v>1</v>
      </c>
      <c r="AF1265" s="129">
        <v>1</v>
      </c>
      <c r="AG1265" s="129">
        <v>1</v>
      </c>
      <c r="AH1265" s="131">
        <v>0.92</v>
      </c>
      <c r="AI1265" s="129">
        <v>0.962055572154168</v>
      </c>
      <c r="AJ1265" s="129">
        <v>0.953639690931273</v>
      </c>
      <c r="AK1265" s="129">
        <v>0.971703452178834</v>
      </c>
      <c r="AL1265" s="129">
        <v>0.965993877941458</v>
      </c>
      <c r="AM1265" s="128">
        <v>0.99</v>
      </c>
      <c r="AN1265" s="133">
        <v>1</v>
      </c>
      <c r="AO1265" s="133">
        <v>1</v>
      </c>
      <c r="AP1265" s="133">
        <v>1</v>
      </c>
      <c r="AQ1265" s="133">
        <v>1</v>
      </c>
      <c r="AR1265" s="153">
        <v>0.0721861525408278</v>
      </c>
      <c r="AS1265" s="137">
        <v>0.0625</v>
      </c>
      <c r="AT1265" s="137">
        <v>0</v>
      </c>
      <c r="AU1265" s="137">
        <v>0</v>
      </c>
      <c r="AV1265" s="137">
        <v>0.0476190476190476</v>
      </c>
      <c r="AW1265" s="93"/>
      <c r="AX1265" s="91"/>
    </row>
    <row r="1266" ht="14.5" spans="1:50">
      <c r="A1266" s="89"/>
      <c r="B1266" s="93"/>
      <c r="C1266" s="148" t="s">
        <v>1080</v>
      </c>
      <c r="D1266" s="126" t="s">
        <v>1081</v>
      </c>
      <c r="E1266" s="186" t="s">
        <v>1291</v>
      </c>
      <c r="F1266" s="186" t="s">
        <v>1291</v>
      </c>
      <c r="G1266" s="186" t="s">
        <v>1291</v>
      </c>
      <c r="H1266" s="186" t="s">
        <v>1291</v>
      </c>
      <c r="I1266" s="128">
        <v>0.9</v>
      </c>
      <c r="J1266" s="129">
        <v>1</v>
      </c>
      <c r="K1266" s="129">
        <v>1</v>
      </c>
      <c r="L1266" s="130">
        <v>1</v>
      </c>
      <c r="M1266" s="129">
        <v>0.972049689440994</v>
      </c>
      <c r="N1266" s="131">
        <v>0.9</v>
      </c>
      <c r="O1266" s="129">
        <v>0.948733413751508</v>
      </c>
      <c r="P1266" s="129">
        <v>0.994928148774303</v>
      </c>
      <c r="Q1266" s="129">
        <v>0.989678202792957</v>
      </c>
      <c r="R1266" s="129">
        <v>0.98911282155155</v>
      </c>
      <c r="S1266" s="131">
        <v>0.9</v>
      </c>
      <c r="T1266" s="129">
        <v>0.949336550060314</v>
      </c>
      <c r="U1266" s="129">
        <v>0.981403212172443</v>
      </c>
      <c r="V1266" s="129">
        <v>0.984820886460231</v>
      </c>
      <c r="W1266" s="129">
        <v>0.979744784281953</v>
      </c>
      <c r="X1266" s="131">
        <v>0.92</v>
      </c>
      <c r="Y1266" s="131">
        <v>0.982532751091703</v>
      </c>
      <c r="Z1266" s="131">
        <v>0.987519500780031</v>
      </c>
      <c r="AA1266" s="131">
        <v>0.989462592202318</v>
      </c>
      <c r="AB1266" s="131">
        <v>0.9854574833367</v>
      </c>
      <c r="AC1266" s="131">
        <v>0.92</v>
      </c>
      <c r="AD1266" s="129">
        <v>0.998466257668712</v>
      </c>
      <c r="AE1266" s="129">
        <v>0.99935149156939</v>
      </c>
      <c r="AF1266" s="129">
        <v>0.998236331569665</v>
      </c>
      <c r="AG1266" s="129">
        <v>0.997274061648144</v>
      </c>
      <c r="AH1266" s="131">
        <v>0.92</v>
      </c>
      <c r="AI1266" s="129">
        <v>0.988912579957356</v>
      </c>
      <c r="AJ1266" s="129">
        <v>0.991228070175439</v>
      </c>
      <c r="AK1266" s="129">
        <v>0.993453985367732</v>
      </c>
      <c r="AL1266" s="129">
        <v>0.991738045457611</v>
      </c>
      <c r="AM1266" s="128">
        <v>0.99</v>
      </c>
      <c r="AN1266" s="133">
        <v>1</v>
      </c>
      <c r="AO1266" s="133">
        <v>1</v>
      </c>
      <c r="AP1266" s="133">
        <v>1</v>
      </c>
      <c r="AQ1266" s="133">
        <v>1</v>
      </c>
      <c r="AR1266" s="153">
        <v>0.0721861525408278</v>
      </c>
      <c r="AS1266" s="137">
        <v>0</v>
      </c>
      <c r="AT1266" s="137">
        <v>0</v>
      </c>
      <c r="AU1266" s="137">
        <v>0</v>
      </c>
      <c r="AV1266" s="137">
        <v>0.0344827586206897</v>
      </c>
      <c r="AW1266" s="93"/>
      <c r="AX1266" s="91"/>
    </row>
    <row r="1267" ht="14.5" spans="1:50">
      <c r="A1267" s="89"/>
      <c r="B1267" s="93"/>
      <c r="C1267" s="148" t="s">
        <v>1080</v>
      </c>
      <c r="D1267" s="126" t="s">
        <v>1081</v>
      </c>
      <c r="E1267" s="186" t="s">
        <v>1292</v>
      </c>
      <c r="F1267" s="186" t="s">
        <v>1292</v>
      </c>
      <c r="G1267" s="186" t="s">
        <v>1292</v>
      </c>
      <c r="H1267" s="186" t="s">
        <v>1292</v>
      </c>
      <c r="I1267" s="128">
        <v>0.9</v>
      </c>
      <c r="J1267" s="129">
        <v>0.976190476190476</v>
      </c>
      <c r="K1267" s="129">
        <v>0.947368421052632</v>
      </c>
      <c r="L1267" s="130">
        <v>0.897435897435897</v>
      </c>
      <c r="M1267" s="129">
        <v>0.949685534591195</v>
      </c>
      <c r="N1267" s="131">
        <v>0.9</v>
      </c>
      <c r="O1267" s="129">
        <v>0.989983305509182</v>
      </c>
      <c r="P1267" s="129">
        <v>0.989228007181329</v>
      </c>
      <c r="Q1267" s="129">
        <v>0.987931034482759</v>
      </c>
      <c r="R1267" s="129">
        <v>0.987918725974739</v>
      </c>
      <c r="S1267" s="131">
        <v>0.9</v>
      </c>
      <c r="T1267" s="129">
        <v>0.918614357262103</v>
      </c>
      <c r="U1267" s="129">
        <v>0.901256732495512</v>
      </c>
      <c r="V1267" s="129">
        <v>0.886206896551724</v>
      </c>
      <c r="W1267" s="129">
        <v>0.913930075050339</v>
      </c>
      <c r="X1267" s="131">
        <v>0.92</v>
      </c>
      <c r="Y1267" s="131">
        <v>0.908080808080808</v>
      </c>
      <c r="Z1267" s="131">
        <v>0.905183312262958</v>
      </c>
      <c r="AA1267" s="131">
        <v>0.91866028708134</v>
      </c>
      <c r="AB1267" s="131">
        <v>0.91696249421207</v>
      </c>
      <c r="AC1267" s="131">
        <v>0.92</v>
      </c>
      <c r="AD1267" s="129">
        <v>0.989010989010989</v>
      </c>
      <c r="AE1267" s="129">
        <v>0.992647058823529</v>
      </c>
      <c r="AF1267" s="129">
        <v>0.989010989010989</v>
      </c>
      <c r="AG1267" s="129">
        <v>0.993229901269393</v>
      </c>
      <c r="AH1267" s="131">
        <v>0.92</v>
      </c>
      <c r="AI1267" s="129">
        <v>0.94772593030124</v>
      </c>
      <c r="AJ1267" s="129">
        <v>0.934199837530463</v>
      </c>
      <c r="AK1267" s="129">
        <v>0.952434247341914</v>
      </c>
      <c r="AL1267" s="129">
        <v>0.953889702778536</v>
      </c>
      <c r="AM1267" s="128">
        <v>0.99</v>
      </c>
      <c r="AN1267" s="133">
        <v>1</v>
      </c>
      <c r="AO1267" s="133">
        <v>1</v>
      </c>
      <c r="AP1267" s="133">
        <v>1</v>
      </c>
      <c r="AQ1267" s="133">
        <v>1</v>
      </c>
      <c r="AR1267" s="153">
        <v>0.0721861525408278</v>
      </c>
      <c r="AS1267" s="137">
        <v>0</v>
      </c>
      <c r="AT1267" s="137">
        <v>0</v>
      </c>
      <c r="AU1267" s="137">
        <v>0</v>
      </c>
      <c r="AV1267" s="137">
        <v>0.0649350649350649</v>
      </c>
      <c r="AW1267" s="93"/>
      <c r="AX1267" s="91"/>
    </row>
    <row r="1268" ht="14.5" spans="1:50">
      <c r="A1268" s="89"/>
      <c r="B1268" s="93"/>
      <c r="C1268" s="148" t="s">
        <v>1080</v>
      </c>
      <c r="D1268" s="126" t="s">
        <v>1081</v>
      </c>
      <c r="E1268" s="186" t="s">
        <v>1293</v>
      </c>
      <c r="F1268" s="186" t="s">
        <v>1293</v>
      </c>
      <c r="G1268" s="186" t="s">
        <v>1293</v>
      </c>
      <c r="H1268" s="186" t="s">
        <v>1293</v>
      </c>
      <c r="I1268" s="128">
        <v>0.9</v>
      </c>
      <c r="J1268" s="129">
        <v>1</v>
      </c>
      <c r="K1268" s="129">
        <v>0.96</v>
      </c>
      <c r="L1268" s="130">
        <v>0.962962962962963</v>
      </c>
      <c r="M1268" s="129">
        <v>0.973293768545994</v>
      </c>
      <c r="N1268" s="131">
        <v>0.9</v>
      </c>
      <c r="O1268" s="129">
        <v>0.988619119878604</v>
      </c>
      <c r="P1268" s="129">
        <v>0.981481481481482</v>
      </c>
      <c r="Q1268" s="129">
        <v>0.988547869903802</v>
      </c>
      <c r="R1268" s="129">
        <v>0.985482198409955</v>
      </c>
      <c r="S1268" s="131">
        <v>0.9</v>
      </c>
      <c r="T1268" s="129">
        <v>0.96206373292868</v>
      </c>
      <c r="U1268" s="129">
        <v>0.94849537037037</v>
      </c>
      <c r="V1268" s="129">
        <v>0.95831424644984</v>
      </c>
      <c r="W1268" s="129">
        <v>0.967162115451089</v>
      </c>
      <c r="X1268" s="131">
        <v>0.92</v>
      </c>
      <c r="Y1268" s="131" t="s">
        <v>33</v>
      </c>
      <c r="Z1268" s="131" t="s">
        <v>33</v>
      </c>
      <c r="AA1268" s="131" t="s">
        <v>33</v>
      </c>
      <c r="AB1268" s="131" t="s">
        <v>33</v>
      </c>
      <c r="AC1268" s="131">
        <v>0.92</v>
      </c>
      <c r="AD1268" s="129">
        <v>1</v>
      </c>
      <c r="AE1268" s="129">
        <v>1</v>
      </c>
      <c r="AF1268" s="129">
        <v>1</v>
      </c>
      <c r="AG1268" s="129">
        <v>0.997237569060773</v>
      </c>
      <c r="AH1268" s="131">
        <v>0.92</v>
      </c>
      <c r="AI1268" s="129">
        <v>0.972306525037936</v>
      </c>
      <c r="AJ1268" s="129">
        <v>0.961805555555556</v>
      </c>
      <c r="AK1268" s="129">
        <v>0.975263398992213</v>
      </c>
      <c r="AL1268" s="129">
        <v>0.980182809739611</v>
      </c>
      <c r="AM1268" s="128">
        <v>0.99</v>
      </c>
      <c r="AN1268" s="133">
        <v>1</v>
      </c>
      <c r="AO1268" s="133">
        <v>1</v>
      </c>
      <c r="AP1268" s="133">
        <v>1</v>
      </c>
      <c r="AQ1268" s="133">
        <v>1</v>
      </c>
      <c r="AR1268" s="153">
        <v>0.0721861525408278</v>
      </c>
      <c r="AS1268" s="137">
        <v>0</v>
      </c>
      <c r="AT1268" s="137">
        <v>0</v>
      </c>
      <c r="AU1268" s="137">
        <v>0.111111111111111</v>
      </c>
      <c r="AV1268" s="137">
        <v>0.0273972602739726</v>
      </c>
      <c r="AW1268" s="93"/>
      <c r="AX1268" s="91"/>
    </row>
    <row r="1269" ht="14.5" spans="1:50">
      <c r="A1269" s="89"/>
      <c r="B1269" s="93"/>
      <c r="C1269" s="148" t="s">
        <v>1080</v>
      </c>
      <c r="D1269" s="126" t="s">
        <v>1081</v>
      </c>
      <c r="E1269" s="186" t="s">
        <v>1294</v>
      </c>
      <c r="F1269" s="186" t="s">
        <v>1294</v>
      </c>
      <c r="G1269" s="186" t="s">
        <v>1294</v>
      </c>
      <c r="H1269" s="186" t="s">
        <v>1294</v>
      </c>
      <c r="I1269" s="128">
        <v>0.9</v>
      </c>
      <c r="J1269" s="129">
        <v>1</v>
      </c>
      <c r="K1269" s="129">
        <v>0.923076923076923</v>
      </c>
      <c r="L1269" s="130">
        <v>1</v>
      </c>
      <c r="M1269" s="129">
        <v>0.961038961038961</v>
      </c>
      <c r="N1269" s="131">
        <v>0.9</v>
      </c>
      <c r="O1269" s="129">
        <v>0.986328125</v>
      </c>
      <c r="P1269" s="129">
        <v>0.990981963927856</v>
      </c>
      <c r="Q1269" s="129">
        <v>0.988579586009993</v>
      </c>
      <c r="R1269" s="129">
        <v>0.981192221868027</v>
      </c>
      <c r="S1269" s="131">
        <v>0.9</v>
      </c>
      <c r="T1269" s="129">
        <v>0.845703125</v>
      </c>
      <c r="U1269" s="129">
        <v>0.967935871743487</v>
      </c>
      <c r="V1269" s="129">
        <v>0.96074232690935</v>
      </c>
      <c r="W1269" s="129">
        <v>0.919285941982786</v>
      </c>
      <c r="X1269" s="131">
        <v>0.92</v>
      </c>
      <c r="Y1269" s="131">
        <v>0</v>
      </c>
      <c r="Z1269" s="131" t="s">
        <v>33</v>
      </c>
      <c r="AA1269" s="131" t="s">
        <v>33</v>
      </c>
      <c r="AB1269" s="131">
        <v>0.2</v>
      </c>
      <c r="AC1269" s="131">
        <v>0.92</v>
      </c>
      <c r="AD1269" s="129">
        <v>0.988636363636364</v>
      </c>
      <c r="AE1269" s="129">
        <v>1</v>
      </c>
      <c r="AF1269" s="129">
        <v>1</v>
      </c>
      <c r="AG1269" s="129">
        <v>0.998018494055482</v>
      </c>
      <c r="AH1269" s="131">
        <v>0.92</v>
      </c>
      <c r="AI1269" s="129">
        <v>0.975324675324675</v>
      </c>
      <c r="AJ1269" s="129">
        <v>0.987975951903808</v>
      </c>
      <c r="AK1269" s="129">
        <v>0.990720913633119</v>
      </c>
      <c r="AL1269" s="129">
        <v>0.976099426386233</v>
      </c>
      <c r="AM1269" s="128">
        <v>0.99</v>
      </c>
      <c r="AN1269" s="133">
        <v>1</v>
      </c>
      <c r="AO1269" s="133">
        <v>1</v>
      </c>
      <c r="AP1269" s="133">
        <v>1</v>
      </c>
      <c r="AQ1269" s="133">
        <v>1</v>
      </c>
      <c r="AR1269" s="153">
        <v>0.0721861525408278</v>
      </c>
      <c r="AS1269" s="137">
        <v>0</v>
      </c>
      <c r="AT1269" s="137">
        <v>0</v>
      </c>
      <c r="AU1269" s="137">
        <v>0</v>
      </c>
      <c r="AV1269" s="137">
        <v>0.0540540540540541</v>
      </c>
      <c r="AW1269" s="93"/>
      <c r="AX1269" s="91"/>
    </row>
    <row r="1270" ht="14.5" spans="1:50">
      <c r="A1270" s="89"/>
      <c r="B1270" s="93"/>
      <c r="C1270" s="148" t="s">
        <v>1080</v>
      </c>
      <c r="D1270" s="126" t="s">
        <v>1081</v>
      </c>
      <c r="E1270" s="186" t="s">
        <v>1295</v>
      </c>
      <c r="F1270" s="186" t="s">
        <v>1295</v>
      </c>
      <c r="G1270" s="186" t="s">
        <v>1295</v>
      </c>
      <c r="H1270" s="186" t="s">
        <v>1295</v>
      </c>
      <c r="I1270" s="128">
        <v>0.9</v>
      </c>
      <c r="J1270" s="129">
        <v>1</v>
      </c>
      <c r="K1270" s="129">
        <v>1</v>
      </c>
      <c r="L1270" s="130">
        <v>0.916666666666667</v>
      </c>
      <c r="M1270" s="129">
        <v>0.991803278688525</v>
      </c>
      <c r="N1270" s="131">
        <v>0.9</v>
      </c>
      <c r="O1270" s="129">
        <v>0.949698189134809</v>
      </c>
      <c r="P1270" s="129">
        <v>0.921052631578947</v>
      </c>
      <c r="Q1270" s="129">
        <v>0.949891067538126</v>
      </c>
      <c r="R1270" s="129">
        <v>0.948737137511693</v>
      </c>
      <c r="S1270" s="131">
        <v>0.9</v>
      </c>
      <c r="T1270" s="129">
        <v>0.901408450704225</v>
      </c>
      <c r="U1270" s="129">
        <v>0.909972299168975</v>
      </c>
      <c r="V1270" s="129">
        <v>0.907407407407407</v>
      </c>
      <c r="W1270" s="129">
        <v>0.898503274087933</v>
      </c>
      <c r="X1270" s="131">
        <v>0.92</v>
      </c>
      <c r="Y1270" s="131" t="s">
        <v>33</v>
      </c>
      <c r="Z1270" s="131" t="s">
        <v>33</v>
      </c>
      <c r="AA1270" s="131" t="s">
        <v>33</v>
      </c>
      <c r="AB1270" s="131" t="s">
        <v>33</v>
      </c>
      <c r="AC1270" s="131">
        <v>0.92</v>
      </c>
      <c r="AD1270" s="129">
        <v>0.933814170555791</v>
      </c>
      <c r="AE1270" s="129">
        <v>0.991352473192667</v>
      </c>
      <c r="AF1270" s="129">
        <v>0.911125319693095</v>
      </c>
      <c r="AG1270" s="129">
        <v>0.982072213500785</v>
      </c>
      <c r="AH1270" s="131">
        <v>0.92</v>
      </c>
      <c r="AI1270" s="129">
        <v>0.95271629778672</v>
      </c>
      <c r="AJ1270" s="129">
        <v>0.941828254847645</v>
      </c>
      <c r="AK1270" s="129">
        <v>0.955337690631808</v>
      </c>
      <c r="AL1270" s="129">
        <v>0.951646090534979</v>
      </c>
      <c r="AM1270" s="128">
        <v>0.99</v>
      </c>
      <c r="AN1270" s="133">
        <v>1</v>
      </c>
      <c r="AO1270" s="133">
        <v>1</v>
      </c>
      <c r="AP1270" s="133">
        <v>1</v>
      </c>
      <c r="AQ1270" s="133">
        <v>1</v>
      </c>
      <c r="AR1270" s="153">
        <v>0.0721861525408278</v>
      </c>
      <c r="AS1270" s="137">
        <v>0</v>
      </c>
      <c r="AT1270" s="137">
        <v>0</v>
      </c>
      <c r="AU1270" s="137">
        <v>0</v>
      </c>
      <c r="AV1270" s="137">
        <v>0</v>
      </c>
      <c r="AW1270" s="93"/>
      <c r="AX1270" s="91"/>
    </row>
    <row r="1271" ht="14.5" spans="1:50">
      <c r="A1271" s="89"/>
      <c r="B1271" s="93"/>
      <c r="C1271" s="148" t="s">
        <v>1080</v>
      </c>
      <c r="D1271" s="126" t="s">
        <v>1081</v>
      </c>
      <c r="E1271" s="186" t="s">
        <v>1296</v>
      </c>
      <c r="F1271" s="186" t="s">
        <v>1296</v>
      </c>
      <c r="G1271" s="186" t="s">
        <v>1296</v>
      </c>
      <c r="H1271" s="186" t="s">
        <v>1296</v>
      </c>
      <c r="I1271" s="128">
        <v>0.9</v>
      </c>
      <c r="J1271" s="129">
        <v>0.875</v>
      </c>
      <c r="K1271" s="129">
        <v>0.859649122807018</v>
      </c>
      <c r="L1271" s="130">
        <v>0.913793103448276</v>
      </c>
      <c r="M1271" s="129">
        <v>0.876560332871013</v>
      </c>
      <c r="N1271" s="131">
        <v>0.9</v>
      </c>
      <c r="O1271" s="129">
        <v>0.978194017332961</v>
      </c>
      <c r="P1271" s="129">
        <v>0.989484226339509</v>
      </c>
      <c r="Q1271" s="129">
        <v>0.976421052631579</v>
      </c>
      <c r="R1271" s="129">
        <v>0.981070006348474</v>
      </c>
      <c r="S1271" s="131">
        <v>0.9</v>
      </c>
      <c r="T1271" s="129">
        <v>0.908582611126642</v>
      </c>
      <c r="U1271" s="129">
        <v>0.906359539308963</v>
      </c>
      <c r="V1271" s="129">
        <v>0.926315789473684</v>
      </c>
      <c r="W1271" s="129">
        <v>0.926790558088532</v>
      </c>
      <c r="X1271" s="131">
        <v>0.92</v>
      </c>
      <c r="Y1271" s="131">
        <v>0.938253738543174</v>
      </c>
      <c r="Z1271" s="131">
        <v>0.943181818181818</v>
      </c>
      <c r="AA1271" s="131">
        <v>0.941561987984708</v>
      </c>
      <c r="AB1271" s="131">
        <v>0.946980366166846</v>
      </c>
      <c r="AC1271" s="131">
        <v>0.92</v>
      </c>
      <c r="AD1271" s="129">
        <v>0.998852553069421</v>
      </c>
      <c r="AE1271" s="129">
        <v>0.999596936719065</v>
      </c>
      <c r="AF1271" s="129">
        <v>0.989816700610998</v>
      </c>
      <c r="AG1271" s="129">
        <v>0.998133509003074</v>
      </c>
      <c r="AH1271" s="131">
        <v>0.92</v>
      </c>
      <c r="AI1271" s="129">
        <v>0.956283185840708</v>
      </c>
      <c r="AJ1271" s="129">
        <v>0.95522024823558</v>
      </c>
      <c r="AK1271" s="129">
        <v>0.96315664368909</v>
      </c>
      <c r="AL1271" s="129">
        <v>0.965392922129823</v>
      </c>
      <c r="AM1271" s="128">
        <v>0.99</v>
      </c>
      <c r="AN1271" s="133">
        <v>1</v>
      </c>
      <c r="AO1271" s="133">
        <v>1</v>
      </c>
      <c r="AP1271" s="133">
        <v>1</v>
      </c>
      <c r="AQ1271" s="133">
        <v>1</v>
      </c>
      <c r="AR1271" s="153">
        <v>0.0721861525408278</v>
      </c>
      <c r="AS1271" s="137">
        <v>0.1</v>
      </c>
      <c r="AT1271" s="137">
        <v>0.0666666666666667</v>
      </c>
      <c r="AU1271" s="137">
        <v>0.0588235294117647</v>
      </c>
      <c r="AV1271" s="137">
        <v>0.0245098039215686</v>
      </c>
      <c r="AW1271" s="93"/>
      <c r="AX1271" s="91"/>
    </row>
    <row r="1272" ht="14.5" spans="1:50">
      <c r="A1272" s="89"/>
      <c r="B1272" s="93"/>
      <c r="C1272" s="148" t="s">
        <v>1080</v>
      </c>
      <c r="D1272" s="126" t="s">
        <v>1081</v>
      </c>
      <c r="E1272" s="186" t="s">
        <v>1297</v>
      </c>
      <c r="F1272" s="186" t="s">
        <v>1297</v>
      </c>
      <c r="G1272" s="186" t="s">
        <v>1297</v>
      </c>
      <c r="H1272" s="186" t="s">
        <v>1297</v>
      </c>
      <c r="I1272" s="128">
        <v>0.9</v>
      </c>
      <c r="J1272" s="129">
        <v>0.944444444444444</v>
      </c>
      <c r="K1272" s="129">
        <v>0.953488372093023</v>
      </c>
      <c r="L1272" s="130">
        <v>0.942307692307692</v>
      </c>
      <c r="M1272" s="129">
        <v>0.950680272108844</v>
      </c>
      <c r="N1272" s="131">
        <v>0.9</v>
      </c>
      <c r="O1272" s="129">
        <v>0.988260084286574</v>
      </c>
      <c r="P1272" s="129">
        <v>0.990514228657014</v>
      </c>
      <c r="Q1272" s="129">
        <v>0.988773388773389</v>
      </c>
      <c r="R1272" s="129">
        <v>0.979998263235592</v>
      </c>
      <c r="S1272" s="131">
        <v>0.9</v>
      </c>
      <c r="T1272" s="129">
        <v>0.944009632751355</v>
      </c>
      <c r="U1272" s="129">
        <v>0.955566650024963</v>
      </c>
      <c r="V1272" s="129">
        <v>0.967151767151767</v>
      </c>
      <c r="W1272" s="129">
        <v>0.9590702521203</v>
      </c>
      <c r="X1272" s="131">
        <v>0.92</v>
      </c>
      <c r="Y1272" s="131">
        <v>0.971926427879961</v>
      </c>
      <c r="Z1272" s="131">
        <v>0.975263157894737</v>
      </c>
      <c r="AA1272" s="131">
        <v>0.981905268759979</v>
      </c>
      <c r="AB1272" s="131">
        <v>0.972801071219349</v>
      </c>
      <c r="AC1272" s="131">
        <v>0.92</v>
      </c>
      <c r="AD1272" s="129">
        <v>0.999710060887214</v>
      </c>
      <c r="AE1272" s="129">
        <v>0.999546588075266</v>
      </c>
      <c r="AF1272" s="129">
        <v>0.998606757227447</v>
      </c>
      <c r="AG1272" s="129">
        <v>0.999497715802818</v>
      </c>
      <c r="AH1272" s="131">
        <v>0.92</v>
      </c>
      <c r="AI1272" s="129">
        <v>0.975872308834447</v>
      </c>
      <c r="AJ1272" s="129">
        <v>0.97847809377402</v>
      </c>
      <c r="AK1272" s="129">
        <v>0.986928104575163</v>
      </c>
      <c r="AL1272" s="129">
        <v>0.98189812992968</v>
      </c>
      <c r="AM1272" s="128">
        <v>0.99</v>
      </c>
      <c r="AN1272" s="133">
        <v>1</v>
      </c>
      <c r="AO1272" s="133">
        <v>1</v>
      </c>
      <c r="AP1272" s="133">
        <v>1</v>
      </c>
      <c r="AQ1272" s="133">
        <v>1</v>
      </c>
      <c r="AR1272" s="153">
        <v>0.0721861525408278</v>
      </c>
      <c r="AS1272" s="137">
        <v>0.0357142857142857</v>
      </c>
      <c r="AT1272" s="137">
        <v>0.142857142857143</v>
      </c>
      <c r="AU1272" s="137">
        <v>0</v>
      </c>
      <c r="AV1272" s="137">
        <v>0.0374531835205993</v>
      </c>
      <c r="AW1272" s="93"/>
      <c r="AX1272" s="91"/>
    </row>
    <row r="1273" ht="14.5" spans="1:50">
      <c r="A1273" s="89"/>
      <c r="B1273" s="93"/>
      <c r="C1273" s="148" t="s">
        <v>1080</v>
      </c>
      <c r="D1273" s="126" t="s">
        <v>1081</v>
      </c>
      <c r="E1273" s="186" t="s">
        <v>1298</v>
      </c>
      <c r="F1273" s="186" t="s">
        <v>1298</v>
      </c>
      <c r="G1273" s="186" t="s">
        <v>1298</v>
      </c>
      <c r="H1273" s="186" t="s">
        <v>1298</v>
      </c>
      <c r="I1273" s="128">
        <v>0.9</v>
      </c>
      <c r="J1273" s="129">
        <v>0.962962962962963</v>
      </c>
      <c r="K1273" s="129">
        <v>0.962962962962963</v>
      </c>
      <c r="L1273" s="130">
        <v>0.92</v>
      </c>
      <c r="M1273" s="129">
        <v>0.841121495327103</v>
      </c>
      <c r="N1273" s="131">
        <v>0.9</v>
      </c>
      <c r="O1273" s="129">
        <v>0.991168205539944</v>
      </c>
      <c r="P1273" s="129">
        <v>0.994929577464789</v>
      </c>
      <c r="Q1273" s="129">
        <v>0.994708994708995</v>
      </c>
      <c r="R1273" s="129">
        <v>0.985146413919932</v>
      </c>
      <c r="S1273" s="131">
        <v>0.9</v>
      </c>
      <c r="T1273" s="129">
        <v>0.898434363709354</v>
      </c>
      <c r="U1273" s="129">
        <v>0.914366197183099</v>
      </c>
      <c r="V1273" s="129">
        <v>0.909171075837742</v>
      </c>
      <c r="W1273" s="129">
        <v>0.906988258593861</v>
      </c>
      <c r="X1273" s="131">
        <v>0.92</v>
      </c>
      <c r="Y1273" s="131">
        <v>0</v>
      </c>
      <c r="Z1273" s="131" t="s">
        <v>33</v>
      </c>
      <c r="AA1273" s="131">
        <v>1</v>
      </c>
      <c r="AB1273" s="131">
        <v>0.4</v>
      </c>
      <c r="AC1273" s="131">
        <v>0.92</v>
      </c>
      <c r="AD1273" s="129">
        <v>0.995034756703079</v>
      </c>
      <c r="AE1273" s="129">
        <v>1</v>
      </c>
      <c r="AF1273" s="129">
        <v>1</v>
      </c>
      <c r="AG1273" s="129">
        <v>0.999423830375663</v>
      </c>
      <c r="AH1273" s="131">
        <v>0.92</v>
      </c>
      <c r="AI1273" s="129">
        <v>0.960304731355253</v>
      </c>
      <c r="AJ1273" s="129">
        <v>0.95830985915493</v>
      </c>
      <c r="AK1273" s="129">
        <v>0.970044052863436</v>
      </c>
      <c r="AL1273" s="129">
        <v>0.97814787313037</v>
      </c>
      <c r="AM1273" s="128">
        <v>0.99</v>
      </c>
      <c r="AN1273" s="133">
        <v>1</v>
      </c>
      <c r="AO1273" s="133">
        <v>1</v>
      </c>
      <c r="AP1273" s="133">
        <v>1</v>
      </c>
      <c r="AQ1273" s="133">
        <v>1</v>
      </c>
      <c r="AR1273" s="153">
        <v>0.0721861525408278</v>
      </c>
      <c r="AS1273" s="137">
        <v>0.0714285714285714</v>
      </c>
      <c r="AT1273" s="137">
        <v>0</v>
      </c>
      <c r="AU1273" s="137">
        <v>0</v>
      </c>
      <c r="AV1273" s="137">
        <v>0</v>
      </c>
      <c r="AW1273" s="93"/>
      <c r="AX1273" s="91"/>
    </row>
    <row r="1274" ht="14.5" spans="1:50">
      <c r="A1274" s="89"/>
      <c r="B1274" s="93"/>
      <c r="C1274" s="148" t="s">
        <v>1080</v>
      </c>
      <c r="D1274" s="126" t="s">
        <v>1081</v>
      </c>
      <c r="E1274" s="186" t="s">
        <v>1299</v>
      </c>
      <c r="F1274" s="186" t="s">
        <v>1299</v>
      </c>
      <c r="G1274" s="186" t="s">
        <v>1299</v>
      </c>
      <c r="H1274" s="186" t="s">
        <v>1299</v>
      </c>
      <c r="I1274" s="128">
        <v>0.9</v>
      </c>
      <c r="J1274" s="129">
        <v>1</v>
      </c>
      <c r="K1274" s="129">
        <v>0.975</v>
      </c>
      <c r="L1274" s="130">
        <v>1</v>
      </c>
      <c r="M1274" s="129">
        <v>0.996124031007752</v>
      </c>
      <c r="N1274" s="131">
        <v>0.9</v>
      </c>
      <c r="O1274" s="129">
        <v>0.990340497464381</v>
      </c>
      <c r="P1274" s="129">
        <v>0.98859455481972</v>
      </c>
      <c r="Q1274" s="129">
        <v>0.989986091794159</v>
      </c>
      <c r="R1274" s="129">
        <v>0.990684828909797</v>
      </c>
      <c r="S1274" s="131">
        <v>0.9</v>
      </c>
      <c r="T1274" s="129">
        <v>0.951460999758512</v>
      </c>
      <c r="U1274" s="129">
        <v>0.969462840323768</v>
      </c>
      <c r="V1274" s="129">
        <v>0.978581363004172</v>
      </c>
      <c r="W1274" s="129">
        <v>0.974348172073211</v>
      </c>
      <c r="X1274" s="131">
        <v>0.92</v>
      </c>
      <c r="Y1274" s="131" t="s">
        <v>33</v>
      </c>
      <c r="Z1274" s="131" t="s">
        <v>33</v>
      </c>
      <c r="AA1274" s="131" t="s">
        <v>33</v>
      </c>
      <c r="AB1274" s="131" t="s">
        <v>33</v>
      </c>
      <c r="AC1274" s="131">
        <v>0.92</v>
      </c>
      <c r="AD1274" s="129">
        <v>0.998170173833486</v>
      </c>
      <c r="AE1274" s="129">
        <v>1</v>
      </c>
      <c r="AF1274" s="129">
        <v>1</v>
      </c>
      <c r="AG1274" s="129">
        <v>0.998328974135426</v>
      </c>
      <c r="AH1274" s="131">
        <v>0.92</v>
      </c>
      <c r="AI1274" s="129">
        <v>0.976092731224342</v>
      </c>
      <c r="AJ1274" s="129">
        <v>0.980868285504047</v>
      </c>
      <c r="AK1274" s="129">
        <v>0.987482614742698</v>
      </c>
      <c r="AL1274" s="129">
        <v>0.986940036511726</v>
      </c>
      <c r="AM1274" s="128">
        <v>0.99</v>
      </c>
      <c r="AN1274" s="133">
        <v>1</v>
      </c>
      <c r="AO1274" s="133">
        <v>1</v>
      </c>
      <c r="AP1274" s="133">
        <v>1</v>
      </c>
      <c r="AQ1274" s="133">
        <v>1</v>
      </c>
      <c r="AR1274" s="153">
        <v>0.0721861525408278</v>
      </c>
      <c r="AS1274" s="137">
        <v>0.0625</v>
      </c>
      <c r="AT1274" s="137">
        <v>0</v>
      </c>
      <c r="AU1274" s="137">
        <v>0.0714285714285714</v>
      </c>
      <c r="AV1274" s="137">
        <v>0.0434782608695652</v>
      </c>
      <c r="AW1274" s="93"/>
      <c r="AX1274" s="91"/>
    </row>
    <row r="1275" ht="14.5" spans="1:50">
      <c r="A1275" s="89"/>
      <c r="B1275" s="93"/>
      <c r="C1275" s="148" t="s">
        <v>1080</v>
      </c>
      <c r="D1275" s="126" t="s">
        <v>1081</v>
      </c>
      <c r="E1275" s="186" t="s">
        <v>1300</v>
      </c>
      <c r="F1275" s="186" t="s">
        <v>1300</v>
      </c>
      <c r="G1275" s="186" t="s">
        <v>1300</v>
      </c>
      <c r="H1275" s="186" t="s">
        <v>1300</v>
      </c>
      <c r="I1275" s="128">
        <v>0.9</v>
      </c>
      <c r="J1275" s="129">
        <v>0.869565217391304</v>
      </c>
      <c r="K1275" s="129">
        <v>0.727272727272727</v>
      </c>
      <c r="L1275" s="130">
        <v>0.88</v>
      </c>
      <c r="M1275" s="129">
        <v>0.856115107913669</v>
      </c>
      <c r="N1275" s="131">
        <v>0.9</v>
      </c>
      <c r="O1275" s="129">
        <v>0.84863813229572</v>
      </c>
      <c r="P1275" s="129">
        <v>0.975115740740741</v>
      </c>
      <c r="Q1275" s="129">
        <v>0.98073476702509</v>
      </c>
      <c r="R1275" s="129">
        <v>0.940905743740795</v>
      </c>
      <c r="S1275" s="131">
        <v>0.9</v>
      </c>
      <c r="T1275" s="129">
        <v>0.74591439688716</v>
      </c>
      <c r="U1275" s="129">
        <v>0.893518518518518</v>
      </c>
      <c r="V1275" s="129">
        <v>0.878584229390681</v>
      </c>
      <c r="W1275" s="129">
        <v>0.821575846833579</v>
      </c>
      <c r="X1275" s="131">
        <v>0.92</v>
      </c>
      <c r="Y1275" s="131">
        <v>0</v>
      </c>
      <c r="Z1275" s="131" t="s">
        <v>33</v>
      </c>
      <c r="AA1275" s="131" t="s">
        <v>33</v>
      </c>
      <c r="AB1275" s="131">
        <v>0</v>
      </c>
      <c r="AC1275" s="131">
        <v>0.92</v>
      </c>
      <c r="AD1275" s="129">
        <v>0.992587601078167</v>
      </c>
      <c r="AE1275" s="129">
        <v>0.988551518168243</v>
      </c>
      <c r="AF1275" s="129">
        <v>0.998098859315589</v>
      </c>
      <c r="AG1275" s="129">
        <v>0.990167612511548</v>
      </c>
      <c r="AH1275" s="131">
        <v>0.92</v>
      </c>
      <c r="AI1275" s="129">
        <v>0.943990665110852</v>
      </c>
      <c r="AJ1275" s="129">
        <v>0.94212962962963</v>
      </c>
      <c r="AK1275" s="129">
        <v>0.961038961038961</v>
      </c>
      <c r="AL1275" s="129">
        <v>0.953466111990575</v>
      </c>
      <c r="AM1275" s="128">
        <v>0.99</v>
      </c>
      <c r="AN1275" s="133">
        <v>1</v>
      </c>
      <c r="AO1275" s="133">
        <v>1</v>
      </c>
      <c r="AP1275" s="133">
        <v>1</v>
      </c>
      <c r="AQ1275" s="133">
        <v>1</v>
      </c>
      <c r="AR1275" s="153">
        <v>0.0721861525408278</v>
      </c>
      <c r="AS1275" s="137">
        <v>0.037037037037037</v>
      </c>
      <c r="AT1275" s="137">
        <v>0</v>
      </c>
      <c r="AU1275" s="137">
        <v>0.032258064516129</v>
      </c>
      <c r="AV1275" s="137">
        <v>0.0285714285714286</v>
      </c>
      <c r="AW1275" s="93"/>
      <c r="AX1275" s="91"/>
    </row>
    <row r="1276" ht="14.5" spans="1:50">
      <c r="A1276" s="89"/>
      <c r="B1276" s="93"/>
      <c r="C1276" s="148" t="s">
        <v>1080</v>
      </c>
      <c r="D1276" s="126" t="s">
        <v>1081</v>
      </c>
      <c r="E1276" s="186" t="s">
        <v>1301</v>
      </c>
      <c r="F1276" s="186" t="s">
        <v>1301</v>
      </c>
      <c r="G1276" s="186" t="s">
        <v>1301</v>
      </c>
      <c r="H1276" s="186" t="s">
        <v>1301</v>
      </c>
      <c r="I1276" s="128">
        <v>0.9</v>
      </c>
      <c r="J1276" s="129">
        <v>1</v>
      </c>
      <c r="K1276" s="129">
        <v>0.92</v>
      </c>
      <c r="L1276" s="130">
        <v>0.96551724137931</v>
      </c>
      <c r="M1276" s="129">
        <v>0.929775280898876</v>
      </c>
      <c r="N1276" s="131">
        <v>0.9</v>
      </c>
      <c r="O1276" s="129">
        <v>0.985899814471243</v>
      </c>
      <c r="P1276" s="129">
        <v>0.980298189563365</v>
      </c>
      <c r="Q1276" s="129">
        <v>0.918408360128617</v>
      </c>
      <c r="R1276" s="129">
        <v>0.962376237623762</v>
      </c>
      <c r="S1276" s="131">
        <v>0.9</v>
      </c>
      <c r="T1276" s="129">
        <v>0.743228200371058</v>
      </c>
      <c r="U1276" s="129">
        <v>0.722577209797657</v>
      </c>
      <c r="V1276" s="129">
        <v>0.663183279742765</v>
      </c>
      <c r="W1276" s="129">
        <v>0.752336286260205</v>
      </c>
      <c r="X1276" s="131">
        <v>0.92</v>
      </c>
      <c r="Y1276" s="131" t="s">
        <v>33</v>
      </c>
      <c r="Z1276" s="131" t="s">
        <v>33</v>
      </c>
      <c r="AA1276" s="131" t="s">
        <v>33</v>
      </c>
      <c r="AB1276" s="131" t="s">
        <v>33</v>
      </c>
      <c r="AC1276" s="131">
        <v>0.92</v>
      </c>
      <c r="AD1276" s="129">
        <v>0.9985559566787</v>
      </c>
      <c r="AE1276" s="129">
        <v>0.99864084267754</v>
      </c>
      <c r="AF1276" s="129">
        <v>0.992063492063492</v>
      </c>
      <c r="AG1276" s="129">
        <v>0.997828991315965</v>
      </c>
      <c r="AH1276" s="131">
        <v>0.92</v>
      </c>
      <c r="AI1276" s="129">
        <v>0.922820037105751</v>
      </c>
      <c r="AJ1276" s="129">
        <v>0.894568690095847</v>
      </c>
      <c r="AK1276" s="129">
        <v>0.921623794212219</v>
      </c>
      <c r="AL1276" s="129">
        <v>0.927427479590064</v>
      </c>
      <c r="AM1276" s="128">
        <v>0.99</v>
      </c>
      <c r="AN1276" s="133">
        <v>1</v>
      </c>
      <c r="AO1276" s="133">
        <v>1</v>
      </c>
      <c r="AP1276" s="133">
        <v>1</v>
      </c>
      <c r="AQ1276" s="133">
        <v>1</v>
      </c>
      <c r="AR1276" s="153">
        <v>0.0721861525408278</v>
      </c>
      <c r="AS1276" s="137">
        <v>0</v>
      </c>
      <c r="AT1276" s="137">
        <v>0</v>
      </c>
      <c r="AU1276" s="137">
        <v>-0.142857142857143</v>
      </c>
      <c r="AV1276" s="137">
        <v>0.0652173913043478</v>
      </c>
      <c r="AW1276" s="93"/>
      <c r="AX1276" s="91"/>
    </row>
    <row r="1277" ht="14.5" spans="1:50">
      <c r="A1277" s="89"/>
      <c r="B1277" s="93"/>
      <c r="C1277" s="148" t="s">
        <v>1080</v>
      </c>
      <c r="D1277" s="126" t="s">
        <v>1081</v>
      </c>
      <c r="E1277" s="186" t="s">
        <v>1302</v>
      </c>
      <c r="F1277" s="186" t="s">
        <v>1302</v>
      </c>
      <c r="G1277" s="186" t="s">
        <v>1302</v>
      </c>
      <c r="H1277" s="186" t="s">
        <v>1302</v>
      </c>
      <c r="I1277" s="128">
        <v>0.9</v>
      </c>
      <c r="J1277" s="129">
        <v>1</v>
      </c>
      <c r="K1277" s="129">
        <v>1</v>
      </c>
      <c r="L1277" s="130">
        <v>0.954545454545455</v>
      </c>
      <c r="M1277" s="129">
        <v>0.969230769230769</v>
      </c>
      <c r="N1277" s="131">
        <v>0.9</v>
      </c>
      <c r="O1277" s="129">
        <v>0.98041185334003</v>
      </c>
      <c r="P1277" s="129">
        <v>0.982541899441341</v>
      </c>
      <c r="Q1277" s="129">
        <v>0.939635535307517</v>
      </c>
      <c r="R1277" s="129">
        <v>0.96432731508445</v>
      </c>
      <c r="S1277" s="131">
        <v>0.9</v>
      </c>
      <c r="T1277" s="129">
        <v>0.919136112506278</v>
      </c>
      <c r="U1277" s="129">
        <v>0.931564245810056</v>
      </c>
      <c r="V1277" s="129">
        <v>0.903189066059226</v>
      </c>
      <c r="W1277" s="129">
        <v>0.909192389827218</v>
      </c>
      <c r="X1277" s="131">
        <v>0.92</v>
      </c>
      <c r="Y1277" s="131" t="s">
        <v>33</v>
      </c>
      <c r="Z1277" s="131" t="s">
        <v>33</v>
      </c>
      <c r="AA1277" s="131" t="s">
        <v>33</v>
      </c>
      <c r="AB1277" s="131" t="s">
        <v>33</v>
      </c>
      <c r="AC1277" s="131">
        <v>0.92</v>
      </c>
      <c r="AD1277" s="129">
        <v>1</v>
      </c>
      <c r="AE1277" s="129">
        <v>0.994722955145119</v>
      </c>
      <c r="AF1277" s="129">
        <v>0.990291262135922</v>
      </c>
      <c r="AG1277" s="129">
        <v>0.998576512455516</v>
      </c>
      <c r="AH1277" s="131">
        <v>0.92</v>
      </c>
      <c r="AI1277" s="129">
        <v>0.963837267704671</v>
      </c>
      <c r="AJ1277" s="129">
        <v>0.974860335195531</v>
      </c>
      <c r="AK1277" s="129">
        <v>0.979498861047836</v>
      </c>
      <c r="AL1277" s="129">
        <v>0.97029702970297</v>
      </c>
      <c r="AM1277" s="128">
        <v>0.99</v>
      </c>
      <c r="AN1277" s="133">
        <v>1</v>
      </c>
      <c r="AO1277" s="133">
        <v>1</v>
      </c>
      <c r="AP1277" s="133">
        <v>1</v>
      </c>
      <c r="AQ1277" s="133">
        <v>1</v>
      </c>
      <c r="AR1277" s="153">
        <v>0.0721861525408278</v>
      </c>
      <c r="AS1277" s="137">
        <v>0</v>
      </c>
      <c r="AT1277" s="137">
        <v>0</v>
      </c>
      <c r="AU1277" s="137">
        <v>0</v>
      </c>
      <c r="AV1277" s="137">
        <v>0.0185185185185185</v>
      </c>
      <c r="AW1277" s="93"/>
      <c r="AX1277" s="91"/>
    </row>
    <row r="1278" ht="14.5" spans="1:50">
      <c r="A1278" s="89"/>
      <c r="B1278" s="93"/>
      <c r="C1278" s="148" t="s">
        <v>1080</v>
      </c>
      <c r="D1278" s="126" t="s">
        <v>1081</v>
      </c>
      <c r="E1278" s="186" t="s">
        <v>1303</v>
      </c>
      <c r="F1278" s="186" t="s">
        <v>1303</v>
      </c>
      <c r="G1278" s="186" t="s">
        <v>1303</v>
      </c>
      <c r="H1278" s="186" t="s">
        <v>1303</v>
      </c>
      <c r="I1278" s="128">
        <v>0.9</v>
      </c>
      <c r="J1278" s="129">
        <v>0.892857142857143</v>
      </c>
      <c r="K1278" s="129">
        <v>0.833333333333333</v>
      </c>
      <c r="L1278" s="130">
        <v>0.851851851851852</v>
      </c>
      <c r="M1278" s="129">
        <v>0.899022801302932</v>
      </c>
      <c r="N1278" s="131">
        <v>0.9</v>
      </c>
      <c r="O1278" s="129">
        <v>0.846450989859971</v>
      </c>
      <c r="P1278" s="129">
        <v>0.850723533891851</v>
      </c>
      <c r="Q1278" s="129">
        <v>0.874866310160428</v>
      </c>
      <c r="R1278" s="129">
        <v>0.802127759291372</v>
      </c>
      <c r="S1278" s="131">
        <v>0.9</v>
      </c>
      <c r="T1278" s="129">
        <v>0.83631096088846</v>
      </c>
      <c r="U1278" s="129">
        <v>0.84996191926885</v>
      </c>
      <c r="V1278" s="129">
        <v>0.826737967914439</v>
      </c>
      <c r="W1278" s="129">
        <v>0.807892393494868</v>
      </c>
      <c r="X1278" s="131">
        <v>0.92</v>
      </c>
      <c r="Y1278" s="131" t="s">
        <v>33</v>
      </c>
      <c r="Z1278" s="131" t="s">
        <v>33</v>
      </c>
      <c r="AA1278" s="131" t="s">
        <v>33</v>
      </c>
      <c r="AB1278" s="131" t="s">
        <v>33</v>
      </c>
      <c r="AC1278" s="131">
        <v>0.92</v>
      </c>
      <c r="AD1278" s="129">
        <v>1</v>
      </c>
      <c r="AE1278" s="129">
        <v>0.996845425867508</v>
      </c>
      <c r="AF1278" s="129">
        <v>1</v>
      </c>
      <c r="AG1278" s="129">
        <v>0.919747716398434</v>
      </c>
      <c r="AH1278" s="131">
        <v>0.92</v>
      </c>
      <c r="AI1278" s="129">
        <v>0.950748430709802</v>
      </c>
      <c r="AJ1278" s="129">
        <v>0.955826351865956</v>
      </c>
      <c r="AK1278" s="129">
        <v>0.971657754010695</v>
      </c>
      <c r="AL1278" s="129">
        <v>0.954773398322163</v>
      </c>
      <c r="AM1278" s="128">
        <v>0.99</v>
      </c>
      <c r="AN1278" s="133">
        <v>1</v>
      </c>
      <c r="AO1278" s="133">
        <v>1</v>
      </c>
      <c r="AP1278" s="133">
        <v>1</v>
      </c>
      <c r="AQ1278" s="133">
        <v>1</v>
      </c>
      <c r="AR1278" s="153">
        <v>0.0721861525408278</v>
      </c>
      <c r="AS1278" s="137">
        <v>0</v>
      </c>
      <c r="AT1278" s="137">
        <v>0</v>
      </c>
      <c r="AU1278" s="137">
        <v>0.111111111111111</v>
      </c>
      <c r="AV1278" s="137">
        <v>0.0588235294117647</v>
      </c>
      <c r="AW1278" s="93"/>
      <c r="AX1278" s="91"/>
    </row>
    <row r="1279" ht="14.5" spans="1:50">
      <c r="A1279" s="89"/>
      <c r="B1279" s="93"/>
      <c r="C1279" s="148" t="s">
        <v>1080</v>
      </c>
      <c r="D1279" s="126" t="s">
        <v>1081</v>
      </c>
      <c r="E1279" s="186" t="s">
        <v>1304</v>
      </c>
      <c r="F1279" s="186" t="s">
        <v>1304</v>
      </c>
      <c r="G1279" s="186" t="s">
        <v>1304</v>
      </c>
      <c r="H1279" s="186" t="s">
        <v>1304</v>
      </c>
      <c r="I1279" s="128">
        <v>0.9</v>
      </c>
      <c r="J1279" s="129">
        <v>1</v>
      </c>
      <c r="K1279" s="129">
        <v>0.904761904761905</v>
      </c>
      <c r="L1279" s="130">
        <v>1</v>
      </c>
      <c r="M1279" s="129">
        <v>0.980066445182724</v>
      </c>
      <c r="N1279" s="131">
        <v>0.9</v>
      </c>
      <c r="O1279" s="129">
        <v>0.983442265795207</v>
      </c>
      <c r="P1279" s="129">
        <v>0.988063660477454</v>
      </c>
      <c r="Q1279" s="129">
        <v>0.984053497942387</v>
      </c>
      <c r="R1279" s="129">
        <v>0.9804188081383</v>
      </c>
      <c r="S1279" s="131">
        <v>0.9</v>
      </c>
      <c r="T1279" s="129">
        <v>0.934640522875817</v>
      </c>
      <c r="U1279" s="129">
        <v>0.945623342175066</v>
      </c>
      <c r="V1279" s="129">
        <v>0.938786008230453</v>
      </c>
      <c r="W1279" s="129">
        <v>0.953022129720087</v>
      </c>
      <c r="X1279" s="131">
        <v>0.92</v>
      </c>
      <c r="Y1279" s="131" t="s">
        <v>33</v>
      </c>
      <c r="Z1279" s="131" t="s">
        <v>33</v>
      </c>
      <c r="AA1279" s="131" t="s">
        <v>33</v>
      </c>
      <c r="AB1279" s="131" t="s">
        <v>33</v>
      </c>
      <c r="AC1279" s="131">
        <v>0.92</v>
      </c>
      <c r="AD1279" s="129">
        <v>1</v>
      </c>
      <c r="AE1279" s="129">
        <v>1</v>
      </c>
      <c r="AF1279" s="129">
        <v>0.967391304347826</v>
      </c>
      <c r="AG1279" s="129">
        <v>0.998276852383688</v>
      </c>
      <c r="AH1279" s="131">
        <v>0.92</v>
      </c>
      <c r="AI1279" s="129">
        <v>0.967755991285403</v>
      </c>
      <c r="AJ1279" s="129">
        <v>0.962864721485411</v>
      </c>
      <c r="AK1279" s="129">
        <v>0.97582304526749</v>
      </c>
      <c r="AL1279" s="129">
        <v>0.979654249670815</v>
      </c>
      <c r="AM1279" s="128">
        <v>0.99</v>
      </c>
      <c r="AN1279" s="133">
        <v>1</v>
      </c>
      <c r="AO1279" s="133">
        <v>1</v>
      </c>
      <c r="AP1279" s="133">
        <v>1</v>
      </c>
      <c r="AQ1279" s="133">
        <v>1</v>
      </c>
      <c r="AR1279" s="153">
        <v>0.0721861525408278</v>
      </c>
      <c r="AS1279" s="137">
        <v>0.125</v>
      </c>
      <c r="AT1279" s="137">
        <v>0</v>
      </c>
      <c r="AU1279" s="137">
        <v>-0.142857142857143</v>
      </c>
      <c r="AV1279" s="137">
        <v>0.037037037037037</v>
      </c>
      <c r="AW1279" s="93"/>
      <c r="AX1279" s="91"/>
    </row>
    <row r="1280" ht="14.5" spans="1:50">
      <c r="A1280" s="89"/>
      <c r="B1280" s="93"/>
      <c r="C1280" s="148" t="s">
        <v>1080</v>
      </c>
      <c r="D1280" s="126" t="s">
        <v>1081</v>
      </c>
      <c r="E1280" s="186" t="s">
        <v>1305</v>
      </c>
      <c r="F1280" s="186" t="s">
        <v>1305</v>
      </c>
      <c r="G1280" s="186" t="s">
        <v>1305</v>
      </c>
      <c r="H1280" s="186" t="s">
        <v>1305</v>
      </c>
      <c r="I1280" s="128">
        <v>0.9</v>
      </c>
      <c r="J1280" s="129">
        <v>0.961538461538462</v>
      </c>
      <c r="K1280" s="129">
        <v>0.903846153846154</v>
      </c>
      <c r="L1280" s="130">
        <v>0.94</v>
      </c>
      <c r="M1280" s="129">
        <v>0.92443729903537</v>
      </c>
      <c r="N1280" s="131">
        <v>0.9</v>
      </c>
      <c r="O1280" s="129">
        <v>0.982494529540481</v>
      </c>
      <c r="P1280" s="129">
        <v>0.991295938104449</v>
      </c>
      <c r="Q1280" s="129">
        <v>0.983763530391341</v>
      </c>
      <c r="R1280" s="129">
        <v>0.978221467006514</v>
      </c>
      <c r="S1280" s="131">
        <v>0.9</v>
      </c>
      <c r="T1280" s="129">
        <v>0.891684901531729</v>
      </c>
      <c r="U1280" s="129">
        <v>0.923114119922631</v>
      </c>
      <c r="V1280" s="129">
        <v>0.937135720233139</v>
      </c>
      <c r="W1280" s="129">
        <v>0.918663268195978</v>
      </c>
      <c r="X1280" s="131">
        <v>0.92</v>
      </c>
      <c r="Y1280" s="131">
        <v>0.94011357769747</v>
      </c>
      <c r="Z1280" s="131">
        <v>0.934986225895317</v>
      </c>
      <c r="AA1280" s="131">
        <v>0.95509138381201</v>
      </c>
      <c r="AB1280" s="131">
        <v>0.943109569812567</v>
      </c>
      <c r="AC1280" s="131">
        <v>0.92</v>
      </c>
      <c r="AD1280" s="129">
        <v>0.996533795493934</v>
      </c>
      <c r="AE1280" s="129">
        <v>0.999304105775922</v>
      </c>
      <c r="AF1280" s="129">
        <v>0.998484848484849</v>
      </c>
      <c r="AG1280" s="129">
        <v>0.99833958995091</v>
      </c>
      <c r="AH1280" s="131">
        <v>0.92</v>
      </c>
      <c r="AI1280" s="129">
        <v>0.960128732344001</v>
      </c>
      <c r="AJ1280" s="129">
        <v>0.951326294102498</v>
      </c>
      <c r="AK1280" s="129">
        <v>0.969893469198703</v>
      </c>
      <c r="AL1280" s="129">
        <v>0.96306560515973</v>
      </c>
      <c r="AM1280" s="128">
        <v>0.99</v>
      </c>
      <c r="AN1280" s="133">
        <v>1</v>
      </c>
      <c r="AO1280" s="133">
        <v>1</v>
      </c>
      <c r="AP1280" s="133">
        <v>1</v>
      </c>
      <c r="AQ1280" s="133">
        <v>1</v>
      </c>
      <c r="AR1280" s="153">
        <v>0.0721861525408278</v>
      </c>
      <c r="AS1280" s="137">
        <v>0.05</v>
      </c>
      <c r="AT1280" s="137">
        <v>0</v>
      </c>
      <c r="AU1280" s="137">
        <v>0</v>
      </c>
      <c r="AV1280" s="137">
        <v>0.0600858369098712</v>
      </c>
      <c r="AW1280" s="93"/>
      <c r="AX1280" s="91"/>
    </row>
    <row r="1281" ht="14.5" spans="1:50">
      <c r="A1281" s="89"/>
      <c r="B1281" s="93"/>
      <c r="C1281" s="148" t="s">
        <v>1080</v>
      </c>
      <c r="D1281" s="126" t="s">
        <v>1081</v>
      </c>
      <c r="E1281" s="186" t="s">
        <v>1306</v>
      </c>
      <c r="F1281" s="186" t="s">
        <v>1306</v>
      </c>
      <c r="G1281" s="186" t="s">
        <v>1306</v>
      </c>
      <c r="H1281" s="186" t="s">
        <v>1306</v>
      </c>
      <c r="I1281" s="128">
        <v>0.9</v>
      </c>
      <c r="J1281" s="129">
        <v>0.9625</v>
      </c>
      <c r="K1281" s="129">
        <v>0.943661971830986</v>
      </c>
      <c r="L1281" s="130">
        <v>0.934210526315789</v>
      </c>
      <c r="M1281" s="129">
        <v>0.955176093916756</v>
      </c>
      <c r="N1281" s="131">
        <v>0.9</v>
      </c>
      <c r="O1281" s="129">
        <v>0.981331454737584</v>
      </c>
      <c r="P1281" s="129">
        <v>0.986297103706011</v>
      </c>
      <c r="Q1281" s="129">
        <v>0.983162325703762</v>
      </c>
      <c r="R1281" s="129">
        <v>0.982781148758703</v>
      </c>
      <c r="S1281" s="131">
        <v>0.9</v>
      </c>
      <c r="T1281" s="129">
        <v>0.934483973230011</v>
      </c>
      <c r="U1281" s="129">
        <v>0.939582684521956</v>
      </c>
      <c r="V1281" s="129">
        <v>0.94869771112865</v>
      </c>
      <c r="W1281" s="129">
        <v>0.94632085772074</v>
      </c>
      <c r="X1281" s="131">
        <v>0.92</v>
      </c>
      <c r="Y1281" s="131">
        <v>0.960499662390277</v>
      </c>
      <c r="Z1281" s="131">
        <v>0.944197192742212</v>
      </c>
      <c r="AA1281" s="131">
        <v>0.967258794845002</v>
      </c>
      <c r="AB1281" s="131">
        <v>0.960735999142941</v>
      </c>
      <c r="AC1281" s="131">
        <v>0.92</v>
      </c>
      <c r="AD1281" s="129">
        <v>0.992894540014959</v>
      </c>
      <c r="AE1281" s="129">
        <v>0.981659388646288</v>
      </c>
      <c r="AF1281" s="129">
        <v>0.992135659867289</v>
      </c>
      <c r="AG1281" s="129">
        <v>0.988659613023908</v>
      </c>
      <c r="AH1281" s="131">
        <v>0.92</v>
      </c>
      <c r="AI1281" s="129">
        <v>0.970833333333333</v>
      </c>
      <c r="AJ1281" s="129">
        <v>0.959236915049731</v>
      </c>
      <c r="AK1281" s="129">
        <v>0.980065947242206</v>
      </c>
      <c r="AL1281" s="129">
        <v>0.974401338940863</v>
      </c>
      <c r="AM1281" s="128">
        <v>0.99</v>
      </c>
      <c r="AN1281" s="133">
        <v>1</v>
      </c>
      <c r="AO1281" s="133">
        <v>1</v>
      </c>
      <c r="AP1281" s="133">
        <v>1</v>
      </c>
      <c r="AQ1281" s="133">
        <v>1</v>
      </c>
      <c r="AR1281" s="153">
        <v>0.0721861525408278</v>
      </c>
      <c r="AS1281" s="137">
        <v>0.0888888888888889</v>
      </c>
      <c r="AT1281" s="137">
        <v>0.178571428571429</v>
      </c>
      <c r="AU1281" s="137">
        <v>0</v>
      </c>
      <c r="AV1281" s="137">
        <v>0.0501474926253687</v>
      </c>
      <c r="AW1281" s="93"/>
      <c r="AX1281" s="91"/>
    </row>
    <row r="1282" ht="14.5" spans="1:50">
      <c r="A1282" s="89"/>
      <c r="B1282" s="93"/>
      <c r="C1282" s="148" t="s">
        <v>1080</v>
      </c>
      <c r="D1282" s="126" t="s">
        <v>1081</v>
      </c>
      <c r="E1282" s="186" t="s">
        <v>1307</v>
      </c>
      <c r="F1282" s="186" t="s">
        <v>1307</v>
      </c>
      <c r="G1282" s="186" t="s">
        <v>1307</v>
      </c>
      <c r="H1282" s="186" t="s">
        <v>1307</v>
      </c>
      <c r="I1282" s="128">
        <v>0.9</v>
      </c>
      <c r="J1282" s="129">
        <v>1</v>
      </c>
      <c r="K1282" s="129">
        <v>0.96551724137931</v>
      </c>
      <c r="L1282" s="130">
        <v>1</v>
      </c>
      <c r="M1282" s="129">
        <v>0.898550724637681</v>
      </c>
      <c r="N1282" s="131">
        <v>0.9</v>
      </c>
      <c r="O1282" s="129">
        <v>0.968843843843844</v>
      </c>
      <c r="P1282" s="129">
        <v>0.949714285714286</v>
      </c>
      <c r="Q1282" s="129">
        <v>0.956227436823105</v>
      </c>
      <c r="R1282" s="129">
        <v>0.961346903421395</v>
      </c>
      <c r="S1282" s="131">
        <v>0.9</v>
      </c>
      <c r="T1282" s="129">
        <v>0.690315315315315</v>
      </c>
      <c r="U1282" s="129">
        <v>0.761142857142857</v>
      </c>
      <c r="V1282" s="129">
        <v>0.717509025270758</v>
      </c>
      <c r="W1282" s="129">
        <v>0.71206871661614</v>
      </c>
      <c r="X1282" s="131">
        <v>0.92</v>
      </c>
      <c r="Y1282" s="131" t="s">
        <v>33</v>
      </c>
      <c r="Z1282" s="131" t="s">
        <v>33</v>
      </c>
      <c r="AA1282" s="131" t="s">
        <v>33</v>
      </c>
      <c r="AB1282" s="131">
        <v>0</v>
      </c>
      <c r="AC1282" s="131">
        <v>0.92</v>
      </c>
      <c r="AD1282" s="129">
        <v>1</v>
      </c>
      <c r="AE1282" s="129">
        <v>1</v>
      </c>
      <c r="AF1282" s="129">
        <v>1</v>
      </c>
      <c r="AG1282" s="129">
        <v>0.999267220322423</v>
      </c>
      <c r="AH1282" s="131">
        <v>0.92</v>
      </c>
      <c r="AI1282" s="129">
        <v>0.939564564564565</v>
      </c>
      <c r="AJ1282" s="129">
        <v>0.902912621359223</v>
      </c>
      <c r="AK1282" s="129">
        <v>0.922833935018051</v>
      </c>
      <c r="AL1282" s="129">
        <v>0.920428710620331</v>
      </c>
      <c r="AM1282" s="128">
        <v>0.99</v>
      </c>
      <c r="AN1282" s="133">
        <v>1</v>
      </c>
      <c r="AO1282" s="133">
        <v>1</v>
      </c>
      <c r="AP1282" s="133">
        <v>1</v>
      </c>
      <c r="AQ1282" s="133">
        <v>1</v>
      </c>
      <c r="AR1282" s="153">
        <v>0.0721861525408278</v>
      </c>
      <c r="AS1282" s="137">
        <v>0</v>
      </c>
      <c r="AT1282" s="137">
        <v>0</v>
      </c>
      <c r="AU1282" s="137">
        <v>0</v>
      </c>
      <c r="AV1282" s="137">
        <v>0.075</v>
      </c>
      <c r="AW1282" s="93"/>
      <c r="AX1282" s="91"/>
    </row>
    <row r="1283" ht="14.5" spans="1:50">
      <c r="A1283" s="89"/>
      <c r="B1283" s="93"/>
      <c r="C1283" s="148" t="s">
        <v>1080</v>
      </c>
      <c r="D1283" s="126" t="s">
        <v>1081</v>
      </c>
      <c r="E1283" s="186" t="s">
        <v>1308</v>
      </c>
      <c r="F1283" s="186" t="s">
        <v>1308</v>
      </c>
      <c r="G1283" s="186" t="s">
        <v>1308</v>
      </c>
      <c r="H1283" s="186" t="s">
        <v>1308</v>
      </c>
      <c r="I1283" s="128">
        <v>0.9</v>
      </c>
      <c r="J1283" s="129">
        <v>0.909090909090909</v>
      </c>
      <c r="K1283" s="129">
        <v>0.86</v>
      </c>
      <c r="L1283" s="130">
        <v>0.857142857142857</v>
      </c>
      <c r="M1283" s="129">
        <v>0.894488188976378</v>
      </c>
      <c r="N1283" s="131">
        <v>0.9</v>
      </c>
      <c r="O1283" s="129">
        <v>0.967732884399551</v>
      </c>
      <c r="P1283" s="129">
        <v>0.948917748917749</v>
      </c>
      <c r="Q1283" s="129">
        <v>0.970040189989039</v>
      </c>
      <c r="R1283" s="129">
        <v>0.962464852246804</v>
      </c>
      <c r="S1283" s="131">
        <v>0.9</v>
      </c>
      <c r="T1283" s="129">
        <v>0.830527497194164</v>
      </c>
      <c r="U1283" s="129">
        <v>0.841558441558442</v>
      </c>
      <c r="V1283" s="129">
        <v>0.822798684691268</v>
      </c>
      <c r="W1283" s="129">
        <v>0.829327815799247</v>
      </c>
      <c r="X1283" s="131">
        <v>0.92</v>
      </c>
      <c r="Y1283" s="131">
        <v>0.908724832214765</v>
      </c>
      <c r="Z1283" s="131">
        <v>0.921294060840174</v>
      </c>
      <c r="AA1283" s="131">
        <v>0.938219895287958</v>
      </c>
      <c r="AB1283" s="131">
        <v>0.931146630706382</v>
      </c>
      <c r="AC1283" s="131">
        <v>0.92</v>
      </c>
      <c r="AD1283" s="129">
        <v>0.998434237995825</v>
      </c>
      <c r="AE1283" s="129">
        <v>0.997995991983968</v>
      </c>
      <c r="AF1283" s="129">
        <v>0.998907899526757</v>
      </c>
      <c r="AG1283" s="129">
        <v>0.996989378255869</v>
      </c>
      <c r="AH1283" s="131">
        <v>0.92</v>
      </c>
      <c r="AI1283" s="129">
        <v>0.939127435764787</v>
      </c>
      <c r="AJ1283" s="129">
        <v>0.942263806481059</v>
      </c>
      <c r="AK1283" s="129">
        <v>0.95223752151463</v>
      </c>
      <c r="AL1283" s="129">
        <v>0.952860026383128</v>
      </c>
      <c r="AM1283" s="128">
        <v>0.99</v>
      </c>
      <c r="AN1283" s="133">
        <v>1</v>
      </c>
      <c r="AO1283" s="133">
        <v>1</v>
      </c>
      <c r="AP1283" s="133">
        <v>1</v>
      </c>
      <c r="AQ1283" s="133">
        <v>1</v>
      </c>
      <c r="AR1283" s="153">
        <v>0.0721861525408278</v>
      </c>
      <c r="AS1283" s="137">
        <v>0.0571428571428571</v>
      </c>
      <c r="AT1283" s="137">
        <v>0.0666666666666667</v>
      </c>
      <c r="AU1283" s="137">
        <v>0.0606060606060606</v>
      </c>
      <c r="AV1283" s="137">
        <v>0.0438413361169102</v>
      </c>
      <c r="AW1283" s="93"/>
      <c r="AX1283" s="91"/>
    </row>
    <row r="1284" ht="14.5" spans="1:50">
      <c r="A1284" s="89"/>
      <c r="B1284" s="93"/>
      <c r="C1284" s="148" t="s">
        <v>1080</v>
      </c>
      <c r="D1284" s="126" t="s">
        <v>1081</v>
      </c>
      <c r="E1284" s="186" t="s">
        <v>1309</v>
      </c>
      <c r="F1284" s="186" t="s">
        <v>1309</v>
      </c>
      <c r="G1284" s="186" t="s">
        <v>1309</v>
      </c>
      <c r="H1284" s="186" t="s">
        <v>1309</v>
      </c>
      <c r="I1284" s="128">
        <v>0.9</v>
      </c>
      <c r="J1284" s="129">
        <v>0.941176470588235</v>
      </c>
      <c r="K1284" s="129">
        <v>0.96969696969697</v>
      </c>
      <c r="L1284" s="130">
        <v>1</v>
      </c>
      <c r="M1284" s="129">
        <v>0.980049875311721</v>
      </c>
      <c r="N1284" s="131">
        <v>0.9</v>
      </c>
      <c r="O1284" s="129">
        <v>0.999440089585666</v>
      </c>
      <c r="P1284" s="129">
        <v>0.996584116140051</v>
      </c>
      <c r="Q1284" s="129">
        <v>0.994648318042814</v>
      </c>
      <c r="R1284" s="129">
        <v>0.996286745745229</v>
      </c>
      <c r="S1284" s="131">
        <v>0.9</v>
      </c>
      <c r="T1284" s="129">
        <v>0.970324748040314</v>
      </c>
      <c r="U1284" s="129">
        <v>0.969257045260461</v>
      </c>
      <c r="V1284" s="129">
        <v>0.9717125382263</v>
      </c>
      <c r="W1284" s="129">
        <v>0.974626095925735</v>
      </c>
      <c r="X1284" s="131">
        <v>0.92</v>
      </c>
      <c r="Y1284" s="131">
        <v>0.971977582065653</v>
      </c>
      <c r="Z1284" s="131">
        <v>0.986559139784946</v>
      </c>
      <c r="AA1284" s="131">
        <v>0.991253644314869</v>
      </c>
      <c r="AB1284" s="131">
        <v>0.987206061039239</v>
      </c>
      <c r="AC1284" s="131">
        <v>0.92</v>
      </c>
      <c r="AD1284" s="129">
        <v>0.997326203208556</v>
      </c>
      <c r="AE1284" s="129">
        <v>1</v>
      </c>
      <c r="AF1284" s="129">
        <v>0.997685185185185</v>
      </c>
      <c r="AG1284" s="129">
        <v>0.99839715048976</v>
      </c>
      <c r="AH1284" s="131">
        <v>0.92</v>
      </c>
      <c r="AI1284" s="129">
        <v>0.983196046128501</v>
      </c>
      <c r="AJ1284" s="129">
        <v>0.985133362483603</v>
      </c>
      <c r="AK1284" s="129">
        <v>0.991442019683355</v>
      </c>
      <c r="AL1284" s="129">
        <v>0.990773747116796</v>
      </c>
      <c r="AM1284" s="128">
        <v>0.99</v>
      </c>
      <c r="AN1284" s="133">
        <v>1</v>
      </c>
      <c r="AO1284" s="133">
        <v>1</v>
      </c>
      <c r="AP1284" s="133">
        <v>1</v>
      </c>
      <c r="AQ1284" s="133">
        <v>1</v>
      </c>
      <c r="AR1284" s="153">
        <v>0.0721861525408278</v>
      </c>
      <c r="AS1284" s="137">
        <v>0.222222222222222</v>
      </c>
      <c r="AT1284" s="137">
        <v>0</v>
      </c>
      <c r="AU1284" s="137">
        <v>0</v>
      </c>
      <c r="AV1284" s="137">
        <v>0.037037037037037</v>
      </c>
      <c r="AW1284" s="93"/>
      <c r="AX1284" s="91"/>
    </row>
    <row r="1285" ht="14.5" spans="1:50">
      <c r="A1285" s="89"/>
      <c r="B1285" s="93"/>
      <c r="C1285" s="148" t="s">
        <v>1080</v>
      </c>
      <c r="D1285" s="126" t="s">
        <v>1081</v>
      </c>
      <c r="E1285" s="186" t="s">
        <v>1310</v>
      </c>
      <c r="F1285" s="186" t="s">
        <v>1310</v>
      </c>
      <c r="G1285" s="186" t="s">
        <v>1310</v>
      </c>
      <c r="H1285" s="186" t="s">
        <v>1310</v>
      </c>
      <c r="I1285" s="128">
        <v>0.9</v>
      </c>
      <c r="J1285" s="129">
        <v>0.78125</v>
      </c>
      <c r="K1285" s="129">
        <v>0.915254237288136</v>
      </c>
      <c r="L1285" s="130">
        <v>0.859375</v>
      </c>
      <c r="M1285" s="129">
        <v>0.893098782138024</v>
      </c>
      <c r="N1285" s="131">
        <v>0.9</v>
      </c>
      <c r="O1285" s="129">
        <v>0.81971219114852</v>
      </c>
      <c r="P1285" s="129">
        <v>0.985585585585586</v>
      </c>
      <c r="Q1285" s="129">
        <v>0.983767459418649</v>
      </c>
      <c r="R1285" s="129">
        <v>0.956475526000218</v>
      </c>
      <c r="S1285" s="131">
        <v>0.9</v>
      </c>
      <c r="T1285" s="129">
        <v>0.93157751832745</v>
      </c>
      <c r="U1285" s="129">
        <v>0.942342342342342</v>
      </c>
      <c r="V1285" s="129">
        <v>0.95847489618724</v>
      </c>
      <c r="W1285" s="129">
        <v>0.940068679821214</v>
      </c>
      <c r="X1285" s="131">
        <v>0.92</v>
      </c>
      <c r="Y1285" s="131">
        <v>0.961649089165868</v>
      </c>
      <c r="Z1285" s="131">
        <v>0.956323006602336</v>
      </c>
      <c r="AA1285" s="131">
        <v>0.960774325012736</v>
      </c>
      <c r="AB1285" s="131">
        <v>0.963559355895633</v>
      </c>
      <c r="AC1285" s="131">
        <v>0.92</v>
      </c>
      <c r="AD1285" s="129">
        <v>0.996458087367178</v>
      </c>
      <c r="AE1285" s="129">
        <v>0.997820401046208</v>
      </c>
      <c r="AF1285" s="129">
        <v>0.999147485080989</v>
      </c>
      <c r="AG1285" s="129">
        <v>0.996744123812497</v>
      </c>
      <c r="AH1285" s="131">
        <v>0.92</v>
      </c>
      <c r="AI1285" s="129">
        <v>0.97365227942451</v>
      </c>
      <c r="AJ1285" s="129">
        <v>0.96944378133206</v>
      </c>
      <c r="AK1285" s="129">
        <v>0.975281873373807</v>
      </c>
      <c r="AL1285" s="129">
        <v>0.977107028288131</v>
      </c>
      <c r="AM1285" s="128">
        <v>0.99</v>
      </c>
      <c r="AN1285" s="133">
        <v>1</v>
      </c>
      <c r="AO1285" s="133">
        <v>1</v>
      </c>
      <c r="AP1285" s="133">
        <v>1</v>
      </c>
      <c r="AQ1285" s="133">
        <v>1</v>
      </c>
      <c r="AR1285" s="153">
        <v>0.0721861525408278</v>
      </c>
      <c r="AS1285" s="137">
        <v>0</v>
      </c>
      <c r="AT1285" s="137">
        <v>0.0666666666666667</v>
      </c>
      <c r="AU1285" s="137">
        <v>0.125</v>
      </c>
      <c r="AV1285" s="137">
        <v>0.053475935828877</v>
      </c>
      <c r="AW1285" s="93"/>
      <c r="AX1285" s="91"/>
    </row>
    <row r="1286" ht="14.5" spans="1:50">
      <c r="A1286" s="89"/>
      <c r="B1286" s="93"/>
      <c r="C1286" s="148" t="s">
        <v>1080</v>
      </c>
      <c r="D1286" s="126" t="s">
        <v>1081</v>
      </c>
      <c r="E1286" s="186" t="s">
        <v>1311</v>
      </c>
      <c r="F1286" s="186" t="s">
        <v>1311</v>
      </c>
      <c r="G1286" s="186" t="s">
        <v>1311</v>
      </c>
      <c r="H1286" s="186" t="s">
        <v>1311</v>
      </c>
      <c r="I1286" s="128">
        <v>0.9</v>
      </c>
      <c r="J1286" s="129">
        <v>0.970588235294118</v>
      </c>
      <c r="K1286" s="129">
        <v>0.933333333333333</v>
      </c>
      <c r="L1286" s="130">
        <v>0.939393939393939</v>
      </c>
      <c r="M1286" s="129">
        <v>0.946153846153846</v>
      </c>
      <c r="N1286" s="131">
        <v>0.9</v>
      </c>
      <c r="O1286" s="129">
        <v>0.988752556237219</v>
      </c>
      <c r="P1286" s="129">
        <v>0.99469964664311</v>
      </c>
      <c r="Q1286" s="129">
        <v>0.989082969432314</v>
      </c>
      <c r="R1286" s="129">
        <v>0.981715528851134</v>
      </c>
      <c r="S1286" s="131">
        <v>0.9</v>
      </c>
      <c r="T1286" s="129">
        <v>0.945296523517382</v>
      </c>
      <c r="U1286" s="129">
        <v>0.952296819787986</v>
      </c>
      <c r="V1286" s="129">
        <v>0.953420669577875</v>
      </c>
      <c r="W1286" s="129">
        <v>0.949031389205428</v>
      </c>
      <c r="X1286" s="131">
        <v>0.92</v>
      </c>
      <c r="Y1286" s="131">
        <v>0.968379446640316</v>
      </c>
      <c r="Z1286" s="131">
        <v>0.975214489990467</v>
      </c>
      <c r="AA1286" s="131">
        <v>0.974279835390947</v>
      </c>
      <c r="AB1286" s="131">
        <v>0.976683087027915</v>
      </c>
      <c r="AC1286" s="131">
        <v>0.92</v>
      </c>
      <c r="AD1286" s="129">
        <v>0.999438517686693</v>
      </c>
      <c r="AE1286" s="129">
        <v>0.997105643994211</v>
      </c>
      <c r="AF1286" s="129">
        <v>1</v>
      </c>
      <c r="AG1286" s="129">
        <v>0.999159624632336</v>
      </c>
      <c r="AH1286" s="131">
        <v>0.92</v>
      </c>
      <c r="AI1286" s="129">
        <v>0.977425876010782</v>
      </c>
      <c r="AJ1286" s="129">
        <v>0.977533241632279</v>
      </c>
      <c r="AK1286" s="129">
        <v>0.981244671781756</v>
      </c>
      <c r="AL1286" s="129">
        <v>0.983550333439187</v>
      </c>
      <c r="AM1286" s="128">
        <v>0.99</v>
      </c>
      <c r="AN1286" s="133">
        <v>1</v>
      </c>
      <c r="AO1286" s="133">
        <v>1</v>
      </c>
      <c r="AP1286" s="133">
        <v>1</v>
      </c>
      <c r="AQ1286" s="133">
        <v>1</v>
      </c>
      <c r="AR1286" s="153">
        <v>0.0721861525408278</v>
      </c>
      <c r="AS1286" s="137">
        <v>0.285714285714286</v>
      </c>
      <c r="AT1286" s="137">
        <v>0.111111111111111</v>
      </c>
      <c r="AU1286" s="137">
        <v>0</v>
      </c>
      <c r="AV1286" s="137">
        <v>0.0394736842105263</v>
      </c>
      <c r="AW1286" s="93"/>
      <c r="AX1286" s="91"/>
    </row>
    <row r="1287" ht="14.5" spans="1:50">
      <c r="A1287" s="89"/>
      <c r="B1287" s="93"/>
      <c r="C1287" s="148" t="s">
        <v>1080</v>
      </c>
      <c r="D1287" s="126" t="s">
        <v>1081</v>
      </c>
      <c r="E1287" s="186" t="s">
        <v>1312</v>
      </c>
      <c r="F1287" s="186" t="s">
        <v>1312</v>
      </c>
      <c r="G1287" s="186" t="s">
        <v>1312</v>
      </c>
      <c r="H1287" s="186" t="s">
        <v>1312</v>
      </c>
      <c r="I1287" s="128">
        <v>0.9</v>
      </c>
      <c r="J1287" s="129">
        <v>1</v>
      </c>
      <c r="K1287" s="129">
        <v>0.821428571428571</v>
      </c>
      <c r="L1287" s="130">
        <v>0.967741935483871</v>
      </c>
      <c r="M1287" s="129">
        <v>0.929919137466307</v>
      </c>
      <c r="N1287" s="131">
        <v>0.9</v>
      </c>
      <c r="O1287" s="129">
        <v>0.98718791064389</v>
      </c>
      <c r="P1287" s="129">
        <v>0.989889263360616</v>
      </c>
      <c r="Q1287" s="129">
        <v>0.992145662263477</v>
      </c>
      <c r="R1287" s="129">
        <v>0.992321589882565</v>
      </c>
      <c r="S1287" s="131">
        <v>0.9</v>
      </c>
      <c r="T1287" s="129">
        <v>0.946123521681997</v>
      </c>
      <c r="U1287" s="129">
        <v>0.956668271545498</v>
      </c>
      <c r="V1287" s="129">
        <v>0.965726526240628</v>
      </c>
      <c r="W1287" s="129">
        <v>0.958928033724782</v>
      </c>
      <c r="X1287" s="131">
        <v>0.92</v>
      </c>
      <c r="Y1287" s="131">
        <v>0</v>
      </c>
      <c r="Z1287" s="131" t="s">
        <v>33</v>
      </c>
      <c r="AA1287" s="131" t="s">
        <v>33</v>
      </c>
      <c r="AB1287" s="131">
        <v>0</v>
      </c>
      <c r="AC1287" s="131">
        <v>0.92</v>
      </c>
      <c r="AD1287" s="129">
        <v>1</v>
      </c>
      <c r="AE1287" s="129">
        <v>1</v>
      </c>
      <c r="AF1287" s="129">
        <v>0.993406593406593</v>
      </c>
      <c r="AG1287" s="129">
        <v>0.997780424426159</v>
      </c>
      <c r="AH1287" s="131">
        <v>0.92</v>
      </c>
      <c r="AI1287" s="129">
        <v>0.971100164203612</v>
      </c>
      <c r="AJ1287" s="129">
        <v>0.962927298988926</v>
      </c>
      <c r="AK1287" s="129">
        <v>0.984291324526955</v>
      </c>
      <c r="AL1287" s="129">
        <v>0.980428171388998</v>
      </c>
      <c r="AM1287" s="128">
        <v>0.99</v>
      </c>
      <c r="AN1287" s="133">
        <v>1</v>
      </c>
      <c r="AO1287" s="133">
        <v>1</v>
      </c>
      <c r="AP1287" s="133">
        <v>1</v>
      </c>
      <c r="AQ1287" s="133">
        <v>1</v>
      </c>
      <c r="AR1287" s="153">
        <v>0.0721861525408278</v>
      </c>
      <c r="AS1287" s="137">
        <v>0</v>
      </c>
      <c r="AT1287" s="137">
        <v>0</v>
      </c>
      <c r="AU1287" s="137">
        <v>0.2</v>
      </c>
      <c r="AV1287" s="137">
        <v>0.0465116279069767</v>
      </c>
      <c r="AW1287" s="93"/>
      <c r="AX1287" s="91"/>
    </row>
    <row r="1288" ht="14.5" spans="1:50">
      <c r="A1288" s="89"/>
      <c r="B1288" s="93"/>
      <c r="C1288" s="148" t="s">
        <v>1080</v>
      </c>
      <c r="D1288" s="126" t="s">
        <v>1081</v>
      </c>
      <c r="E1288" s="186" t="s">
        <v>1313</v>
      </c>
      <c r="F1288" s="186" t="s">
        <v>1313</v>
      </c>
      <c r="G1288" s="186" t="s">
        <v>1313</v>
      </c>
      <c r="H1288" s="186" t="s">
        <v>1313</v>
      </c>
      <c r="I1288" s="128">
        <v>0.9</v>
      </c>
      <c r="J1288" s="129">
        <v>0.951219512195122</v>
      </c>
      <c r="K1288" s="129">
        <v>0.972222222222222</v>
      </c>
      <c r="L1288" s="130">
        <v>0.973684210526316</v>
      </c>
      <c r="M1288" s="129">
        <v>0.963675213675214</v>
      </c>
      <c r="N1288" s="131">
        <v>0.9</v>
      </c>
      <c r="O1288" s="129">
        <v>0.988619676945668</v>
      </c>
      <c r="P1288" s="129">
        <v>0.981897627965044</v>
      </c>
      <c r="Q1288" s="129">
        <v>0.986356745831228</v>
      </c>
      <c r="R1288" s="129">
        <v>0.962669683257919</v>
      </c>
      <c r="S1288" s="131">
        <v>0.9</v>
      </c>
      <c r="T1288" s="129">
        <v>0.940895741556535</v>
      </c>
      <c r="U1288" s="129">
        <v>0.956928838951311</v>
      </c>
      <c r="V1288" s="129">
        <v>0.965133906013138</v>
      </c>
      <c r="W1288" s="129">
        <v>0.945081010071522</v>
      </c>
      <c r="X1288" s="131">
        <v>0.92</v>
      </c>
      <c r="Y1288" s="131">
        <v>0.95771144278607</v>
      </c>
      <c r="Z1288" s="131">
        <v>0.956867949568679</v>
      </c>
      <c r="AA1288" s="131">
        <v>0.961212976022567</v>
      </c>
      <c r="AB1288" s="131">
        <v>0.956076212840903</v>
      </c>
      <c r="AC1288" s="131">
        <v>0.92</v>
      </c>
      <c r="AD1288" s="129">
        <v>0.996952546800174</v>
      </c>
      <c r="AE1288" s="129">
        <v>0.995692749461594</v>
      </c>
      <c r="AF1288" s="129">
        <v>0.999142367066895</v>
      </c>
      <c r="AG1288" s="129">
        <v>0.998345398138573</v>
      </c>
      <c r="AH1288" s="131">
        <v>0.92</v>
      </c>
      <c r="AI1288" s="129">
        <v>0.968605724838412</v>
      </c>
      <c r="AJ1288" s="129">
        <v>0.968800257317465</v>
      </c>
      <c r="AK1288" s="129">
        <v>0.976449808654695</v>
      </c>
      <c r="AL1288" s="129">
        <v>0.972803120598115</v>
      </c>
      <c r="AM1288" s="128">
        <v>0.99</v>
      </c>
      <c r="AN1288" s="133">
        <v>1</v>
      </c>
      <c r="AO1288" s="133">
        <v>1</v>
      </c>
      <c r="AP1288" s="133">
        <v>1</v>
      </c>
      <c r="AQ1288" s="133">
        <v>1</v>
      </c>
      <c r="AR1288" s="153">
        <v>0.0721861525408278</v>
      </c>
      <c r="AS1288" s="137">
        <v>0</v>
      </c>
      <c r="AT1288" s="137">
        <v>0</v>
      </c>
      <c r="AU1288" s="137">
        <v>0.333333333333333</v>
      </c>
      <c r="AV1288" s="137">
        <v>0.051948051948052</v>
      </c>
      <c r="AW1288" s="93"/>
      <c r="AX1288" s="91"/>
    </row>
    <row r="1289" ht="14.5" spans="1:50">
      <c r="A1289" s="89"/>
      <c r="B1289" s="93"/>
      <c r="C1289" s="148" t="s">
        <v>1080</v>
      </c>
      <c r="D1289" s="126" t="s">
        <v>1081</v>
      </c>
      <c r="E1289" s="186" t="s">
        <v>1314</v>
      </c>
      <c r="F1289" s="186" t="s">
        <v>1314</v>
      </c>
      <c r="G1289" s="186" t="s">
        <v>1314</v>
      </c>
      <c r="H1289" s="186" t="s">
        <v>1314</v>
      </c>
      <c r="I1289" s="128">
        <v>0.9</v>
      </c>
      <c r="J1289" s="129">
        <v>0.923076923076923</v>
      </c>
      <c r="K1289" s="129">
        <v>0.875</v>
      </c>
      <c r="L1289" s="130">
        <v>0.904761904761905</v>
      </c>
      <c r="M1289" s="129">
        <v>0.914285714285714</v>
      </c>
      <c r="N1289" s="131">
        <v>0.9</v>
      </c>
      <c r="O1289" s="129">
        <v>0.975650249031544</v>
      </c>
      <c r="P1289" s="129">
        <v>0.962460896767466</v>
      </c>
      <c r="Q1289" s="129">
        <v>0.972854640980736</v>
      </c>
      <c r="R1289" s="129">
        <v>0.95740762058248</v>
      </c>
      <c r="S1289" s="131">
        <v>0.9</v>
      </c>
      <c r="T1289" s="129">
        <v>0.900940785832872</v>
      </c>
      <c r="U1289" s="129">
        <v>0.903023983315954</v>
      </c>
      <c r="V1289" s="129">
        <v>0.910683012259194</v>
      </c>
      <c r="W1289" s="129">
        <v>0.900483481063658</v>
      </c>
      <c r="X1289" s="131">
        <v>0.92</v>
      </c>
      <c r="Y1289" s="131">
        <v>0.957773512476008</v>
      </c>
      <c r="Z1289" s="131">
        <v>0.897148676171079</v>
      </c>
      <c r="AA1289" s="131">
        <v>0.954303931987248</v>
      </c>
      <c r="AB1289" s="131">
        <v>0.953031809145129</v>
      </c>
      <c r="AC1289" s="131">
        <v>0.92</v>
      </c>
      <c r="AD1289" s="129">
        <v>0.997826086956522</v>
      </c>
      <c r="AE1289" s="129">
        <v>0.999140154772141</v>
      </c>
      <c r="AF1289" s="129">
        <v>0.998477929984779</v>
      </c>
      <c r="AG1289" s="129">
        <v>0.996700706991359</v>
      </c>
      <c r="AH1289" s="131">
        <v>0.92</v>
      </c>
      <c r="AI1289" s="129">
        <v>0.963846963846964</v>
      </c>
      <c r="AJ1289" s="129">
        <v>0.932509015971149</v>
      </c>
      <c r="AK1289" s="129">
        <v>0.967354776764282</v>
      </c>
      <c r="AL1289" s="129">
        <v>0.968416762887998</v>
      </c>
      <c r="AM1289" s="128">
        <v>0.99</v>
      </c>
      <c r="AN1289" s="133">
        <v>1</v>
      </c>
      <c r="AO1289" s="133">
        <v>1</v>
      </c>
      <c r="AP1289" s="133">
        <v>1</v>
      </c>
      <c r="AQ1289" s="133">
        <v>1</v>
      </c>
      <c r="AR1289" s="153">
        <v>0.0721861525408278</v>
      </c>
      <c r="AS1289" s="137">
        <v>0</v>
      </c>
      <c r="AT1289" s="137">
        <v>0</v>
      </c>
      <c r="AU1289" s="137">
        <v>0.25</v>
      </c>
      <c r="AV1289" s="137">
        <v>0.06</v>
      </c>
      <c r="AW1289" s="93"/>
      <c r="AX1289" s="91"/>
    </row>
    <row r="1290" ht="14.5" spans="1:50">
      <c r="A1290" s="89"/>
      <c r="B1290" s="93"/>
      <c r="C1290" s="148" t="s">
        <v>1080</v>
      </c>
      <c r="D1290" s="126" t="s">
        <v>1081</v>
      </c>
      <c r="E1290" s="186" t="s">
        <v>1315</v>
      </c>
      <c r="F1290" s="186" t="s">
        <v>1315</v>
      </c>
      <c r="G1290" s="186" t="s">
        <v>1315</v>
      </c>
      <c r="H1290" s="186" t="s">
        <v>1315</v>
      </c>
      <c r="I1290" s="128">
        <v>0.9</v>
      </c>
      <c r="J1290" s="129">
        <v>1</v>
      </c>
      <c r="K1290" s="129">
        <v>0.725</v>
      </c>
      <c r="L1290" s="130">
        <v>0.8125</v>
      </c>
      <c r="M1290" s="129">
        <v>0.82</v>
      </c>
      <c r="N1290" s="131">
        <v>0.9</v>
      </c>
      <c r="O1290" s="129">
        <v>0.988731014208721</v>
      </c>
      <c r="P1290" s="129">
        <v>0.993131868131868</v>
      </c>
      <c r="Q1290" s="129">
        <v>0.990820734341253</v>
      </c>
      <c r="R1290" s="129">
        <v>0.983051232018877</v>
      </c>
      <c r="S1290" s="131">
        <v>0.9</v>
      </c>
      <c r="T1290" s="129">
        <v>0.876531112199902</v>
      </c>
      <c r="U1290" s="129">
        <v>0.900755494505495</v>
      </c>
      <c r="V1290" s="129">
        <v>0.868520518358531</v>
      </c>
      <c r="W1290" s="129">
        <v>0.878250215546581</v>
      </c>
      <c r="X1290" s="131">
        <v>0.92</v>
      </c>
      <c r="Y1290" s="131" t="s">
        <v>33</v>
      </c>
      <c r="Z1290" s="131" t="s">
        <v>33</v>
      </c>
      <c r="AA1290" s="131" t="s">
        <v>33</v>
      </c>
      <c r="AB1290" s="131" t="s">
        <v>33</v>
      </c>
      <c r="AC1290" s="131">
        <v>0.92</v>
      </c>
      <c r="AD1290" s="129">
        <v>0.996987951807229</v>
      </c>
      <c r="AE1290" s="129">
        <v>0.991596638655462</v>
      </c>
      <c r="AF1290" s="129">
        <v>1</v>
      </c>
      <c r="AG1290" s="129">
        <v>0.997692054071876</v>
      </c>
      <c r="AH1290" s="131">
        <v>0.92</v>
      </c>
      <c r="AI1290" s="129">
        <v>0.963253307202352</v>
      </c>
      <c r="AJ1290" s="129">
        <v>0.964285714285714</v>
      </c>
      <c r="AK1290" s="129">
        <v>0.968682505399568</v>
      </c>
      <c r="AL1290" s="129">
        <v>0.971411716658347</v>
      </c>
      <c r="AM1290" s="128">
        <v>0.99</v>
      </c>
      <c r="AN1290" s="133">
        <v>1</v>
      </c>
      <c r="AO1290" s="133">
        <v>1</v>
      </c>
      <c r="AP1290" s="133">
        <v>1</v>
      </c>
      <c r="AQ1290" s="133">
        <v>1</v>
      </c>
      <c r="AR1290" s="153">
        <v>0.0721861525408278</v>
      </c>
      <c r="AS1290" s="137">
        <v>0</v>
      </c>
      <c r="AT1290" s="137">
        <v>0.2</v>
      </c>
      <c r="AU1290" s="137">
        <v>0</v>
      </c>
      <c r="AV1290" s="137">
        <v>0.0263157894736842</v>
      </c>
      <c r="AW1290" s="93"/>
      <c r="AX1290" s="91"/>
    </row>
    <row r="1291" ht="14.5" spans="1:50">
      <c r="A1291" s="89"/>
      <c r="B1291" s="93"/>
      <c r="C1291" s="148" t="s">
        <v>1080</v>
      </c>
      <c r="D1291" s="126" t="s">
        <v>1081</v>
      </c>
      <c r="E1291" s="186" t="s">
        <v>1316</v>
      </c>
      <c r="F1291" s="186" t="s">
        <v>1316</v>
      </c>
      <c r="G1291" s="186" t="s">
        <v>1316</v>
      </c>
      <c r="H1291" s="186" t="s">
        <v>1316</v>
      </c>
      <c r="I1291" s="128">
        <v>0.9</v>
      </c>
      <c r="J1291" s="129">
        <v>0.894736842105263</v>
      </c>
      <c r="K1291" s="129">
        <v>1</v>
      </c>
      <c r="L1291" s="130">
        <v>0.833333333333333</v>
      </c>
      <c r="M1291" s="129">
        <v>0.867924528301887</v>
      </c>
      <c r="N1291" s="131">
        <v>0.9</v>
      </c>
      <c r="O1291" s="129">
        <v>0.987035436473639</v>
      </c>
      <c r="P1291" s="129">
        <v>0.985074626865672</v>
      </c>
      <c r="Q1291" s="129">
        <v>0.980070339976553</v>
      </c>
      <c r="R1291" s="129">
        <v>0.965360072926162</v>
      </c>
      <c r="S1291" s="131">
        <v>0.9</v>
      </c>
      <c r="T1291" s="129">
        <v>0.929991356957649</v>
      </c>
      <c r="U1291" s="129">
        <v>0.940298507462687</v>
      </c>
      <c r="V1291" s="129">
        <v>0.954279015240328</v>
      </c>
      <c r="W1291" s="129">
        <v>0.933952100770697</v>
      </c>
      <c r="X1291" s="131">
        <v>0.92</v>
      </c>
      <c r="Y1291" s="131">
        <v>0.95007342143906</v>
      </c>
      <c r="Z1291" s="131">
        <v>0.96390977443609</v>
      </c>
      <c r="AA1291" s="131">
        <v>0.962903225806452</v>
      </c>
      <c r="AB1291" s="131">
        <v>0.964464464464464</v>
      </c>
      <c r="AC1291" s="131">
        <v>0.92</v>
      </c>
      <c r="AD1291" s="129">
        <v>1</v>
      </c>
      <c r="AE1291" s="129">
        <v>1</v>
      </c>
      <c r="AF1291" s="129">
        <v>1</v>
      </c>
      <c r="AG1291" s="129">
        <v>0.993358633776091</v>
      </c>
      <c r="AH1291" s="131">
        <v>0.92</v>
      </c>
      <c r="AI1291" s="129">
        <v>0.968443960826986</v>
      </c>
      <c r="AJ1291" s="129">
        <v>0.973782771535581</v>
      </c>
      <c r="AK1291" s="129">
        <v>0.978954514596062</v>
      </c>
      <c r="AL1291" s="129">
        <v>0.976768532828157</v>
      </c>
      <c r="AM1291" s="128">
        <v>0.99</v>
      </c>
      <c r="AN1291" s="133">
        <v>1</v>
      </c>
      <c r="AO1291" s="133">
        <v>1</v>
      </c>
      <c r="AP1291" s="133">
        <v>1</v>
      </c>
      <c r="AQ1291" s="133">
        <v>1</v>
      </c>
      <c r="AR1291" s="153">
        <v>0.0721861525408278</v>
      </c>
      <c r="AS1291" s="137">
        <v>0</v>
      </c>
      <c r="AT1291" s="137">
        <v>0</v>
      </c>
      <c r="AU1291" s="137">
        <v>0</v>
      </c>
      <c r="AV1291" s="137">
        <v>0.0428571428571429</v>
      </c>
      <c r="AW1291" s="93"/>
      <c r="AX1291" s="91"/>
    </row>
    <row r="1292" ht="14.5" spans="1:50">
      <c r="A1292" s="89"/>
      <c r="B1292" s="93"/>
      <c r="C1292" s="148" t="s">
        <v>1080</v>
      </c>
      <c r="D1292" s="126" t="s">
        <v>1081</v>
      </c>
      <c r="E1292" s="186" t="s">
        <v>1317</v>
      </c>
      <c r="F1292" s="186" t="s">
        <v>1317</v>
      </c>
      <c r="G1292" s="186" t="s">
        <v>1317</v>
      </c>
      <c r="H1292" s="186" t="s">
        <v>1317</v>
      </c>
      <c r="I1292" s="128">
        <v>0.9</v>
      </c>
      <c r="J1292" s="129" t="s">
        <v>33</v>
      </c>
      <c r="K1292" s="129" t="s">
        <v>33</v>
      </c>
      <c r="L1292" s="130" t="s">
        <v>33</v>
      </c>
      <c r="M1292" s="129" t="s">
        <v>33</v>
      </c>
      <c r="N1292" s="131">
        <v>0.9</v>
      </c>
      <c r="O1292" s="129" t="s">
        <v>33</v>
      </c>
      <c r="P1292" s="129" t="s">
        <v>33</v>
      </c>
      <c r="Q1292" s="129" t="s">
        <v>33</v>
      </c>
      <c r="R1292" s="129">
        <v>0</v>
      </c>
      <c r="S1292" s="131">
        <v>0.9</v>
      </c>
      <c r="T1292" s="129" t="s">
        <v>33</v>
      </c>
      <c r="U1292" s="129" t="s">
        <v>33</v>
      </c>
      <c r="V1292" s="129" t="s">
        <v>33</v>
      </c>
      <c r="W1292" s="129">
        <v>0</v>
      </c>
      <c r="X1292" s="131">
        <v>0.92</v>
      </c>
      <c r="Y1292" s="131" t="s">
        <v>33</v>
      </c>
      <c r="Z1292" s="131" t="s">
        <v>33</v>
      </c>
      <c r="AA1292" s="131" t="s">
        <v>33</v>
      </c>
      <c r="AB1292" s="131" t="s">
        <v>33</v>
      </c>
      <c r="AC1292" s="131">
        <v>0.92</v>
      </c>
      <c r="AD1292" s="129">
        <v>1</v>
      </c>
      <c r="AE1292" s="129">
        <v>0.996466431095406</v>
      </c>
      <c r="AF1292" s="129">
        <v>1</v>
      </c>
      <c r="AG1292" s="129">
        <v>0.997767857142857</v>
      </c>
      <c r="AH1292" s="131">
        <v>0.92</v>
      </c>
      <c r="AI1292" s="129" t="s">
        <v>33</v>
      </c>
      <c r="AJ1292" s="129" t="s">
        <v>33</v>
      </c>
      <c r="AK1292" s="129" t="s">
        <v>33</v>
      </c>
      <c r="AL1292" s="129">
        <v>0</v>
      </c>
      <c r="AM1292" s="128">
        <v>0.99</v>
      </c>
      <c r="AN1292" s="133">
        <v>1</v>
      </c>
      <c r="AO1292" s="133">
        <v>1</v>
      </c>
      <c r="AP1292" s="133">
        <v>1</v>
      </c>
      <c r="AQ1292" s="133">
        <v>1</v>
      </c>
      <c r="AR1292" s="153">
        <v>0.0721861525408278</v>
      </c>
      <c r="AS1292" s="137" t="s">
        <v>33</v>
      </c>
      <c r="AT1292" s="137" t="s">
        <v>33</v>
      </c>
      <c r="AU1292" s="137" t="s">
        <v>33</v>
      </c>
      <c r="AV1292" s="137" t="s">
        <v>33</v>
      </c>
      <c r="AW1292" s="93"/>
      <c r="AX1292" s="91"/>
    </row>
    <row r="1293" ht="14.5" spans="1:50">
      <c r="A1293" s="89"/>
      <c r="B1293" s="93"/>
      <c r="C1293" s="148" t="s">
        <v>1080</v>
      </c>
      <c r="D1293" s="126" t="s">
        <v>1081</v>
      </c>
      <c r="E1293" s="186" t="s">
        <v>1318</v>
      </c>
      <c r="F1293" s="186" t="s">
        <v>1318</v>
      </c>
      <c r="G1293" s="186" t="s">
        <v>1318</v>
      </c>
      <c r="H1293" s="186" t="s">
        <v>1318</v>
      </c>
      <c r="I1293" s="128">
        <v>0.9</v>
      </c>
      <c r="J1293" s="129">
        <v>1</v>
      </c>
      <c r="K1293" s="129">
        <v>0.933333333333333</v>
      </c>
      <c r="L1293" s="130">
        <v>0.929824561403509</v>
      </c>
      <c r="M1293" s="129">
        <v>0.937597503900156</v>
      </c>
      <c r="N1293" s="131">
        <v>0.9</v>
      </c>
      <c r="O1293" s="129">
        <v>0.986086956521739</v>
      </c>
      <c r="P1293" s="129">
        <v>0.982896846606093</v>
      </c>
      <c r="Q1293" s="129">
        <v>0.994395796847636</v>
      </c>
      <c r="R1293" s="129">
        <v>0.978517144395907</v>
      </c>
      <c r="S1293" s="131">
        <v>0.9</v>
      </c>
      <c r="T1293" s="129">
        <v>0.945391304347826</v>
      </c>
      <c r="U1293" s="129">
        <v>0.959380010689471</v>
      </c>
      <c r="V1293" s="129">
        <v>0.969527145359019</v>
      </c>
      <c r="W1293" s="129">
        <v>0.954341451738376</v>
      </c>
      <c r="X1293" s="131">
        <v>0.92</v>
      </c>
      <c r="Y1293" s="131">
        <v>0.957841483979764</v>
      </c>
      <c r="Z1293" s="131">
        <v>0.950187969924812</v>
      </c>
      <c r="AA1293" s="131">
        <v>0.971183323114654</v>
      </c>
      <c r="AB1293" s="131">
        <v>0.965274365274365</v>
      </c>
      <c r="AC1293" s="131">
        <v>0.92</v>
      </c>
      <c r="AD1293" s="129">
        <v>1</v>
      </c>
      <c r="AE1293" s="129">
        <v>0.9979035639413</v>
      </c>
      <c r="AF1293" s="129">
        <v>0.996300863131936</v>
      </c>
      <c r="AG1293" s="129">
        <v>0.994833948339483</v>
      </c>
      <c r="AH1293" s="131">
        <v>0.92</v>
      </c>
      <c r="AI1293" s="129">
        <v>0.975129278502832</v>
      </c>
      <c r="AJ1293" s="129">
        <v>0.96763202725724</v>
      </c>
      <c r="AK1293" s="129">
        <v>0.982835488185466</v>
      </c>
      <c r="AL1293" s="129">
        <v>0.97908895889299</v>
      </c>
      <c r="AM1293" s="128">
        <v>0.99</v>
      </c>
      <c r="AN1293" s="133">
        <v>1</v>
      </c>
      <c r="AO1293" s="133">
        <v>1</v>
      </c>
      <c r="AP1293" s="133">
        <v>1</v>
      </c>
      <c r="AQ1293" s="133">
        <v>1</v>
      </c>
      <c r="AR1293" s="153">
        <v>0.0721861525408278</v>
      </c>
      <c r="AS1293" s="137">
        <v>0</v>
      </c>
      <c r="AT1293" s="137">
        <v>0.0769230769230769</v>
      </c>
      <c r="AU1293" s="137">
        <v>0</v>
      </c>
      <c r="AV1293" s="137">
        <v>0.027972027972028</v>
      </c>
      <c r="AW1293" s="93"/>
      <c r="AX1293" s="91"/>
    </row>
    <row r="1294" ht="14.5" spans="1:50">
      <c r="A1294" s="89"/>
      <c r="B1294" s="93"/>
      <c r="C1294" s="148" t="s">
        <v>1080</v>
      </c>
      <c r="D1294" s="126" t="s">
        <v>1081</v>
      </c>
      <c r="E1294" s="186" t="s">
        <v>1319</v>
      </c>
      <c r="F1294" s="186" t="s">
        <v>1319</v>
      </c>
      <c r="G1294" s="186" t="s">
        <v>1319</v>
      </c>
      <c r="H1294" s="186" t="s">
        <v>1319</v>
      </c>
      <c r="I1294" s="128">
        <v>0.9</v>
      </c>
      <c r="J1294" s="129">
        <v>0.929577464788732</v>
      </c>
      <c r="K1294" s="129">
        <v>0.92</v>
      </c>
      <c r="L1294" s="130">
        <v>0.888888888888889</v>
      </c>
      <c r="M1294" s="129">
        <v>0.881632653061225</v>
      </c>
      <c r="N1294" s="131">
        <v>0.9</v>
      </c>
      <c r="O1294" s="129">
        <v>0.974064974064974</v>
      </c>
      <c r="P1294" s="129">
        <v>0.983967935871743</v>
      </c>
      <c r="Q1294" s="129">
        <v>0.981045376220563</v>
      </c>
      <c r="R1294" s="129">
        <v>0.98577407942598</v>
      </c>
      <c r="S1294" s="131">
        <v>0.9</v>
      </c>
      <c r="T1294" s="129">
        <v>0.935844935844936</v>
      </c>
      <c r="U1294" s="129">
        <v>0.953907815631262</v>
      </c>
      <c r="V1294" s="129">
        <v>0.950028719126939</v>
      </c>
      <c r="W1294" s="129">
        <v>0.946758682545219</v>
      </c>
      <c r="X1294" s="131">
        <v>0.92</v>
      </c>
      <c r="Y1294" s="131">
        <v>0.968130311614731</v>
      </c>
      <c r="Z1294" s="131">
        <v>0.956816257408975</v>
      </c>
      <c r="AA1294" s="131">
        <v>0.963789682539683</v>
      </c>
      <c r="AB1294" s="131">
        <v>0.965724078834619</v>
      </c>
      <c r="AC1294" s="131">
        <v>0.92</v>
      </c>
      <c r="AD1294" s="129">
        <v>0.953210507114192</v>
      </c>
      <c r="AE1294" s="129">
        <v>0.973723970308086</v>
      </c>
      <c r="AF1294" s="129">
        <v>0.952893809763462</v>
      </c>
      <c r="AG1294" s="129">
        <v>0.956287330576614</v>
      </c>
      <c r="AH1294" s="131">
        <v>0.92</v>
      </c>
      <c r="AI1294" s="129">
        <v>0.972216748768473</v>
      </c>
      <c r="AJ1294" s="129">
        <v>0.973340587595212</v>
      </c>
      <c r="AK1294" s="129">
        <v>0.977446344125136</v>
      </c>
      <c r="AL1294" s="129">
        <v>0.978385404130362</v>
      </c>
      <c r="AM1294" s="128">
        <v>0.99</v>
      </c>
      <c r="AN1294" s="133">
        <v>1</v>
      </c>
      <c r="AO1294" s="133">
        <v>1</v>
      </c>
      <c r="AP1294" s="133">
        <v>1</v>
      </c>
      <c r="AQ1294" s="133">
        <v>1</v>
      </c>
      <c r="AR1294" s="153">
        <v>0.0721861525408278</v>
      </c>
      <c r="AS1294" s="137">
        <v>0.0434782608695652</v>
      </c>
      <c r="AT1294" s="137">
        <v>0</v>
      </c>
      <c r="AU1294" s="137">
        <v>0.0555555555555556</v>
      </c>
      <c r="AV1294" s="137">
        <v>0.015748031496063</v>
      </c>
      <c r="AW1294" s="93"/>
      <c r="AX1294" s="91"/>
    </row>
    <row r="1295" ht="14.5" spans="1:50">
      <c r="A1295" s="89"/>
      <c r="B1295" s="93"/>
      <c r="C1295" s="148" t="s">
        <v>1080</v>
      </c>
      <c r="D1295" s="126" t="s">
        <v>1081</v>
      </c>
      <c r="E1295" s="186" t="s">
        <v>1320</v>
      </c>
      <c r="F1295" s="186" t="s">
        <v>1320</v>
      </c>
      <c r="G1295" s="186" t="s">
        <v>1320</v>
      </c>
      <c r="H1295" s="186" t="s">
        <v>1320</v>
      </c>
      <c r="I1295" s="128">
        <v>0.9</v>
      </c>
      <c r="J1295" s="129">
        <v>0.906779661016949</v>
      </c>
      <c r="K1295" s="129">
        <v>0.870967741935484</v>
      </c>
      <c r="L1295" s="130">
        <v>0.900900900900901</v>
      </c>
      <c r="M1295" s="129">
        <v>0.891912908242613</v>
      </c>
      <c r="N1295" s="131">
        <v>0.9</v>
      </c>
      <c r="O1295" s="129">
        <v>0.992752276528526</v>
      </c>
      <c r="P1295" s="129">
        <v>0.992900054614965</v>
      </c>
      <c r="Q1295" s="129">
        <v>0.986836856800957</v>
      </c>
      <c r="R1295" s="129">
        <v>0.990850341257542</v>
      </c>
      <c r="S1295" s="131">
        <v>0.9</v>
      </c>
      <c r="T1295" s="129">
        <v>0.957442854488013</v>
      </c>
      <c r="U1295" s="129">
        <v>0.962315674494812</v>
      </c>
      <c r="V1295" s="129">
        <v>0.956122856003191</v>
      </c>
      <c r="W1295" s="129">
        <v>0.958290744831679</v>
      </c>
      <c r="X1295" s="131">
        <v>0.92</v>
      </c>
      <c r="Y1295" s="131">
        <v>0.975069252077562</v>
      </c>
      <c r="Z1295" s="131">
        <v>0.973586654309546</v>
      </c>
      <c r="AA1295" s="131">
        <v>0.980596582681726</v>
      </c>
      <c r="AB1295" s="131">
        <v>0.973217215701123</v>
      </c>
      <c r="AC1295" s="131">
        <v>0.92</v>
      </c>
      <c r="AD1295" s="129">
        <v>0.993899057127011</v>
      </c>
      <c r="AE1295" s="129">
        <v>0.980569185475957</v>
      </c>
      <c r="AF1295" s="129">
        <v>0.974062816616008</v>
      </c>
      <c r="AG1295" s="129">
        <v>0.983196273762564</v>
      </c>
      <c r="AH1295" s="131">
        <v>0.92</v>
      </c>
      <c r="AI1295" s="129">
        <v>0.98162253657357</v>
      </c>
      <c r="AJ1295" s="129">
        <v>0.984195155471568</v>
      </c>
      <c r="AK1295" s="129">
        <v>0.987954652810581</v>
      </c>
      <c r="AL1295" s="129">
        <v>0.983179787828029</v>
      </c>
      <c r="AM1295" s="128">
        <v>0.99</v>
      </c>
      <c r="AN1295" s="133">
        <v>1</v>
      </c>
      <c r="AO1295" s="133">
        <v>1</v>
      </c>
      <c r="AP1295" s="133">
        <v>1</v>
      </c>
      <c r="AQ1295" s="133">
        <v>1</v>
      </c>
      <c r="AR1295" s="153">
        <v>0.0721861525408278</v>
      </c>
      <c r="AS1295" s="137">
        <v>0</v>
      </c>
      <c r="AT1295" s="137">
        <v>0.0857142857142857</v>
      </c>
      <c r="AU1295" s="137">
        <v>0.0196078431372549</v>
      </c>
      <c r="AV1295" s="137">
        <v>0</v>
      </c>
      <c r="AW1295" s="93"/>
      <c r="AX1295" s="91"/>
    </row>
    <row r="1296" ht="14.5" spans="1:50">
      <c r="A1296" s="89"/>
      <c r="B1296" s="93"/>
      <c r="C1296" s="148" t="s">
        <v>1080</v>
      </c>
      <c r="D1296" s="126" t="s">
        <v>1081</v>
      </c>
      <c r="E1296" s="186" t="s">
        <v>1321</v>
      </c>
      <c r="F1296" s="186" t="s">
        <v>1321</v>
      </c>
      <c r="G1296" s="186" t="s">
        <v>1321</v>
      </c>
      <c r="H1296" s="186" t="s">
        <v>1321</v>
      </c>
      <c r="I1296" s="128">
        <v>0.9</v>
      </c>
      <c r="J1296" s="129">
        <v>0.945205479452055</v>
      </c>
      <c r="K1296" s="129">
        <v>0.951612903225806</v>
      </c>
      <c r="L1296" s="130">
        <v>0.971014492753623</v>
      </c>
      <c r="M1296" s="129">
        <v>0.956363636363636</v>
      </c>
      <c r="N1296" s="131">
        <v>0.9</v>
      </c>
      <c r="O1296" s="129">
        <v>0.964597902097902</v>
      </c>
      <c r="P1296" s="129">
        <v>0.971311475409836</v>
      </c>
      <c r="Q1296" s="129">
        <v>0.975314392175128</v>
      </c>
      <c r="R1296" s="129">
        <v>0.967350986809481</v>
      </c>
      <c r="S1296" s="131">
        <v>0.9</v>
      </c>
      <c r="T1296" s="129">
        <v>0.945367132867133</v>
      </c>
      <c r="U1296" s="129">
        <v>0.952080706179067</v>
      </c>
      <c r="V1296" s="129">
        <v>0.945505356311132</v>
      </c>
      <c r="W1296" s="129">
        <v>0.945254388574829</v>
      </c>
      <c r="X1296" s="131">
        <v>0.92</v>
      </c>
      <c r="Y1296" s="131">
        <v>0.953463203463203</v>
      </c>
      <c r="Z1296" s="131">
        <v>0.95398608881755</v>
      </c>
      <c r="AA1296" s="131">
        <v>0.953445747800587</v>
      </c>
      <c r="AB1296" s="131">
        <v>0.948860345473749</v>
      </c>
      <c r="AC1296" s="131">
        <v>0.92</v>
      </c>
      <c r="AD1296" s="129">
        <v>0.999674690956409</v>
      </c>
      <c r="AE1296" s="129">
        <v>0.998072156430735</v>
      </c>
      <c r="AF1296" s="129">
        <v>0.99761698440208</v>
      </c>
      <c r="AG1296" s="129">
        <v>0.997217928902628</v>
      </c>
      <c r="AH1296" s="131">
        <v>0.92</v>
      </c>
      <c r="AI1296" s="129">
        <v>0.969333748443338</v>
      </c>
      <c r="AJ1296" s="129">
        <v>0.973814719301726</v>
      </c>
      <c r="AK1296" s="129">
        <v>0.974223867843919</v>
      </c>
      <c r="AL1296" s="129">
        <v>0.9708905826898</v>
      </c>
      <c r="AM1296" s="128">
        <v>0.99</v>
      </c>
      <c r="AN1296" s="133">
        <v>1</v>
      </c>
      <c r="AO1296" s="133">
        <v>1</v>
      </c>
      <c r="AP1296" s="133">
        <v>1</v>
      </c>
      <c r="AQ1296" s="133">
        <v>1</v>
      </c>
      <c r="AR1296" s="153">
        <v>0.0721861525408278</v>
      </c>
      <c r="AS1296" s="137">
        <v>0.0416666666666667</v>
      </c>
      <c r="AT1296" s="137">
        <v>0.111111111111111</v>
      </c>
      <c r="AU1296" s="137">
        <v>0</v>
      </c>
      <c r="AV1296" s="137">
        <v>0.0555555555555556</v>
      </c>
      <c r="AW1296" s="93"/>
      <c r="AX1296" s="91"/>
    </row>
    <row r="1297" ht="14.5" spans="1:50">
      <c r="A1297" s="89"/>
      <c r="B1297" s="93"/>
      <c r="C1297" s="148" t="s">
        <v>1080</v>
      </c>
      <c r="D1297" s="126" t="s">
        <v>1081</v>
      </c>
      <c r="E1297" s="186" t="s">
        <v>1322</v>
      </c>
      <c r="F1297" s="186" t="s">
        <v>1322</v>
      </c>
      <c r="G1297" s="186" t="s">
        <v>1322</v>
      </c>
      <c r="H1297" s="186" t="s">
        <v>1322</v>
      </c>
      <c r="I1297" s="128">
        <v>0.9</v>
      </c>
      <c r="J1297" s="129">
        <v>0.939393939393939</v>
      </c>
      <c r="K1297" s="129">
        <v>1</v>
      </c>
      <c r="L1297" s="130">
        <v>0.966666666666667</v>
      </c>
      <c r="M1297" s="129">
        <v>0.961538461538462</v>
      </c>
      <c r="N1297" s="131">
        <v>0.9</v>
      </c>
      <c r="O1297" s="129">
        <v>0.978237214363438</v>
      </c>
      <c r="P1297" s="129">
        <v>0.977724262492474</v>
      </c>
      <c r="Q1297" s="129">
        <v>0.985430463576159</v>
      </c>
      <c r="R1297" s="129">
        <v>0.985594137730036</v>
      </c>
      <c r="S1297" s="131">
        <v>0.9</v>
      </c>
      <c r="T1297" s="129">
        <v>0.938520130576714</v>
      </c>
      <c r="U1297" s="129">
        <v>0.942805538832029</v>
      </c>
      <c r="V1297" s="129">
        <v>0.938189845474614</v>
      </c>
      <c r="W1297" s="129">
        <v>0.950703638937464</v>
      </c>
      <c r="X1297" s="131">
        <v>0.92</v>
      </c>
      <c r="Y1297" s="131" t="s">
        <v>33</v>
      </c>
      <c r="Z1297" s="131" t="s">
        <v>33</v>
      </c>
      <c r="AA1297" s="131" t="s">
        <v>33</v>
      </c>
      <c r="AB1297" s="131" t="s">
        <v>33</v>
      </c>
      <c r="AC1297" s="131">
        <v>0.92</v>
      </c>
      <c r="AD1297" s="129">
        <v>0.986842105263158</v>
      </c>
      <c r="AE1297" s="129">
        <v>1</v>
      </c>
      <c r="AF1297" s="129">
        <v>1</v>
      </c>
      <c r="AG1297" s="129">
        <v>0.991902834008097</v>
      </c>
      <c r="AH1297" s="131">
        <v>0.92</v>
      </c>
      <c r="AI1297" s="129">
        <v>0.972796517954298</v>
      </c>
      <c r="AJ1297" s="129">
        <v>0.975918121613486</v>
      </c>
      <c r="AK1297" s="129">
        <v>0.984105960264901</v>
      </c>
      <c r="AL1297" s="129">
        <v>0.985843950370555</v>
      </c>
      <c r="AM1297" s="128">
        <v>0.99</v>
      </c>
      <c r="AN1297" s="133">
        <v>1</v>
      </c>
      <c r="AO1297" s="133">
        <v>1</v>
      </c>
      <c r="AP1297" s="133">
        <v>1</v>
      </c>
      <c r="AQ1297" s="133">
        <v>1</v>
      </c>
      <c r="AR1297" s="153">
        <v>0.0721861525408278</v>
      </c>
      <c r="AS1297" s="137">
        <v>0</v>
      </c>
      <c r="AT1297" s="137">
        <v>0</v>
      </c>
      <c r="AU1297" s="137">
        <v>0</v>
      </c>
      <c r="AV1297" s="137">
        <v>0.0416666666666667</v>
      </c>
      <c r="AW1297" s="93"/>
      <c r="AX1297" s="91"/>
    </row>
    <row r="1298" ht="14.5" spans="1:50">
      <c r="A1298" s="89"/>
      <c r="B1298" s="93"/>
      <c r="C1298" s="148" t="s">
        <v>1080</v>
      </c>
      <c r="D1298" s="126" t="s">
        <v>1081</v>
      </c>
      <c r="E1298" s="186" t="s">
        <v>1323</v>
      </c>
      <c r="F1298" s="186" t="s">
        <v>1323</v>
      </c>
      <c r="G1298" s="186" t="s">
        <v>1323</v>
      </c>
      <c r="H1298" s="186" t="s">
        <v>1323</v>
      </c>
      <c r="I1298" s="128">
        <v>0.9</v>
      </c>
      <c r="J1298" s="129">
        <v>1</v>
      </c>
      <c r="K1298" s="129">
        <v>1</v>
      </c>
      <c r="L1298" s="130">
        <v>1</v>
      </c>
      <c r="M1298" s="129">
        <v>0.98019801980198</v>
      </c>
      <c r="N1298" s="131">
        <v>0.9</v>
      </c>
      <c r="O1298" s="129">
        <v>0.984517304189435</v>
      </c>
      <c r="P1298" s="129">
        <v>0.993047508690614</v>
      </c>
      <c r="Q1298" s="129">
        <v>0.987320371935757</v>
      </c>
      <c r="R1298" s="129">
        <v>0.98783712321523</v>
      </c>
      <c r="S1298" s="131">
        <v>0.9</v>
      </c>
      <c r="T1298" s="129">
        <v>0.927140255009107</v>
      </c>
      <c r="U1298" s="129">
        <v>0.937427578215527</v>
      </c>
      <c r="V1298" s="129">
        <v>0.933220625528318</v>
      </c>
      <c r="W1298" s="129">
        <v>0.939789982624462</v>
      </c>
      <c r="X1298" s="131">
        <v>0.92</v>
      </c>
      <c r="Y1298" s="131">
        <v>0.956626506024096</v>
      </c>
      <c r="Z1298" s="131">
        <v>0.924675324675325</v>
      </c>
      <c r="AA1298" s="131">
        <v>0.969387755102041</v>
      </c>
      <c r="AB1298" s="131">
        <v>0.952836879432624</v>
      </c>
      <c r="AC1298" s="131">
        <v>0.92</v>
      </c>
      <c r="AD1298" s="129">
        <v>1</v>
      </c>
      <c r="AE1298" s="129">
        <v>0.992619926199262</v>
      </c>
      <c r="AF1298" s="129">
        <v>1</v>
      </c>
      <c r="AG1298" s="129">
        <v>0.997621313035205</v>
      </c>
      <c r="AH1298" s="131">
        <v>0.92</v>
      </c>
      <c r="AI1298" s="129">
        <v>0.966292134831461</v>
      </c>
      <c r="AJ1298" s="129">
        <v>0.963141025641026</v>
      </c>
      <c r="AK1298" s="129">
        <v>0.977884040645547</v>
      </c>
      <c r="AL1298" s="129">
        <v>0.973777612968162</v>
      </c>
      <c r="AM1298" s="128">
        <v>0.99</v>
      </c>
      <c r="AN1298" s="133">
        <v>1</v>
      </c>
      <c r="AO1298" s="133">
        <v>1</v>
      </c>
      <c r="AP1298" s="133">
        <v>1</v>
      </c>
      <c r="AQ1298" s="133">
        <v>1</v>
      </c>
      <c r="AR1298" s="153">
        <v>0.0721861525408278</v>
      </c>
      <c r="AS1298" s="137">
        <v>0.285714285714286</v>
      </c>
      <c r="AT1298" s="137">
        <v>0</v>
      </c>
      <c r="AU1298" s="137">
        <v>0</v>
      </c>
      <c r="AV1298" s="137">
        <v>0.0638297872340425</v>
      </c>
      <c r="AW1298" s="93"/>
      <c r="AX1298" s="91"/>
    </row>
    <row r="1299" ht="14.5" spans="1:50">
      <c r="A1299" s="89"/>
      <c r="B1299" s="93"/>
      <c r="C1299" s="148" t="s">
        <v>1080</v>
      </c>
      <c r="D1299" s="126" t="s">
        <v>1081</v>
      </c>
      <c r="E1299" s="186" t="s">
        <v>1324</v>
      </c>
      <c r="F1299" s="186" t="s">
        <v>1324</v>
      </c>
      <c r="G1299" s="186" t="s">
        <v>1324</v>
      </c>
      <c r="H1299" s="186" t="s">
        <v>1324</v>
      </c>
      <c r="I1299" s="128">
        <v>0.9</v>
      </c>
      <c r="J1299" s="129">
        <v>0.95</v>
      </c>
      <c r="K1299" s="129">
        <v>0.947368421052632</v>
      </c>
      <c r="L1299" s="130">
        <v>0.944444444444444</v>
      </c>
      <c r="M1299" s="129">
        <v>0.955947136563877</v>
      </c>
      <c r="N1299" s="131">
        <v>0.9</v>
      </c>
      <c r="O1299" s="129">
        <v>0.97799511002445</v>
      </c>
      <c r="P1299" s="129">
        <v>0.988888888888889</v>
      </c>
      <c r="Q1299" s="129">
        <v>0.989179440937782</v>
      </c>
      <c r="R1299" s="129">
        <v>0.985387323943662</v>
      </c>
      <c r="S1299" s="131">
        <v>0.9</v>
      </c>
      <c r="T1299" s="129">
        <v>0.925427872860636</v>
      </c>
      <c r="U1299" s="129">
        <v>0.914285714285714</v>
      </c>
      <c r="V1299" s="129">
        <v>0.922452660054103</v>
      </c>
      <c r="W1299" s="129">
        <v>0.930457746478873</v>
      </c>
      <c r="X1299" s="131">
        <v>0.92</v>
      </c>
      <c r="Y1299" s="131">
        <v>0.93854748603352</v>
      </c>
      <c r="Z1299" s="131">
        <v>0.916083916083916</v>
      </c>
      <c r="AA1299" s="131">
        <v>0.922252010723861</v>
      </c>
      <c r="AB1299" s="131">
        <v>0.931627906976744</v>
      </c>
      <c r="AC1299" s="131">
        <v>0.92</v>
      </c>
      <c r="AD1299" s="129">
        <v>1</v>
      </c>
      <c r="AE1299" s="129">
        <v>1</v>
      </c>
      <c r="AF1299" s="129">
        <v>1</v>
      </c>
      <c r="AG1299" s="129">
        <v>0.986316989737742</v>
      </c>
      <c r="AH1299" s="131">
        <v>0.92</v>
      </c>
      <c r="AI1299" s="129">
        <v>0.958333333333333</v>
      </c>
      <c r="AJ1299" s="129">
        <v>0.959606986899563</v>
      </c>
      <c r="AK1299" s="129">
        <v>0.960188933873144</v>
      </c>
      <c r="AL1299" s="129">
        <v>0.967435029691591</v>
      </c>
      <c r="AM1299" s="128">
        <v>0.99</v>
      </c>
      <c r="AN1299" s="133">
        <v>1</v>
      </c>
      <c r="AO1299" s="133">
        <v>1</v>
      </c>
      <c r="AP1299" s="133">
        <v>1</v>
      </c>
      <c r="AQ1299" s="133">
        <v>1</v>
      </c>
      <c r="AR1299" s="153">
        <v>0.0721861525408278</v>
      </c>
      <c r="AS1299" s="137">
        <v>0</v>
      </c>
      <c r="AT1299" s="137">
        <v>0</v>
      </c>
      <c r="AU1299" s="137">
        <v>0</v>
      </c>
      <c r="AV1299" s="137">
        <v>0.0476190476190476</v>
      </c>
      <c r="AW1299" s="93"/>
      <c r="AX1299" s="91"/>
    </row>
    <row r="1300" ht="14.5" spans="1:50">
      <c r="A1300" s="89"/>
      <c r="B1300" s="93"/>
      <c r="C1300" s="148" t="s">
        <v>1080</v>
      </c>
      <c r="D1300" s="126" t="s">
        <v>1081</v>
      </c>
      <c r="E1300" s="186" t="s">
        <v>1325</v>
      </c>
      <c r="F1300" s="186" t="s">
        <v>1325</v>
      </c>
      <c r="G1300" s="186" t="s">
        <v>1325</v>
      </c>
      <c r="H1300" s="186" t="s">
        <v>1325</v>
      </c>
      <c r="I1300" s="128">
        <v>0.9</v>
      </c>
      <c r="J1300" s="129">
        <v>0.910714285714286</v>
      </c>
      <c r="K1300" s="129">
        <v>0.954545454545455</v>
      </c>
      <c r="L1300" s="130">
        <v>0.963636363636364</v>
      </c>
      <c r="M1300" s="129">
        <v>0.922712933753943</v>
      </c>
      <c r="N1300" s="131">
        <v>0.9</v>
      </c>
      <c r="O1300" s="129">
        <v>0.989605625191073</v>
      </c>
      <c r="P1300" s="129">
        <v>0.990205223880597</v>
      </c>
      <c r="Q1300" s="129">
        <v>0.967414050822123</v>
      </c>
      <c r="R1300" s="129">
        <v>0.978504365014001</v>
      </c>
      <c r="S1300" s="131">
        <v>0.9</v>
      </c>
      <c r="T1300" s="129">
        <v>0.945582390706206</v>
      </c>
      <c r="U1300" s="129">
        <v>0.931436567164179</v>
      </c>
      <c r="V1300" s="129">
        <v>0.947384155455904</v>
      </c>
      <c r="W1300" s="129">
        <v>0.94882776039093</v>
      </c>
      <c r="X1300" s="131">
        <v>0.92</v>
      </c>
      <c r="Y1300" s="131">
        <v>0.956068503350707</v>
      </c>
      <c r="Z1300" s="131">
        <v>0.97</v>
      </c>
      <c r="AA1300" s="131">
        <v>0.966685174902832</v>
      </c>
      <c r="AB1300" s="131">
        <v>0.962378580937824</v>
      </c>
      <c r="AC1300" s="131">
        <v>0.92</v>
      </c>
      <c r="AD1300" s="129">
        <v>0.979402677651905</v>
      </c>
      <c r="AE1300" s="129">
        <v>0.992616033755274</v>
      </c>
      <c r="AF1300" s="129">
        <v>0.985678180286436</v>
      </c>
      <c r="AG1300" s="129">
        <v>0.989273616861122</v>
      </c>
      <c r="AH1300" s="131">
        <v>0.92</v>
      </c>
      <c r="AI1300" s="129">
        <v>0.97247507585609</v>
      </c>
      <c r="AJ1300" s="129">
        <v>0.974282296650718</v>
      </c>
      <c r="AK1300" s="129">
        <v>0.982899339292654</v>
      </c>
      <c r="AL1300" s="129">
        <v>0.978065767433659</v>
      </c>
      <c r="AM1300" s="128">
        <v>0.99</v>
      </c>
      <c r="AN1300" s="133">
        <v>1</v>
      </c>
      <c r="AO1300" s="133">
        <v>1</v>
      </c>
      <c r="AP1300" s="133">
        <v>1</v>
      </c>
      <c r="AQ1300" s="133">
        <v>1</v>
      </c>
      <c r="AR1300" s="153">
        <v>0.0721861525408278</v>
      </c>
      <c r="AS1300" s="137">
        <v>0</v>
      </c>
      <c r="AT1300" s="137">
        <v>0</v>
      </c>
      <c r="AU1300" s="137">
        <v>0</v>
      </c>
      <c r="AV1300" s="137">
        <v>0.0660377358490566</v>
      </c>
      <c r="AW1300" s="93"/>
      <c r="AX1300" s="91"/>
    </row>
    <row r="1301" ht="14.5" spans="1:50">
      <c r="A1301" s="89"/>
      <c r="B1301" s="93"/>
      <c r="C1301" s="148" t="s">
        <v>1080</v>
      </c>
      <c r="D1301" s="126" t="s">
        <v>1081</v>
      </c>
      <c r="E1301" s="186" t="s">
        <v>1326</v>
      </c>
      <c r="F1301" s="186" t="s">
        <v>1326</v>
      </c>
      <c r="G1301" s="186" t="s">
        <v>1326</v>
      </c>
      <c r="H1301" s="186" t="s">
        <v>1326</v>
      </c>
      <c r="I1301" s="128">
        <v>0.9</v>
      </c>
      <c r="J1301" s="129">
        <v>0.9</v>
      </c>
      <c r="K1301" s="129">
        <v>0.941176470588235</v>
      </c>
      <c r="L1301" s="130">
        <v>0.894736842105263</v>
      </c>
      <c r="M1301" s="129">
        <v>0.929705215419501</v>
      </c>
      <c r="N1301" s="131">
        <v>0.9</v>
      </c>
      <c r="O1301" s="129">
        <v>0.992293744333635</v>
      </c>
      <c r="P1301" s="129">
        <v>0.982583454281567</v>
      </c>
      <c r="Q1301" s="129">
        <v>0.988129154795821</v>
      </c>
      <c r="R1301" s="129">
        <v>0.988641602749487</v>
      </c>
      <c r="S1301" s="131">
        <v>0.9</v>
      </c>
      <c r="T1301" s="129">
        <v>0.967815049864007</v>
      </c>
      <c r="U1301" s="129">
        <v>0.970972423802613</v>
      </c>
      <c r="V1301" s="129">
        <v>0.966286799620133</v>
      </c>
      <c r="W1301" s="129">
        <v>0.970702879416572</v>
      </c>
      <c r="X1301" s="131">
        <v>0.92</v>
      </c>
      <c r="Y1301" s="131">
        <v>0.947939262472885</v>
      </c>
      <c r="Z1301" s="131">
        <v>0.968474148802018</v>
      </c>
      <c r="AA1301" s="131">
        <v>0.974058577405858</v>
      </c>
      <c r="AB1301" s="131">
        <v>0.963464348896239</v>
      </c>
      <c r="AC1301" s="131">
        <v>0.92</v>
      </c>
      <c r="AD1301" s="129">
        <v>1</v>
      </c>
      <c r="AE1301" s="129">
        <v>0.997076023391813</v>
      </c>
      <c r="AF1301" s="129">
        <v>0.993421052631579</v>
      </c>
      <c r="AG1301" s="129">
        <v>0.996509598603839</v>
      </c>
      <c r="AH1301" s="131">
        <v>0.92</v>
      </c>
      <c r="AI1301" s="129">
        <v>0.971867007672634</v>
      </c>
      <c r="AJ1301" s="129">
        <v>0.98065407646246</v>
      </c>
      <c r="AK1301" s="129">
        <v>0.986670705846713</v>
      </c>
      <c r="AL1301" s="129">
        <v>0.982556562313494</v>
      </c>
      <c r="AM1301" s="128">
        <v>0.99</v>
      </c>
      <c r="AN1301" s="133">
        <v>1</v>
      </c>
      <c r="AO1301" s="133">
        <v>1</v>
      </c>
      <c r="AP1301" s="133">
        <v>1</v>
      </c>
      <c r="AQ1301" s="133">
        <v>1</v>
      </c>
      <c r="AR1301" s="153">
        <v>0.0721861525408278</v>
      </c>
      <c r="AS1301" s="137">
        <v>0</v>
      </c>
      <c r="AT1301" s="137">
        <v>0</v>
      </c>
      <c r="AU1301" s="137">
        <v>0</v>
      </c>
      <c r="AV1301" s="137">
        <v>0.02</v>
      </c>
      <c r="AW1301" s="93"/>
      <c r="AX1301" s="91"/>
    </row>
    <row r="1302" ht="14.5" spans="1:50">
      <c r="A1302" s="89"/>
      <c r="B1302" s="93"/>
      <c r="C1302" s="148" t="s">
        <v>1080</v>
      </c>
      <c r="D1302" s="126" t="s">
        <v>1081</v>
      </c>
      <c r="E1302" s="186" t="s">
        <v>1327</v>
      </c>
      <c r="F1302" s="186" t="s">
        <v>1327</v>
      </c>
      <c r="G1302" s="186" t="s">
        <v>1327</v>
      </c>
      <c r="H1302" s="186" t="s">
        <v>1327</v>
      </c>
      <c r="I1302" s="128">
        <v>0.9</v>
      </c>
      <c r="J1302" s="129">
        <v>1</v>
      </c>
      <c r="K1302" s="129">
        <v>0.953488372093023</v>
      </c>
      <c r="L1302" s="130">
        <v>0.962962962962963</v>
      </c>
      <c r="M1302" s="129">
        <v>0.96969696969697</v>
      </c>
      <c r="N1302" s="131">
        <v>0.9</v>
      </c>
      <c r="O1302" s="129">
        <v>0.987751977545292</v>
      </c>
      <c r="P1302" s="129">
        <v>0.980222162015714</v>
      </c>
      <c r="Q1302" s="129">
        <v>0.991689175150634</v>
      </c>
      <c r="R1302" s="129">
        <v>0.988240684178375</v>
      </c>
      <c r="S1302" s="131">
        <v>0.9</v>
      </c>
      <c r="T1302" s="129">
        <v>0.836182699668283</v>
      </c>
      <c r="U1302" s="129">
        <v>0.867786507721485</v>
      </c>
      <c r="V1302" s="129">
        <v>0.867026802410139</v>
      </c>
      <c r="W1302" s="129">
        <v>0.875496334758705</v>
      </c>
      <c r="X1302" s="131">
        <v>0.92</v>
      </c>
      <c r="Y1302" s="131">
        <v>0</v>
      </c>
      <c r="Z1302" s="131" t="s">
        <v>33</v>
      </c>
      <c r="AA1302" s="131" t="s">
        <v>33</v>
      </c>
      <c r="AB1302" s="131">
        <v>0</v>
      </c>
      <c r="AC1302" s="131">
        <v>0.92</v>
      </c>
      <c r="AD1302" s="129">
        <v>0.996951219512195</v>
      </c>
      <c r="AE1302" s="129">
        <v>1</v>
      </c>
      <c r="AF1302" s="129">
        <v>0.987301587301587</v>
      </c>
      <c r="AG1302" s="129">
        <v>0.995560198485244</v>
      </c>
      <c r="AH1302" s="131">
        <v>0.92</v>
      </c>
      <c r="AI1302" s="129">
        <v>0.943112244897959</v>
      </c>
      <c r="AJ1302" s="129">
        <v>0.963966404768355</v>
      </c>
      <c r="AK1302" s="129">
        <v>0.961354664450447</v>
      </c>
      <c r="AL1302" s="129">
        <v>0.965295408991123</v>
      </c>
      <c r="AM1302" s="128">
        <v>0.99</v>
      </c>
      <c r="AN1302" s="133">
        <v>1</v>
      </c>
      <c r="AO1302" s="133">
        <v>1</v>
      </c>
      <c r="AP1302" s="133">
        <v>1</v>
      </c>
      <c r="AQ1302" s="133">
        <v>1</v>
      </c>
      <c r="AR1302" s="153">
        <v>0.0721861525408278</v>
      </c>
      <c r="AS1302" s="137">
        <v>0</v>
      </c>
      <c r="AT1302" s="137">
        <v>0</v>
      </c>
      <c r="AU1302" s="137">
        <v>0</v>
      </c>
      <c r="AV1302" s="137">
        <v>0.0169491525423729</v>
      </c>
      <c r="AW1302" s="93"/>
      <c r="AX1302" s="91"/>
    </row>
    <row r="1303" ht="14.5" spans="1:50">
      <c r="A1303" s="89"/>
      <c r="B1303" s="93"/>
      <c r="C1303" s="148" t="s">
        <v>1080</v>
      </c>
      <c r="D1303" s="126" t="s">
        <v>1081</v>
      </c>
      <c r="E1303" s="186" t="s">
        <v>1328</v>
      </c>
      <c r="F1303" s="186" t="s">
        <v>1328</v>
      </c>
      <c r="G1303" s="186" t="s">
        <v>1328</v>
      </c>
      <c r="H1303" s="186" t="s">
        <v>1328</v>
      </c>
      <c r="I1303" s="128">
        <v>0.9</v>
      </c>
      <c r="J1303" s="129" t="s">
        <v>33</v>
      </c>
      <c r="K1303" s="129" t="s">
        <v>33</v>
      </c>
      <c r="L1303" s="130" t="s">
        <v>33</v>
      </c>
      <c r="M1303" s="129" t="s">
        <v>33</v>
      </c>
      <c r="N1303" s="131">
        <v>0.9</v>
      </c>
      <c r="O1303" s="129" t="s">
        <v>33</v>
      </c>
      <c r="P1303" s="129" t="s">
        <v>33</v>
      </c>
      <c r="Q1303" s="129" t="s">
        <v>33</v>
      </c>
      <c r="R1303" s="129" t="s">
        <v>33</v>
      </c>
      <c r="S1303" s="131">
        <v>0.9</v>
      </c>
      <c r="T1303" s="129" t="s">
        <v>33</v>
      </c>
      <c r="U1303" s="129" t="s">
        <v>33</v>
      </c>
      <c r="V1303" s="129" t="s">
        <v>33</v>
      </c>
      <c r="W1303" s="129" t="s">
        <v>33</v>
      </c>
      <c r="X1303" s="131">
        <v>0.92</v>
      </c>
      <c r="Y1303" s="131" t="s">
        <v>33</v>
      </c>
      <c r="Z1303" s="131" t="s">
        <v>33</v>
      </c>
      <c r="AA1303" s="131" t="s">
        <v>33</v>
      </c>
      <c r="AB1303" s="131" t="s">
        <v>33</v>
      </c>
      <c r="AC1303" s="131">
        <v>0.92</v>
      </c>
      <c r="AD1303" s="129">
        <v>1</v>
      </c>
      <c r="AE1303" s="129">
        <v>1</v>
      </c>
      <c r="AF1303" s="129">
        <v>0.961538461538462</v>
      </c>
      <c r="AG1303" s="129">
        <v>0.992859976199921</v>
      </c>
      <c r="AH1303" s="131">
        <v>0.92</v>
      </c>
      <c r="AI1303" s="129" t="s">
        <v>33</v>
      </c>
      <c r="AJ1303" s="129" t="s">
        <v>33</v>
      </c>
      <c r="AK1303" s="129" t="s">
        <v>33</v>
      </c>
      <c r="AL1303" s="129" t="s">
        <v>33</v>
      </c>
      <c r="AM1303" s="128">
        <v>0.99</v>
      </c>
      <c r="AN1303" s="133">
        <v>1</v>
      </c>
      <c r="AO1303" s="133">
        <v>1</v>
      </c>
      <c r="AP1303" s="133">
        <v>1</v>
      </c>
      <c r="AQ1303" s="133">
        <v>1</v>
      </c>
      <c r="AR1303" s="153">
        <v>0.0721861525408278</v>
      </c>
      <c r="AS1303" s="137" t="s">
        <v>33</v>
      </c>
      <c r="AT1303" s="137" t="s">
        <v>33</v>
      </c>
      <c r="AU1303" s="137" t="s">
        <v>33</v>
      </c>
      <c r="AV1303" s="137" t="s">
        <v>33</v>
      </c>
      <c r="AW1303" s="93"/>
      <c r="AX1303" s="91"/>
    </row>
    <row r="1304" ht="14.5" spans="1:50">
      <c r="A1304" s="89"/>
      <c r="B1304" s="93"/>
      <c r="C1304" s="148" t="s">
        <v>1080</v>
      </c>
      <c r="D1304" s="126" t="s">
        <v>1081</v>
      </c>
      <c r="E1304" s="186" t="s">
        <v>1329</v>
      </c>
      <c r="F1304" s="186" t="s">
        <v>1329</v>
      </c>
      <c r="G1304" s="186" t="s">
        <v>1329</v>
      </c>
      <c r="H1304" s="186" t="s">
        <v>1329</v>
      </c>
      <c r="I1304" s="128">
        <v>0.9</v>
      </c>
      <c r="J1304" s="129">
        <v>1</v>
      </c>
      <c r="K1304" s="129">
        <v>0.952380952380952</v>
      </c>
      <c r="L1304" s="130">
        <v>0.909090909090909</v>
      </c>
      <c r="M1304" s="129">
        <v>0.956521739130435</v>
      </c>
      <c r="N1304" s="131">
        <v>0.9</v>
      </c>
      <c r="O1304" s="129">
        <v>0.990391722099039</v>
      </c>
      <c r="P1304" s="129">
        <v>0.997635933806147</v>
      </c>
      <c r="Q1304" s="129">
        <v>0.994020926756353</v>
      </c>
      <c r="R1304" s="129">
        <v>0.992377080421802</v>
      </c>
      <c r="S1304" s="131">
        <v>0.9</v>
      </c>
      <c r="T1304" s="129">
        <v>0.967479674796748</v>
      </c>
      <c r="U1304" s="129">
        <v>0.971631205673759</v>
      </c>
      <c r="V1304" s="129">
        <v>0.958893871449925</v>
      </c>
      <c r="W1304" s="129">
        <v>0.966522678185745</v>
      </c>
      <c r="X1304" s="131">
        <v>0.92</v>
      </c>
      <c r="Y1304" s="131">
        <v>0.954710144927536</v>
      </c>
      <c r="Z1304" s="131">
        <v>0.970260223048327</v>
      </c>
      <c r="AA1304" s="131">
        <v>0.983606557377049</v>
      </c>
      <c r="AB1304" s="131">
        <v>0.967484378616061</v>
      </c>
      <c r="AC1304" s="131">
        <v>0.92</v>
      </c>
      <c r="AD1304" s="129">
        <v>1</v>
      </c>
      <c r="AE1304" s="129">
        <v>1</v>
      </c>
      <c r="AF1304" s="129">
        <v>0.992805755395683</v>
      </c>
      <c r="AG1304" s="129">
        <v>0.989668685429284</v>
      </c>
      <c r="AH1304" s="131">
        <v>0.92</v>
      </c>
      <c r="AI1304" s="129">
        <v>0.979002624671916</v>
      </c>
      <c r="AJ1304" s="129">
        <v>0.982658959537572</v>
      </c>
      <c r="AK1304" s="129">
        <v>0.986473429951691</v>
      </c>
      <c r="AL1304" s="129">
        <v>0.981915853358484</v>
      </c>
      <c r="AM1304" s="128">
        <v>0.99</v>
      </c>
      <c r="AN1304" s="133">
        <v>1</v>
      </c>
      <c r="AO1304" s="133">
        <v>1</v>
      </c>
      <c r="AP1304" s="133">
        <v>1</v>
      </c>
      <c r="AQ1304" s="133">
        <v>1</v>
      </c>
      <c r="AR1304" s="153">
        <v>0.0721861525408278</v>
      </c>
      <c r="AS1304" s="137">
        <v>0.25</v>
      </c>
      <c r="AT1304" s="137">
        <v>0</v>
      </c>
      <c r="AU1304" s="137">
        <v>0.2</v>
      </c>
      <c r="AV1304" s="137">
        <v>0.128205128205128</v>
      </c>
      <c r="AW1304" s="93"/>
      <c r="AX1304" s="91"/>
    </row>
    <row r="1305" ht="14.5" spans="1:50">
      <c r="A1305" s="89"/>
      <c r="B1305" s="93"/>
      <c r="C1305" s="148" t="s">
        <v>1080</v>
      </c>
      <c r="D1305" s="126" t="s">
        <v>1081</v>
      </c>
      <c r="E1305" s="186" t="s">
        <v>1330</v>
      </c>
      <c r="F1305" s="186" t="s">
        <v>1330</v>
      </c>
      <c r="G1305" s="186" t="s">
        <v>1330</v>
      </c>
      <c r="H1305" s="186" t="s">
        <v>1330</v>
      </c>
      <c r="I1305" s="128">
        <v>0.9</v>
      </c>
      <c r="J1305" s="129">
        <v>0.907407407407407</v>
      </c>
      <c r="K1305" s="129">
        <v>0.88</v>
      </c>
      <c r="L1305" s="130">
        <v>0.944444444444444</v>
      </c>
      <c r="M1305" s="129">
        <v>0.922118380062305</v>
      </c>
      <c r="N1305" s="131">
        <v>0.9</v>
      </c>
      <c r="O1305" s="129">
        <v>0.972765072765073</v>
      </c>
      <c r="P1305" s="129">
        <v>0.968640299555348</v>
      </c>
      <c r="Q1305" s="129">
        <v>0.97752401667573</v>
      </c>
      <c r="R1305" s="129">
        <v>0.976653633105246</v>
      </c>
      <c r="S1305" s="131">
        <v>0.9</v>
      </c>
      <c r="T1305" s="129">
        <v>0.9002079002079</v>
      </c>
      <c r="U1305" s="129">
        <v>0.909431312894922</v>
      </c>
      <c r="V1305" s="129">
        <v>0.891970273699474</v>
      </c>
      <c r="W1305" s="129">
        <v>0.898582600195503</v>
      </c>
      <c r="X1305" s="131">
        <v>0.92</v>
      </c>
      <c r="Y1305" s="131" t="s">
        <v>33</v>
      </c>
      <c r="Z1305" s="131" t="s">
        <v>33</v>
      </c>
      <c r="AA1305" s="131" t="s">
        <v>33</v>
      </c>
      <c r="AB1305" s="131" t="s">
        <v>33</v>
      </c>
      <c r="AC1305" s="131">
        <v>0.92</v>
      </c>
      <c r="AD1305" s="129">
        <v>0.997247706422018</v>
      </c>
      <c r="AE1305" s="129">
        <v>0.994006849315068</v>
      </c>
      <c r="AF1305" s="129">
        <v>0.995750708215297</v>
      </c>
      <c r="AG1305" s="129">
        <v>0.993993993993994</v>
      </c>
      <c r="AH1305" s="131">
        <v>0.92</v>
      </c>
      <c r="AI1305" s="129">
        <v>0.972972972972973</v>
      </c>
      <c r="AJ1305" s="129">
        <v>0.970746548092675</v>
      </c>
      <c r="AK1305" s="129">
        <v>0.982599238716694</v>
      </c>
      <c r="AL1305" s="129">
        <v>0.982828282828283</v>
      </c>
      <c r="AM1305" s="128">
        <v>0.99</v>
      </c>
      <c r="AN1305" s="133">
        <v>1</v>
      </c>
      <c r="AO1305" s="133">
        <v>1</v>
      </c>
      <c r="AP1305" s="133">
        <v>1</v>
      </c>
      <c r="AQ1305" s="133">
        <v>1</v>
      </c>
      <c r="AR1305" s="153">
        <v>0.0721861525408278</v>
      </c>
      <c r="AS1305" s="137">
        <v>0.0769230769230769</v>
      </c>
      <c r="AT1305" s="137">
        <v>0</v>
      </c>
      <c r="AU1305" s="137">
        <v>0.0952380952380952</v>
      </c>
      <c r="AV1305" s="137">
        <v>0.037344398340249</v>
      </c>
      <c r="AW1305" s="93"/>
      <c r="AX1305" s="91"/>
    </row>
    <row r="1306" ht="14.5" spans="1:50">
      <c r="A1306" s="89"/>
      <c r="B1306" s="93"/>
      <c r="C1306" s="148" t="s">
        <v>1080</v>
      </c>
      <c r="D1306" s="126" t="s">
        <v>1081</v>
      </c>
      <c r="E1306" s="186" t="s">
        <v>1331</v>
      </c>
      <c r="F1306" s="186" t="s">
        <v>1331</v>
      </c>
      <c r="G1306" s="186" t="s">
        <v>1331</v>
      </c>
      <c r="H1306" s="186" t="s">
        <v>1331</v>
      </c>
      <c r="I1306" s="128">
        <v>0.9</v>
      </c>
      <c r="J1306" s="129">
        <v>0.938775510204082</v>
      </c>
      <c r="K1306" s="129">
        <v>0.953488372093023</v>
      </c>
      <c r="L1306" s="130">
        <v>0.934782608695652</v>
      </c>
      <c r="M1306" s="129">
        <v>0.918819188191882</v>
      </c>
      <c r="N1306" s="131">
        <v>0.9</v>
      </c>
      <c r="O1306" s="129">
        <v>0.992291088498304</v>
      </c>
      <c r="P1306" s="129">
        <v>0.990398293029872</v>
      </c>
      <c r="Q1306" s="129">
        <v>0.991306638566913</v>
      </c>
      <c r="R1306" s="129">
        <v>0.989471888480004</v>
      </c>
      <c r="S1306" s="131">
        <v>0.9</v>
      </c>
      <c r="T1306" s="129">
        <v>0.943879124267653</v>
      </c>
      <c r="U1306" s="129">
        <v>0.92923186344239</v>
      </c>
      <c r="V1306" s="129">
        <v>0.940463645943098</v>
      </c>
      <c r="W1306" s="129">
        <v>0.941364267784466</v>
      </c>
      <c r="X1306" s="131">
        <v>0.92</v>
      </c>
      <c r="Y1306" s="131" t="s">
        <v>33</v>
      </c>
      <c r="Z1306" s="131" t="s">
        <v>33</v>
      </c>
      <c r="AA1306" s="131" t="s">
        <v>33</v>
      </c>
      <c r="AB1306" s="131" t="s">
        <v>33</v>
      </c>
      <c r="AC1306" s="131">
        <v>0.92</v>
      </c>
      <c r="AD1306" s="129">
        <v>1</v>
      </c>
      <c r="AE1306" s="129">
        <v>0.995294117647059</v>
      </c>
      <c r="AF1306" s="129">
        <v>0.990909090909091</v>
      </c>
      <c r="AG1306" s="129">
        <v>0.993371212121212</v>
      </c>
      <c r="AH1306" s="131">
        <v>0.92</v>
      </c>
      <c r="AI1306" s="129">
        <v>0.962380511871724</v>
      </c>
      <c r="AJ1306" s="129">
        <v>0.964438122332859</v>
      </c>
      <c r="AK1306" s="129">
        <v>0.971022128556375</v>
      </c>
      <c r="AL1306" s="129">
        <v>0.974605805083713</v>
      </c>
      <c r="AM1306" s="128">
        <v>0.99</v>
      </c>
      <c r="AN1306" s="133">
        <v>1</v>
      </c>
      <c r="AO1306" s="133">
        <v>1</v>
      </c>
      <c r="AP1306" s="133">
        <v>1</v>
      </c>
      <c r="AQ1306" s="133">
        <v>1</v>
      </c>
      <c r="AR1306" s="153">
        <v>0.0721861525408278</v>
      </c>
      <c r="AS1306" s="137">
        <v>0</v>
      </c>
      <c r="AT1306" s="137">
        <v>0.0909090909090909</v>
      </c>
      <c r="AU1306" s="137">
        <v>0</v>
      </c>
      <c r="AV1306" s="137">
        <v>0.0333333333333333</v>
      </c>
      <c r="AW1306" s="93"/>
      <c r="AX1306" s="91"/>
    </row>
    <row r="1307" ht="14.5" spans="1:50">
      <c r="A1307" s="89"/>
      <c r="B1307" s="93"/>
      <c r="C1307" s="148" t="s">
        <v>1080</v>
      </c>
      <c r="D1307" s="126" t="s">
        <v>1081</v>
      </c>
      <c r="E1307" s="186" t="s">
        <v>1332</v>
      </c>
      <c r="F1307" s="186" t="s">
        <v>1332</v>
      </c>
      <c r="G1307" s="186" t="s">
        <v>1332</v>
      </c>
      <c r="H1307" s="186" t="s">
        <v>1332</v>
      </c>
      <c r="I1307" s="128">
        <v>0.9</v>
      </c>
      <c r="J1307" s="129">
        <v>0.972222222222222</v>
      </c>
      <c r="K1307" s="129">
        <v>0.909090909090909</v>
      </c>
      <c r="L1307" s="130">
        <v>0.916666666666667</v>
      </c>
      <c r="M1307" s="129">
        <v>0.951573849878935</v>
      </c>
      <c r="N1307" s="131">
        <v>0.9</v>
      </c>
      <c r="O1307" s="129">
        <v>0.972388556220892</v>
      </c>
      <c r="P1307" s="129">
        <v>0.980477223427332</v>
      </c>
      <c r="Q1307" s="129">
        <v>0.97316219369895</v>
      </c>
      <c r="R1307" s="129">
        <v>0.97939384631137</v>
      </c>
      <c r="S1307" s="131">
        <v>0.9</v>
      </c>
      <c r="T1307" s="129">
        <v>0.970059880239521</v>
      </c>
      <c r="U1307" s="129">
        <v>0.968546637744035</v>
      </c>
      <c r="V1307" s="129">
        <v>0.96120186697783</v>
      </c>
      <c r="W1307" s="129">
        <v>0.964623969692316</v>
      </c>
      <c r="X1307" s="131">
        <v>0.92</v>
      </c>
      <c r="Y1307" s="131" t="s">
        <v>33</v>
      </c>
      <c r="Z1307" s="131" t="s">
        <v>33</v>
      </c>
      <c r="AA1307" s="131" t="s">
        <v>33</v>
      </c>
      <c r="AB1307" s="131" t="s">
        <v>33</v>
      </c>
      <c r="AC1307" s="131">
        <v>0.92</v>
      </c>
      <c r="AD1307" s="129">
        <v>0.987152034261242</v>
      </c>
      <c r="AE1307" s="129">
        <v>0.99812382739212</v>
      </c>
      <c r="AF1307" s="129">
        <v>0.997920997920998</v>
      </c>
      <c r="AG1307" s="129">
        <v>0.9888066127088</v>
      </c>
      <c r="AH1307" s="131">
        <v>0.92</v>
      </c>
      <c r="AI1307" s="129">
        <v>0.981703260146374</v>
      </c>
      <c r="AJ1307" s="129">
        <v>0.980838756326826</v>
      </c>
      <c r="AK1307" s="129">
        <v>0.98512252042007</v>
      </c>
      <c r="AL1307" s="129">
        <v>0.985281318793836</v>
      </c>
      <c r="AM1307" s="128">
        <v>0.99</v>
      </c>
      <c r="AN1307" s="133">
        <v>1</v>
      </c>
      <c r="AO1307" s="133">
        <v>1</v>
      </c>
      <c r="AP1307" s="133">
        <v>1</v>
      </c>
      <c r="AQ1307" s="133">
        <v>1</v>
      </c>
      <c r="AR1307" s="153">
        <v>0.0721861525408278</v>
      </c>
      <c r="AS1307" s="137">
        <v>0</v>
      </c>
      <c r="AT1307" s="137">
        <v>0</v>
      </c>
      <c r="AU1307" s="137">
        <v>0</v>
      </c>
      <c r="AV1307" s="137">
        <v>0.0625</v>
      </c>
      <c r="AW1307" s="93"/>
      <c r="AX1307" s="91"/>
    </row>
    <row r="1308" ht="14.5" spans="1:50">
      <c r="A1308" s="89"/>
      <c r="B1308" s="93"/>
      <c r="C1308" s="148" t="s">
        <v>1080</v>
      </c>
      <c r="D1308" s="126" t="s">
        <v>1081</v>
      </c>
      <c r="E1308" s="186" t="s">
        <v>1333</v>
      </c>
      <c r="F1308" s="186" t="s">
        <v>1333</v>
      </c>
      <c r="G1308" s="186" t="s">
        <v>1333</v>
      </c>
      <c r="H1308" s="186" t="s">
        <v>1333</v>
      </c>
      <c r="I1308" s="128">
        <v>0.9</v>
      </c>
      <c r="J1308" s="129">
        <v>0.961538461538462</v>
      </c>
      <c r="K1308" s="129">
        <v>0.962962962962963</v>
      </c>
      <c r="L1308" s="130">
        <v>0.958333333333333</v>
      </c>
      <c r="M1308" s="129">
        <v>0.96078431372549</v>
      </c>
      <c r="N1308" s="131">
        <v>0.9</v>
      </c>
      <c r="O1308" s="129">
        <v>0.980446927374302</v>
      </c>
      <c r="P1308" s="129">
        <v>0.985988583290088</v>
      </c>
      <c r="Q1308" s="129">
        <v>0.894360603653693</v>
      </c>
      <c r="R1308" s="129">
        <v>0.976736842105263</v>
      </c>
      <c r="S1308" s="131">
        <v>0.9</v>
      </c>
      <c r="T1308" s="129">
        <v>0.937150837988827</v>
      </c>
      <c r="U1308" s="129">
        <v>0.941878567721847</v>
      </c>
      <c r="V1308" s="129">
        <v>0.79825258141382</v>
      </c>
      <c r="W1308" s="129">
        <v>0.905368421052632</v>
      </c>
      <c r="X1308" s="131">
        <v>0.92</v>
      </c>
      <c r="Y1308" s="131" t="s">
        <v>33</v>
      </c>
      <c r="Z1308" s="131" t="s">
        <v>33</v>
      </c>
      <c r="AA1308" s="131" t="s">
        <v>33</v>
      </c>
      <c r="AB1308" s="131">
        <v>0</v>
      </c>
      <c r="AC1308" s="131">
        <v>0.92</v>
      </c>
      <c r="AD1308" s="129">
        <v>1</v>
      </c>
      <c r="AE1308" s="129">
        <v>0.993630573248408</v>
      </c>
      <c r="AF1308" s="129">
        <v>0.996894409937888</v>
      </c>
      <c r="AG1308" s="129">
        <v>0.99166955918084</v>
      </c>
      <c r="AH1308" s="131">
        <v>0.92</v>
      </c>
      <c r="AI1308" s="129">
        <v>0.959497206703911</v>
      </c>
      <c r="AJ1308" s="129">
        <v>0.965230928905034</v>
      </c>
      <c r="AK1308" s="129">
        <v>0.952343129467832</v>
      </c>
      <c r="AL1308" s="129">
        <v>0.968983544437037</v>
      </c>
      <c r="AM1308" s="128">
        <v>0.99</v>
      </c>
      <c r="AN1308" s="133">
        <v>1</v>
      </c>
      <c r="AO1308" s="133">
        <v>1</v>
      </c>
      <c r="AP1308" s="133">
        <v>1</v>
      </c>
      <c r="AQ1308" s="133">
        <v>1</v>
      </c>
      <c r="AR1308" s="153">
        <v>0.0721861525408278</v>
      </c>
      <c r="AS1308" s="137">
        <v>0</v>
      </c>
      <c r="AT1308" s="137">
        <v>0</v>
      </c>
      <c r="AU1308" s="137">
        <v>0</v>
      </c>
      <c r="AV1308" s="137">
        <v>0.0294117647058824</v>
      </c>
      <c r="AW1308" s="93"/>
      <c r="AX1308" s="91"/>
    </row>
    <row r="1309" ht="14.5" spans="1:50">
      <c r="A1309" s="89"/>
      <c r="B1309" s="93"/>
      <c r="C1309" s="148" t="s">
        <v>1080</v>
      </c>
      <c r="D1309" s="126" t="s">
        <v>1081</v>
      </c>
      <c r="E1309" s="186" t="s">
        <v>1334</v>
      </c>
      <c r="F1309" s="186" t="s">
        <v>1334</v>
      </c>
      <c r="G1309" s="186" t="s">
        <v>1334</v>
      </c>
      <c r="H1309" s="186" t="s">
        <v>1334</v>
      </c>
      <c r="I1309" s="128">
        <v>0.9</v>
      </c>
      <c r="J1309" s="129">
        <v>0.925</v>
      </c>
      <c r="K1309" s="129">
        <v>0.972222222222222</v>
      </c>
      <c r="L1309" s="130">
        <v>1</v>
      </c>
      <c r="M1309" s="129">
        <v>0.953346855983773</v>
      </c>
      <c r="N1309" s="131">
        <v>0.9</v>
      </c>
      <c r="O1309" s="129">
        <v>0.979078130107878</v>
      </c>
      <c r="P1309" s="129">
        <v>0.980797636632201</v>
      </c>
      <c r="Q1309" s="129">
        <v>0.93212155637603</v>
      </c>
      <c r="R1309" s="129">
        <v>0.961674910013725</v>
      </c>
      <c r="S1309" s="131">
        <v>0.9</v>
      </c>
      <c r="T1309" s="129">
        <v>0.942464857796666</v>
      </c>
      <c r="U1309" s="129">
        <v>0.933530280649926</v>
      </c>
      <c r="V1309" s="129">
        <v>0.917637034933258</v>
      </c>
      <c r="W1309" s="129">
        <v>0.941476551777714</v>
      </c>
      <c r="X1309" s="131">
        <v>0.92</v>
      </c>
      <c r="Y1309" s="131" t="s">
        <v>33</v>
      </c>
      <c r="Z1309" s="131" t="s">
        <v>33</v>
      </c>
      <c r="AA1309" s="131" t="s">
        <v>33</v>
      </c>
      <c r="AB1309" s="131" t="s">
        <v>33</v>
      </c>
      <c r="AC1309" s="131">
        <v>0.92</v>
      </c>
      <c r="AD1309" s="129">
        <v>1</v>
      </c>
      <c r="AE1309" s="129">
        <v>0.993348115299335</v>
      </c>
      <c r="AF1309" s="129">
        <v>1</v>
      </c>
      <c r="AG1309" s="129">
        <v>0.994969128744569</v>
      </c>
      <c r="AH1309" s="131">
        <v>0.92</v>
      </c>
      <c r="AI1309" s="129">
        <v>0.968944099378882</v>
      </c>
      <c r="AJ1309" s="129">
        <v>0.966765140324963</v>
      </c>
      <c r="AK1309" s="129">
        <v>0.973019028685033</v>
      </c>
      <c r="AL1309" s="129">
        <v>0.975399435481783</v>
      </c>
      <c r="AM1309" s="128">
        <v>0.99</v>
      </c>
      <c r="AN1309" s="133">
        <v>1</v>
      </c>
      <c r="AO1309" s="133">
        <v>1</v>
      </c>
      <c r="AP1309" s="133">
        <v>1</v>
      </c>
      <c r="AQ1309" s="133">
        <v>1</v>
      </c>
      <c r="AR1309" s="153">
        <v>0.0721861525408278</v>
      </c>
      <c r="AS1309" s="137">
        <v>0.125</v>
      </c>
      <c r="AT1309" s="137">
        <v>0</v>
      </c>
      <c r="AU1309" s="137">
        <v>0.2</v>
      </c>
      <c r="AV1309" s="137">
        <v>0.0813953488372093</v>
      </c>
      <c r="AW1309" s="93"/>
      <c r="AX1309" s="91"/>
    </row>
    <row r="1310" ht="14.5" spans="1:50">
      <c r="A1310" s="89"/>
      <c r="B1310" s="93"/>
      <c r="C1310" s="148" t="s">
        <v>1080</v>
      </c>
      <c r="D1310" s="126" t="s">
        <v>1081</v>
      </c>
      <c r="E1310" s="186" t="s">
        <v>1335</v>
      </c>
      <c r="F1310" s="186" t="s">
        <v>1335</v>
      </c>
      <c r="G1310" s="186" t="s">
        <v>1335</v>
      </c>
      <c r="H1310" s="186" t="s">
        <v>1335</v>
      </c>
      <c r="I1310" s="128">
        <v>0.9</v>
      </c>
      <c r="J1310" s="129">
        <v>0.857142857142857</v>
      </c>
      <c r="K1310" s="129">
        <v>0.888888888888889</v>
      </c>
      <c r="L1310" s="130">
        <v>0.961538461538462</v>
      </c>
      <c r="M1310" s="129">
        <v>0.920415224913495</v>
      </c>
      <c r="N1310" s="131">
        <v>0.9</v>
      </c>
      <c r="O1310" s="129">
        <v>0.980745341614907</v>
      </c>
      <c r="P1310" s="129">
        <v>0.980352303523035</v>
      </c>
      <c r="Q1310" s="129">
        <v>0.98546209761163</v>
      </c>
      <c r="R1310" s="129">
        <v>0.979209779103903</v>
      </c>
      <c r="S1310" s="131">
        <v>0.9</v>
      </c>
      <c r="T1310" s="129">
        <v>0.967080745341615</v>
      </c>
      <c r="U1310" s="129">
        <v>0.968157181571816</v>
      </c>
      <c r="V1310" s="129">
        <v>0.974558670820353</v>
      </c>
      <c r="W1310" s="129">
        <v>0.954232638721786</v>
      </c>
      <c r="X1310" s="131">
        <v>0.92</v>
      </c>
      <c r="Y1310" s="131" t="s">
        <v>33</v>
      </c>
      <c r="Z1310" s="131" t="s">
        <v>33</v>
      </c>
      <c r="AA1310" s="131" t="s">
        <v>33</v>
      </c>
      <c r="AB1310" s="131" t="s">
        <v>33</v>
      </c>
      <c r="AC1310" s="131">
        <v>0.92</v>
      </c>
      <c r="AD1310" s="129">
        <v>1</v>
      </c>
      <c r="AE1310" s="129">
        <v>0.992788461538462</v>
      </c>
      <c r="AF1310" s="129">
        <v>0.989090909090909</v>
      </c>
      <c r="AG1310" s="129">
        <v>0.991186021339106</v>
      </c>
      <c r="AH1310" s="131">
        <v>0.92</v>
      </c>
      <c r="AI1310" s="129">
        <v>0.978260869565217</v>
      </c>
      <c r="AJ1310" s="129">
        <v>0.981029810298103</v>
      </c>
      <c r="AK1310" s="129">
        <v>0.988058151609553</v>
      </c>
      <c r="AL1310" s="129">
        <v>0.983300447567255</v>
      </c>
      <c r="AM1310" s="128">
        <v>0.99</v>
      </c>
      <c r="AN1310" s="133">
        <v>1</v>
      </c>
      <c r="AO1310" s="133">
        <v>1</v>
      </c>
      <c r="AP1310" s="133">
        <v>1</v>
      </c>
      <c r="AQ1310" s="133">
        <v>1</v>
      </c>
      <c r="AR1310" s="153">
        <v>0.0721861525408278</v>
      </c>
      <c r="AS1310" s="137">
        <v>0</v>
      </c>
      <c r="AT1310" s="137">
        <v>0.5</v>
      </c>
      <c r="AU1310" s="137">
        <v>0</v>
      </c>
      <c r="AV1310" s="137">
        <v>0.0652173913043478</v>
      </c>
      <c r="AW1310" s="93"/>
      <c r="AX1310" s="91"/>
    </row>
    <row r="1311" ht="14.5" spans="1:50">
      <c r="A1311" s="89"/>
      <c r="B1311" s="93"/>
      <c r="C1311" s="148" t="s">
        <v>1080</v>
      </c>
      <c r="D1311" s="126" t="s">
        <v>1081</v>
      </c>
      <c r="E1311" s="186" t="s">
        <v>1336</v>
      </c>
      <c r="F1311" s="186" t="s">
        <v>1336</v>
      </c>
      <c r="G1311" s="186" t="s">
        <v>1336</v>
      </c>
      <c r="H1311" s="186" t="s">
        <v>1336</v>
      </c>
      <c r="I1311" s="128">
        <v>0.9</v>
      </c>
      <c r="J1311" s="129">
        <v>0.846153846153846</v>
      </c>
      <c r="K1311" s="129">
        <v>0.923076923076923</v>
      </c>
      <c r="L1311" s="130">
        <v>1</v>
      </c>
      <c r="M1311" s="129">
        <v>0.959409594095941</v>
      </c>
      <c r="N1311" s="131">
        <v>0.9</v>
      </c>
      <c r="O1311" s="129">
        <v>0.989637305699482</v>
      </c>
      <c r="P1311" s="129">
        <v>0.994134897360704</v>
      </c>
      <c r="Q1311" s="129">
        <v>0.991750147318798</v>
      </c>
      <c r="R1311" s="129">
        <v>0.98938819707634</v>
      </c>
      <c r="S1311" s="131">
        <v>0.9</v>
      </c>
      <c r="T1311" s="129">
        <v>0.965673575129534</v>
      </c>
      <c r="U1311" s="129">
        <v>0.970674486803519</v>
      </c>
      <c r="V1311" s="129">
        <v>0.982911019446081</v>
      </c>
      <c r="W1311" s="129">
        <v>0.962208987547374</v>
      </c>
      <c r="X1311" s="131">
        <v>0.92</v>
      </c>
      <c r="Y1311" s="131" t="s">
        <v>33</v>
      </c>
      <c r="Z1311" s="131" t="s">
        <v>33</v>
      </c>
      <c r="AA1311" s="131" t="s">
        <v>33</v>
      </c>
      <c r="AB1311" s="131" t="s">
        <v>33</v>
      </c>
      <c r="AC1311" s="131">
        <v>0.92</v>
      </c>
      <c r="AD1311" s="129">
        <v>1</v>
      </c>
      <c r="AE1311" s="129">
        <v>1</v>
      </c>
      <c r="AF1311" s="129">
        <v>1</v>
      </c>
      <c r="AG1311" s="129">
        <v>0.998661909009813</v>
      </c>
      <c r="AH1311" s="131">
        <v>0.92</v>
      </c>
      <c r="AI1311" s="129">
        <v>0.976036269430052</v>
      </c>
      <c r="AJ1311" s="129">
        <v>0.981671554252199</v>
      </c>
      <c r="AK1311" s="129">
        <v>0.990571596935769</v>
      </c>
      <c r="AL1311" s="129">
        <v>0.984569572279372</v>
      </c>
      <c r="AM1311" s="128">
        <v>0.99</v>
      </c>
      <c r="AN1311" s="133">
        <v>1</v>
      </c>
      <c r="AO1311" s="133">
        <v>1</v>
      </c>
      <c r="AP1311" s="133">
        <v>1</v>
      </c>
      <c r="AQ1311" s="133">
        <v>1</v>
      </c>
      <c r="AR1311" s="153">
        <v>0.0721861525408278</v>
      </c>
      <c r="AS1311" s="137">
        <v>0</v>
      </c>
      <c r="AT1311" s="137">
        <v>0</v>
      </c>
      <c r="AU1311" s="137">
        <v>0</v>
      </c>
      <c r="AV1311" s="137">
        <v>0.027027027027027</v>
      </c>
      <c r="AW1311" s="93"/>
      <c r="AX1311" s="91"/>
    </row>
    <row r="1312" ht="14.5" spans="1:50">
      <c r="A1312" s="89"/>
      <c r="B1312" s="93"/>
      <c r="C1312" s="148" t="s">
        <v>1080</v>
      </c>
      <c r="D1312" s="126" t="s">
        <v>1081</v>
      </c>
      <c r="E1312" s="186" t="s">
        <v>1337</v>
      </c>
      <c r="F1312" s="186" t="s">
        <v>1337</v>
      </c>
      <c r="G1312" s="186" t="s">
        <v>1337</v>
      </c>
      <c r="H1312" s="186" t="s">
        <v>1337</v>
      </c>
      <c r="I1312" s="128">
        <v>0.9</v>
      </c>
      <c r="J1312" s="129">
        <v>0.916666666666667</v>
      </c>
      <c r="K1312" s="129">
        <v>0.875</v>
      </c>
      <c r="L1312" s="130">
        <v>0.92</v>
      </c>
      <c r="M1312" s="129">
        <v>0.9</v>
      </c>
      <c r="N1312" s="131">
        <v>0.9</v>
      </c>
      <c r="O1312" s="129">
        <v>0.97846012832264</v>
      </c>
      <c r="P1312" s="129">
        <v>0.991405460060667</v>
      </c>
      <c r="Q1312" s="129">
        <v>0.972802522664564</v>
      </c>
      <c r="R1312" s="129">
        <v>0.978290126080181</v>
      </c>
      <c r="S1312" s="131">
        <v>0.9</v>
      </c>
      <c r="T1312" s="129">
        <v>0.751145737855179</v>
      </c>
      <c r="U1312" s="129">
        <v>0.762891809908999</v>
      </c>
      <c r="V1312" s="129">
        <v>0.771383523847063</v>
      </c>
      <c r="W1312" s="129">
        <v>0.771497379232186</v>
      </c>
      <c r="X1312" s="131">
        <v>0.92</v>
      </c>
      <c r="Y1312" s="131" t="s">
        <v>33</v>
      </c>
      <c r="Z1312" s="131" t="s">
        <v>33</v>
      </c>
      <c r="AA1312" s="131" t="s">
        <v>33</v>
      </c>
      <c r="AB1312" s="131" t="s">
        <v>33</v>
      </c>
      <c r="AC1312" s="131">
        <v>0.92</v>
      </c>
      <c r="AD1312" s="129">
        <v>1</v>
      </c>
      <c r="AE1312" s="129">
        <v>1</v>
      </c>
      <c r="AF1312" s="129">
        <v>0.977777777777778</v>
      </c>
      <c r="AG1312" s="129">
        <v>0.993074792243767</v>
      </c>
      <c r="AH1312" s="131">
        <v>0.92</v>
      </c>
      <c r="AI1312" s="129">
        <v>0.966544454628781</v>
      </c>
      <c r="AJ1312" s="129">
        <v>0.959555106167846</v>
      </c>
      <c r="AK1312" s="129">
        <v>0.978715017737485</v>
      </c>
      <c r="AL1312" s="129">
        <v>0.975208953109506</v>
      </c>
      <c r="AM1312" s="128">
        <v>0.99</v>
      </c>
      <c r="AN1312" s="133">
        <v>1</v>
      </c>
      <c r="AO1312" s="133">
        <v>1</v>
      </c>
      <c r="AP1312" s="133">
        <v>1</v>
      </c>
      <c r="AQ1312" s="133">
        <v>1</v>
      </c>
      <c r="AR1312" s="153">
        <v>0.0721861525408278</v>
      </c>
      <c r="AS1312" s="137">
        <v>0</v>
      </c>
      <c r="AT1312" s="137">
        <v>0</v>
      </c>
      <c r="AU1312" s="137">
        <v>0.333333333333333</v>
      </c>
      <c r="AV1312" s="137">
        <v>0.0972222222222222</v>
      </c>
      <c r="AW1312" s="93"/>
      <c r="AX1312" s="91"/>
    </row>
    <row r="1313" ht="14.5" spans="1:50">
      <c r="A1313" s="89"/>
      <c r="B1313" s="93"/>
      <c r="C1313" s="148" t="s">
        <v>1080</v>
      </c>
      <c r="D1313" s="126" t="s">
        <v>1081</v>
      </c>
      <c r="E1313" s="186" t="s">
        <v>1338</v>
      </c>
      <c r="F1313" s="186" t="s">
        <v>1338</v>
      </c>
      <c r="G1313" s="186" t="s">
        <v>1338</v>
      </c>
      <c r="H1313" s="186" t="s">
        <v>1338</v>
      </c>
      <c r="I1313" s="128">
        <v>0.9</v>
      </c>
      <c r="J1313" s="129">
        <v>1</v>
      </c>
      <c r="K1313" s="129">
        <v>0.954545454545455</v>
      </c>
      <c r="L1313" s="130">
        <v>0.769230769230769</v>
      </c>
      <c r="M1313" s="129">
        <v>0.904761904761905</v>
      </c>
      <c r="N1313" s="131">
        <v>0.9</v>
      </c>
      <c r="O1313" s="129">
        <v>0.978037062457104</v>
      </c>
      <c r="P1313" s="129">
        <v>0.974080267558528</v>
      </c>
      <c r="Q1313" s="129">
        <v>0.982970671712394</v>
      </c>
      <c r="R1313" s="129">
        <v>0.967570513693964</v>
      </c>
      <c r="S1313" s="131">
        <v>0.9</v>
      </c>
      <c r="T1313" s="129">
        <v>0.940974605353466</v>
      </c>
      <c r="U1313" s="129">
        <v>0.93561872909699</v>
      </c>
      <c r="V1313" s="129">
        <v>0.924314096499527</v>
      </c>
      <c r="W1313" s="129">
        <v>0.937661806785666</v>
      </c>
      <c r="X1313" s="131">
        <v>0.92</v>
      </c>
      <c r="Y1313" s="131">
        <v>0.963096960926194</v>
      </c>
      <c r="Z1313" s="131">
        <v>0.952569169960474</v>
      </c>
      <c r="AA1313" s="131">
        <v>0.959847036328872</v>
      </c>
      <c r="AB1313" s="131">
        <v>0.96415770609319</v>
      </c>
      <c r="AC1313" s="131">
        <v>0.92</v>
      </c>
      <c r="AD1313" s="129">
        <v>0.997273718647764</v>
      </c>
      <c r="AE1313" s="129">
        <v>0.998619420156466</v>
      </c>
      <c r="AF1313" s="129">
        <v>0.991688311688312</v>
      </c>
      <c r="AG1313" s="129">
        <v>0.989875820612196</v>
      </c>
      <c r="AH1313" s="131">
        <v>0.92</v>
      </c>
      <c r="AI1313" s="129">
        <v>0.972525537160972</v>
      </c>
      <c r="AJ1313" s="129">
        <v>0.967844202898551</v>
      </c>
      <c r="AK1313" s="129">
        <v>0.969567284831194</v>
      </c>
      <c r="AL1313" s="129">
        <v>0.974259974259974</v>
      </c>
      <c r="AM1313" s="128">
        <v>0.99</v>
      </c>
      <c r="AN1313" s="133">
        <v>1</v>
      </c>
      <c r="AO1313" s="133">
        <v>1</v>
      </c>
      <c r="AP1313" s="133">
        <v>1</v>
      </c>
      <c r="AQ1313" s="133">
        <v>1</v>
      </c>
      <c r="AR1313" s="153">
        <v>0.0721861525408278</v>
      </c>
      <c r="AS1313" s="137">
        <v>0.285714285714286</v>
      </c>
      <c r="AT1313" s="137">
        <v>0.0714285714285714</v>
      </c>
      <c r="AU1313" s="137">
        <v>0</v>
      </c>
      <c r="AV1313" s="137">
        <v>0.0588235294117647</v>
      </c>
      <c r="AW1313" s="93"/>
      <c r="AX1313" s="91"/>
    </row>
    <row r="1314" ht="14.5" spans="1:50">
      <c r="A1314" s="89"/>
      <c r="B1314" s="93"/>
      <c r="C1314" s="148" t="s">
        <v>1080</v>
      </c>
      <c r="D1314" s="126" t="s">
        <v>1081</v>
      </c>
      <c r="E1314" s="186" t="s">
        <v>1339</v>
      </c>
      <c r="F1314" s="186" t="s">
        <v>1339</v>
      </c>
      <c r="G1314" s="186" t="s">
        <v>1339</v>
      </c>
      <c r="H1314" s="186" t="s">
        <v>1339</v>
      </c>
      <c r="I1314" s="128">
        <v>0.9</v>
      </c>
      <c r="J1314" s="129">
        <v>0.918918918918919</v>
      </c>
      <c r="K1314" s="129">
        <v>0.8</v>
      </c>
      <c r="L1314" s="130">
        <v>0.828571428571429</v>
      </c>
      <c r="M1314" s="129">
        <v>0.835240274599542</v>
      </c>
      <c r="N1314" s="131">
        <v>0.9</v>
      </c>
      <c r="O1314" s="129">
        <v>0.854467629748529</v>
      </c>
      <c r="P1314" s="129">
        <v>0.904262295081967</v>
      </c>
      <c r="Q1314" s="129">
        <v>0.923441734417344</v>
      </c>
      <c r="R1314" s="129">
        <v>0.850542101530044</v>
      </c>
      <c r="S1314" s="131">
        <v>0.9</v>
      </c>
      <c r="T1314" s="129">
        <v>0.93151417870519</v>
      </c>
      <c r="U1314" s="129">
        <v>0.976393442622951</v>
      </c>
      <c r="V1314" s="129">
        <v>0.976287262872629</v>
      </c>
      <c r="W1314" s="129">
        <v>0.956074576958152</v>
      </c>
      <c r="X1314" s="131">
        <v>0.92</v>
      </c>
      <c r="Y1314" s="131">
        <v>0.970509383378016</v>
      </c>
      <c r="Z1314" s="131">
        <v>0.977564102564103</v>
      </c>
      <c r="AA1314" s="131">
        <v>0.970967741935484</v>
      </c>
      <c r="AB1314" s="131">
        <v>0.978687752002932</v>
      </c>
      <c r="AC1314" s="131">
        <v>0.92</v>
      </c>
      <c r="AD1314" s="129">
        <v>0.993527508090615</v>
      </c>
      <c r="AE1314" s="129">
        <v>0.99546485260771</v>
      </c>
      <c r="AF1314" s="129">
        <v>0.997076023391813</v>
      </c>
      <c r="AG1314" s="129">
        <v>0.997811534500515</v>
      </c>
      <c r="AH1314" s="131">
        <v>0.92</v>
      </c>
      <c r="AI1314" s="129">
        <v>0.978575254418854</v>
      </c>
      <c r="AJ1314" s="129">
        <v>0.987017670393076</v>
      </c>
      <c r="AK1314" s="129">
        <v>0.983431516936672</v>
      </c>
      <c r="AL1314" s="129">
        <v>0.985992378205788</v>
      </c>
      <c r="AM1314" s="128">
        <v>0.99</v>
      </c>
      <c r="AN1314" s="133">
        <v>1</v>
      </c>
      <c r="AO1314" s="133">
        <v>1</v>
      </c>
      <c r="AP1314" s="133">
        <v>1</v>
      </c>
      <c r="AQ1314" s="133">
        <v>1</v>
      </c>
      <c r="AR1314" s="153">
        <v>0.0721861525408278</v>
      </c>
      <c r="AS1314" s="137">
        <v>0.043956043956044</v>
      </c>
      <c r="AT1314" s="137">
        <v>0.03125</v>
      </c>
      <c r="AU1314" s="137">
        <v>0.01</v>
      </c>
      <c r="AV1314" s="137">
        <v>0.0273972602739726</v>
      </c>
      <c r="AW1314" s="93"/>
      <c r="AX1314" s="91"/>
    </row>
    <row r="1315" ht="14.5" spans="1:50">
      <c r="A1315" s="89"/>
      <c r="B1315" s="93"/>
      <c r="C1315" s="148" t="s">
        <v>1080</v>
      </c>
      <c r="D1315" s="126" t="s">
        <v>1081</v>
      </c>
      <c r="E1315" s="186" t="s">
        <v>1340</v>
      </c>
      <c r="F1315" s="186" t="s">
        <v>1340</v>
      </c>
      <c r="G1315" s="186" t="s">
        <v>1340</v>
      </c>
      <c r="H1315" s="186" t="s">
        <v>1340</v>
      </c>
      <c r="I1315" s="128">
        <v>0.9</v>
      </c>
      <c r="J1315" s="129">
        <v>0.966101694915254</v>
      </c>
      <c r="K1315" s="129">
        <v>0.924528301886792</v>
      </c>
      <c r="L1315" s="130">
        <v>0.87037037037037</v>
      </c>
      <c r="M1315" s="129">
        <v>0.927083333333333</v>
      </c>
      <c r="N1315" s="131">
        <v>0.9</v>
      </c>
      <c r="O1315" s="129">
        <v>0.962823725981621</v>
      </c>
      <c r="P1315" s="129">
        <v>0.924528301886792</v>
      </c>
      <c r="Q1315" s="129">
        <v>0.898365679264556</v>
      </c>
      <c r="R1315" s="129">
        <v>0.957918810748999</v>
      </c>
      <c r="S1315" s="131">
        <v>0.9</v>
      </c>
      <c r="T1315" s="129">
        <v>0.895572263993317</v>
      </c>
      <c r="U1315" s="129">
        <v>0.854986522911051</v>
      </c>
      <c r="V1315" s="129">
        <v>0.904494382022472</v>
      </c>
      <c r="W1315" s="129">
        <v>0.891137793024586</v>
      </c>
      <c r="X1315" s="131">
        <v>0.92</v>
      </c>
      <c r="Y1315" s="131">
        <v>0.967045038447455</v>
      </c>
      <c r="Z1315" s="131">
        <v>0.955714285714286</v>
      </c>
      <c r="AA1315" s="131">
        <v>0.965404394576905</v>
      </c>
      <c r="AB1315" s="131">
        <v>0.963546999795208</v>
      </c>
      <c r="AC1315" s="131">
        <v>0.92</v>
      </c>
      <c r="AD1315" s="129">
        <v>0.999077490774908</v>
      </c>
      <c r="AE1315" s="129">
        <v>0.99672988881622</v>
      </c>
      <c r="AF1315" s="129">
        <v>0.998920086393089</v>
      </c>
      <c r="AG1315" s="129">
        <v>0.997179684404354</v>
      </c>
      <c r="AH1315" s="131">
        <v>0.92</v>
      </c>
      <c r="AI1315" s="129">
        <v>0.974063962558502</v>
      </c>
      <c r="AJ1315" s="129">
        <v>0.965865992414665</v>
      </c>
      <c r="AK1315" s="129">
        <v>0.976324139614352</v>
      </c>
      <c r="AL1315" s="129">
        <v>0.973333093253147</v>
      </c>
      <c r="AM1315" s="128">
        <v>0.99</v>
      </c>
      <c r="AN1315" s="133">
        <v>1</v>
      </c>
      <c r="AO1315" s="133">
        <v>1</v>
      </c>
      <c r="AP1315" s="133">
        <v>1</v>
      </c>
      <c r="AQ1315" s="133">
        <v>1</v>
      </c>
      <c r="AR1315" s="153">
        <v>0.0721861525408278</v>
      </c>
      <c r="AS1315" s="137">
        <v>0.0645161290322581</v>
      </c>
      <c r="AT1315" s="137">
        <v>0.0547945205479452</v>
      </c>
      <c r="AU1315" s="137">
        <v>0.0147058823529412</v>
      </c>
      <c r="AV1315" s="137">
        <v>0.0248138957816377</v>
      </c>
      <c r="AW1315" s="93"/>
      <c r="AX1315" s="91"/>
    </row>
    <row r="1316" ht="14.5" spans="1:50">
      <c r="A1316" s="89"/>
      <c r="B1316" s="93"/>
      <c r="C1316" s="148" t="s">
        <v>1080</v>
      </c>
      <c r="D1316" s="126" t="s">
        <v>1081</v>
      </c>
      <c r="E1316" s="186" t="s">
        <v>1341</v>
      </c>
      <c r="F1316" s="186" t="s">
        <v>1341</v>
      </c>
      <c r="G1316" s="186" t="s">
        <v>1341</v>
      </c>
      <c r="H1316" s="186" t="s">
        <v>1341</v>
      </c>
      <c r="I1316" s="128">
        <v>0.9</v>
      </c>
      <c r="J1316" s="129">
        <v>0.891304347826087</v>
      </c>
      <c r="K1316" s="129">
        <v>0.925</v>
      </c>
      <c r="L1316" s="130">
        <v>0.888888888888889</v>
      </c>
      <c r="M1316" s="129">
        <v>0.912801484230056</v>
      </c>
      <c r="N1316" s="131">
        <v>0.9</v>
      </c>
      <c r="O1316" s="129">
        <v>0.97621407333994</v>
      </c>
      <c r="P1316" s="129">
        <v>0.969165659008464</v>
      </c>
      <c r="Q1316" s="129">
        <v>0.980682549903413</v>
      </c>
      <c r="R1316" s="129">
        <v>0.97675564313866</v>
      </c>
      <c r="S1316" s="131">
        <v>0.9</v>
      </c>
      <c r="T1316" s="129">
        <v>0.901387512388503</v>
      </c>
      <c r="U1316" s="129">
        <v>0.892986698911729</v>
      </c>
      <c r="V1316" s="129">
        <v>0.904056664520283</v>
      </c>
      <c r="W1316" s="129">
        <v>0.907112146184163</v>
      </c>
      <c r="X1316" s="131">
        <v>0.92</v>
      </c>
      <c r="Y1316" s="131">
        <v>0.954034229828851</v>
      </c>
      <c r="Z1316" s="131">
        <v>0.937721160651097</v>
      </c>
      <c r="AA1316" s="131">
        <v>0.949035812672176</v>
      </c>
      <c r="AB1316" s="131">
        <v>0.951574609147516</v>
      </c>
      <c r="AC1316" s="131">
        <v>0.92</v>
      </c>
      <c r="AD1316" s="129">
        <v>0.998613037447989</v>
      </c>
      <c r="AE1316" s="129">
        <v>0.996345919610231</v>
      </c>
      <c r="AF1316" s="129">
        <v>0.992805755395683</v>
      </c>
      <c r="AG1316" s="129">
        <v>0.995777308589843</v>
      </c>
      <c r="AH1316" s="131">
        <v>0.92</v>
      </c>
      <c r="AI1316" s="129">
        <v>0.962844488188976</v>
      </c>
      <c r="AJ1316" s="129">
        <v>0.954026736224323</v>
      </c>
      <c r="AK1316" s="129">
        <v>0.965723793677205</v>
      </c>
      <c r="AL1316" s="129">
        <v>0.965535002463385</v>
      </c>
      <c r="AM1316" s="128">
        <v>0.99</v>
      </c>
      <c r="AN1316" s="133">
        <v>1</v>
      </c>
      <c r="AO1316" s="133">
        <v>1</v>
      </c>
      <c r="AP1316" s="133">
        <v>1</v>
      </c>
      <c r="AQ1316" s="133">
        <v>1</v>
      </c>
      <c r="AR1316" s="153">
        <v>0.0721861525408278</v>
      </c>
      <c r="AS1316" s="137">
        <v>0.111111111111111</v>
      </c>
      <c r="AT1316" s="137">
        <v>0</v>
      </c>
      <c r="AU1316" s="137">
        <v>0</v>
      </c>
      <c r="AV1316" s="137">
        <v>0.0319327731092437</v>
      </c>
      <c r="AW1316" s="93"/>
      <c r="AX1316" s="91"/>
    </row>
    <row r="1317" ht="14.5" spans="1:50">
      <c r="A1317" s="89"/>
      <c r="B1317" s="93"/>
      <c r="C1317" s="148" t="s">
        <v>1080</v>
      </c>
      <c r="D1317" s="126" t="s">
        <v>1081</v>
      </c>
      <c r="E1317" s="186" t="s">
        <v>1342</v>
      </c>
      <c r="F1317" s="186" t="s">
        <v>1342</v>
      </c>
      <c r="G1317" s="186" t="s">
        <v>1342</v>
      </c>
      <c r="H1317" s="186" t="s">
        <v>1342</v>
      </c>
      <c r="I1317" s="128">
        <v>0.9</v>
      </c>
      <c r="J1317" s="129">
        <v>0.941176470588235</v>
      </c>
      <c r="K1317" s="129">
        <v>0.8125</v>
      </c>
      <c r="L1317" s="130">
        <v>1</v>
      </c>
      <c r="M1317" s="129">
        <v>0.929292929292929</v>
      </c>
      <c r="N1317" s="131">
        <v>0.9</v>
      </c>
      <c r="O1317" s="129">
        <v>0.994501718213058</v>
      </c>
      <c r="P1317" s="129">
        <v>0.992828685258964</v>
      </c>
      <c r="Q1317" s="129">
        <v>0.991275167785235</v>
      </c>
      <c r="R1317" s="129">
        <v>0.99352962127508</v>
      </c>
      <c r="S1317" s="131">
        <v>0.9</v>
      </c>
      <c r="T1317" s="129">
        <v>0.935395189003436</v>
      </c>
      <c r="U1317" s="129">
        <v>0.901195219123506</v>
      </c>
      <c r="V1317" s="129">
        <v>0.903355704697987</v>
      </c>
      <c r="W1317" s="129">
        <v>0.913391903122403</v>
      </c>
      <c r="X1317" s="131">
        <v>0.92</v>
      </c>
      <c r="Y1317" s="131" t="s">
        <v>33</v>
      </c>
      <c r="Z1317" s="131" t="s">
        <v>33</v>
      </c>
      <c r="AA1317" s="131" t="s">
        <v>33</v>
      </c>
      <c r="AB1317" s="131" t="s">
        <v>33</v>
      </c>
      <c r="AC1317" s="131">
        <v>0.92</v>
      </c>
      <c r="AD1317" s="129">
        <v>0.977272727272727</v>
      </c>
      <c r="AE1317" s="129">
        <v>1</v>
      </c>
      <c r="AF1317" s="129">
        <v>1</v>
      </c>
      <c r="AG1317" s="129">
        <v>0.99002493765586</v>
      </c>
      <c r="AH1317" s="131">
        <v>0.92</v>
      </c>
      <c r="AI1317" s="129">
        <v>0.984879725085911</v>
      </c>
      <c r="AJ1317" s="129">
        <v>0.972908366533865</v>
      </c>
      <c r="AK1317" s="129">
        <v>0.980536912751678</v>
      </c>
      <c r="AL1317" s="129">
        <v>0.983141398551585</v>
      </c>
      <c r="AM1317" s="128">
        <v>0.99</v>
      </c>
      <c r="AN1317" s="133">
        <v>1</v>
      </c>
      <c r="AO1317" s="133">
        <v>1</v>
      </c>
      <c r="AP1317" s="133">
        <v>1</v>
      </c>
      <c r="AQ1317" s="133">
        <v>1</v>
      </c>
      <c r="AR1317" s="153">
        <v>0.0721861525408278</v>
      </c>
      <c r="AS1317" s="137">
        <v>0</v>
      </c>
      <c r="AT1317" s="137">
        <v>0.0222222222222222</v>
      </c>
      <c r="AU1317" s="137">
        <v>0</v>
      </c>
      <c r="AV1317" s="137">
        <v>0.0186046511627907</v>
      </c>
      <c r="AW1317" s="93"/>
      <c r="AX1317" s="91"/>
    </row>
    <row r="1318" ht="14.5" spans="1:50">
      <c r="A1318" s="89"/>
      <c r="B1318" s="93"/>
      <c r="C1318" s="148" t="s">
        <v>1080</v>
      </c>
      <c r="D1318" s="126" t="s">
        <v>1081</v>
      </c>
      <c r="E1318" s="186" t="s">
        <v>1343</v>
      </c>
      <c r="F1318" s="186" t="s">
        <v>1343</v>
      </c>
      <c r="G1318" s="186" t="s">
        <v>1343</v>
      </c>
      <c r="H1318" s="186" t="s">
        <v>1343</v>
      </c>
      <c r="I1318" s="128">
        <v>0.9</v>
      </c>
      <c r="J1318" s="129">
        <v>1</v>
      </c>
      <c r="K1318" s="129">
        <v>0.866666666666667</v>
      </c>
      <c r="L1318" s="130">
        <v>0.920634920634921</v>
      </c>
      <c r="M1318" s="129">
        <v>0.904441453566622</v>
      </c>
      <c r="N1318" s="131">
        <v>0.9</v>
      </c>
      <c r="O1318" s="129">
        <v>0.986645962732919</v>
      </c>
      <c r="P1318" s="129">
        <v>0.965650328058665</v>
      </c>
      <c r="Q1318" s="129">
        <v>0.960603520536463</v>
      </c>
      <c r="R1318" s="129">
        <v>0.963343195266272</v>
      </c>
      <c r="S1318" s="131">
        <v>0.9</v>
      </c>
      <c r="T1318" s="129">
        <v>0.930124223602484</v>
      </c>
      <c r="U1318" s="129">
        <v>0.939405634890004</v>
      </c>
      <c r="V1318" s="129">
        <v>0.936714165968147</v>
      </c>
      <c r="W1318" s="129">
        <v>0.930710059171598</v>
      </c>
      <c r="X1318" s="131">
        <v>0.92</v>
      </c>
      <c r="Y1318" s="131">
        <v>0.963347388906909</v>
      </c>
      <c r="Z1318" s="131">
        <v>0.958564715933362</v>
      </c>
      <c r="AA1318" s="131">
        <v>0.979376498800959</v>
      </c>
      <c r="AB1318" s="131">
        <v>0.970303867403315</v>
      </c>
      <c r="AC1318" s="131">
        <v>0.92</v>
      </c>
      <c r="AD1318" s="129">
        <v>0.992082825822168</v>
      </c>
      <c r="AE1318" s="129">
        <v>0.979822437449556</v>
      </c>
      <c r="AF1318" s="129">
        <v>0.964422550629447</v>
      </c>
      <c r="AG1318" s="129">
        <v>0.974988372693918</v>
      </c>
      <c r="AH1318" s="131">
        <v>0.92</v>
      </c>
      <c r="AI1318" s="129">
        <v>0.973988897700238</v>
      </c>
      <c r="AJ1318" s="129">
        <v>0.974457733630651</v>
      </c>
      <c r="AK1318" s="129">
        <v>0.986132856184299</v>
      </c>
      <c r="AL1318" s="129">
        <v>0.979690968962794</v>
      </c>
      <c r="AM1318" s="128">
        <v>0.99</v>
      </c>
      <c r="AN1318" s="133">
        <v>1</v>
      </c>
      <c r="AO1318" s="133">
        <v>1</v>
      </c>
      <c r="AP1318" s="133">
        <v>1</v>
      </c>
      <c r="AQ1318" s="133">
        <v>1</v>
      </c>
      <c r="AR1318" s="153">
        <v>0.0721861525408278</v>
      </c>
      <c r="AS1318" s="137">
        <v>0.25</v>
      </c>
      <c r="AT1318" s="137">
        <v>0</v>
      </c>
      <c r="AU1318" s="137">
        <v>0</v>
      </c>
      <c r="AV1318" s="137">
        <v>0.041958041958042</v>
      </c>
      <c r="AW1318" s="93"/>
      <c r="AX1318" s="91"/>
    </row>
    <row r="1319" ht="14.5" spans="1:50">
      <c r="A1319" s="89"/>
      <c r="B1319" s="93"/>
      <c r="C1319" s="148" t="s">
        <v>1080</v>
      </c>
      <c r="D1319" s="126" t="s">
        <v>1081</v>
      </c>
      <c r="E1319" s="186" t="s">
        <v>1344</v>
      </c>
      <c r="F1319" s="186" t="s">
        <v>1344</v>
      </c>
      <c r="G1319" s="186" t="s">
        <v>1344</v>
      </c>
      <c r="H1319" s="186" t="s">
        <v>1344</v>
      </c>
      <c r="I1319" s="128">
        <v>0.9</v>
      </c>
      <c r="J1319" s="129">
        <v>0.852941176470588</v>
      </c>
      <c r="K1319" s="129">
        <v>0.96551724137931</v>
      </c>
      <c r="L1319" s="130">
        <v>0.766666666666667</v>
      </c>
      <c r="M1319" s="129">
        <v>0.91820580474934</v>
      </c>
      <c r="N1319" s="131">
        <v>0.9</v>
      </c>
      <c r="O1319" s="129">
        <v>0.97070914696814</v>
      </c>
      <c r="P1319" s="129">
        <v>0.977091633466135</v>
      </c>
      <c r="Q1319" s="129">
        <v>0.986436498150432</v>
      </c>
      <c r="R1319" s="129">
        <v>0.970765939880662</v>
      </c>
      <c r="S1319" s="131">
        <v>0.9</v>
      </c>
      <c r="T1319" s="129">
        <v>0.945529290853032</v>
      </c>
      <c r="U1319" s="129">
        <v>0.939243027888446</v>
      </c>
      <c r="V1319" s="129">
        <v>0.916974928072339</v>
      </c>
      <c r="W1319" s="129">
        <v>0.939805606634893</v>
      </c>
      <c r="X1319" s="131">
        <v>0.92</v>
      </c>
      <c r="Y1319" s="131" t="s">
        <v>33</v>
      </c>
      <c r="Z1319" s="131" t="s">
        <v>33</v>
      </c>
      <c r="AA1319" s="131" t="s">
        <v>33</v>
      </c>
      <c r="AB1319" s="131" t="s">
        <v>33</v>
      </c>
      <c r="AC1319" s="131">
        <v>0.92</v>
      </c>
      <c r="AD1319" s="129">
        <v>0.993263931414574</v>
      </c>
      <c r="AE1319" s="129">
        <v>0.997989949748744</v>
      </c>
      <c r="AF1319" s="129">
        <v>0.939393939393939</v>
      </c>
      <c r="AG1319" s="129">
        <v>0.991287193818839</v>
      </c>
      <c r="AH1319" s="131">
        <v>0.92</v>
      </c>
      <c r="AI1319" s="129">
        <v>0.974306269270298</v>
      </c>
      <c r="AJ1319" s="129">
        <v>0.969621513944223</v>
      </c>
      <c r="AK1319" s="129">
        <v>0.982737361282367</v>
      </c>
      <c r="AL1319" s="129">
        <v>0.982549630352385</v>
      </c>
      <c r="AM1319" s="128">
        <v>0.99</v>
      </c>
      <c r="AN1319" s="133">
        <v>1</v>
      </c>
      <c r="AO1319" s="133">
        <v>1</v>
      </c>
      <c r="AP1319" s="133">
        <v>1</v>
      </c>
      <c r="AQ1319" s="133">
        <v>1</v>
      </c>
      <c r="AR1319" s="153">
        <v>0.0721861525408278</v>
      </c>
      <c r="AS1319" s="137">
        <v>0</v>
      </c>
      <c r="AT1319" s="137">
        <v>0.333333333333333</v>
      </c>
      <c r="AU1319" s="137">
        <v>0</v>
      </c>
      <c r="AV1319" s="137">
        <v>0.0416666666666667</v>
      </c>
      <c r="AW1319" s="93"/>
      <c r="AX1319" s="91"/>
    </row>
    <row r="1320" ht="14.5" spans="1:50">
      <c r="A1320" s="89"/>
      <c r="B1320" s="93"/>
      <c r="C1320" s="148" t="s">
        <v>1080</v>
      </c>
      <c r="D1320" s="126" t="s">
        <v>1081</v>
      </c>
      <c r="E1320" s="186" t="s">
        <v>1345</v>
      </c>
      <c r="F1320" s="186" t="s">
        <v>1345</v>
      </c>
      <c r="G1320" s="186" t="s">
        <v>1345</v>
      </c>
      <c r="H1320" s="186" t="s">
        <v>1345</v>
      </c>
      <c r="I1320" s="128">
        <v>0.9</v>
      </c>
      <c r="J1320" s="129">
        <v>1</v>
      </c>
      <c r="K1320" s="129">
        <v>0.566666666666667</v>
      </c>
      <c r="L1320" s="130">
        <v>0.966666666666667</v>
      </c>
      <c r="M1320" s="129">
        <v>0.863509749303621</v>
      </c>
      <c r="N1320" s="131">
        <v>0.9</v>
      </c>
      <c r="O1320" s="129">
        <v>0.987270875763748</v>
      </c>
      <c r="P1320" s="129">
        <v>0.988193624557261</v>
      </c>
      <c r="Q1320" s="129">
        <v>0.991019308486753</v>
      </c>
      <c r="R1320" s="129">
        <v>0.988552133091748</v>
      </c>
      <c r="S1320" s="131">
        <v>0.9</v>
      </c>
      <c r="T1320" s="129">
        <v>0.967413441955194</v>
      </c>
      <c r="U1320" s="129">
        <v>0.964580873671783</v>
      </c>
      <c r="V1320" s="129">
        <v>0.971261787157611</v>
      </c>
      <c r="W1320" s="129">
        <v>0.95910887827376</v>
      </c>
      <c r="X1320" s="131">
        <v>0.92</v>
      </c>
      <c r="Y1320" s="131" t="s">
        <v>33</v>
      </c>
      <c r="Z1320" s="131" t="s">
        <v>33</v>
      </c>
      <c r="AA1320" s="131" t="s">
        <v>33</v>
      </c>
      <c r="AB1320" s="131" t="s">
        <v>33</v>
      </c>
      <c r="AC1320" s="131">
        <v>0.92</v>
      </c>
      <c r="AD1320" s="129">
        <v>0.998349834983498</v>
      </c>
      <c r="AE1320" s="129">
        <v>1</v>
      </c>
      <c r="AF1320" s="129">
        <v>1</v>
      </c>
      <c r="AG1320" s="129">
        <v>0.998784687056917</v>
      </c>
      <c r="AH1320" s="131">
        <v>0.92</v>
      </c>
      <c r="AI1320" s="129">
        <v>0.983197556008147</v>
      </c>
      <c r="AJ1320" s="129">
        <v>0.975206611570248</v>
      </c>
      <c r="AK1320" s="129">
        <v>0.977997305792546</v>
      </c>
      <c r="AL1320" s="129">
        <v>0.979822105089771</v>
      </c>
      <c r="AM1320" s="128">
        <v>0.99</v>
      </c>
      <c r="AN1320" s="133">
        <v>1</v>
      </c>
      <c r="AO1320" s="133">
        <v>1</v>
      </c>
      <c r="AP1320" s="133">
        <v>1</v>
      </c>
      <c r="AQ1320" s="133">
        <v>1</v>
      </c>
      <c r="AR1320" s="153">
        <v>0.0721861525408278</v>
      </c>
      <c r="AS1320" s="137">
        <v>0.166666666666667</v>
      </c>
      <c r="AT1320" s="137">
        <v>0</v>
      </c>
      <c r="AU1320" s="137">
        <v>0</v>
      </c>
      <c r="AV1320" s="137">
        <v>0.0408163265306122</v>
      </c>
      <c r="AW1320" s="93"/>
      <c r="AX1320" s="91"/>
    </row>
    <row r="1321" ht="14.5" spans="1:50">
      <c r="A1321" s="89"/>
      <c r="B1321" s="93"/>
      <c r="C1321" s="148" t="s">
        <v>1080</v>
      </c>
      <c r="D1321" s="126" t="s">
        <v>1081</v>
      </c>
      <c r="E1321" s="186" t="s">
        <v>1346</v>
      </c>
      <c r="F1321" s="186" t="s">
        <v>1346</v>
      </c>
      <c r="G1321" s="186" t="s">
        <v>1346</v>
      </c>
      <c r="H1321" s="186" t="s">
        <v>1346</v>
      </c>
      <c r="I1321" s="128">
        <v>0.9</v>
      </c>
      <c r="J1321" s="129">
        <v>1</v>
      </c>
      <c r="K1321" s="129">
        <v>1</v>
      </c>
      <c r="L1321" s="130">
        <v>1</v>
      </c>
      <c r="M1321" s="129">
        <v>0.972809667673716</v>
      </c>
      <c r="N1321" s="131">
        <v>0.9</v>
      </c>
      <c r="O1321" s="129">
        <v>0.988669950738916</v>
      </c>
      <c r="P1321" s="129">
        <v>0.988165680473373</v>
      </c>
      <c r="Q1321" s="129">
        <v>0.989059967585089</v>
      </c>
      <c r="R1321" s="129">
        <v>0.983705755841505</v>
      </c>
      <c r="S1321" s="131">
        <v>0.9</v>
      </c>
      <c r="T1321" s="129">
        <v>0.959113300492611</v>
      </c>
      <c r="U1321" s="129">
        <v>0.92200107584723</v>
      </c>
      <c r="V1321" s="129">
        <v>0.957860615883306</v>
      </c>
      <c r="W1321" s="129">
        <v>0.955965443079503</v>
      </c>
      <c r="X1321" s="131">
        <v>0.92</v>
      </c>
      <c r="Y1321" s="131">
        <v>0</v>
      </c>
      <c r="Z1321" s="131" t="s">
        <v>33</v>
      </c>
      <c r="AA1321" s="131" t="s">
        <v>33</v>
      </c>
      <c r="AB1321" s="131">
        <v>0</v>
      </c>
      <c r="AC1321" s="131">
        <v>0.92</v>
      </c>
      <c r="AD1321" s="129">
        <v>1</v>
      </c>
      <c r="AE1321" s="129">
        <v>1</v>
      </c>
      <c r="AF1321" s="129">
        <v>1</v>
      </c>
      <c r="AG1321" s="129">
        <v>0.996594502554123</v>
      </c>
      <c r="AH1321" s="131">
        <v>0.92</v>
      </c>
      <c r="AI1321" s="129">
        <v>0.984251968503937</v>
      </c>
      <c r="AJ1321" s="129">
        <v>0.976331360946746</v>
      </c>
      <c r="AK1321" s="129">
        <v>0.98419773095624</v>
      </c>
      <c r="AL1321" s="129">
        <v>0.986112629852378</v>
      </c>
      <c r="AM1321" s="128">
        <v>0.99</v>
      </c>
      <c r="AN1321" s="133">
        <v>1</v>
      </c>
      <c r="AO1321" s="133">
        <v>1</v>
      </c>
      <c r="AP1321" s="133">
        <v>1</v>
      </c>
      <c r="AQ1321" s="133">
        <v>1</v>
      </c>
      <c r="AR1321" s="153">
        <v>0.0721861525408278</v>
      </c>
      <c r="AS1321" s="137">
        <v>0</v>
      </c>
      <c r="AT1321" s="137">
        <v>0</v>
      </c>
      <c r="AU1321" s="137">
        <v>0</v>
      </c>
      <c r="AV1321" s="137">
        <v>0.0246913580246914</v>
      </c>
      <c r="AW1321" s="93"/>
      <c r="AX1321" s="91"/>
    </row>
    <row r="1322" ht="14.5" spans="1:50">
      <c r="A1322" s="89"/>
      <c r="B1322" s="93"/>
      <c r="C1322" s="148" t="s">
        <v>1080</v>
      </c>
      <c r="D1322" s="126" t="s">
        <v>1081</v>
      </c>
      <c r="E1322" s="186" t="s">
        <v>1347</v>
      </c>
      <c r="F1322" s="186" t="s">
        <v>1347</v>
      </c>
      <c r="G1322" s="186" t="s">
        <v>1347</v>
      </c>
      <c r="H1322" s="186" t="s">
        <v>1347</v>
      </c>
      <c r="I1322" s="128">
        <v>0.9</v>
      </c>
      <c r="J1322" s="129">
        <v>0.884615384615385</v>
      </c>
      <c r="K1322" s="129">
        <v>0.875</v>
      </c>
      <c r="L1322" s="130">
        <v>0.833333333333333</v>
      </c>
      <c r="M1322" s="129">
        <v>0.917197452229299</v>
      </c>
      <c r="N1322" s="131">
        <v>0.9</v>
      </c>
      <c r="O1322" s="129">
        <v>0.951807228915663</v>
      </c>
      <c r="P1322" s="129">
        <v>0.901911468812877</v>
      </c>
      <c r="Q1322" s="129">
        <v>0.951505670707861</v>
      </c>
      <c r="R1322" s="129">
        <v>0.943935119887165</v>
      </c>
      <c r="S1322" s="131">
        <v>0.9</v>
      </c>
      <c r="T1322" s="129">
        <v>0.899096385542169</v>
      </c>
      <c r="U1322" s="129">
        <v>0.868209255533199</v>
      </c>
      <c r="V1322" s="129">
        <v>0.918654673445444</v>
      </c>
      <c r="W1322" s="129">
        <v>0.904583921015515</v>
      </c>
      <c r="X1322" s="131">
        <v>0.92</v>
      </c>
      <c r="Y1322" s="131" t="s">
        <v>33</v>
      </c>
      <c r="Z1322" s="131" t="s">
        <v>33</v>
      </c>
      <c r="AA1322" s="131" t="s">
        <v>33</v>
      </c>
      <c r="AB1322" s="131">
        <v>1</v>
      </c>
      <c r="AC1322" s="131">
        <v>0.92</v>
      </c>
      <c r="AD1322" s="129">
        <v>0.999184006527948</v>
      </c>
      <c r="AE1322" s="129">
        <v>0.994423246257705</v>
      </c>
      <c r="AF1322" s="129">
        <v>0.854304635761589</v>
      </c>
      <c r="AG1322" s="129">
        <v>0.992914732470071</v>
      </c>
      <c r="AH1322" s="131">
        <v>0.92</v>
      </c>
      <c r="AI1322" s="129">
        <v>0.936778725539388</v>
      </c>
      <c r="AJ1322" s="129">
        <v>0.921529175050302</v>
      </c>
      <c r="AK1322" s="129">
        <v>0.944466171294486</v>
      </c>
      <c r="AL1322" s="129">
        <v>0.955224933013679</v>
      </c>
      <c r="AM1322" s="128">
        <v>0.99</v>
      </c>
      <c r="AN1322" s="133">
        <v>1</v>
      </c>
      <c r="AO1322" s="133">
        <v>1</v>
      </c>
      <c r="AP1322" s="133">
        <v>1</v>
      </c>
      <c r="AQ1322" s="133">
        <v>1</v>
      </c>
      <c r="AR1322" s="153">
        <v>0.0721861525408278</v>
      </c>
      <c r="AS1322" s="137">
        <v>0.0625</v>
      </c>
      <c r="AT1322" s="137">
        <v>0.0833333333333333</v>
      </c>
      <c r="AU1322" s="137">
        <v>0.1</v>
      </c>
      <c r="AV1322" s="137">
        <v>0.043859649122807</v>
      </c>
      <c r="AW1322" s="93"/>
      <c r="AX1322" s="91"/>
    </row>
    <row r="1323" ht="14.5" spans="1:50">
      <c r="A1323" s="89"/>
      <c r="B1323" s="93"/>
      <c r="C1323" s="148" t="s">
        <v>1080</v>
      </c>
      <c r="D1323" s="126" t="s">
        <v>1081</v>
      </c>
      <c r="E1323" s="186" t="s">
        <v>1348</v>
      </c>
      <c r="F1323" s="186" t="s">
        <v>1348</v>
      </c>
      <c r="G1323" s="186" t="s">
        <v>1348</v>
      </c>
      <c r="H1323" s="186" t="s">
        <v>1348</v>
      </c>
      <c r="I1323" s="128">
        <v>0.9</v>
      </c>
      <c r="J1323" s="129">
        <v>0.932203389830508</v>
      </c>
      <c r="K1323" s="129">
        <v>0.941176470588235</v>
      </c>
      <c r="L1323" s="130">
        <v>0.929824561403509</v>
      </c>
      <c r="M1323" s="129">
        <v>0.940298507462687</v>
      </c>
      <c r="N1323" s="131">
        <v>0.9</v>
      </c>
      <c r="O1323" s="129">
        <v>0.981576808452994</v>
      </c>
      <c r="P1323" s="129">
        <v>0.960694398951851</v>
      </c>
      <c r="Q1323" s="129">
        <v>0.981735159817352</v>
      </c>
      <c r="R1323" s="129">
        <v>0.975135843711018</v>
      </c>
      <c r="S1323" s="131">
        <v>0.9</v>
      </c>
      <c r="T1323" s="129">
        <v>0.929287455973991</v>
      </c>
      <c r="U1323" s="129">
        <v>0.886013756960367</v>
      </c>
      <c r="V1323" s="129">
        <v>0.922628107559614</v>
      </c>
      <c r="W1323" s="129">
        <v>0.916485189335476</v>
      </c>
      <c r="X1323" s="131">
        <v>0.92</v>
      </c>
      <c r="Y1323" s="131">
        <v>0.951749734888653</v>
      </c>
      <c r="Z1323" s="131">
        <v>0.937712344280861</v>
      </c>
      <c r="AA1323" s="131">
        <v>0.959213759213759</v>
      </c>
      <c r="AB1323" s="131">
        <v>0.942407546870665</v>
      </c>
      <c r="AC1323" s="131">
        <v>0.92</v>
      </c>
      <c r="AD1323" s="129">
        <v>0.997719498289624</v>
      </c>
      <c r="AE1323" s="129">
        <v>1</v>
      </c>
      <c r="AF1323" s="129">
        <v>1</v>
      </c>
      <c r="AG1323" s="129">
        <v>0.997709154219738</v>
      </c>
      <c r="AH1323" s="131">
        <v>0.92</v>
      </c>
      <c r="AI1323" s="129">
        <v>0.965937612047329</v>
      </c>
      <c r="AJ1323" s="129">
        <v>0.954969910769869</v>
      </c>
      <c r="AK1323" s="129">
        <v>0.974903797891919</v>
      </c>
      <c r="AL1323" s="129">
        <v>0.966124829383298</v>
      </c>
      <c r="AM1323" s="128">
        <v>0.99</v>
      </c>
      <c r="AN1323" s="133">
        <v>1</v>
      </c>
      <c r="AO1323" s="133">
        <v>1</v>
      </c>
      <c r="AP1323" s="133">
        <v>1</v>
      </c>
      <c r="AQ1323" s="133">
        <v>1</v>
      </c>
      <c r="AR1323" s="153">
        <v>0.0721861525408278</v>
      </c>
      <c r="AS1323" s="137">
        <v>0</v>
      </c>
      <c r="AT1323" s="137">
        <v>0.0555555555555556</v>
      </c>
      <c r="AU1323" s="137">
        <v>0.0465116279069767</v>
      </c>
      <c r="AV1323" s="137">
        <v>0.0315315315315315</v>
      </c>
      <c r="AW1323" s="93"/>
      <c r="AX1323" s="91"/>
    </row>
    <row r="1324" ht="14.5" spans="1:50">
      <c r="A1324" s="89"/>
      <c r="B1324" s="93"/>
      <c r="C1324" s="148" t="s">
        <v>1080</v>
      </c>
      <c r="D1324" s="126" t="s">
        <v>1081</v>
      </c>
      <c r="E1324" s="186" t="s">
        <v>1349</v>
      </c>
      <c r="F1324" s="186" t="s">
        <v>1349</v>
      </c>
      <c r="G1324" s="186" t="s">
        <v>1349</v>
      </c>
      <c r="H1324" s="186" t="s">
        <v>1349</v>
      </c>
      <c r="I1324" s="128">
        <v>0.9</v>
      </c>
      <c r="J1324" s="129">
        <v>0.979166666666667</v>
      </c>
      <c r="K1324" s="129">
        <v>0.975609756097561</v>
      </c>
      <c r="L1324" s="130">
        <v>0.954545454545455</v>
      </c>
      <c r="M1324" s="129">
        <v>0.977485928705441</v>
      </c>
      <c r="N1324" s="131">
        <v>0.9</v>
      </c>
      <c r="O1324" s="129">
        <v>0.974513274336283</v>
      </c>
      <c r="P1324" s="129">
        <v>0.988172453262114</v>
      </c>
      <c r="Q1324" s="129">
        <v>0.964583933198963</v>
      </c>
      <c r="R1324" s="129">
        <v>0.957929143821172</v>
      </c>
      <c r="S1324" s="131">
        <v>0.9</v>
      </c>
      <c r="T1324" s="129">
        <v>0.940884955752212</v>
      </c>
      <c r="U1324" s="129">
        <v>0.924456314383823</v>
      </c>
      <c r="V1324" s="129">
        <v>0.918802188309819</v>
      </c>
      <c r="W1324" s="129">
        <v>0.926929565584142</v>
      </c>
      <c r="X1324" s="131">
        <v>0.92</v>
      </c>
      <c r="Y1324" s="131" t="s">
        <v>33</v>
      </c>
      <c r="Z1324" s="131" t="s">
        <v>33</v>
      </c>
      <c r="AA1324" s="131" t="s">
        <v>33</v>
      </c>
      <c r="AB1324" s="131" t="s">
        <v>33</v>
      </c>
      <c r="AC1324" s="131">
        <v>0.92</v>
      </c>
      <c r="AD1324" s="129">
        <v>0.995652173913044</v>
      </c>
      <c r="AE1324" s="129">
        <v>0.991208791208791</v>
      </c>
      <c r="AF1324" s="129">
        <v>1</v>
      </c>
      <c r="AG1324" s="129">
        <v>0.995859213250518</v>
      </c>
      <c r="AH1324" s="131">
        <v>0.92</v>
      </c>
      <c r="AI1324" s="129">
        <v>0.964247787610619</v>
      </c>
      <c r="AJ1324" s="129">
        <v>0.954979015642884</v>
      </c>
      <c r="AK1324" s="129">
        <v>0.966599481716096</v>
      </c>
      <c r="AL1324" s="129">
        <v>0.966074441164066</v>
      </c>
      <c r="AM1324" s="128">
        <v>0.99</v>
      </c>
      <c r="AN1324" s="133">
        <v>1</v>
      </c>
      <c r="AO1324" s="133">
        <v>1</v>
      </c>
      <c r="AP1324" s="133">
        <v>1</v>
      </c>
      <c r="AQ1324" s="133">
        <v>1</v>
      </c>
      <c r="AR1324" s="153">
        <v>0.0721861525408278</v>
      </c>
      <c r="AS1324" s="137">
        <v>0.0526315789473684</v>
      </c>
      <c r="AT1324" s="137">
        <v>0</v>
      </c>
      <c r="AU1324" s="137">
        <v>0</v>
      </c>
      <c r="AV1324" s="137">
        <v>0.0386100386100386</v>
      </c>
      <c r="AW1324" s="93"/>
      <c r="AX1324" s="91"/>
    </row>
    <row r="1325" ht="14.5" spans="1:50">
      <c r="A1325" s="89"/>
      <c r="B1325" s="93"/>
      <c r="C1325" s="148" t="s">
        <v>1080</v>
      </c>
      <c r="D1325" s="126" t="s">
        <v>1081</v>
      </c>
      <c r="E1325" s="186" t="s">
        <v>1350</v>
      </c>
      <c r="F1325" s="186" t="s">
        <v>1350</v>
      </c>
      <c r="G1325" s="186" t="s">
        <v>1350</v>
      </c>
      <c r="H1325" s="186" t="s">
        <v>1350</v>
      </c>
      <c r="I1325" s="128">
        <v>0.9</v>
      </c>
      <c r="J1325" s="129">
        <v>1</v>
      </c>
      <c r="K1325" s="129">
        <v>0.970588235294118</v>
      </c>
      <c r="L1325" s="130">
        <v>1</v>
      </c>
      <c r="M1325" s="129">
        <v>0.949029126213592</v>
      </c>
      <c r="N1325" s="131">
        <v>0.9</v>
      </c>
      <c r="O1325" s="129">
        <v>0.987881508078995</v>
      </c>
      <c r="P1325" s="129">
        <v>0.987354577642893</v>
      </c>
      <c r="Q1325" s="129">
        <v>0.988615497612927</v>
      </c>
      <c r="R1325" s="129">
        <v>0.988540949759119</v>
      </c>
      <c r="S1325" s="131">
        <v>0.9</v>
      </c>
      <c r="T1325" s="129">
        <v>0.956912028725314</v>
      </c>
      <c r="U1325" s="129">
        <v>0.938290338897319</v>
      </c>
      <c r="V1325" s="129">
        <v>0.961806830701432</v>
      </c>
      <c r="W1325" s="129">
        <v>0.956125258086717</v>
      </c>
      <c r="X1325" s="131">
        <v>0.92</v>
      </c>
      <c r="Y1325" s="131">
        <v>0</v>
      </c>
      <c r="Z1325" s="131" t="s">
        <v>33</v>
      </c>
      <c r="AA1325" s="131" t="s">
        <v>33</v>
      </c>
      <c r="AB1325" s="131">
        <v>0.5</v>
      </c>
      <c r="AC1325" s="131">
        <v>0.92</v>
      </c>
      <c r="AD1325" s="129">
        <v>1</v>
      </c>
      <c r="AE1325" s="129">
        <v>1</v>
      </c>
      <c r="AF1325" s="129">
        <v>0.992753623188406</v>
      </c>
      <c r="AG1325" s="129">
        <v>0.997126436781609</v>
      </c>
      <c r="AH1325" s="131">
        <v>0.92</v>
      </c>
      <c r="AI1325" s="129">
        <v>0.976222521310005</v>
      </c>
      <c r="AJ1325" s="129">
        <v>0.975720789074355</v>
      </c>
      <c r="AK1325" s="129">
        <v>0.98347410943812</v>
      </c>
      <c r="AL1325" s="129">
        <v>0.981625490331016</v>
      </c>
      <c r="AM1325" s="128">
        <v>0.99</v>
      </c>
      <c r="AN1325" s="133">
        <v>1</v>
      </c>
      <c r="AO1325" s="133">
        <v>1</v>
      </c>
      <c r="AP1325" s="133">
        <v>1</v>
      </c>
      <c r="AQ1325" s="133">
        <v>1</v>
      </c>
      <c r="AR1325" s="153">
        <v>0.0721861525408278</v>
      </c>
      <c r="AS1325" s="137">
        <v>0</v>
      </c>
      <c r="AT1325" s="137">
        <v>0</v>
      </c>
      <c r="AU1325" s="137">
        <v>0</v>
      </c>
      <c r="AV1325" s="137">
        <v>0.0232558139534884</v>
      </c>
      <c r="AW1325" s="93"/>
      <c r="AX1325" s="91"/>
    </row>
    <row r="1326" ht="14.5" spans="1:50">
      <c r="A1326" s="89"/>
      <c r="B1326" s="93"/>
      <c r="C1326" s="148" t="s">
        <v>1080</v>
      </c>
      <c r="D1326" s="126" t="s">
        <v>1081</v>
      </c>
      <c r="E1326" s="186" t="s">
        <v>1351</v>
      </c>
      <c r="F1326" s="186" t="s">
        <v>1351</v>
      </c>
      <c r="G1326" s="186" t="s">
        <v>1351</v>
      </c>
      <c r="H1326" s="186" t="s">
        <v>1351</v>
      </c>
      <c r="I1326" s="128">
        <v>0.9</v>
      </c>
      <c r="J1326" s="129">
        <v>0.947368421052632</v>
      </c>
      <c r="K1326" s="129">
        <v>0.972222222222222</v>
      </c>
      <c r="L1326" s="130">
        <v>0.945945945945946</v>
      </c>
      <c r="M1326" s="129">
        <v>0.944320712694877</v>
      </c>
      <c r="N1326" s="131">
        <v>0.9</v>
      </c>
      <c r="O1326" s="129">
        <v>0.985687022900763</v>
      </c>
      <c r="P1326" s="129">
        <v>0.985574446161772</v>
      </c>
      <c r="Q1326" s="129">
        <v>0.991971095945403</v>
      </c>
      <c r="R1326" s="129">
        <v>0.978685808945334</v>
      </c>
      <c r="S1326" s="131">
        <v>0.9</v>
      </c>
      <c r="T1326" s="129">
        <v>0.964217557251908</v>
      </c>
      <c r="U1326" s="129">
        <v>0.952601751674395</v>
      </c>
      <c r="V1326" s="129">
        <v>0.969891609795263</v>
      </c>
      <c r="W1326" s="129">
        <v>0.957150745444506</v>
      </c>
      <c r="X1326" s="131">
        <v>0.92</v>
      </c>
      <c r="Y1326" s="131" t="s">
        <v>33</v>
      </c>
      <c r="Z1326" s="131" t="s">
        <v>33</v>
      </c>
      <c r="AA1326" s="131" t="s">
        <v>33</v>
      </c>
      <c r="AB1326" s="131">
        <v>1</v>
      </c>
      <c r="AC1326" s="131">
        <v>0.92</v>
      </c>
      <c r="AD1326" s="129">
        <v>1</v>
      </c>
      <c r="AE1326" s="129">
        <v>0.995726495726496</v>
      </c>
      <c r="AF1326" s="129">
        <v>0.996610169491525</v>
      </c>
      <c r="AG1326" s="129">
        <v>0.998422298185643</v>
      </c>
      <c r="AH1326" s="131">
        <v>0.92</v>
      </c>
      <c r="AI1326" s="129">
        <v>0.971851145038168</v>
      </c>
      <c r="AJ1326" s="129">
        <v>0.978876867594024</v>
      </c>
      <c r="AK1326" s="129">
        <v>0.985949417904456</v>
      </c>
      <c r="AL1326" s="129">
        <v>0.981852315394243</v>
      </c>
      <c r="AM1326" s="128">
        <v>0.99</v>
      </c>
      <c r="AN1326" s="133">
        <v>1</v>
      </c>
      <c r="AO1326" s="133">
        <v>1</v>
      </c>
      <c r="AP1326" s="133">
        <v>1</v>
      </c>
      <c r="AQ1326" s="133">
        <v>1</v>
      </c>
      <c r="AR1326" s="153">
        <v>0.0721861525408278</v>
      </c>
      <c r="AS1326" s="137">
        <v>0</v>
      </c>
      <c r="AT1326" s="137">
        <v>0</v>
      </c>
      <c r="AU1326" s="137">
        <v>0</v>
      </c>
      <c r="AV1326" s="137">
        <v>0.0142857142857143</v>
      </c>
      <c r="AW1326" s="93"/>
      <c r="AX1326" s="91"/>
    </row>
    <row r="1327" ht="14.5" spans="1:50">
      <c r="A1327" s="89"/>
      <c r="B1327" s="93"/>
      <c r="C1327" s="148" t="s">
        <v>1080</v>
      </c>
      <c r="D1327" s="126" t="s">
        <v>1081</v>
      </c>
      <c r="E1327" s="186" t="s">
        <v>1352</v>
      </c>
      <c r="F1327" s="186" t="s">
        <v>1352</v>
      </c>
      <c r="G1327" s="186" t="s">
        <v>1352</v>
      </c>
      <c r="H1327" s="186" t="s">
        <v>1352</v>
      </c>
      <c r="I1327" s="128">
        <v>0.9</v>
      </c>
      <c r="J1327" s="129">
        <v>0.88135593220339</v>
      </c>
      <c r="K1327" s="129">
        <v>0.944444444444444</v>
      </c>
      <c r="L1327" s="130">
        <v>0.966101694915254</v>
      </c>
      <c r="M1327" s="129">
        <v>0.889695210449927</v>
      </c>
      <c r="N1327" s="131">
        <v>0.9</v>
      </c>
      <c r="O1327" s="129">
        <v>0.966448230668414</v>
      </c>
      <c r="P1327" s="129">
        <v>0.985675675675676</v>
      </c>
      <c r="Q1327" s="129">
        <v>0.958681224577178</v>
      </c>
      <c r="R1327" s="129">
        <v>0.97434618262755</v>
      </c>
      <c r="S1327" s="131">
        <v>0.9</v>
      </c>
      <c r="T1327" s="129">
        <v>0.900393184796854</v>
      </c>
      <c r="U1327" s="129">
        <v>0.922702702702703</v>
      </c>
      <c r="V1327" s="129">
        <v>0.933418968101049</v>
      </c>
      <c r="W1327" s="129">
        <v>0.92660744095017</v>
      </c>
      <c r="X1327" s="131">
        <v>0.92</v>
      </c>
      <c r="Y1327" s="131" t="s">
        <v>33</v>
      </c>
      <c r="Z1327" s="131" t="s">
        <v>33</v>
      </c>
      <c r="AA1327" s="131" t="s">
        <v>33</v>
      </c>
      <c r="AB1327" s="131" t="s">
        <v>33</v>
      </c>
      <c r="AC1327" s="131">
        <v>0.92</v>
      </c>
      <c r="AD1327" s="129">
        <v>0.978947368421053</v>
      </c>
      <c r="AE1327" s="129">
        <v>0.982758620689655</v>
      </c>
      <c r="AF1327" s="129">
        <v>1</v>
      </c>
      <c r="AG1327" s="129">
        <v>0.994100294985251</v>
      </c>
      <c r="AH1327" s="131">
        <v>0.92</v>
      </c>
      <c r="AI1327" s="129">
        <v>0.944954128440367</v>
      </c>
      <c r="AJ1327" s="129">
        <v>0.957837837837838</v>
      </c>
      <c r="AK1327" s="129">
        <v>0.965317919075145</v>
      </c>
      <c r="AL1327" s="129">
        <v>0.96553907554157</v>
      </c>
      <c r="AM1327" s="128">
        <v>0.99</v>
      </c>
      <c r="AN1327" s="133">
        <v>1</v>
      </c>
      <c r="AO1327" s="133">
        <v>1</v>
      </c>
      <c r="AP1327" s="133">
        <v>1</v>
      </c>
      <c r="AQ1327" s="133">
        <v>1</v>
      </c>
      <c r="AR1327" s="153">
        <v>0.0721861525408278</v>
      </c>
      <c r="AS1327" s="137">
        <v>0.0833333333333333</v>
      </c>
      <c r="AT1327" s="137">
        <v>0.111111111111111</v>
      </c>
      <c r="AU1327" s="137">
        <v>0.142857142857143</v>
      </c>
      <c r="AV1327" s="137">
        <v>0.0548780487804878</v>
      </c>
      <c r="AW1327" s="93"/>
      <c r="AX1327" s="91"/>
    </row>
    <row r="1328" ht="14.5" spans="1:50">
      <c r="A1328" s="89"/>
      <c r="B1328" s="93"/>
      <c r="C1328" s="148" t="s">
        <v>1080</v>
      </c>
      <c r="D1328" s="126" t="s">
        <v>1081</v>
      </c>
      <c r="E1328" s="186" t="s">
        <v>1353</v>
      </c>
      <c r="F1328" s="186" t="s">
        <v>1353</v>
      </c>
      <c r="G1328" s="186" t="s">
        <v>1353</v>
      </c>
      <c r="H1328" s="186" t="s">
        <v>1353</v>
      </c>
      <c r="I1328" s="128">
        <v>0.9</v>
      </c>
      <c r="J1328" s="129">
        <v>0.957894736842105</v>
      </c>
      <c r="K1328" s="129">
        <v>0.962025316455696</v>
      </c>
      <c r="L1328" s="130">
        <v>0.91578947368421</v>
      </c>
      <c r="M1328" s="129">
        <v>0.952952029520295</v>
      </c>
      <c r="N1328" s="131">
        <v>0.9</v>
      </c>
      <c r="O1328" s="129">
        <v>0.956967213114754</v>
      </c>
      <c r="P1328" s="129">
        <v>0.991301907968575</v>
      </c>
      <c r="Q1328" s="129">
        <v>0.984086021505376</v>
      </c>
      <c r="R1328" s="129">
        <v>0.979672862997658</v>
      </c>
      <c r="S1328" s="131">
        <v>0.9</v>
      </c>
      <c r="T1328" s="129">
        <v>0.92304189435337</v>
      </c>
      <c r="U1328" s="129">
        <v>0.936026936026936</v>
      </c>
      <c r="V1328" s="129">
        <v>0.947956989247312</v>
      </c>
      <c r="W1328" s="129">
        <v>0.938780737704918</v>
      </c>
      <c r="X1328" s="131">
        <v>0.92</v>
      </c>
      <c r="Y1328" s="131">
        <v>0.943014705882353</v>
      </c>
      <c r="Z1328" s="131">
        <v>0.941594718131031</v>
      </c>
      <c r="AA1328" s="131">
        <v>0.961748633879781</v>
      </c>
      <c r="AB1328" s="131">
        <v>0.955347942570585</v>
      </c>
      <c r="AC1328" s="131">
        <v>0.92</v>
      </c>
      <c r="AD1328" s="129">
        <v>0.994324631101022</v>
      </c>
      <c r="AE1328" s="129">
        <v>0.994525547445255</v>
      </c>
      <c r="AF1328" s="129">
        <v>0.934653465346535</v>
      </c>
      <c r="AG1328" s="129">
        <v>0.983362323224684</v>
      </c>
      <c r="AH1328" s="131">
        <v>0.92</v>
      </c>
      <c r="AI1328" s="129">
        <v>0.971224116930572</v>
      </c>
      <c r="AJ1328" s="129">
        <v>0.969998192662209</v>
      </c>
      <c r="AK1328" s="129">
        <v>0.981974486966168</v>
      </c>
      <c r="AL1328" s="129">
        <v>0.977545928782037</v>
      </c>
      <c r="AM1328" s="128">
        <v>0.99</v>
      </c>
      <c r="AN1328" s="133">
        <v>1</v>
      </c>
      <c r="AO1328" s="133">
        <v>1</v>
      </c>
      <c r="AP1328" s="133">
        <v>1</v>
      </c>
      <c r="AQ1328" s="133">
        <v>1</v>
      </c>
      <c r="AR1328" s="153">
        <v>0.0721861525408278</v>
      </c>
      <c r="AS1328" s="137">
        <v>0</v>
      </c>
      <c r="AT1328" s="137">
        <v>0</v>
      </c>
      <c r="AU1328" s="137">
        <v>0.0357142857142857</v>
      </c>
      <c r="AV1328" s="137">
        <v>0.0501672240802676</v>
      </c>
      <c r="AW1328" s="93"/>
      <c r="AX1328" s="91"/>
    </row>
    <row r="1329" ht="14.5" spans="1:50">
      <c r="A1329" s="89"/>
      <c r="B1329" s="93"/>
      <c r="C1329" s="148" t="s">
        <v>1080</v>
      </c>
      <c r="D1329" s="126" t="s">
        <v>1081</v>
      </c>
      <c r="E1329" s="186" t="s">
        <v>1354</v>
      </c>
      <c r="F1329" s="186" t="s">
        <v>1354</v>
      </c>
      <c r="G1329" s="186" t="s">
        <v>1354</v>
      </c>
      <c r="H1329" s="186" t="s">
        <v>1354</v>
      </c>
      <c r="I1329" s="128">
        <v>0.9</v>
      </c>
      <c r="J1329" s="129">
        <v>1</v>
      </c>
      <c r="K1329" s="129">
        <v>1</v>
      </c>
      <c r="L1329" s="130">
        <v>1</v>
      </c>
      <c r="M1329" s="129">
        <v>1</v>
      </c>
      <c r="N1329" s="131">
        <v>0.9</v>
      </c>
      <c r="O1329" s="129">
        <v>0.993991989319092</v>
      </c>
      <c r="P1329" s="129">
        <v>0.994011976047904</v>
      </c>
      <c r="Q1329" s="129">
        <v>0.994955156950673</v>
      </c>
      <c r="R1329" s="129">
        <v>0.99446840903324</v>
      </c>
      <c r="S1329" s="131">
        <v>0.9</v>
      </c>
      <c r="T1329" s="129">
        <v>0.965954606141522</v>
      </c>
      <c r="U1329" s="129">
        <v>0.95434131736527</v>
      </c>
      <c r="V1329" s="129">
        <v>0.972533632286996</v>
      </c>
      <c r="W1329" s="129">
        <v>0.966708957117483</v>
      </c>
      <c r="X1329" s="131">
        <v>0.92</v>
      </c>
      <c r="Y1329" s="131">
        <v>1</v>
      </c>
      <c r="Z1329" s="131" t="s">
        <v>33</v>
      </c>
      <c r="AA1329" s="131" t="s">
        <v>33</v>
      </c>
      <c r="AB1329" s="131">
        <v>1</v>
      </c>
      <c r="AC1329" s="131">
        <v>0.92</v>
      </c>
      <c r="AD1329" s="129">
        <v>1</v>
      </c>
      <c r="AE1329" s="129">
        <v>1</v>
      </c>
      <c r="AF1329" s="129">
        <v>1</v>
      </c>
      <c r="AG1329" s="129">
        <v>0.999470058293588</v>
      </c>
      <c r="AH1329" s="131">
        <v>0.92</v>
      </c>
      <c r="AI1329" s="129">
        <v>0.983322214809873</v>
      </c>
      <c r="AJ1329" s="129">
        <v>0.99251497005988</v>
      </c>
      <c r="AK1329" s="129">
        <v>0.995518207282913</v>
      </c>
      <c r="AL1329" s="129">
        <v>0.992642581692714</v>
      </c>
      <c r="AM1329" s="128">
        <v>0.99</v>
      </c>
      <c r="AN1329" s="133">
        <v>1</v>
      </c>
      <c r="AO1329" s="133">
        <v>1</v>
      </c>
      <c r="AP1329" s="133">
        <v>1</v>
      </c>
      <c r="AQ1329" s="133">
        <v>1</v>
      </c>
      <c r="AR1329" s="153">
        <v>0.0721861525408278</v>
      </c>
      <c r="AS1329" s="137">
        <v>0</v>
      </c>
      <c r="AT1329" s="137">
        <v>0</v>
      </c>
      <c r="AU1329" s="137">
        <v>0</v>
      </c>
      <c r="AV1329" s="137">
        <v>0.0181818181818182</v>
      </c>
      <c r="AW1329" s="93"/>
      <c r="AX1329" s="91"/>
    </row>
    <row r="1330" ht="14.5" spans="1:50">
      <c r="A1330" s="89"/>
      <c r="B1330" s="93"/>
      <c r="C1330" s="148" t="s">
        <v>1080</v>
      </c>
      <c r="D1330" s="126" t="s">
        <v>1081</v>
      </c>
      <c r="E1330" s="186" t="s">
        <v>1355</v>
      </c>
      <c r="F1330" s="186" t="s">
        <v>1355</v>
      </c>
      <c r="G1330" s="186" t="s">
        <v>1355</v>
      </c>
      <c r="H1330" s="186" t="s">
        <v>1355</v>
      </c>
      <c r="I1330" s="128">
        <v>0.9</v>
      </c>
      <c r="J1330" s="129">
        <v>1</v>
      </c>
      <c r="K1330" s="129">
        <v>1</v>
      </c>
      <c r="L1330" s="130">
        <v>1</v>
      </c>
      <c r="M1330" s="129">
        <v>0.976945244956772</v>
      </c>
      <c r="N1330" s="131">
        <v>0.9</v>
      </c>
      <c r="O1330" s="129">
        <v>0.98492950899368</v>
      </c>
      <c r="P1330" s="129">
        <v>0.99064039408867</v>
      </c>
      <c r="Q1330" s="129">
        <v>0.992042440318302</v>
      </c>
      <c r="R1330" s="129">
        <v>0.98334086877891</v>
      </c>
      <c r="S1330" s="131">
        <v>0.9</v>
      </c>
      <c r="T1330" s="129">
        <v>0.974720466699076</v>
      </c>
      <c r="U1330" s="129">
        <v>0.973399014778325</v>
      </c>
      <c r="V1330" s="129">
        <v>0.971201212580523</v>
      </c>
      <c r="W1330" s="129">
        <v>0.973498417556429</v>
      </c>
      <c r="X1330" s="131">
        <v>0.92</v>
      </c>
      <c r="Y1330" s="131" t="s">
        <v>33</v>
      </c>
      <c r="Z1330" s="131" t="s">
        <v>33</v>
      </c>
      <c r="AA1330" s="131" t="s">
        <v>33</v>
      </c>
      <c r="AB1330" s="131">
        <v>1</v>
      </c>
      <c r="AC1330" s="131">
        <v>0.92</v>
      </c>
      <c r="AD1330" s="129">
        <v>1</v>
      </c>
      <c r="AE1330" s="129">
        <v>0.999233128834356</v>
      </c>
      <c r="AF1330" s="129">
        <v>0.992260061919505</v>
      </c>
      <c r="AG1330" s="129">
        <v>0.996159625980965</v>
      </c>
      <c r="AH1330" s="131">
        <v>0.92</v>
      </c>
      <c r="AI1330" s="129">
        <v>0.989790957705396</v>
      </c>
      <c r="AJ1330" s="129">
        <v>0.990147783251232</v>
      </c>
      <c r="AK1330" s="129">
        <v>0.989010989010989</v>
      </c>
      <c r="AL1330" s="129">
        <v>0.99040133546637</v>
      </c>
      <c r="AM1330" s="128">
        <v>0.99</v>
      </c>
      <c r="AN1330" s="133">
        <v>1</v>
      </c>
      <c r="AO1330" s="133">
        <v>1</v>
      </c>
      <c r="AP1330" s="133">
        <v>1</v>
      </c>
      <c r="AQ1330" s="133">
        <v>1</v>
      </c>
      <c r="AR1330" s="153">
        <v>0.0721861525408278</v>
      </c>
      <c r="AS1330" s="137">
        <v>0</v>
      </c>
      <c r="AT1330" s="137">
        <v>0.166666666666667</v>
      </c>
      <c r="AU1330" s="137">
        <v>0</v>
      </c>
      <c r="AV1330" s="137">
        <v>0.0208333333333333</v>
      </c>
      <c r="AW1330" s="93"/>
      <c r="AX1330" s="91"/>
    </row>
    <row r="1331" ht="14.5" spans="1:50">
      <c r="A1331" s="89"/>
      <c r="B1331" s="93"/>
      <c r="C1331" s="148" t="s">
        <v>1080</v>
      </c>
      <c r="D1331" s="126" t="s">
        <v>1081</v>
      </c>
      <c r="E1331" s="186" t="s">
        <v>1356</v>
      </c>
      <c r="F1331" s="186" t="s">
        <v>1356</v>
      </c>
      <c r="G1331" s="186" t="s">
        <v>1356</v>
      </c>
      <c r="H1331" s="186" t="s">
        <v>1356</v>
      </c>
      <c r="I1331" s="128">
        <v>0.9</v>
      </c>
      <c r="J1331" s="129">
        <v>1</v>
      </c>
      <c r="K1331" s="129">
        <v>1</v>
      </c>
      <c r="L1331" s="130">
        <v>0.979166666666667</v>
      </c>
      <c r="M1331" s="129">
        <v>0.98943661971831</v>
      </c>
      <c r="N1331" s="131">
        <v>0.9</v>
      </c>
      <c r="O1331" s="129">
        <v>0.96551724137931</v>
      </c>
      <c r="P1331" s="129">
        <v>0.995030173943912</v>
      </c>
      <c r="Q1331" s="129">
        <v>0.987380818844644</v>
      </c>
      <c r="R1331" s="129">
        <v>0.98015923164413</v>
      </c>
      <c r="S1331" s="131">
        <v>0.9</v>
      </c>
      <c r="T1331" s="129">
        <v>0.935736677115988</v>
      </c>
      <c r="U1331" s="129">
        <v>0.96272630457934</v>
      </c>
      <c r="V1331" s="129">
        <v>0.9649467190129</v>
      </c>
      <c r="W1331" s="129">
        <v>0.960596486793883</v>
      </c>
      <c r="X1331" s="131">
        <v>0.92</v>
      </c>
      <c r="Y1331" s="131" t="s">
        <v>33</v>
      </c>
      <c r="Z1331" s="131" t="s">
        <v>33</v>
      </c>
      <c r="AA1331" s="131" t="s">
        <v>33</v>
      </c>
      <c r="AB1331" s="131" t="s">
        <v>33</v>
      </c>
      <c r="AC1331" s="131">
        <v>0.92</v>
      </c>
      <c r="AD1331" s="129">
        <v>1</v>
      </c>
      <c r="AE1331" s="129">
        <v>0.999333555481506</v>
      </c>
      <c r="AF1331" s="129">
        <v>0.997077447637604</v>
      </c>
      <c r="AG1331" s="129">
        <v>0.998426110006627</v>
      </c>
      <c r="AH1331" s="131">
        <v>0.92</v>
      </c>
      <c r="AI1331" s="129">
        <v>0.956426332288401</v>
      </c>
      <c r="AJ1331" s="129">
        <v>0.981185658501952</v>
      </c>
      <c r="AK1331" s="129">
        <v>0.985417835109366</v>
      </c>
      <c r="AL1331" s="129">
        <v>0.98192892887833</v>
      </c>
      <c r="AM1331" s="128">
        <v>0.99</v>
      </c>
      <c r="AN1331" s="133">
        <v>1</v>
      </c>
      <c r="AO1331" s="133">
        <v>1</v>
      </c>
      <c r="AP1331" s="133">
        <v>1</v>
      </c>
      <c r="AQ1331" s="133">
        <v>1</v>
      </c>
      <c r="AR1331" s="153">
        <v>0.0721861525408278</v>
      </c>
      <c r="AS1331" s="137">
        <v>0</v>
      </c>
      <c r="AT1331" s="137">
        <v>0.0909090909090909</v>
      </c>
      <c r="AU1331" s="137">
        <v>0.0714285714285714</v>
      </c>
      <c r="AV1331" s="137">
        <v>0.0487804878048781</v>
      </c>
      <c r="AW1331" s="93"/>
      <c r="AX1331" s="91"/>
    </row>
    <row r="1332" ht="14.5" spans="1:50">
      <c r="A1332" s="89"/>
      <c r="B1332" s="93"/>
      <c r="C1332" s="148" t="s">
        <v>1080</v>
      </c>
      <c r="D1332" s="126" t="s">
        <v>1081</v>
      </c>
      <c r="E1332" s="186" t="s">
        <v>1357</v>
      </c>
      <c r="F1332" s="186" t="s">
        <v>1357</v>
      </c>
      <c r="G1332" s="186" t="s">
        <v>1357</v>
      </c>
      <c r="H1332" s="186" t="s">
        <v>1357</v>
      </c>
      <c r="I1332" s="128">
        <v>0.9</v>
      </c>
      <c r="J1332" s="129">
        <v>1</v>
      </c>
      <c r="K1332" s="129">
        <v>0.976744186046512</v>
      </c>
      <c r="L1332" s="130">
        <v>0.978723404255319</v>
      </c>
      <c r="M1332" s="129">
        <v>0.968978102189781</v>
      </c>
      <c r="N1332" s="131">
        <v>0.9</v>
      </c>
      <c r="O1332" s="129">
        <v>0.992011412268188</v>
      </c>
      <c r="P1332" s="129">
        <v>0.995934959349594</v>
      </c>
      <c r="Q1332" s="129">
        <v>0.990999756750182</v>
      </c>
      <c r="R1332" s="129">
        <v>0.992910857807753</v>
      </c>
      <c r="S1332" s="131">
        <v>0.9</v>
      </c>
      <c r="T1332" s="129">
        <v>0.977460770328103</v>
      </c>
      <c r="U1332" s="129">
        <v>0.979987492182614</v>
      </c>
      <c r="V1332" s="129">
        <v>0.971053271710046</v>
      </c>
      <c r="W1332" s="129">
        <v>0.974056756232627</v>
      </c>
      <c r="X1332" s="131">
        <v>0.92</v>
      </c>
      <c r="Y1332" s="131">
        <v>0</v>
      </c>
      <c r="Z1332" s="131" t="s">
        <v>33</v>
      </c>
      <c r="AA1332" s="131" t="s">
        <v>33</v>
      </c>
      <c r="AB1332" s="131">
        <v>0</v>
      </c>
      <c r="AC1332" s="131">
        <v>0.92</v>
      </c>
      <c r="AD1332" s="129">
        <v>1</v>
      </c>
      <c r="AE1332" s="129">
        <v>1</v>
      </c>
      <c r="AF1332" s="129">
        <v>1</v>
      </c>
      <c r="AG1332" s="129">
        <v>0.998803350618269</v>
      </c>
      <c r="AH1332" s="131">
        <v>0.92</v>
      </c>
      <c r="AI1332" s="129">
        <v>0.991158014831717</v>
      </c>
      <c r="AJ1332" s="129">
        <v>0.9953095684803</v>
      </c>
      <c r="AK1332" s="129">
        <v>0.991243006567745</v>
      </c>
      <c r="AL1332" s="129">
        <v>0.992889463477699</v>
      </c>
      <c r="AM1332" s="128">
        <v>0.99</v>
      </c>
      <c r="AN1332" s="133">
        <v>1</v>
      </c>
      <c r="AO1332" s="133">
        <v>1</v>
      </c>
      <c r="AP1332" s="133">
        <v>1</v>
      </c>
      <c r="AQ1332" s="133">
        <v>1</v>
      </c>
      <c r="AR1332" s="153">
        <v>0.0721861525408278</v>
      </c>
      <c r="AS1332" s="137">
        <v>0</v>
      </c>
      <c r="AT1332" s="137">
        <v>0</v>
      </c>
      <c r="AU1332" s="137">
        <v>0.0555555555555556</v>
      </c>
      <c r="AV1332" s="137">
        <v>0.0213903743315508</v>
      </c>
      <c r="AW1332" s="93"/>
      <c r="AX1332" s="91"/>
    </row>
    <row r="1333" ht="14.5" spans="1:50">
      <c r="A1333" s="89"/>
      <c r="B1333" s="93"/>
      <c r="C1333" s="148" t="s">
        <v>1080</v>
      </c>
      <c r="D1333" s="126" t="s">
        <v>1081</v>
      </c>
      <c r="E1333" s="186" t="s">
        <v>1358</v>
      </c>
      <c r="F1333" s="186" t="s">
        <v>1358</v>
      </c>
      <c r="G1333" s="186" t="s">
        <v>1358</v>
      </c>
      <c r="H1333" s="186" t="s">
        <v>1358</v>
      </c>
      <c r="I1333" s="128">
        <v>0.9</v>
      </c>
      <c r="J1333" s="129">
        <v>0.964705882352941</v>
      </c>
      <c r="K1333" s="129">
        <v>0.884615384615385</v>
      </c>
      <c r="L1333" s="130">
        <v>0.964705882352941</v>
      </c>
      <c r="M1333" s="129">
        <v>0.924843423799583</v>
      </c>
      <c r="N1333" s="131">
        <v>0.9</v>
      </c>
      <c r="O1333" s="129">
        <v>0.975903614457831</v>
      </c>
      <c r="P1333" s="129">
        <v>0.929604628736741</v>
      </c>
      <c r="Q1333" s="129">
        <v>0.92941998602376</v>
      </c>
      <c r="R1333" s="129">
        <v>0.949329983249581</v>
      </c>
      <c r="S1333" s="131">
        <v>0.9</v>
      </c>
      <c r="T1333" s="129">
        <v>0.928694369313991</v>
      </c>
      <c r="U1333" s="129">
        <v>0.908389585342334</v>
      </c>
      <c r="V1333" s="129">
        <v>0.909154437456324</v>
      </c>
      <c r="W1333" s="129">
        <v>0.916028555475792</v>
      </c>
      <c r="X1333" s="131">
        <v>0.92</v>
      </c>
      <c r="Y1333" s="131">
        <v>0.915083798882682</v>
      </c>
      <c r="Z1333" s="131">
        <v>0.918542336548767</v>
      </c>
      <c r="AA1333" s="131">
        <v>0.920869967607589</v>
      </c>
      <c r="AB1333" s="131">
        <v>0.920611213235294</v>
      </c>
      <c r="AC1333" s="131">
        <v>0.92</v>
      </c>
      <c r="AD1333" s="129">
        <v>0.998319327731092</v>
      </c>
      <c r="AE1333" s="129">
        <v>0.998932764140875</v>
      </c>
      <c r="AF1333" s="129">
        <v>0.990740740740741</v>
      </c>
      <c r="AG1333" s="129">
        <v>0.998560340510766</v>
      </c>
      <c r="AH1333" s="131">
        <v>0.92</v>
      </c>
      <c r="AI1333" s="129">
        <v>0.959877070172443</v>
      </c>
      <c r="AJ1333" s="129">
        <v>0.951577255374724</v>
      </c>
      <c r="AK1333" s="129">
        <v>0.946854663774403</v>
      </c>
      <c r="AL1333" s="129">
        <v>0.956859814064487</v>
      </c>
      <c r="AM1333" s="128">
        <v>0.99</v>
      </c>
      <c r="AN1333" s="133">
        <v>1</v>
      </c>
      <c r="AO1333" s="133">
        <v>1</v>
      </c>
      <c r="AP1333" s="133">
        <v>1</v>
      </c>
      <c r="AQ1333" s="133">
        <v>1</v>
      </c>
      <c r="AR1333" s="153">
        <v>0.0721861525408278</v>
      </c>
      <c r="AS1333" s="137">
        <v>0.05</v>
      </c>
      <c r="AT1333" s="137">
        <v>0.0769230769230769</v>
      </c>
      <c r="AU1333" s="137">
        <v>-0.2</v>
      </c>
      <c r="AV1333" s="137">
        <v>0.0209424083769634</v>
      </c>
      <c r="AW1333" s="93"/>
      <c r="AX1333" s="91"/>
    </row>
    <row r="1334" ht="14.5" spans="1:50">
      <c r="A1334" s="89"/>
      <c r="B1334" s="93"/>
      <c r="C1334" s="148" t="s">
        <v>1080</v>
      </c>
      <c r="D1334" s="126" t="s">
        <v>1081</v>
      </c>
      <c r="E1334" s="186" t="s">
        <v>1359</v>
      </c>
      <c r="F1334" s="186" t="s">
        <v>1359</v>
      </c>
      <c r="G1334" s="186" t="s">
        <v>1359</v>
      </c>
      <c r="H1334" s="186" t="s">
        <v>1359</v>
      </c>
      <c r="I1334" s="128">
        <v>0.9</v>
      </c>
      <c r="J1334" s="129">
        <v>0.954545454545455</v>
      </c>
      <c r="K1334" s="129">
        <v>0.9</v>
      </c>
      <c r="L1334" s="130">
        <v>0.930232558139535</v>
      </c>
      <c r="M1334" s="129">
        <v>0.945205479452055</v>
      </c>
      <c r="N1334" s="131">
        <v>0.9</v>
      </c>
      <c r="O1334" s="129">
        <v>0.965552178318136</v>
      </c>
      <c r="P1334" s="129">
        <v>0.983293556085919</v>
      </c>
      <c r="Q1334" s="129">
        <v>0.886313465783664</v>
      </c>
      <c r="R1334" s="129">
        <v>0.945173395119248</v>
      </c>
      <c r="S1334" s="131">
        <v>0.9</v>
      </c>
      <c r="T1334" s="129">
        <v>0.939209726443769</v>
      </c>
      <c r="U1334" s="129">
        <v>0.910501193317422</v>
      </c>
      <c r="V1334" s="129">
        <v>0.92135761589404</v>
      </c>
      <c r="W1334" s="129">
        <v>0.913113556803586</v>
      </c>
      <c r="X1334" s="131">
        <v>0.92</v>
      </c>
      <c r="Y1334" s="131" t="s">
        <v>33</v>
      </c>
      <c r="Z1334" s="131" t="s">
        <v>33</v>
      </c>
      <c r="AA1334" s="131" t="s">
        <v>33</v>
      </c>
      <c r="AB1334" s="131" t="s">
        <v>33</v>
      </c>
      <c r="AC1334" s="131">
        <v>0.92</v>
      </c>
      <c r="AD1334" s="129">
        <v>0.989010989010989</v>
      </c>
      <c r="AE1334" s="129">
        <v>0.993006993006993</v>
      </c>
      <c r="AF1334" s="129">
        <v>1</v>
      </c>
      <c r="AG1334" s="129">
        <v>0.99296875</v>
      </c>
      <c r="AH1334" s="131">
        <v>0.92</v>
      </c>
      <c r="AI1334" s="129">
        <v>0.971968929415738</v>
      </c>
      <c r="AJ1334" s="129">
        <v>0.969769291964996</v>
      </c>
      <c r="AK1334" s="129">
        <v>0.977924944812362</v>
      </c>
      <c r="AL1334" s="129">
        <v>0.972397813987458</v>
      </c>
      <c r="AM1334" s="128">
        <v>0.99</v>
      </c>
      <c r="AN1334" s="133">
        <v>1</v>
      </c>
      <c r="AO1334" s="133">
        <v>1</v>
      </c>
      <c r="AP1334" s="133">
        <v>1</v>
      </c>
      <c r="AQ1334" s="133">
        <v>1</v>
      </c>
      <c r="AR1334" s="153">
        <v>0.0721861525408278</v>
      </c>
      <c r="AS1334" s="137">
        <v>0</v>
      </c>
      <c r="AT1334" s="137">
        <v>0</v>
      </c>
      <c r="AU1334" s="137">
        <v>-0.0666666666666667</v>
      </c>
      <c r="AV1334" s="137">
        <v>0.0679611650485437</v>
      </c>
      <c r="AW1334" s="93"/>
      <c r="AX1334" s="91"/>
    </row>
    <row r="1335" ht="14.5" spans="1:50">
      <c r="A1335" s="89"/>
      <c r="B1335" s="93"/>
      <c r="C1335" s="148" t="s">
        <v>1080</v>
      </c>
      <c r="D1335" s="126" t="s">
        <v>1081</v>
      </c>
      <c r="E1335" s="186" t="s">
        <v>1360</v>
      </c>
      <c r="F1335" s="186" t="s">
        <v>1360</v>
      </c>
      <c r="G1335" s="186" t="s">
        <v>1360</v>
      </c>
      <c r="H1335" s="186" t="s">
        <v>1360</v>
      </c>
      <c r="I1335" s="128">
        <v>0.9</v>
      </c>
      <c r="J1335" s="129">
        <v>1</v>
      </c>
      <c r="K1335" s="129">
        <v>0.9375</v>
      </c>
      <c r="L1335" s="130">
        <v>1</v>
      </c>
      <c r="M1335" s="129">
        <v>0.97979797979798</v>
      </c>
      <c r="N1335" s="131">
        <v>0.9</v>
      </c>
      <c r="O1335" s="129">
        <v>0.989200863930886</v>
      </c>
      <c r="P1335" s="129">
        <v>0.995813953488372</v>
      </c>
      <c r="Q1335" s="129">
        <v>0.99095513748191</v>
      </c>
      <c r="R1335" s="129">
        <v>0.98125</v>
      </c>
      <c r="S1335" s="131">
        <v>0.9</v>
      </c>
      <c r="T1335" s="129">
        <v>0.970194384449244</v>
      </c>
      <c r="U1335" s="129">
        <v>0.964186046511628</v>
      </c>
      <c r="V1335" s="129">
        <v>0.984442836468886</v>
      </c>
      <c r="W1335" s="129">
        <v>0.965032051282051</v>
      </c>
      <c r="X1335" s="131">
        <v>0.92</v>
      </c>
      <c r="Y1335" s="131" t="s">
        <v>33</v>
      </c>
      <c r="Z1335" s="131" t="s">
        <v>33</v>
      </c>
      <c r="AA1335" s="131" t="s">
        <v>33</v>
      </c>
      <c r="AB1335" s="131" t="s">
        <v>33</v>
      </c>
      <c r="AC1335" s="131">
        <v>0.92</v>
      </c>
      <c r="AD1335" s="129">
        <v>0.999353169469599</v>
      </c>
      <c r="AE1335" s="129">
        <v>0.999552772808587</v>
      </c>
      <c r="AF1335" s="129">
        <v>0.99848828420257</v>
      </c>
      <c r="AG1335" s="129">
        <v>0.999181431702358</v>
      </c>
      <c r="AH1335" s="131">
        <v>0.92</v>
      </c>
      <c r="AI1335" s="129">
        <v>0.977105831533477</v>
      </c>
      <c r="AJ1335" s="129">
        <v>0.97953488372093</v>
      </c>
      <c r="AK1335" s="129">
        <v>0.988422575976845</v>
      </c>
      <c r="AL1335" s="129">
        <v>0.980321143553091</v>
      </c>
      <c r="AM1335" s="128">
        <v>0.99</v>
      </c>
      <c r="AN1335" s="133">
        <v>1</v>
      </c>
      <c r="AO1335" s="133">
        <v>1</v>
      </c>
      <c r="AP1335" s="133">
        <v>1</v>
      </c>
      <c r="AQ1335" s="133">
        <v>1</v>
      </c>
      <c r="AR1335" s="153">
        <v>0.0721861525408278</v>
      </c>
      <c r="AS1335" s="137">
        <v>0.125</v>
      </c>
      <c r="AT1335" s="137">
        <v>0</v>
      </c>
      <c r="AU1335" s="137">
        <v>0.2</v>
      </c>
      <c r="AV1335" s="137">
        <v>0.0238095238095238</v>
      </c>
      <c r="AW1335" s="93"/>
      <c r="AX1335" s="91"/>
    </row>
    <row r="1336" ht="14.5" spans="1:50">
      <c r="A1336" s="89"/>
      <c r="B1336" s="93"/>
      <c r="C1336" s="148" t="s">
        <v>1080</v>
      </c>
      <c r="D1336" s="126" t="s">
        <v>1081</v>
      </c>
      <c r="E1336" s="186" t="s">
        <v>1361</v>
      </c>
      <c r="F1336" s="186" t="s">
        <v>1361</v>
      </c>
      <c r="G1336" s="186" t="s">
        <v>1361</v>
      </c>
      <c r="H1336" s="186" t="s">
        <v>1361</v>
      </c>
      <c r="I1336" s="128">
        <v>0.9</v>
      </c>
      <c r="J1336" s="129">
        <v>1</v>
      </c>
      <c r="K1336" s="129">
        <v>1</v>
      </c>
      <c r="L1336" s="130">
        <v>0.91304347826087</v>
      </c>
      <c r="M1336" s="129">
        <v>0.965116279069767</v>
      </c>
      <c r="N1336" s="131">
        <v>0.9</v>
      </c>
      <c r="O1336" s="129">
        <v>0.967340590979782</v>
      </c>
      <c r="P1336" s="129">
        <v>0.947072072072072</v>
      </c>
      <c r="Q1336" s="129">
        <v>0.969957081545064</v>
      </c>
      <c r="R1336" s="129">
        <v>0.954378010767923</v>
      </c>
      <c r="S1336" s="131">
        <v>0.9</v>
      </c>
      <c r="T1336" s="129">
        <v>0.934162778641783</v>
      </c>
      <c r="U1336" s="129">
        <v>0.936936936936937</v>
      </c>
      <c r="V1336" s="129">
        <v>0.948927038626609</v>
      </c>
      <c r="W1336" s="129">
        <v>0.93017042464478</v>
      </c>
      <c r="X1336" s="131">
        <v>0.92</v>
      </c>
      <c r="Y1336" s="131" t="s">
        <v>33</v>
      </c>
      <c r="Z1336" s="131" t="s">
        <v>33</v>
      </c>
      <c r="AA1336" s="131" t="s">
        <v>33</v>
      </c>
      <c r="AB1336" s="131">
        <v>1</v>
      </c>
      <c r="AC1336" s="131">
        <v>0.92</v>
      </c>
      <c r="AD1336" s="129">
        <v>1</v>
      </c>
      <c r="AE1336" s="129">
        <v>0.997069597069597</v>
      </c>
      <c r="AF1336" s="129">
        <v>1</v>
      </c>
      <c r="AG1336" s="129">
        <v>0.996019020236647</v>
      </c>
      <c r="AH1336" s="131">
        <v>0.92</v>
      </c>
      <c r="AI1336" s="129">
        <v>0.963711767755314</v>
      </c>
      <c r="AJ1336" s="129">
        <v>0.943130630630631</v>
      </c>
      <c r="AK1336" s="129">
        <v>0.972103004291845</v>
      </c>
      <c r="AL1336" s="129">
        <v>0.961180375647668</v>
      </c>
      <c r="AM1336" s="128">
        <v>0.99</v>
      </c>
      <c r="AN1336" s="133">
        <v>1</v>
      </c>
      <c r="AO1336" s="133">
        <v>1</v>
      </c>
      <c r="AP1336" s="133">
        <v>1</v>
      </c>
      <c r="AQ1336" s="133">
        <v>1</v>
      </c>
      <c r="AR1336" s="153">
        <v>0.0721861525408278</v>
      </c>
      <c r="AS1336" s="137">
        <v>0.1</v>
      </c>
      <c r="AT1336" s="137">
        <v>0</v>
      </c>
      <c r="AU1336" s="137">
        <v>0</v>
      </c>
      <c r="AV1336" s="137">
        <v>0.0581395348837209</v>
      </c>
      <c r="AW1336" s="93"/>
      <c r="AX1336" s="91"/>
    </row>
    <row r="1337" ht="14.5" spans="1:50">
      <c r="A1337" s="89"/>
      <c r="B1337" s="93"/>
      <c r="C1337" s="148" t="s">
        <v>1080</v>
      </c>
      <c r="D1337" s="126" t="s">
        <v>1081</v>
      </c>
      <c r="E1337" s="186" t="s">
        <v>1362</v>
      </c>
      <c r="F1337" s="186" t="s">
        <v>1362</v>
      </c>
      <c r="G1337" s="186" t="s">
        <v>1362</v>
      </c>
      <c r="H1337" s="186" t="s">
        <v>1362</v>
      </c>
      <c r="I1337" s="128">
        <v>0.9</v>
      </c>
      <c r="J1337" s="129">
        <v>0.944444444444444</v>
      </c>
      <c r="K1337" s="129">
        <v>0.970588235294118</v>
      </c>
      <c r="L1337" s="130">
        <v>0.972972972972973</v>
      </c>
      <c r="M1337" s="129">
        <v>0.904231625835189</v>
      </c>
      <c r="N1337" s="131">
        <v>0.9</v>
      </c>
      <c r="O1337" s="129">
        <v>0.982651391162029</v>
      </c>
      <c r="P1337" s="129">
        <v>0.98562412342216</v>
      </c>
      <c r="Q1337" s="129">
        <v>0.941304941304941</v>
      </c>
      <c r="R1337" s="129">
        <v>0.926724035183905</v>
      </c>
      <c r="S1337" s="131">
        <v>0.9</v>
      </c>
      <c r="T1337" s="129">
        <v>0.894926350245499</v>
      </c>
      <c r="U1337" s="129">
        <v>0.914446002805049</v>
      </c>
      <c r="V1337" s="129">
        <v>0.867594867594868</v>
      </c>
      <c r="W1337" s="129">
        <v>0.875807489690353</v>
      </c>
      <c r="X1337" s="131">
        <v>0.92</v>
      </c>
      <c r="Y1337" s="131">
        <v>0</v>
      </c>
      <c r="Z1337" s="131">
        <v>0</v>
      </c>
      <c r="AA1337" s="131" t="s">
        <v>33</v>
      </c>
      <c r="AB1337" s="131">
        <v>0</v>
      </c>
      <c r="AC1337" s="131">
        <v>0.92</v>
      </c>
      <c r="AD1337" s="129">
        <v>1</v>
      </c>
      <c r="AE1337" s="129">
        <v>0.990740740740741</v>
      </c>
      <c r="AF1337" s="129">
        <v>0.995049504950495</v>
      </c>
      <c r="AG1337" s="129">
        <v>0.988709677419355</v>
      </c>
      <c r="AH1337" s="131">
        <v>0.92</v>
      </c>
      <c r="AI1337" s="129">
        <v>0.968279921517332</v>
      </c>
      <c r="AJ1337" s="129">
        <v>0.972309849281458</v>
      </c>
      <c r="AK1337" s="129">
        <v>0.974883974883975</v>
      </c>
      <c r="AL1337" s="129">
        <v>0.968609224168752</v>
      </c>
      <c r="AM1337" s="128">
        <v>0.99</v>
      </c>
      <c r="AN1337" s="133">
        <v>1</v>
      </c>
      <c r="AO1337" s="133">
        <v>1</v>
      </c>
      <c r="AP1337" s="133">
        <v>1</v>
      </c>
      <c r="AQ1337" s="133">
        <v>1</v>
      </c>
      <c r="AR1337" s="153">
        <v>0.0721861525408278</v>
      </c>
      <c r="AS1337" s="137">
        <v>0</v>
      </c>
      <c r="AT1337" s="137">
        <v>0.1</v>
      </c>
      <c r="AU1337" s="137">
        <v>0.2</v>
      </c>
      <c r="AV1337" s="137">
        <v>0.1</v>
      </c>
      <c r="AW1337" s="93"/>
      <c r="AX1337" s="91"/>
    </row>
    <row r="1338" ht="14.5" spans="1:50">
      <c r="A1338" s="89"/>
      <c r="B1338" s="93"/>
      <c r="C1338" s="148" t="s">
        <v>1080</v>
      </c>
      <c r="D1338" s="126" t="s">
        <v>1081</v>
      </c>
      <c r="E1338" s="186" t="s">
        <v>1363</v>
      </c>
      <c r="F1338" s="186" t="s">
        <v>1363</v>
      </c>
      <c r="G1338" s="186" t="s">
        <v>1363</v>
      </c>
      <c r="H1338" s="186" t="s">
        <v>1363</v>
      </c>
      <c r="I1338" s="128">
        <v>0.9</v>
      </c>
      <c r="J1338" s="129" t="s">
        <v>33</v>
      </c>
      <c r="K1338" s="129" t="s">
        <v>33</v>
      </c>
      <c r="L1338" s="130" t="s">
        <v>33</v>
      </c>
      <c r="M1338" s="129" t="s">
        <v>33</v>
      </c>
      <c r="N1338" s="131">
        <v>0.9</v>
      </c>
      <c r="O1338" s="129">
        <v>0</v>
      </c>
      <c r="P1338" s="129">
        <v>0</v>
      </c>
      <c r="Q1338" s="129">
        <v>0</v>
      </c>
      <c r="R1338" s="129">
        <v>0</v>
      </c>
      <c r="S1338" s="131">
        <v>0.9</v>
      </c>
      <c r="T1338" s="129">
        <v>1</v>
      </c>
      <c r="U1338" s="129">
        <v>1</v>
      </c>
      <c r="V1338" s="129">
        <v>1</v>
      </c>
      <c r="W1338" s="129">
        <v>1</v>
      </c>
      <c r="X1338" s="131">
        <v>0.92</v>
      </c>
      <c r="Y1338" s="131">
        <v>1</v>
      </c>
      <c r="Z1338" s="131">
        <v>1</v>
      </c>
      <c r="AA1338" s="131">
        <v>1</v>
      </c>
      <c r="AB1338" s="131">
        <v>1</v>
      </c>
      <c r="AC1338" s="131">
        <v>0.92</v>
      </c>
      <c r="AD1338" s="129">
        <v>1</v>
      </c>
      <c r="AE1338" s="129">
        <v>0.996987951807229</v>
      </c>
      <c r="AF1338" s="129">
        <v>1</v>
      </c>
      <c r="AG1338" s="129">
        <v>0.998108925869894</v>
      </c>
      <c r="AH1338" s="131">
        <v>0.92</v>
      </c>
      <c r="AI1338" s="129">
        <v>1</v>
      </c>
      <c r="AJ1338" s="129">
        <v>1</v>
      </c>
      <c r="AK1338" s="129">
        <v>1</v>
      </c>
      <c r="AL1338" s="129">
        <v>1</v>
      </c>
      <c r="AM1338" s="128">
        <v>0.99</v>
      </c>
      <c r="AN1338" s="133" t="s">
        <v>33</v>
      </c>
      <c r="AO1338" s="133" t="s">
        <v>33</v>
      </c>
      <c r="AP1338" s="133" t="s">
        <v>33</v>
      </c>
      <c r="AQ1338" s="133">
        <v>1</v>
      </c>
      <c r="AR1338" s="153">
        <v>0.0721861525408278</v>
      </c>
      <c r="AS1338" s="137" t="s">
        <v>33</v>
      </c>
      <c r="AT1338" s="137" t="s">
        <v>33</v>
      </c>
      <c r="AU1338" s="137" t="s">
        <v>33</v>
      </c>
      <c r="AV1338" s="137" t="s">
        <v>33</v>
      </c>
      <c r="AW1338" s="93"/>
      <c r="AX1338" s="91"/>
    </row>
    <row r="1339" ht="14.5" spans="1:50">
      <c r="A1339" s="89"/>
      <c r="B1339" s="93"/>
      <c r="C1339" s="148" t="s">
        <v>1080</v>
      </c>
      <c r="D1339" s="126" t="s">
        <v>1081</v>
      </c>
      <c r="E1339" s="186" t="s">
        <v>1364</v>
      </c>
      <c r="F1339" s="186" t="s">
        <v>1364</v>
      </c>
      <c r="G1339" s="186" t="s">
        <v>1364</v>
      </c>
      <c r="H1339" s="186" t="s">
        <v>1364</v>
      </c>
      <c r="I1339" s="128">
        <v>0.9</v>
      </c>
      <c r="J1339" s="129">
        <v>0.909090909090909</v>
      </c>
      <c r="K1339" s="129">
        <v>0.948717948717949</v>
      </c>
      <c r="L1339" s="130">
        <v>0.909090909090909</v>
      </c>
      <c r="M1339" s="129">
        <v>0.921259842519685</v>
      </c>
      <c r="N1339" s="131">
        <v>0.9</v>
      </c>
      <c r="O1339" s="129">
        <v>0.971685971685972</v>
      </c>
      <c r="P1339" s="129">
        <v>0.973654066437572</v>
      </c>
      <c r="Q1339" s="129">
        <v>0.978526315789474</v>
      </c>
      <c r="R1339" s="129">
        <v>0.971468763526187</v>
      </c>
      <c r="S1339" s="131">
        <v>0.9</v>
      </c>
      <c r="T1339" s="129">
        <v>0.956241956241956</v>
      </c>
      <c r="U1339" s="129">
        <v>0.934707903780069</v>
      </c>
      <c r="V1339" s="129">
        <v>0.942736842105263</v>
      </c>
      <c r="W1339" s="129">
        <v>0.946075602366181</v>
      </c>
      <c r="X1339" s="131">
        <v>0.92</v>
      </c>
      <c r="Y1339" s="131">
        <v>0.962445414847162</v>
      </c>
      <c r="Z1339" s="131">
        <v>0.950286806883365</v>
      </c>
      <c r="AA1339" s="131">
        <v>0.965833333333333</v>
      </c>
      <c r="AB1339" s="131">
        <v>0.957270191195482</v>
      </c>
      <c r="AC1339" s="131">
        <v>0.92</v>
      </c>
      <c r="AD1339" s="129">
        <v>0.989783796626277</v>
      </c>
      <c r="AE1339" s="129">
        <v>0.995578119882083</v>
      </c>
      <c r="AF1339" s="129">
        <v>0.98598820058997</v>
      </c>
      <c r="AG1339" s="129">
        <v>0.99098880181439</v>
      </c>
      <c r="AH1339" s="131">
        <v>0.92</v>
      </c>
      <c r="AI1339" s="129">
        <v>0.978154642138546</v>
      </c>
      <c r="AJ1339" s="129">
        <v>0.971725125268432</v>
      </c>
      <c r="AK1339" s="129">
        <v>0.980699300699301</v>
      </c>
      <c r="AL1339" s="129">
        <v>0.9750907291323</v>
      </c>
      <c r="AM1339" s="128">
        <v>0.99</v>
      </c>
      <c r="AN1339" s="133">
        <v>1</v>
      </c>
      <c r="AO1339" s="133">
        <v>1</v>
      </c>
      <c r="AP1339" s="133">
        <v>1</v>
      </c>
      <c r="AQ1339" s="133">
        <v>1</v>
      </c>
      <c r="AR1339" s="153">
        <v>0.0721861525408278</v>
      </c>
      <c r="AS1339" s="137">
        <v>0.0833333333333333</v>
      </c>
      <c r="AT1339" s="137">
        <v>0</v>
      </c>
      <c r="AU1339" s="137">
        <v>0</v>
      </c>
      <c r="AV1339" s="137">
        <v>0.0610687022900763</v>
      </c>
      <c r="AW1339" s="93"/>
      <c r="AX1339" s="91"/>
    </row>
    <row r="1340" ht="14.5" spans="1:50">
      <c r="A1340" s="89"/>
      <c r="B1340" s="93"/>
      <c r="C1340" s="148" t="s">
        <v>1080</v>
      </c>
      <c r="D1340" s="126" t="s">
        <v>1081</v>
      </c>
      <c r="E1340" s="186" t="s">
        <v>1365</v>
      </c>
      <c r="F1340" s="186" t="s">
        <v>1365</v>
      </c>
      <c r="G1340" s="186" t="s">
        <v>1365</v>
      </c>
      <c r="H1340" s="186" t="s">
        <v>1365</v>
      </c>
      <c r="I1340" s="128">
        <v>0.9</v>
      </c>
      <c r="J1340" s="129">
        <v>0.9</v>
      </c>
      <c r="K1340" s="129">
        <v>0.972972972972973</v>
      </c>
      <c r="L1340" s="130">
        <v>0.95</v>
      </c>
      <c r="M1340" s="129">
        <v>0.917960088691796</v>
      </c>
      <c r="N1340" s="131">
        <v>0.9</v>
      </c>
      <c r="O1340" s="129">
        <v>0.960714285714286</v>
      </c>
      <c r="P1340" s="129">
        <v>0.943668753009148</v>
      </c>
      <c r="Q1340" s="129">
        <v>0.98034627983154</v>
      </c>
      <c r="R1340" s="129">
        <v>0.936377580366843</v>
      </c>
      <c r="S1340" s="131">
        <v>0.9</v>
      </c>
      <c r="T1340" s="129">
        <v>0.930519480519481</v>
      </c>
      <c r="U1340" s="129">
        <v>0.939335580163698</v>
      </c>
      <c r="V1340" s="129">
        <v>0.954609265325222</v>
      </c>
      <c r="W1340" s="129">
        <v>0.931488464242347</v>
      </c>
      <c r="X1340" s="131">
        <v>0.92</v>
      </c>
      <c r="Y1340" s="131">
        <v>0.948525737131434</v>
      </c>
      <c r="Z1340" s="131">
        <v>0.959264126149803</v>
      </c>
      <c r="AA1340" s="131">
        <v>0.967121901871522</v>
      </c>
      <c r="AB1340" s="131">
        <v>0.954766373129301</v>
      </c>
      <c r="AC1340" s="131">
        <v>0.92</v>
      </c>
      <c r="AD1340" s="129">
        <v>0.993184634448575</v>
      </c>
      <c r="AE1340" s="129">
        <v>0.992395437262357</v>
      </c>
      <c r="AF1340" s="129">
        <v>0.99196572040707</v>
      </c>
      <c r="AG1340" s="129">
        <v>0.992361914781694</v>
      </c>
      <c r="AH1340" s="131">
        <v>0.92</v>
      </c>
      <c r="AI1340" s="129">
        <v>0.9637937819756</v>
      </c>
      <c r="AJ1340" s="129">
        <v>0.973325923867741</v>
      </c>
      <c r="AK1340" s="129">
        <v>0.97910592808552</v>
      </c>
      <c r="AL1340" s="129">
        <v>0.969663223378519</v>
      </c>
      <c r="AM1340" s="128">
        <v>0.99</v>
      </c>
      <c r="AN1340" s="133">
        <v>1</v>
      </c>
      <c r="AO1340" s="133">
        <v>1</v>
      </c>
      <c r="AP1340" s="133">
        <v>1</v>
      </c>
      <c r="AQ1340" s="133">
        <v>1</v>
      </c>
      <c r="AR1340" s="153">
        <v>0.0721861525408278</v>
      </c>
      <c r="AS1340" s="137">
        <v>0</v>
      </c>
      <c r="AT1340" s="137">
        <v>0.125</v>
      </c>
      <c r="AU1340" s="137">
        <v>0.0967741935483871</v>
      </c>
      <c r="AV1340" s="137">
        <v>0.0631578947368421</v>
      </c>
      <c r="AW1340" s="93"/>
      <c r="AX1340" s="91"/>
    </row>
    <row r="1341" ht="14.5" spans="1:50">
      <c r="A1341" s="89"/>
      <c r="B1341" s="93"/>
      <c r="C1341" s="148" t="s">
        <v>1080</v>
      </c>
      <c r="D1341" s="126" t="s">
        <v>1081</v>
      </c>
      <c r="E1341" s="186" t="s">
        <v>1366</v>
      </c>
      <c r="F1341" s="186" t="s">
        <v>1366</v>
      </c>
      <c r="G1341" s="186" t="s">
        <v>1366</v>
      </c>
      <c r="H1341" s="186" t="s">
        <v>1366</v>
      </c>
      <c r="I1341" s="128">
        <v>0.9</v>
      </c>
      <c r="J1341" s="129">
        <v>0.885714285714286</v>
      </c>
      <c r="K1341" s="129">
        <v>0.814814814814815</v>
      </c>
      <c r="L1341" s="130">
        <v>0.896551724137931</v>
      </c>
      <c r="M1341" s="129">
        <v>0.855524079320113</v>
      </c>
      <c r="N1341" s="131">
        <v>0.9</v>
      </c>
      <c r="O1341" s="129">
        <v>0.946306306306306</v>
      </c>
      <c r="P1341" s="129">
        <v>0.952085682074408</v>
      </c>
      <c r="Q1341" s="129">
        <v>0.960174577195854</v>
      </c>
      <c r="R1341" s="129">
        <v>0.936982693754703</v>
      </c>
      <c r="S1341" s="131">
        <v>0.9</v>
      </c>
      <c r="T1341" s="129">
        <v>0.936576576576577</v>
      </c>
      <c r="U1341" s="129">
        <v>0.935174746335964</v>
      </c>
      <c r="V1341" s="129">
        <v>0.951445717403164</v>
      </c>
      <c r="W1341" s="129">
        <v>0.933559066967645</v>
      </c>
      <c r="X1341" s="131">
        <v>0.92</v>
      </c>
      <c r="Y1341" s="131">
        <v>0.961401425178147</v>
      </c>
      <c r="Z1341" s="131">
        <v>0.960173787110789</v>
      </c>
      <c r="AA1341" s="131">
        <v>0.973108192620388</v>
      </c>
      <c r="AB1341" s="131">
        <v>0.958819423671353</v>
      </c>
      <c r="AC1341" s="131">
        <v>0.92</v>
      </c>
      <c r="AD1341" s="129">
        <v>0.99780701754386</v>
      </c>
      <c r="AE1341" s="129">
        <v>0.998603351955307</v>
      </c>
      <c r="AF1341" s="129">
        <v>0.994459833795014</v>
      </c>
      <c r="AG1341" s="129">
        <v>0.99815749067778</v>
      </c>
      <c r="AH1341" s="131">
        <v>0.92</v>
      </c>
      <c r="AI1341" s="129">
        <v>0.970396949988787</v>
      </c>
      <c r="AJ1341" s="129">
        <v>0.969572107765452</v>
      </c>
      <c r="AK1341" s="129">
        <v>0.980769230769231</v>
      </c>
      <c r="AL1341" s="129">
        <v>0.969081669847124</v>
      </c>
      <c r="AM1341" s="128">
        <v>0.99</v>
      </c>
      <c r="AN1341" s="133">
        <v>1</v>
      </c>
      <c r="AO1341" s="133">
        <v>1</v>
      </c>
      <c r="AP1341" s="133">
        <v>1</v>
      </c>
      <c r="AQ1341" s="133">
        <v>1</v>
      </c>
      <c r="AR1341" s="153">
        <v>0.0721861525408278</v>
      </c>
      <c r="AS1341" s="137">
        <v>0</v>
      </c>
      <c r="AT1341" s="137">
        <v>0</v>
      </c>
      <c r="AU1341" s="137">
        <v>0.04</v>
      </c>
      <c r="AV1341" s="137">
        <v>0.0516605166051661</v>
      </c>
      <c r="AW1341" s="93"/>
      <c r="AX1341" s="91"/>
    </row>
    <row r="1342" ht="14.5" spans="1:50">
      <c r="A1342" s="89"/>
      <c r="B1342" s="93"/>
      <c r="C1342" s="148" t="s">
        <v>1080</v>
      </c>
      <c r="D1342" s="126" t="s">
        <v>1081</v>
      </c>
      <c r="E1342" s="186" t="s">
        <v>1367</v>
      </c>
      <c r="F1342" s="186" t="s">
        <v>1367</v>
      </c>
      <c r="G1342" s="186" t="s">
        <v>1367</v>
      </c>
      <c r="H1342" s="186" t="s">
        <v>1367</v>
      </c>
      <c r="I1342" s="128">
        <v>0.9</v>
      </c>
      <c r="J1342" s="129" t="s">
        <v>33</v>
      </c>
      <c r="K1342" s="129" t="s">
        <v>33</v>
      </c>
      <c r="L1342" s="130" t="s">
        <v>33</v>
      </c>
      <c r="M1342" s="129" t="s">
        <v>33</v>
      </c>
      <c r="N1342" s="131">
        <v>0.9</v>
      </c>
      <c r="O1342" s="129">
        <v>1</v>
      </c>
      <c r="P1342" s="129" t="s">
        <v>33</v>
      </c>
      <c r="Q1342" s="129">
        <v>1</v>
      </c>
      <c r="R1342" s="129">
        <v>0.769230769230769</v>
      </c>
      <c r="S1342" s="131">
        <v>0.9</v>
      </c>
      <c r="T1342" s="129">
        <v>1</v>
      </c>
      <c r="U1342" s="129" t="s">
        <v>33</v>
      </c>
      <c r="V1342" s="129">
        <v>1</v>
      </c>
      <c r="W1342" s="129">
        <v>0.846153846153846</v>
      </c>
      <c r="X1342" s="131">
        <v>0.92</v>
      </c>
      <c r="Y1342" s="131" t="s">
        <v>33</v>
      </c>
      <c r="Z1342" s="131" t="s">
        <v>33</v>
      </c>
      <c r="AA1342" s="131">
        <v>1</v>
      </c>
      <c r="AB1342" s="131">
        <v>1</v>
      </c>
      <c r="AC1342" s="131">
        <v>0.92</v>
      </c>
      <c r="AD1342" s="129">
        <v>0.999387067116151</v>
      </c>
      <c r="AE1342" s="129">
        <v>0.997367791337641</v>
      </c>
      <c r="AF1342" s="129">
        <v>0.998505678421996</v>
      </c>
      <c r="AG1342" s="129">
        <v>0.994290886305089</v>
      </c>
      <c r="AH1342" s="131">
        <v>0.92</v>
      </c>
      <c r="AI1342" s="129">
        <v>1</v>
      </c>
      <c r="AJ1342" s="129">
        <v>1</v>
      </c>
      <c r="AK1342" s="129">
        <v>1</v>
      </c>
      <c r="AL1342" s="129">
        <v>0.95</v>
      </c>
      <c r="AM1342" s="128">
        <v>0.99</v>
      </c>
      <c r="AN1342" s="133">
        <v>1</v>
      </c>
      <c r="AO1342" s="133">
        <v>1</v>
      </c>
      <c r="AP1342" s="133">
        <v>1</v>
      </c>
      <c r="AQ1342" s="133">
        <v>1</v>
      </c>
      <c r="AR1342" s="153">
        <v>0.0721861525408278</v>
      </c>
      <c r="AS1342" s="137" t="s">
        <v>33</v>
      </c>
      <c r="AT1342" s="137" t="s">
        <v>33</v>
      </c>
      <c r="AU1342" s="137" t="s">
        <v>33</v>
      </c>
      <c r="AV1342" s="137" t="s">
        <v>33</v>
      </c>
      <c r="AW1342" s="93"/>
      <c r="AX1342" s="91"/>
    </row>
    <row r="1343" ht="14.5" spans="1:50">
      <c r="A1343" s="89"/>
      <c r="B1343" s="93"/>
      <c r="C1343" s="148" t="s">
        <v>1080</v>
      </c>
      <c r="D1343" s="126" t="s">
        <v>1081</v>
      </c>
      <c r="E1343" s="186" t="s">
        <v>1368</v>
      </c>
      <c r="F1343" s="186" t="s">
        <v>1368</v>
      </c>
      <c r="G1343" s="186" t="s">
        <v>1368</v>
      </c>
      <c r="H1343" s="186" t="s">
        <v>1368</v>
      </c>
      <c r="I1343" s="128">
        <v>0.9</v>
      </c>
      <c r="J1343" s="129">
        <v>0.928571428571429</v>
      </c>
      <c r="K1343" s="129">
        <v>0.916666666666667</v>
      </c>
      <c r="L1343" s="130">
        <v>0.857142857142857</v>
      </c>
      <c r="M1343" s="129">
        <v>0.858064516129032</v>
      </c>
      <c r="N1343" s="131">
        <v>0.9</v>
      </c>
      <c r="O1343" s="129">
        <v>0.957176843774782</v>
      </c>
      <c r="P1343" s="129">
        <v>0.972944849115505</v>
      </c>
      <c r="Q1343" s="129">
        <v>0.984210526315789</v>
      </c>
      <c r="R1343" s="129">
        <v>0.949004875709376</v>
      </c>
      <c r="S1343" s="131">
        <v>0.9</v>
      </c>
      <c r="T1343" s="129">
        <v>0.934179222839017</v>
      </c>
      <c r="U1343" s="129">
        <v>0.919875130072841</v>
      </c>
      <c r="V1343" s="129">
        <v>0.946315789473684</v>
      </c>
      <c r="W1343" s="129">
        <v>0.930940772120534</v>
      </c>
      <c r="X1343" s="131">
        <v>0.92</v>
      </c>
      <c r="Y1343" s="131">
        <v>0.941105769230769</v>
      </c>
      <c r="Z1343" s="131">
        <v>0.949826989619377</v>
      </c>
      <c r="AA1343" s="131">
        <v>0.953650057937428</v>
      </c>
      <c r="AB1343" s="131">
        <v>0.947911938266001</v>
      </c>
      <c r="AC1343" s="131">
        <v>0.92</v>
      </c>
      <c r="AD1343" s="129">
        <v>0.998915401301518</v>
      </c>
      <c r="AE1343" s="129">
        <v>0.994372210362895</v>
      </c>
      <c r="AF1343" s="129">
        <v>0.991359325605901</v>
      </c>
      <c r="AG1343" s="129">
        <v>0.989955313006683</v>
      </c>
      <c r="AH1343" s="131">
        <v>0.92</v>
      </c>
      <c r="AI1343" s="129">
        <v>0.962732919254658</v>
      </c>
      <c r="AJ1343" s="129">
        <v>0.967511371020143</v>
      </c>
      <c r="AK1343" s="129">
        <v>0.971318257032543</v>
      </c>
      <c r="AL1343" s="129">
        <v>0.967077803310979</v>
      </c>
      <c r="AM1343" s="128">
        <v>0.99</v>
      </c>
      <c r="AN1343" s="133">
        <v>1</v>
      </c>
      <c r="AO1343" s="133">
        <v>1</v>
      </c>
      <c r="AP1343" s="133">
        <v>1</v>
      </c>
      <c r="AQ1343" s="133">
        <v>1</v>
      </c>
      <c r="AR1343" s="153">
        <v>0.0721861525408278</v>
      </c>
      <c r="AS1343" s="137">
        <v>0.125</v>
      </c>
      <c r="AT1343" s="137">
        <v>0</v>
      </c>
      <c r="AU1343" s="137">
        <v>0.125</v>
      </c>
      <c r="AV1343" s="137">
        <v>0.0853658536585366</v>
      </c>
      <c r="AW1343" s="93"/>
      <c r="AX1343" s="91"/>
    </row>
    <row r="1344" ht="14.5" spans="1:50">
      <c r="A1344" s="89"/>
      <c r="B1344" s="93"/>
      <c r="C1344" s="148" t="s">
        <v>1080</v>
      </c>
      <c r="D1344" s="126" t="s">
        <v>1081</v>
      </c>
      <c r="E1344" s="186" t="s">
        <v>1369</v>
      </c>
      <c r="F1344" s="186" t="s">
        <v>1369</v>
      </c>
      <c r="G1344" s="186" t="s">
        <v>1369</v>
      </c>
      <c r="H1344" s="186" t="s">
        <v>1369</v>
      </c>
      <c r="I1344" s="128">
        <v>0.9</v>
      </c>
      <c r="J1344" s="129">
        <v>0.96969696969697</v>
      </c>
      <c r="K1344" s="129">
        <v>0.931034482758621</v>
      </c>
      <c r="L1344" s="130">
        <v>0.892857142857143</v>
      </c>
      <c r="M1344" s="129">
        <v>0.951289398280802</v>
      </c>
      <c r="N1344" s="131">
        <v>0.9</v>
      </c>
      <c r="O1344" s="129">
        <v>0.971525096525097</v>
      </c>
      <c r="P1344" s="129">
        <v>0.952411994784876</v>
      </c>
      <c r="Q1344" s="129">
        <v>0.963803680981595</v>
      </c>
      <c r="R1344" s="129">
        <v>0.957078573901004</v>
      </c>
      <c r="S1344" s="131">
        <v>0.9</v>
      </c>
      <c r="T1344" s="129">
        <v>0.938706563706564</v>
      </c>
      <c r="U1344" s="129">
        <v>0.9374185136897</v>
      </c>
      <c r="V1344" s="129">
        <v>0.913496932515337</v>
      </c>
      <c r="W1344" s="129">
        <v>0.934529990604757</v>
      </c>
      <c r="X1344" s="131">
        <v>0.92</v>
      </c>
      <c r="Y1344" s="131">
        <v>0.948494453248811</v>
      </c>
      <c r="Z1344" s="131">
        <v>0.958730158730159</v>
      </c>
      <c r="AA1344" s="131">
        <v>0.961103253182461</v>
      </c>
      <c r="AB1344" s="131">
        <v>0.958085091469825</v>
      </c>
      <c r="AC1344" s="131">
        <v>0.92</v>
      </c>
      <c r="AD1344" s="129">
        <v>0.993213383838384</v>
      </c>
      <c r="AE1344" s="129">
        <v>0.992745623718656</v>
      </c>
      <c r="AF1344" s="129">
        <v>0.996244131455399</v>
      </c>
      <c r="AG1344" s="129">
        <v>0.981248744807467</v>
      </c>
      <c r="AH1344" s="131">
        <v>0.92</v>
      </c>
      <c r="AI1344" s="129">
        <v>0.967026378896882</v>
      </c>
      <c r="AJ1344" s="129">
        <v>0.970161290322581</v>
      </c>
      <c r="AK1344" s="129">
        <v>0.972413793103448</v>
      </c>
      <c r="AL1344" s="129">
        <v>0.970933595557612</v>
      </c>
      <c r="AM1344" s="128">
        <v>0.99</v>
      </c>
      <c r="AN1344" s="133">
        <v>1</v>
      </c>
      <c r="AO1344" s="133">
        <v>1</v>
      </c>
      <c r="AP1344" s="133">
        <v>1</v>
      </c>
      <c r="AQ1344" s="133">
        <v>1</v>
      </c>
      <c r="AR1344" s="153">
        <v>0.0721861525408278</v>
      </c>
      <c r="AS1344" s="137">
        <v>0.0588235294117647</v>
      </c>
      <c r="AT1344" s="137">
        <v>0</v>
      </c>
      <c r="AU1344" s="137">
        <v>0.0909090909090909</v>
      </c>
      <c r="AV1344" s="137">
        <v>0.0267175572519084</v>
      </c>
      <c r="AW1344" s="93"/>
      <c r="AX1344" s="91"/>
    </row>
    <row r="1345" ht="14.5" spans="1:50">
      <c r="A1345" s="89"/>
      <c r="B1345" s="93"/>
      <c r="C1345" s="148" t="s">
        <v>1080</v>
      </c>
      <c r="D1345" s="126" t="s">
        <v>1081</v>
      </c>
      <c r="E1345" s="186" t="s">
        <v>1370</v>
      </c>
      <c r="F1345" s="186" t="s">
        <v>1370</v>
      </c>
      <c r="G1345" s="186" t="s">
        <v>1370</v>
      </c>
      <c r="H1345" s="186" t="s">
        <v>1370</v>
      </c>
      <c r="I1345" s="128">
        <v>0.9</v>
      </c>
      <c r="J1345" s="129" t="s">
        <v>33</v>
      </c>
      <c r="K1345" s="129" t="s">
        <v>33</v>
      </c>
      <c r="L1345" s="130" t="s">
        <v>33</v>
      </c>
      <c r="M1345" s="129" t="s">
        <v>33</v>
      </c>
      <c r="N1345" s="131">
        <v>0.9</v>
      </c>
      <c r="O1345" s="129">
        <v>0.972332015810277</v>
      </c>
      <c r="P1345" s="129">
        <v>0.996923076923077</v>
      </c>
      <c r="Q1345" s="129">
        <v>1</v>
      </c>
      <c r="R1345" s="129">
        <v>0.996060171919771</v>
      </c>
      <c r="S1345" s="131">
        <v>0.9</v>
      </c>
      <c r="T1345" s="129">
        <v>1</v>
      </c>
      <c r="U1345" s="129">
        <v>1</v>
      </c>
      <c r="V1345" s="129">
        <v>1</v>
      </c>
      <c r="W1345" s="129">
        <v>1</v>
      </c>
      <c r="X1345" s="131">
        <v>0.92</v>
      </c>
      <c r="Y1345" s="131">
        <v>1</v>
      </c>
      <c r="Z1345" s="131">
        <v>1</v>
      </c>
      <c r="AA1345" s="131">
        <v>0.993548387096774</v>
      </c>
      <c r="AB1345" s="131">
        <v>0.999280575539568</v>
      </c>
      <c r="AC1345" s="131">
        <v>0.92</v>
      </c>
      <c r="AD1345" s="129">
        <v>0.995875549179593</v>
      </c>
      <c r="AE1345" s="129">
        <v>0.997620064685421</v>
      </c>
      <c r="AF1345" s="129">
        <v>0.997089881100856</v>
      </c>
      <c r="AG1345" s="129">
        <v>0.98533318574275</v>
      </c>
      <c r="AH1345" s="131">
        <v>0.92</v>
      </c>
      <c r="AI1345" s="129">
        <v>1</v>
      </c>
      <c r="AJ1345" s="129">
        <v>1</v>
      </c>
      <c r="AK1345" s="129">
        <v>0.997175141242938</v>
      </c>
      <c r="AL1345" s="129">
        <v>0.999762018086625</v>
      </c>
      <c r="AM1345" s="128">
        <v>0.99</v>
      </c>
      <c r="AN1345" s="133">
        <v>1</v>
      </c>
      <c r="AO1345" s="133">
        <v>1</v>
      </c>
      <c r="AP1345" s="133">
        <v>1</v>
      </c>
      <c r="AQ1345" s="133">
        <v>1</v>
      </c>
      <c r="AR1345" s="153">
        <v>0.0721861525408278</v>
      </c>
      <c r="AS1345" s="137" t="s">
        <v>33</v>
      </c>
      <c r="AT1345" s="137" t="s">
        <v>33</v>
      </c>
      <c r="AU1345" s="137" t="s">
        <v>33</v>
      </c>
      <c r="AV1345" s="137">
        <v>0</v>
      </c>
      <c r="AW1345" s="93"/>
      <c r="AX1345" s="91"/>
    </row>
    <row r="1346" ht="14.5" spans="1:50">
      <c r="A1346" s="89"/>
      <c r="B1346" s="93"/>
      <c r="C1346" s="148" t="s">
        <v>1080</v>
      </c>
      <c r="D1346" s="126" t="s">
        <v>1081</v>
      </c>
      <c r="E1346" s="186" t="s">
        <v>1371</v>
      </c>
      <c r="F1346" s="186" t="s">
        <v>1371</v>
      </c>
      <c r="G1346" s="186" t="s">
        <v>1371</v>
      </c>
      <c r="H1346" s="186" t="s">
        <v>1371</v>
      </c>
      <c r="I1346" s="128">
        <v>0.9</v>
      </c>
      <c r="J1346" s="129">
        <v>1</v>
      </c>
      <c r="K1346" s="129">
        <v>0.904761904761905</v>
      </c>
      <c r="L1346" s="130">
        <v>0.904761904761905</v>
      </c>
      <c r="M1346" s="129">
        <v>0.956363636363636</v>
      </c>
      <c r="N1346" s="131">
        <v>0.9</v>
      </c>
      <c r="O1346" s="129">
        <v>0.968106995884774</v>
      </c>
      <c r="P1346" s="129">
        <v>0.982784431137725</v>
      </c>
      <c r="Q1346" s="129">
        <v>0.977657413676371</v>
      </c>
      <c r="R1346" s="129">
        <v>0.911816305469556</v>
      </c>
      <c r="S1346" s="131">
        <v>0.9</v>
      </c>
      <c r="T1346" s="129">
        <v>0.938271604938272</v>
      </c>
      <c r="U1346" s="129">
        <v>0.921407185628742</v>
      </c>
      <c r="V1346" s="129">
        <v>0.914014895057549</v>
      </c>
      <c r="W1346" s="129">
        <v>0.856037151702786</v>
      </c>
      <c r="X1346" s="131">
        <v>0.92</v>
      </c>
      <c r="Y1346" s="131">
        <v>0.956689868522815</v>
      </c>
      <c r="Z1346" s="131">
        <v>0.960300429184549</v>
      </c>
      <c r="AA1346" s="131">
        <v>0.953363914373089</v>
      </c>
      <c r="AB1346" s="131">
        <v>0.958194336006814</v>
      </c>
      <c r="AC1346" s="131">
        <v>0.92</v>
      </c>
      <c r="AD1346" s="129">
        <v>0.998190591073583</v>
      </c>
      <c r="AE1346" s="129">
        <v>0.996596324029952</v>
      </c>
      <c r="AF1346" s="129">
        <v>0.996341463414634</v>
      </c>
      <c r="AG1346" s="129">
        <v>0.996515947226848</v>
      </c>
      <c r="AH1346" s="131">
        <v>0.92</v>
      </c>
      <c r="AI1346" s="129">
        <v>0.965708989805375</v>
      </c>
      <c r="AJ1346" s="129">
        <v>0.971340388007055</v>
      </c>
      <c r="AK1346" s="129">
        <v>0.965529622980251</v>
      </c>
      <c r="AL1346" s="129">
        <v>0.968479235135943</v>
      </c>
      <c r="AM1346" s="128">
        <v>0.99</v>
      </c>
      <c r="AN1346" s="133">
        <v>1</v>
      </c>
      <c r="AO1346" s="133">
        <v>1</v>
      </c>
      <c r="AP1346" s="133">
        <v>1</v>
      </c>
      <c r="AQ1346" s="133">
        <v>1</v>
      </c>
      <c r="AR1346" s="153">
        <v>0.0721861525408278</v>
      </c>
      <c r="AS1346" s="137">
        <v>0</v>
      </c>
      <c r="AT1346" s="137">
        <v>0.0476190476190476</v>
      </c>
      <c r="AU1346" s="137">
        <v>0.166666666666667</v>
      </c>
      <c r="AV1346" s="137">
        <v>0.0549450549450549</v>
      </c>
      <c r="AW1346" s="93"/>
      <c r="AX1346" s="91"/>
    </row>
    <row r="1347" ht="14.5" spans="1:50">
      <c r="A1347" s="89"/>
      <c r="B1347" s="93"/>
      <c r="C1347" s="148" t="s">
        <v>1080</v>
      </c>
      <c r="D1347" s="126" t="s">
        <v>1081</v>
      </c>
      <c r="E1347" s="186" t="s">
        <v>1372</v>
      </c>
      <c r="F1347" s="186" t="s">
        <v>1372</v>
      </c>
      <c r="G1347" s="186" t="s">
        <v>1372</v>
      </c>
      <c r="H1347" s="186" t="s">
        <v>1372</v>
      </c>
      <c r="I1347" s="128">
        <v>0.9</v>
      </c>
      <c r="J1347" s="129">
        <v>0.948717948717949</v>
      </c>
      <c r="K1347" s="129">
        <v>0.885714285714286</v>
      </c>
      <c r="L1347" s="130">
        <v>0.888888888888889</v>
      </c>
      <c r="M1347" s="129">
        <v>0.926174496644295</v>
      </c>
      <c r="N1347" s="131">
        <v>0.9</v>
      </c>
      <c r="O1347" s="129">
        <v>0.938766709788702</v>
      </c>
      <c r="P1347" s="129">
        <v>0.921854304635762</v>
      </c>
      <c r="Q1347" s="129">
        <v>0.900066401062417</v>
      </c>
      <c r="R1347" s="129">
        <v>0.942261619549593</v>
      </c>
      <c r="S1347" s="131">
        <v>0.9</v>
      </c>
      <c r="T1347" s="129">
        <v>0.932729624838292</v>
      </c>
      <c r="U1347" s="129">
        <v>0.941721854304636</v>
      </c>
      <c r="V1347" s="129">
        <v>0.942895086321381</v>
      </c>
      <c r="W1347" s="129">
        <v>0.934690943938668</v>
      </c>
      <c r="X1347" s="131">
        <v>0.92</v>
      </c>
      <c r="Y1347" s="131">
        <v>0.961234474971773</v>
      </c>
      <c r="Z1347" s="131">
        <v>0.93451501723289</v>
      </c>
      <c r="AA1347" s="131">
        <v>0.969342059937995</v>
      </c>
      <c r="AB1347" s="131">
        <v>0.955483241132444</v>
      </c>
      <c r="AC1347" s="131">
        <v>0.92</v>
      </c>
      <c r="AD1347" s="129">
        <v>1</v>
      </c>
      <c r="AE1347" s="129">
        <v>0.998244587478057</v>
      </c>
      <c r="AF1347" s="129">
        <v>0.9975194897236</v>
      </c>
      <c r="AG1347" s="129">
        <v>0.999096683955942</v>
      </c>
      <c r="AH1347" s="131">
        <v>0.92</v>
      </c>
      <c r="AI1347" s="129">
        <v>0.973132282385195</v>
      </c>
      <c r="AJ1347" s="129">
        <v>0.960799841615522</v>
      </c>
      <c r="AK1347" s="129">
        <v>0.977007607776839</v>
      </c>
      <c r="AL1347" s="129">
        <v>0.970388972444911</v>
      </c>
      <c r="AM1347" s="128">
        <v>0.99</v>
      </c>
      <c r="AN1347" s="133">
        <v>1</v>
      </c>
      <c r="AO1347" s="133">
        <v>1</v>
      </c>
      <c r="AP1347" s="133">
        <v>1</v>
      </c>
      <c r="AQ1347" s="133">
        <v>1</v>
      </c>
      <c r="AR1347" s="153">
        <v>0.0721861525408278</v>
      </c>
      <c r="AS1347" s="137">
        <v>0</v>
      </c>
      <c r="AT1347" s="137">
        <v>0.111111111111111</v>
      </c>
      <c r="AU1347" s="137">
        <v>0.0816326530612245</v>
      </c>
      <c r="AV1347" s="137">
        <v>0.0210772833723653</v>
      </c>
      <c r="AW1347" s="93"/>
      <c r="AX1347" s="91"/>
    </row>
    <row r="1348" ht="14.5" spans="1:50">
      <c r="A1348" s="89"/>
      <c r="B1348" s="93"/>
      <c r="C1348" s="148" t="s">
        <v>1080</v>
      </c>
      <c r="D1348" s="126" t="s">
        <v>1081</v>
      </c>
      <c r="E1348" s="186" t="s">
        <v>1373</v>
      </c>
      <c r="F1348" s="186" t="s">
        <v>1373</v>
      </c>
      <c r="G1348" s="186" t="s">
        <v>1373</v>
      </c>
      <c r="H1348" s="186" t="s">
        <v>1373</v>
      </c>
      <c r="I1348" s="128">
        <v>0.9</v>
      </c>
      <c r="J1348" s="129">
        <v>1</v>
      </c>
      <c r="K1348" s="129">
        <v>1</v>
      </c>
      <c r="L1348" s="130">
        <v>1</v>
      </c>
      <c r="M1348" s="129">
        <v>0.98501872659176</v>
      </c>
      <c r="N1348" s="131">
        <v>0.9</v>
      </c>
      <c r="O1348" s="129">
        <v>0.987403100775194</v>
      </c>
      <c r="P1348" s="129">
        <v>0.986279257465698</v>
      </c>
      <c r="Q1348" s="129">
        <v>0.989728539985327</v>
      </c>
      <c r="R1348" s="129">
        <v>0.983834586466165</v>
      </c>
      <c r="S1348" s="131">
        <v>0.9</v>
      </c>
      <c r="T1348" s="129">
        <v>0.940406976744186</v>
      </c>
      <c r="U1348" s="129">
        <v>0.928974979822437</v>
      </c>
      <c r="V1348" s="129">
        <v>0.920029347028613</v>
      </c>
      <c r="W1348" s="129">
        <v>0.920730397422127</v>
      </c>
      <c r="X1348" s="131">
        <v>0.92</v>
      </c>
      <c r="Y1348" s="131">
        <v>0.964255319148936</v>
      </c>
      <c r="Z1348" s="131">
        <v>0.968917470525188</v>
      </c>
      <c r="AA1348" s="131">
        <v>0.958298582151793</v>
      </c>
      <c r="AB1348" s="131">
        <v>0.949732000579458</v>
      </c>
      <c r="AC1348" s="131">
        <v>0.92</v>
      </c>
      <c r="AD1348" s="129">
        <v>1</v>
      </c>
      <c r="AE1348" s="129">
        <v>0.999303378613723</v>
      </c>
      <c r="AF1348" s="129">
        <v>1</v>
      </c>
      <c r="AG1348" s="129">
        <v>0.999888243182834</v>
      </c>
      <c r="AH1348" s="131">
        <v>0.92</v>
      </c>
      <c r="AI1348" s="129">
        <v>0.976535967891324</v>
      </c>
      <c r="AJ1348" s="129">
        <v>0.974217311233886</v>
      </c>
      <c r="AK1348" s="129">
        <v>0.969164715066354</v>
      </c>
      <c r="AL1348" s="129">
        <v>0.962624892068583</v>
      </c>
      <c r="AM1348" s="128">
        <v>0.99</v>
      </c>
      <c r="AN1348" s="133">
        <v>1</v>
      </c>
      <c r="AO1348" s="133">
        <v>1</v>
      </c>
      <c r="AP1348" s="133">
        <v>1</v>
      </c>
      <c r="AQ1348" s="133">
        <v>1</v>
      </c>
      <c r="AR1348" s="153">
        <v>0.0721861525408278</v>
      </c>
      <c r="AS1348" s="137">
        <v>0.0666666666666667</v>
      </c>
      <c r="AT1348" s="137">
        <v>0.2</v>
      </c>
      <c r="AU1348" s="137">
        <v>0.0666666666666667</v>
      </c>
      <c r="AV1348" s="137">
        <v>0.0473372781065089</v>
      </c>
      <c r="AW1348" s="93"/>
      <c r="AX1348" s="91"/>
    </row>
    <row r="1349" ht="14.5" spans="1:50">
      <c r="A1349" s="89"/>
      <c r="B1349" s="93"/>
      <c r="C1349" s="148" t="s">
        <v>1080</v>
      </c>
      <c r="D1349" s="126" t="s">
        <v>1081</v>
      </c>
      <c r="E1349" s="186" t="s">
        <v>1374</v>
      </c>
      <c r="F1349" s="186" t="s">
        <v>1374</v>
      </c>
      <c r="G1349" s="186" t="s">
        <v>1374</v>
      </c>
      <c r="H1349" s="186" t="s">
        <v>1374</v>
      </c>
      <c r="I1349" s="128">
        <v>0.9</v>
      </c>
      <c r="J1349" s="129">
        <v>1</v>
      </c>
      <c r="K1349" s="129">
        <v>0.91304347826087</v>
      </c>
      <c r="L1349" s="130">
        <v>0.916666666666667</v>
      </c>
      <c r="M1349" s="129">
        <v>0.943060498220641</v>
      </c>
      <c r="N1349" s="131">
        <v>0.9</v>
      </c>
      <c r="O1349" s="129">
        <v>0.957913043478261</v>
      </c>
      <c r="P1349" s="129">
        <v>0.94566520175789</v>
      </c>
      <c r="Q1349" s="129">
        <v>0.97175815433572</v>
      </c>
      <c r="R1349" s="129">
        <v>0.96780948961886</v>
      </c>
      <c r="S1349" s="131">
        <v>0.9</v>
      </c>
      <c r="T1349" s="129">
        <v>0.94295652173913</v>
      </c>
      <c r="U1349" s="129">
        <v>0.961646024770276</v>
      </c>
      <c r="V1349" s="129">
        <v>0.957040572792363</v>
      </c>
      <c r="W1349" s="129">
        <v>0.954616167055585</v>
      </c>
      <c r="X1349" s="131">
        <v>0.92</v>
      </c>
      <c r="Y1349" s="131">
        <v>0</v>
      </c>
      <c r="Z1349" s="131">
        <v>0</v>
      </c>
      <c r="AA1349" s="131" t="s">
        <v>33</v>
      </c>
      <c r="AB1349" s="131">
        <v>0</v>
      </c>
      <c r="AC1349" s="131">
        <v>0.92</v>
      </c>
      <c r="AD1349" s="129">
        <v>0.997518610421836</v>
      </c>
      <c r="AE1349" s="129">
        <v>0.997805092186128</v>
      </c>
      <c r="AF1349" s="129">
        <v>1</v>
      </c>
      <c r="AG1349" s="129">
        <v>0.999160416433449</v>
      </c>
      <c r="AH1349" s="131">
        <v>0.92</v>
      </c>
      <c r="AI1349" s="129">
        <v>0.981931897150799</v>
      </c>
      <c r="AJ1349" s="129">
        <v>0.988418530351438</v>
      </c>
      <c r="AK1349" s="129">
        <v>0.991249005568815</v>
      </c>
      <c r="AL1349" s="129">
        <v>0.988962010170506</v>
      </c>
      <c r="AM1349" s="128">
        <v>0.99</v>
      </c>
      <c r="AN1349" s="133">
        <v>1</v>
      </c>
      <c r="AO1349" s="133">
        <v>1</v>
      </c>
      <c r="AP1349" s="133">
        <v>1</v>
      </c>
      <c r="AQ1349" s="133">
        <v>1</v>
      </c>
      <c r="AR1349" s="153">
        <v>0.0721861525408278</v>
      </c>
      <c r="AS1349" s="137">
        <v>0</v>
      </c>
      <c r="AT1349" s="137">
        <v>0</v>
      </c>
      <c r="AU1349" s="137">
        <v>0.25</v>
      </c>
      <c r="AV1349" s="137">
        <v>0.032258064516129</v>
      </c>
      <c r="AW1349" s="93"/>
      <c r="AX1349" s="91"/>
    </row>
    <row r="1350" ht="14.5" spans="1:50">
      <c r="A1350" s="89"/>
      <c r="B1350" s="93"/>
      <c r="C1350" s="148" t="s">
        <v>1080</v>
      </c>
      <c r="D1350" s="126" t="s">
        <v>1081</v>
      </c>
      <c r="E1350" s="186" t="s">
        <v>1375</v>
      </c>
      <c r="F1350" s="186" t="s">
        <v>1375</v>
      </c>
      <c r="G1350" s="186" t="s">
        <v>1375</v>
      </c>
      <c r="H1350" s="186" t="s">
        <v>1375</v>
      </c>
      <c r="I1350" s="128">
        <v>0.9</v>
      </c>
      <c r="J1350" s="129">
        <v>1</v>
      </c>
      <c r="K1350" s="129">
        <v>0.875</v>
      </c>
      <c r="L1350" s="130">
        <v>1</v>
      </c>
      <c r="M1350" s="129">
        <v>0.950413223140496</v>
      </c>
      <c r="N1350" s="131">
        <v>0.9</v>
      </c>
      <c r="O1350" s="129">
        <v>0.855452240067625</v>
      </c>
      <c r="P1350" s="129">
        <v>0.968119022316684</v>
      </c>
      <c r="Q1350" s="129">
        <v>0.950231481481482</v>
      </c>
      <c r="R1350" s="129">
        <v>0.948065260100794</v>
      </c>
      <c r="S1350" s="131">
        <v>0.9</v>
      </c>
      <c r="T1350" s="129">
        <v>0.918850380388842</v>
      </c>
      <c r="U1350" s="129">
        <v>0.951115834218916</v>
      </c>
      <c r="V1350" s="129">
        <v>0.959490740740741</v>
      </c>
      <c r="W1350" s="129">
        <v>0.933458614504143</v>
      </c>
      <c r="X1350" s="131">
        <v>0.92</v>
      </c>
      <c r="Y1350" s="131">
        <v>0.946123521681997</v>
      </c>
      <c r="Z1350" s="131">
        <v>0.965397923875433</v>
      </c>
      <c r="AA1350" s="131">
        <v>0.966532797858099</v>
      </c>
      <c r="AB1350" s="131">
        <v>0.95297303951742</v>
      </c>
      <c r="AC1350" s="131">
        <v>0.92</v>
      </c>
      <c r="AD1350" s="129">
        <v>0.996274834437086</v>
      </c>
      <c r="AE1350" s="129">
        <v>0.998681055155875</v>
      </c>
      <c r="AF1350" s="129">
        <v>1</v>
      </c>
      <c r="AG1350" s="129">
        <v>0.998064959779949</v>
      </c>
      <c r="AH1350" s="131">
        <v>0.92</v>
      </c>
      <c r="AI1350" s="129">
        <v>0.964506172839506</v>
      </c>
      <c r="AJ1350" s="129">
        <v>0.972368421052632</v>
      </c>
      <c r="AK1350" s="129">
        <v>0.978274363749224</v>
      </c>
      <c r="AL1350" s="129">
        <v>0.966473405596168</v>
      </c>
      <c r="AM1350" s="128">
        <v>0.99</v>
      </c>
      <c r="AN1350" s="133">
        <v>1</v>
      </c>
      <c r="AO1350" s="133">
        <v>1</v>
      </c>
      <c r="AP1350" s="133">
        <v>1</v>
      </c>
      <c r="AQ1350" s="133">
        <v>1</v>
      </c>
      <c r="AR1350" s="153">
        <v>0.0721861525408278</v>
      </c>
      <c r="AS1350" s="137">
        <v>0.0769230769230769</v>
      </c>
      <c r="AT1350" s="137">
        <v>0</v>
      </c>
      <c r="AU1350" s="137">
        <v>0</v>
      </c>
      <c r="AV1350" s="137">
        <v>0.0612244897959184</v>
      </c>
      <c r="AW1350" s="93"/>
      <c r="AX1350" s="91"/>
    </row>
    <row r="1351" ht="14.5" spans="1:50">
      <c r="A1351" s="89"/>
      <c r="B1351" s="93"/>
      <c r="C1351" s="148" t="s">
        <v>1080</v>
      </c>
      <c r="D1351" s="126" t="s">
        <v>1081</v>
      </c>
      <c r="E1351" s="186" t="s">
        <v>1376</v>
      </c>
      <c r="F1351" s="186" t="s">
        <v>1376</v>
      </c>
      <c r="G1351" s="186" t="s">
        <v>1376</v>
      </c>
      <c r="H1351" s="186" t="s">
        <v>1376</v>
      </c>
      <c r="I1351" s="128">
        <v>0.9</v>
      </c>
      <c r="J1351" s="129">
        <v>0.96875</v>
      </c>
      <c r="K1351" s="129">
        <v>0.866666666666667</v>
      </c>
      <c r="L1351" s="130">
        <v>0.875</v>
      </c>
      <c r="M1351" s="129">
        <v>0.930051813471503</v>
      </c>
      <c r="N1351" s="131">
        <v>0.9</v>
      </c>
      <c r="O1351" s="129">
        <v>0.9542352468888</v>
      </c>
      <c r="P1351" s="129">
        <v>0.962658227848101</v>
      </c>
      <c r="Q1351" s="129">
        <v>0.963353692393115</v>
      </c>
      <c r="R1351" s="129">
        <v>0.948843012704174</v>
      </c>
      <c r="S1351" s="131">
        <v>0.9</v>
      </c>
      <c r="T1351" s="129">
        <v>0.923725411481333</v>
      </c>
      <c r="U1351" s="129">
        <v>0.920253164556962</v>
      </c>
      <c r="V1351" s="129">
        <v>0.941143808995003</v>
      </c>
      <c r="W1351" s="129">
        <v>0.925438596491228</v>
      </c>
      <c r="X1351" s="131">
        <v>0.92</v>
      </c>
      <c r="Y1351" s="131">
        <v>0.959123222748815</v>
      </c>
      <c r="Z1351" s="131">
        <v>0.942763695829926</v>
      </c>
      <c r="AA1351" s="131">
        <v>0.953311617806732</v>
      </c>
      <c r="AB1351" s="131">
        <v>0.961478982145368</v>
      </c>
      <c r="AC1351" s="131">
        <v>0.92</v>
      </c>
      <c r="AD1351" s="129">
        <v>0.998513563730955</v>
      </c>
      <c r="AE1351" s="129">
        <v>0.998895841001104</v>
      </c>
      <c r="AF1351" s="129">
        <v>0.999474789915966</v>
      </c>
      <c r="AG1351" s="129">
        <v>0.998010717765508</v>
      </c>
      <c r="AH1351" s="131">
        <v>0.92</v>
      </c>
      <c r="AI1351" s="129">
        <v>0.972481454893515</v>
      </c>
      <c r="AJ1351" s="129">
        <v>0.960413694721826</v>
      </c>
      <c r="AK1351" s="129">
        <v>0.965962119132583</v>
      </c>
      <c r="AL1351" s="129">
        <v>0.973153941118621</v>
      </c>
      <c r="AM1351" s="128">
        <v>0.99</v>
      </c>
      <c r="AN1351" s="133">
        <v>1</v>
      </c>
      <c r="AO1351" s="133">
        <v>1</v>
      </c>
      <c r="AP1351" s="133">
        <v>1</v>
      </c>
      <c r="AQ1351" s="133">
        <v>1</v>
      </c>
      <c r="AR1351" s="153">
        <v>0.0721861525408278</v>
      </c>
      <c r="AS1351" s="137">
        <v>0</v>
      </c>
      <c r="AT1351" s="137">
        <v>0</v>
      </c>
      <c r="AU1351" s="137">
        <v>0.125</v>
      </c>
      <c r="AV1351" s="137">
        <v>0.0456852791878173</v>
      </c>
      <c r="AW1351" s="93"/>
      <c r="AX1351" s="91"/>
    </row>
    <row r="1352" ht="14.5" spans="1:50">
      <c r="A1352" s="89"/>
      <c r="B1352" s="93"/>
      <c r="C1352" s="148" t="s">
        <v>1080</v>
      </c>
      <c r="D1352" s="126" t="s">
        <v>1081</v>
      </c>
      <c r="E1352" s="186" t="s">
        <v>1377</v>
      </c>
      <c r="F1352" s="186" t="s">
        <v>1377</v>
      </c>
      <c r="G1352" s="186" t="s">
        <v>1377</v>
      </c>
      <c r="H1352" s="186" t="s">
        <v>1377</v>
      </c>
      <c r="I1352" s="128">
        <v>0.9</v>
      </c>
      <c r="J1352" s="129">
        <v>0.91304347826087</v>
      </c>
      <c r="K1352" s="129">
        <v>0.909090909090909</v>
      </c>
      <c r="L1352" s="130">
        <v>0.853658536585366</v>
      </c>
      <c r="M1352" s="129">
        <v>0.94980694980695</v>
      </c>
      <c r="N1352" s="131">
        <v>0.9</v>
      </c>
      <c r="O1352" s="129">
        <v>0.977032258064516</v>
      </c>
      <c r="P1352" s="129">
        <v>0.976810414971522</v>
      </c>
      <c r="Q1352" s="129">
        <v>0.973745173745174</v>
      </c>
      <c r="R1352" s="129">
        <v>0.972806971494567</v>
      </c>
      <c r="S1352" s="131">
        <v>0.9</v>
      </c>
      <c r="T1352" s="129">
        <v>0.945290322580645</v>
      </c>
      <c r="U1352" s="129">
        <v>0.930838079739626</v>
      </c>
      <c r="V1352" s="129">
        <v>0.949420849420849</v>
      </c>
      <c r="W1352" s="129">
        <v>0.941178014593942</v>
      </c>
      <c r="X1352" s="131">
        <v>0.92</v>
      </c>
      <c r="Y1352" s="131">
        <v>0.953606073386757</v>
      </c>
      <c r="Z1352" s="131">
        <v>0.954248366013072</v>
      </c>
      <c r="AA1352" s="131">
        <v>0.95</v>
      </c>
      <c r="AB1352" s="131">
        <v>0.954685573366215</v>
      </c>
      <c r="AC1352" s="131">
        <v>0.92</v>
      </c>
      <c r="AD1352" s="129">
        <v>0.991882293252156</v>
      </c>
      <c r="AE1352" s="129">
        <v>0.997955010224949</v>
      </c>
      <c r="AF1352" s="129">
        <v>1</v>
      </c>
      <c r="AG1352" s="129">
        <v>0.996360929617071</v>
      </c>
      <c r="AH1352" s="131">
        <v>0.92</v>
      </c>
      <c r="AI1352" s="129">
        <v>0.975188090283336</v>
      </c>
      <c r="AJ1352" s="129">
        <v>0.965766185374942</v>
      </c>
      <c r="AK1352" s="129">
        <v>0.969267611255239</v>
      </c>
      <c r="AL1352" s="129">
        <v>0.971858609571639</v>
      </c>
      <c r="AM1352" s="128">
        <v>0.99</v>
      </c>
      <c r="AN1352" s="133">
        <v>1</v>
      </c>
      <c r="AO1352" s="133">
        <v>1</v>
      </c>
      <c r="AP1352" s="133">
        <v>1</v>
      </c>
      <c r="AQ1352" s="133">
        <v>1</v>
      </c>
      <c r="AR1352" s="153">
        <v>0.0721861525408278</v>
      </c>
      <c r="AS1352" s="137">
        <v>0.185185185185185</v>
      </c>
      <c r="AT1352" s="137">
        <v>0.103448275862069</v>
      </c>
      <c r="AU1352" s="137">
        <v>-0.0384615384615385</v>
      </c>
      <c r="AV1352" s="137">
        <v>0.0445859872611465</v>
      </c>
      <c r="AW1352" s="93"/>
      <c r="AX1352" s="91"/>
    </row>
    <row r="1353" ht="14.5" spans="1:50">
      <c r="A1353" s="89"/>
      <c r="B1353" s="93"/>
      <c r="C1353" s="148" t="s">
        <v>1080</v>
      </c>
      <c r="D1353" s="126" t="s">
        <v>1081</v>
      </c>
      <c r="E1353" s="186" t="s">
        <v>1378</v>
      </c>
      <c r="F1353" s="186" t="s">
        <v>1378</v>
      </c>
      <c r="G1353" s="186" t="s">
        <v>1378</v>
      </c>
      <c r="H1353" s="186" t="s">
        <v>1378</v>
      </c>
      <c r="I1353" s="128">
        <v>0.9</v>
      </c>
      <c r="J1353" s="129">
        <v>0.95</v>
      </c>
      <c r="K1353" s="129">
        <v>1</v>
      </c>
      <c r="L1353" s="130">
        <v>1</v>
      </c>
      <c r="M1353" s="129">
        <v>0.995169082125604</v>
      </c>
      <c r="N1353" s="131">
        <v>0.9</v>
      </c>
      <c r="O1353" s="129">
        <v>0.980358174465627</v>
      </c>
      <c r="P1353" s="129">
        <v>0.985915492957746</v>
      </c>
      <c r="Q1353" s="129">
        <v>0.987824675324675</v>
      </c>
      <c r="R1353" s="129">
        <v>0.986347717694545</v>
      </c>
      <c r="S1353" s="131">
        <v>0.9</v>
      </c>
      <c r="T1353" s="129">
        <v>0.95840554592721</v>
      </c>
      <c r="U1353" s="129">
        <v>0.957746478873239</v>
      </c>
      <c r="V1353" s="129">
        <v>0.952922077922078</v>
      </c>
      <c r="W1353" s="129">
        <v>0.955837834629311</v>
      </c>
      <c r="X1353" s="131">
        <v>0.92</v>
      </c>
      <c r="Y1353" s="131">
        <v>0.976336546888694</v>
      </c>
      <c r="Z1353" s="131">
        <v>0.979120879120879</v>
      </c>
      <c r="AA1353" s="131">
        <v>0.977508650519031</v>
      </c>
      <c r="AB1353" s="131">
        <v>0.974507804533689</v>
      </c>
      <c r="AC1353" s="131">
        <v>0.92</v>
      </c>
      <c r="AD1353" s="129">
        <v>0.999374087210515</v>
      </c>
      <c r="AE1353" s="129">
        <v>0.999369184671188</v>
      </c>
      <c r="AF1353" s="129">
        <v>0.995859213250518</v>
      </c>
      <c r="AG1353" s="129">
        <v>0.999344286182653</v>
      </c>
      <c r="AH1353" s="131">
        <v>0.92</v>
      </c>
      <c r="AI1353" s="129">
        <v>0.979805013927577</v>
      </c>
      <c r="AJ1353" s="129">
        <v>0.976528117359413</v>
      </c>
      <c r="AK1353" s="129">
        <v>0.980318257956449</v>
      </c>
      <c r="AL1353" s="129">
        <v>0.978984356522621</v>
      </c>
      <c r="AM1353" s="128">
        <v>0.99</v>
      </c>
      <c r="AN1353" s="133">
        <v>1</v>
      </c>
      <c r="AO1353" s="133">
        <v>1</v>
      </c>
      <c r="AP1353" s="133">
        <v>1</v>
      </c>
      <c r="AQ1353" s="133">
        <v>1</v>
      </c>
      <c r="AR1353" s="153">
        <v>0.0721861525408278</v>
      </c>
      <c r="AS1353" s="137">
        <v>0.032258064516129</v>
      </c>
      <c r="AT1353" s="137">
        <v>0</v>
      </c>
      <c r="AU1353" s="137">
        <v>0</v>
      </c>
      <c r="AV1353" s="137">
        <v>0.0318725099601594</v>
      </c>
      <c r="AW1353" s="93"/>
      <c r="AX1353" s="91"/>
    </row>
    <row r="1354" ht="14.5" spans="1:50">
      <c r="A1354" s="89"/>
      <c r="B1354" s="93"/>
      <c r="C1354" s="148" t="s">
        <v>1080</v>
      </c>
      <c r="D1354" s="126" t="s">
        <v>1081</v>
      </c>
      <c r="E1354" s="186" t="s">
        <v>1379</v>
      </c>
      <c r="F1354" s="186" t="s">
        <v>1379</v>
      </c>
      <c r="G1354" s="186" t="s">
        <v>1379</v>
      </c>
      <c r="H1354" s="186" t="s">
        <v>1379</v>
      </c>
      <c r="I1354" s="128">
        <v>0.9</v>
      </c>
      <c r="J1354" s="129">
        <v>0.961538461538462</v>
      </c>
      <c r="K1354" s="129">
        <v>0.954545454545455</v>
      </c>
      <c r="L1354" s="130">
        <v>0.857142857142857</v>
      </c>
      <c r="M1354" s="129">
        <v>0.963898916967509</v>
      </c>
      <c r="N1354" s="131">
        <v>0.9</v>
      </c>
      <c r="O1354" s="129">
        <v>0.915045653036919</v>
      </c>
      <c r="P1354" s="129">
        <v>0.962917933130699</v>
      </c>
      <c r="Q1354" s="129">
        <v>0.974463145676146</v>
      </c>
      <c r="R1354" s="129">
        <v>0.952989095846239</v>
      </c>
      <c r="S1354" s="131">
        <v>0.9</v>
      </c>
      <c r="T1354" s="129">
        <v>0.882890035728464</v>
      </c>
      <c r="U1354" s="129">
        <v>0.908814589665654</v>
      </c>
      <c r="V1354" s="129">
        <v>0.947765525246663</v>
      </c>
      <c r="W1354" s="129">
        <v>0.924434638720353</v>
      </c>
      <c r="X1354" s="131">
        <v>0.92</v>
      </c>
      <c r="Y1354" s="131">
        <v>0.952412425644415</v>
      </c>
      <c r="Z1354" s="131">
        <v>0.953871499176277</v>
      </c>
      <c r="AA1354" s="131">
        <v>0.94234465086483</v>
      </c>
      <c r="AB1354" s="131">
        <v>0.955785995099994</v>
      </c>
      <c r="AC1354" s="131">
        <v>0.92</v>
      </c>
      <c r="AD1354" s="129">
        <v>0.99767576990122</v>
      </c>
      <c r="AE1354" s="129">
        <v>0.996570644718793</v>
      </c>
      <c r="AF1354" s="129">
        <v>0.998198198198198</v>
      </c>
      <c r="AG1354" s="129">
        <v>0.997139265744875</v>
      </c>
      <c r="AH1354" s="131">
        <v>0.92</v>
      </c>
      <c r="AI1354" s="129">
        <v>0.964037698412698</v>
      </c>
      <c r="AJ1354" s="129">
        <v>0.963273871983211</v>
      </c>
      <c r="AK1354" s="129">
        <v>0.961936662606577</v>
      </c>
      <c r="AL1354" s="129">
        <v>0.97125486381323</v>
      </c>
      <c r="AM1354" s="128">
        <v>0.99</v>
      </c>
      <c r="AN1354" s="133">
        <v>1</v>
      </c>
      <c r="AO1354" s="133">
        <v>1</v>
      </c>
      <c r="AP1354" s="133">
        <v>1</v>
      </c>
      <c r="AQ1354" s="133">
        <v>1</v>
      </c>
      <c r="AR1354" s="153">
        <v>0.0721861525408278</v>
      </c>
      <c r="AS1354" s="137">
        <v>0.0625</v>
      </c>
      <c r="AT1354" s="137">
        <v>0</v>
      </c>
      <c r="AU1354" s="137">
        <v>0.0526315789473684</v>
      </c>
      <c r="AV1354" s="137">
        <v>0.0526315789473684</v>
      </c>
      <c r="AW1354" s="93"/>
      <c r="AX1354" s="91"/>
    </row>
    <row r="1355" ht="14.5" spans="1:50">
      <c r="A1355" s="89"/>
      <c r="B1355" s="93"/>
      <c r="C1355" s="148" t="s">
        <v>1080</v>
      </c>
      <c r="D1355" s="126" t="s">
        <v>1081</v>
      </c>
      <c r="E1355" s="186" t="s">
        <v>1380</v>
      </c>
      <c r="F1355" s="186" t="s">
        <v>1380</v>
      </c>
      <c r="G1355" s="186" t="s">
        <v>1380</v>
      </c>
      <c r="H1355" s="186" t="s">
        <v>1380</v>
      </c>
      <c r="I1355" s="128">
        <v>0.9</v>
      </c>
      <c r="J1355" s="129">
        <v>0.967741935483871</v>
      </c>
      <c r="K1355" s="129">
        <v>0.888888888888889</v>
      </c>
      <c r="L1355" s="130">
        <v>0.833333333333333</v>
      </c>
      <c r="M1355" s="129">
        <v>0.844827586206897</v>
      </c>
      <c r="N1355" s="131">
        <v>0.9</v>
      </c>
      <c r="O1355" s="129">
        <v>0.97550831792976</v>
      </c>
      <c r="P1355" s="129">
        <v>0.987198795180723</v>
      </c>
      <c r="Q1355" s="129">
        <v>0.985430463576159</v>
      </c>
      <c r="R1355" s="129">
        <v>0.980742278743836</v>
      </c>
      <c r="S1355" s="131">
        <v>0.9</v>
      </c>
      <c r="T1355" s="129">
        <v>0.905268022181146</v>
      </c>
      <c r="U1355" s="129">
        <v>0.936746987951807</v>
      </c>
      <c r="V1355" s="129">
        <v>0.939735099337748</v>
      </c>
      <c r="W1355" s="129">
        <v>0.936516999740462</v>
      </c>
      <c r="X1355" s="131">
        <v>0.92</v>
      </c>
      <c r="Y1355" s="131">
        <v>0.938009787928222</v>
      </c>
      <c r="Z1355" s="131">
        <v>0.957983193277311</v>
      </c>
      <c r="AA1355" s="131">
        <v>0.961850649350649</v>
      </c>
      <c r="AB1355" s="131">
        <v>0.933758653454595</v>
      </c>
      <c r="AC1355" s="131">
        <v>0.92</v>
      </c>
      <c r="AD1355" s="129">
        <v>0.999308437067773</v>
      </c>
      <c r="AE1355" s="129">
        <v>0.981818181818182</v>
      </c>
      <c r="AF1355" s="129">
        <v>0.998037291462218</v>
      </c>
      <c r="AG1355" s="129">
        <v>0.9977917526763</v>
      </c>
      <c r="AH1355" s="131">
        <v>0.92</v>
      </c>
      <c r="AI1355" s="129">
        <v>0.957522123893805</v>
      </c>
      <c r="AJ1355" s="129">
        <v>0.970614035087719</v>
      </c>
      <c r="AK1355" s="129">
        <v>0.976294675419402</v>
      </c>
      <c r="AL1355" s="129">
        <v>0.961027119242308</v>
      </c>
      <c r="AM1355" s="128">
        <v>0.99</v>
      </c>
      <c r="AN1355" s="133">
        <v>1</v>
      </c>
      <c r="AO1355" s="133">
        <v>1</v>
      </c>
      <c r="AP1355" s="133">
        <v>1</v>
      </c>
      <c r="AQ1355" s="133">
        <v>1</v>
      </c>
      <c r="AR1355" s="153">
        <v>0.0721861525408278</v>
      </c>
      <c r="AS1355" s="137">
        <v>0</v>
      </c>
      <c r="AT1355" s="137">
        <v>0.222222222222222</v>
      </c>
      <c r="AU1355" s="137">
        <v>-0.0909090909090909</v>
      </c>
      <c r="AV1355" s="137">
        <v>0.00636942675159236</v>
      </c>
      <c r="AW1355" s="93"/>
      <c r="AX1355" s="91"/>
    </row>
    <row r="1356" ht="14.5" spans="1:50">
      <c r="A1356" s="89"/>
      <c r="B1356" s="93"/>
      <c r="C1356" s="148" t="s">
        <v>1080</v>
      </c>
      <c r="D1356" s="126" t="s">
        <v>1081</v>
      </c>
      <c r="E1356" s="186" t="s">
        <v>1381</v>
      </c>
      <c r="F1356" s="186" t="s">
        <v>1381</v>
      </c>
      <c r="G1356" s="186" t="s">
        <v>1381</v>
      </c>
      <c r="H1356" s="186" t="s">
        <v>1381</v>
      </c>
      <c r="I1356" s="128">
        <v>0.9</v>
      </c>
      <c r="J1356" s="129">
        <v>0.894736842105263</v>
      </c>
      <c r="K1356" s="129">
        <v>0.736842105263158</v>
      </c>
      <c r="L1356" s="130">
        <v>0.789473684210526</v>
      </c>
      <c r="M1356" s="129">
        <v>0.865470852017937</v>
      </c>
      <c r="N1356" s="131">
        <v>0.9</v>
      </c>
      <c r="O1356" s="129">
        <v>0.920996441281139</v>
      </c>
      <c r="P1356" s="129">
        <v>0.879781420765027</v>
      </c>
      <c r="Q1356" s="129">
        <v>0.836461126005362</v>
      </c>
      <c r="R1356" s="129">
        <v>0.907595450852965</v>
      </c>
      <c r="S1356" s="131">
        <v>0.9</v>
      </c>
      <c r="T1356" s="129">
        <v>0.923843416370107</v>
      </c>
      <c r="U1356" s="129">
        <v>0.934426229508197</v>
      </c>
      <c r="V1356" s="129">
        <v>0.931188561215371</v>
      </c>
      <c r="W1356" s="129">
        <v>0.920660709450311</v>
      </c>
      <c r="X1356" s="131">
        <v>0.92</v>
      </c>
      <c r="Y1356" s="131">
        <v>0.948081264108352</v>
      </c>
      <c r="Z1356" s="131">
        <v>0.958677685950413</v>
      </c>
      <c r="AA1356" s="131">
        <v>0.947630922693267</v>
      </c>
      <c r="AB1356" s="131">
        <v>0.946341966773295</v>
      </c>
      <c r="AC1356" s="131">
        <v>0.92</v>
      </c>
      <c r="AD1356" s="129">
        <v>1</v>
      </c>
      <c r="AE1356" s="129">
        <v>1</v>
      </c>
      <c r="AF1356" s="129">
        <v>1</v>
      </c>
      <c r="AG1356" s="129">
        <v>0.998449046619834</v>
      </c>
      <c r="AH1356" s="131">
        <v>0.92</v>
      </c>
      <c r="AI1356" s="129">
        <v>0.966390222610214</v>
      </c>
      <c r="AJ1356" s="129">
        <v>0.971968312004875</v>
      </c>
      <c r="AK1356" s="129">
        <v>0.967725143154607</v>
      </c>
      <c r="AL1356" s="129">
        <v>0.967136725935009</v>
      </c>
      <c r="AM1356" s="128">
        <v>0.99</v>
      </c>
      <c r="AN1356" s="133">
        <v>1</v>
      </c>
      <c r="AO1356" s="133">
        <v>1</v>
      </c>
      <c r="AP1356" s="133">
        <v>1</v>
      </c>
      <c r="AQ1356" s="133">
        <v>1</v>
      </c>
      <c r="AR1356" s="153">
        <v>0.0721861525408278</v>
      </c>
      <c r="AS1356" s="137">
        <v>0.2</v>
      </c>
      <c r="AT1356" s="137">
        <v>0.25</v>
      </c>
      <c r="AU1356" s="137">
        <v>0</v>
      </c>
      <c r="AV1356" s="137">
        <v>0.051948051948052</v>
      </c>
      <c r="AW1356" s="93"/>
      <c r="AX1356" s="91"/>
    </row>
    <row r="1357" ht="14.5" spans="1:50">
      <c r="A1357" s="89"/>
      <c r="B1357" s="93"/>
      <c r="C1357" s="148" t="s">
        <v>1080</v>
      </c>
      <c r="D1357" s="126" t="s">
        <v>1081</v>
      </c>
      <c r="E1357" s="186" t="s">
        <v>1382</v>
      </c>
      <c r="F1357" s="186" t="s">
        <v>1382</v>
      </c>
      <c r="G1357" s="186" t="s">
        <v>1382</v>
      </c>
      <c r="H1357" s="186" t="s">
        <v>1382</v>
      </c>
      <c r="I1357" s="128">
        <v>0.9</v>
      </c>
      <c r="J1357" s="129">
        <v>0.8125</v>
      </c>
      <c r="K1357" s="129">
        <v>0.923076923076923</v>
      </c>
      <c r="L1357" s="130">
        <v>1</v>
      </c>
      <c r="M1357" s="129">
        <v>0.942528735632184</v>
      </c>
      <c r="N1357" s="131">
        <v>0.9</v>
      </c>
      <c r="O1357" s="129">
        <v>0.991137370753324</v>
      </c>
      <c r="P1357" s="129">
        <v>0.998841251448436</v>
      </c>
      <c r="Q1357" s="129">
        <v>0.993704092339979</v>
      </c>
      <c r="R1357" s="129">
        <v>0.995118666891096</v>
      </c>
      <c r="S1357" s="131">
        <v>0.9</v>
      </c>
      <c r="T1357" s="129">
        <v>0.967996061053668</v>
      </c>
      <c r="U1357" s="129">
        <v>0.97566628041715</v>
      </c>
      <c r="V1357" s="129">
        <v>0.973767051416579</v>
      </c>
      <c r="W1357" s="129">
        <v>0.976519104527857</v>
      </c>
      <c r="X1357" s="131">
        <v>0.92</v>
      </c>
      <c r="Y1357" s="131">
        <v>0</v>
      </c>
      <c r="Z1357" s="131" t="s">
        <v>33</v>
      </c>
      <c r="AA1357" s="131" t="s">
        <v>33</v>
      </c>
      <c r="AB1357" s="131">
        <v>0</v>
      </c>
      <c r="AC1357" s="131">
        <v>0.92</v>
      </c>
      <c r="AD1357" s="129">
        <v>1</v>
      </c>
      <c r="AE1357" s="129">
        <v>1</v>
      </c>
      <c r="AF1357" s="129">
        <v>0.993865030674847</v>
      </c>
      <c r="AG1357" s="129">
        <v>0.997556008146639</v>
      </c>
      <c r="AH1357" s="131">
        <v>0.92</v>
      </c>
      <c r="AI1357" s="129">
        <v>0.985728346456693</v>
      </c>
      <c r="AJ1357" s="129">
        <v>0.995944380069525</v>
      </c>
      <c r="AK1357" s="129">
        <v>0.996852046169989</v>
      </c>
      <c r="AL1357" s="129">
        <v>0.992972859246791</v>
      </c>
      <c r="AM1357" s="128">
        <v>0.99</v>
      </c>
      <c r="AN1357" s="133">
        <v>1</v>
      </c>
      <c r="AO1357" s="133">
        <v>1</v>
      </c>
      <c r="AP1357" s="133">
        <v>1</v>
      </c>
      <c r="AQ1357" s="133">
        <v>1</v>
      </c>
      <c r="AR1357" s="153">
        <v>0.0721861525408278</v>
      </c>
      <c r="AS1357" s="137">
        <v>0.125</v>
      </c>
      <c r="AT1357" s="137">
        <v>0</v>
      </c>
      <c r="AU1357" s="137">
        <v>0</v>
      </c>
      <c r="AV1357" s="137">
        <v>0.0441176470588235</v>
      </c>
      <c r="AW1357" s="93"/>
      <c r="AX1357" s="91"/>
    </row>
    <row r="1358" ht="14.5" spans="1:50">
      <c r="A1358" s="89"/>
      <c r="B1358" s="93"/>
      <c r="C1358" s="148" t="s">
        <v>1080</v>
      </c>
      <c r="D1358" s="126" t="s">
        <v>1081</v>
      </c>
      <c r="E1358" s="186" t="s">
        <v>1383</v>
      </c>
      <c r="F1358" s="186" t="s">
        <v>1383</v>
      </c>
      <c r="G1358" s="186" t="s">
        <v>1383</v>
      </c>
      <c r="H1358" s="186" t="s">
        <v>1383</v>
      </c>
      <c r="I1358" s="128">
        <v>0.9</v>
      </c>
      <c r="J1358" s="129">
        <v>0.961538461538462</v>
      </c>
      <c r="K1358" s="129">
        <v>0.956521739130435</v>
      </c>
      <c r="L1358" s="130">
        <v>0.869565217391304</v>
      </c>
      <c r="M1358" s="129">
        <v>0.90625</v>
      </c>
      <c r="N1358" s="131">
        <v>0.9</v>
      </c>
      <c r="O1358" s="129">
        <v>0.9583477959042</v>
      </c>
      <c r="P1358" s="129">
        <v>0.997855917667238</v>
      </c>
      <c r="Q1358" s="129">
        <v>0.997161394971614</v>
      </c>
      <c r="R1358" s="129">
        <v>0.983201045551624</v>
      </c>
      <c r="S1358" s="131">
        <v>0.9</v>
      </c>
      <c r="T1358" s="129">
        <v>0.933703575147518</v>
      </c>
      <c r="U1358" s="129">
        <v>0.946826758147513</v>
      </c>
      <c r="V1358" s="129">
        <v>0.953771289537713</v>
      </c>
      <c r="W1358" s="129">
        <v>0.949380000637531</v>
      </c>
      <c r="X1358" s="131">
        <v>0.92</v>
      </c>
      <c r="Y1358" s="131">
        <v>0</v>
      </c>
      <c r="Z1358" s="131">
        <v>0.25</v>
      </c>
      <c r="AA1358" s="131">
        <v>1</v>
      </c>
      <c r="AB1358" s="131">
        <v>0.4</v>
      </c>
      <c r="AC1358" s="131">
        <v>0.92</v>
      </c>
      <c r="AD1358" s="129">
        <v>0.997150997150997</v>
      </c>
      <c r="AE1358" s="129">
        <v>0.990411304567247</v>
      </c>
      <c r="AF1358" s="129">
        <v>0.977022977022977</v>
      </c>
      <c r="AG1358" s="129">
        <v>0.992759478941074</v>
      </c>
      <c r="AH1358" s="131">
        <v>0.92</v>
      </c>
      <c r="AI1358" s="129">
        <v>0.983056708160443</v>
      </c>
      <c r="AJ1358" s="129">
        <v>0.985921501706485</v>
      </c>
      <c r="AK1358" s="129">
        <v>0.986245954692557</v>
      </c>
      <c r="AL1358" s="129">
        <v>0.988283612977172</v>
      </c>
      <c r="AM1358" s="128">
        <v>0.99</v>
      </c>
      <c r="AN1358" s="133">
        <v>1</v>
      </c>
      <c r="AO1358" s="133">
        <v>1</v>
      </c>
      <c r="AP1358" s="133">
        <v>1</v>
      </c>
      <c r="AQ1358" s="133">
        <v>1</v>
      </c>
      <c r="AR1358" s="153">
        <v>0.0721861525408278</v>
      </c>
      <c r="AS1358" s="137">
        <v>0</v>
      </c>
      <c r="AT1358" s="137">
        <v>0</v>
      </c>
      <c r="AU1358" s="137">
        <v>0.1</v>
      </c>
      <c r="AV1358" s="137">
        <v>0.0367647058823529</v>
      </c>
      <c r="AW1358" s="93"/>
      <c r="AX1358" s="91"/>
    </row>
    <row r="1359" ht="14.5" spans="1:50">
      <c r="A1359" s="89"/>
      <c r="B1359" s="93"/>
      <c r="C1359" s="148" t="s">
        <v>1080</v>
      </c>
      <c r="D1359" s="126" t="s">
        <v>1081</v>
      </c>
      <c r="E1359" s="186" t="s">
        <v>1384</v>
      </c>
      <c r="F1359" s="186" t="s">
        <v>1384</v>
      </c>
      <c r="G1359" s="186" t="s">
        <v>1384</v>
      </c>
      <c r="H1359" s="186" t="s">
        <v>1384</v>
      </c>
      <c r="I1359" s="128">
        <v>0.9</v>
      </c>
      <c r="J1359" s="129">
        <v>0.909090909090909</v>
      </c>
      <c r="K1359" s="129">
        <v>0.888888888888889</v>
      </c>
      <c r="L1359" s="130">
        <v>0.894736842105263</v>
      </c>
      <c r="M1359" s="129">
        <v>0.905982905982906</v>
      </c>
      <c r="N1359" s="131">
        <v>0.9</v>
      </c>
      <c r="O1359" s="129">
        <v>0.980769230769231</v>
      </c>
      <c r="P1359" s="129">
        <v>0.96816976127321</v>
      </c>
      <c r="Q1359" s="129">
        <v>0.984358706986444</v>
      </c>
      <c r="R1359" s="129">
        <v>0.960816263190565</v>
      </c>
      <c r="S1359" s="131">
        <v>0.9</v>
      </c>
      <c r="T1359" s="129">
        <v>0.935384615384615</v>
      </c>
      <c r="U1359" s="129">
        <v>0.942970822281167</v>
      </c>
      <c r="V1359" s="129">
        <v>0.906152241918665</v>
      </c>
      <c r="W1359" s="129">
        <v>0.931098696461825</v>
      </c>
      <c r="X1359" s="131">
        <v>0.92</v>
      </c>
      <c r="Y1359" s="131">
        <v>0.919689119170985</v>
      </c>
      <c r="Z1359" s="131">
        <v>0.916247906197655</v>
      </c>
      <c r="AA1359" s="131">
        <v>0.821958456973294</v>
      </c>
      <c r="AB1359" s="131">
        <v>0.870507239040194</v>
      </c>
      <c r="AC1359" s="131">
        <v>0.92</v>
      </c>
      <c r="AD1359" s="129">
        <v>0.997987927565392</v>
      </c>
      <c r="AE1359" s="129">
        <v>0.997268292682927</v>
      </c>
      <c r="AF1359" s="129">
        <v>0.992287917737789</v>
      </c>
      <c r="AG1359" s="129">
        <v>0.995880119557315</v>
      </c>
      <c r="AH1359" s="131">
        <v>0.92</v>
      </c>
      <c r="AI1359" s="129">
        <v>0.951254826254826</v>
      </c>
      <c r="AJ1359" s="129">
        <v>0.951887490747594</v>
      </c>
      <c r="AK1359" s="129">
        <v>0.911206368646663</v>
      </c>
      <c r="AL1359" s="129">
        <v>0.925634718439779</v>
      </c>
      <c r="AM1359" s="128">
        <v>0.99</v>
      </c>
      <c r="AN1359" s="133">
        <v>1</v>
      </c>
      <c r="AO1359" s="133">
        <v>1</v>
      </c>
      <c r="AP1359" s="133">
        <v>1</v>
      </c>
      <c r="AQ1359" s="133">
        <v>1</v>
      </c>
      <c r="AR1359" s="153">
        <v>0.0721861525408278</v>
      </c>
      <c r="AS1359" s="137">
        <v>0</v>
      </c>
      <c r="AT1359" s="137">
        <v>0</v>
      </c>
      <c r="AU1359" s="137">
        <v>0</v>
      </c>
      <c r="AV1359" s="137">
        <v>0.0451127819548872</v>
      </c>
      <c r="AW1359" s="93"/>
      <c r="AX1359" s="91"/>
    </row>
    <row r="1360" ht="14.5" spans="1:50">
      <c r="A1360" s="89"/>
      <c r="B1360" s="93"/>
      <c r="C1360" s="148" t="s">
        <v>1080</v>
      </c>
      <c r="D1360" s="126" t="s">
        <v>1081</v>
      </c>
      <c r="E1360" s="186" t="s">
        <v>1385</v>
      </c>
      <c r="F1360" s="186" t="s">
        <v>1385</v>
      </c>
      <c r="G1360" s="186" t="s">
        <v>1385</v>
      </c>
      <c r="H1360" s="186" t="s">
        <v>1385</v>
      </c>
      <c r="I1360" s="128">
        <v>0.9</v>
      </c>
      <c r="J1360" s="129">
        <v>0.875</v>
      </c>
      <c r="K1360" s="129">
        <v>1</v>
      </c>
      <c r="L1360" s="130">
        <v>0.857142857142857</v>
      </c>
      <c r="M1360" s="129">
        <v>0.933333333333333</v>
      </c>
      <c r="N1360" s="131">
        <v>0.9</v>
      </c>
      <c r="O1360" s="129">
        <v>0.995525727069351</v>
      </c>
      <c r="P1360" s="129">
        <v>0.988179669030733</v>
      </c>
      <c r="Q1360" s="129">
        <v>0.995243757431629</v>
      </c>
      <c r="R1360" s="129">
        <v>0.959135964092014</v>
      </c>
      <c r="S1360" s="131">
        <v>0.9</v>
      </c>
      <c r="T1360" s="129">
        <v>0.949664429530201</v>
      </c>
      <c r="U1360" s="129">
        <v>0.968085106382979</v>
      </c>
      <c r="V1360" s="129">
        <v>0.975029726516052</v>
      </c>
      <c r="W1360" s="129">
        <v>0.926407331213765</v>
      </c>
      <c r="X1360" s="131">
        <v>0.92</v>
      </c>
      <c r="Y1360" s="131">
        <v>0</v>
      </c>
      <c r="Z1360" s="131" t="s">
        <v>33</v>
      </c>
      <c r="AA1360" s="131" t="s">
        <v>33</v>
      </c>
      <c r="AB1360" s="131">
        <v>0</v>
      </c>
      <c r="AC1360" s="131">
        <v>0.92</v>
      </c>
      <c r="AD1360" s="129">
        <v>0.982142857142857</v>
      </c>
      <c r="AE1360" s="129">
        <v>1</v>
      </c>
      <c r="AF1360" s="129">
        <v>0.906122448979592</v>
      </c>
      <c r="AG1360" s="129">
        <v>0.947579566729072</v>
      </c>
      <c r="AH1360" s="131">
        <v>0.92</v>
      </c>
      <c r="AI1360" s="129">
        <v>0.969832402234637</v>
      </c>
      <c r="AJ1360" s="129">
        <v>0.991725768321513</v>
      </c>
      <c r="AK1360" s="129">
        <v>0.992865636147443</v>
      </c>
      <c r="AL1360" s="129">
        <v>0.987287343428678</v>
      </c>
      <c r="AM1360" s="128">
        <v>0.99</v>
      </c>
      <c r="AN1360" s="133">
        <v>1</v>
      </c>
      <c r="AO1360" s="133">
        <v>1</v>
      </c>
      <c r="AP1360" s="133">
        <v>1</v>
      </c>
      <c r="AQ1360" s="133">
        <v>1</v>
      </c>
      <c r="AR1360" s="153">
        <v>0.0721861525408278</v>
      </c>
      <c r="AS1360" s="137">
        <v>0</v>
      </c>
      <c r="AT1360" s="137">
        <v>0</v>
      </c>
      <c r="AU1360" s="137">
        <v>1</v>
      </c>
      <c r="AV1360" s="137">
        <v>0.0975609756097561</v>
      </c>
      <c r="AW1360" s="93"/>
      <c r="AX1360" s="91"/>
    </row>
    <row r="1361" ht="14.5" spans="1:50">
      <c r="A1361" s="89"/>
      <c r="B1361" s="93"/>
      <c r="C1361" s="148" t="s">
        <v>1080</v>
      </c>
      <c r="D1361" s="126" t="s">
        <v>1081</v>
      </c>
      <c r="E1361" s="186" t="s">
        <v>1386</v>
      </c>
      <c r="F1361" s="186" t="s">
        <v>1386</v>
      </c>
      <c r="G1361" s="186" t="s">
        <v>1386</v>
      </c>
      <c r="H1361" s="186" t="s">
        <v>1386</v>
      </c>
      <c r="I1361" s="128">
        <v>0.9</v>
      </c>
      <c r="J1361" s="129">
        <v>0.818181818181818</v>
      </c>
      <c r="K1361" s="129">
        <v>0.9</v>
      </c>
      <c r="L1361" s="130">
        <v>0.95</v>
      </c>
      <c r="M1361" s="129">
        <v>0.882591093117409</v>
      </c>
      <c r="N1361" s="131">
        <v>0.9</v>
      </c>
      <c r="O1361" s="129">
        <v>0.883257166597424</v>
      </c>
      <c r="P1361" s="129">
        <v>0.949528936742934</v>
      </c>
      <c r="Q1361" s="129">
        <v>0.983726150392817</v>
      </c>
      <c r="R1361" s="129">
        <v>0.967407940938147</v>
      </c>
      <c r="S1361" s="131">
        <v>0.9</v>
      </c>
      <c r="T1361" s="129">
        <v>0.8911508101371</v>
      </c>
      <c r="U1361" s="129">
        <v>0.94885598923284</v>
      </c>
      <c r="V1361" s="129">
        <v>0.947250280583614</v>
      </c>
      <c r="W1361" s="129">
        <v>0.939902764022688</v>
      </c>
      <c r="X1361" s="131">
        <v>0.92</v>
      </c>
      <c r="Y1361" s="131">
        <v>0.958874458874459</v>
      </c>
      <c r="Z1361" s="131">
        <v>0.953993055555556</v>
      </c>
      <c r="AA1361" s="131">
        <v>0.95536959553696</v>
      </c>
      <c r="AB1361" s="131">
        <v>0.960064759848894</v>
      </c>
      <c r="AC1361" s="131">
        <v>0.92</v>
      </c>
      <c r="AD1361" s="129">
        <v>0.999157451290153</v>
      </c>
      <c r="AE1361" s="129">
        <v>0.997182824946571</v>
      </c>
      <c r="AF1361" s="129">
        <v>0.998250728862974</v>
      </c>
      <c r="AG1361" s="129">
        <v>0.998617447808655</v>
      </c>
      <c r="AH1361" s="131">
        <v>0.92</v>
      </c>
      <c r="AI1361" s="129">
        <v>0.969417347745848</v>
      </c>
      <c r="AJ1361" s="129">
        <v>0.968915845337377</v>
      </c>
      <c r="AK1361" s="129">
        <v>0.969838308457711</v>
      </c>
      <c r="AL1361" s="129">
        <v>0.973053584284686</v>
      </c>
      <c r="AM1361" s="128">
        <v>0.99</v>
      </c>
      <c r="AN1361" s="133">
        <v>1</v>
      </c>
      <c r="AO1361" s="133">
        <v>1</v>
      </c>
      <c r="AP1361" s="133">
        <v>1</v>
      </c>
      <c r="AQ1361" s="133">
        <v>1</v>
      </c>
      <c r="AR1361" s="153">
        <v>0.0721861525408278</v>
      </c>
      <c r="AS1361" s="137">
        <v>0.0714285714285714</v>
      </c>
      <c r="AT1361" s="137">
        <v>0.0588235294117647</v>
      </c>
      <c r="AU1361" s="137">
        <v>0.0625</v>
      </c>
      <c r="AV1361" s="137">
        <v>0.0394088669950739</v>
      </c>
      <c r="AW1361" s="93"/>
      <c r="AX1361" s="91"/>
    </row>
    <row r="1362" ht="14.5" spans="1:50">
      <c r="A1362" s="89"/>
      <c r="B1362" s="93"/>
      <c r="C1362" s="148" t="s">
        <v>1080</v>
      </c>
      <c r="D1362" s="126" t="s">
        <v>1081</v>
      </c>
      <c r="E1362" s="186" t="s">
        <v>1387</v>
      </c>
      <c r="F1362" s="186" t="s">
        <v>1387</v>
      </c>
      <c r="G1362" s="186" t="s">
        <v>1387</v>
      </c>
      <c r="H1362" s="186" t="s">
        <v>1387</v>
      </c>
      <c r="I1362" s="128">
        <v>0.9</v>
      </c>
      <c r="J1362" s="129">
        <v>1</v>
      </c>
      <c r="K1362" s="129">
        <v>0.954545454545455</v>
      </c>
      <c r="L1362" s="130">
        <v>1</v>
      </c>
      <c r="M1362" s="129">
        <v>0.970695970695971</v>
      </c>
      <c r="N1362" s="131">
        <v>0.9</v>
      </c>
      <c r="O1362" s="129">
        <v>0.990182328190743</v>
      </c>
      <c r="P1362" s="129">
        <v>0.987058237929318</v>
      </c>
      <c r="Q1362" s="129">
        <v>0.98695318495779</v>
      </c>
      <c r="R1362" s="129">
        <v>0.976635514018692</v>
      </c>
      <c r="S1362" s="131">
        <v>0.9</v>
      </c>
      <c r="T1362" s="129">
        <v>0.929873772791024</v>
      </c>
      <c r="U1362" s="129">
        <v>0.924340467894475</v>
      </c>
      <c r="V1362" s="129">
        <v>0.939754412893323</v>
      </c>
      <c r="W1362" s="129">
        <v>0.924950438969131</v>
      </c>
      <c r="X1362" s="131">
        <v>0.92</v>
      </c>
      <c r="Y1362" s="131">
        <v>0.960407683261466</v>
      </c>
      <c r="Z1362" s="131">
        <v>0.966521106259097</v>
      </c>
      <c r="AA1362" s="131">
        <v>0.960570071258907</v>
      </c>
      <c r="AB1362" s="131">
        <v>0.963352549225125</v>
      </c>
      <c r="AC1362" s="131">
        <v>0.92</v>
      </c>
      <c r="AD1362" s="129">
        <v>0.996875</v>
      </c>
      <c r="AE1362" s="129">
        <v>0.997444968553459</v>
      </c>
      <c r="AF1362" s="129">
        <v>0.974849094567404</v>
      </c>
      <c r="AG1362" s="129">
        <v>0.991054749245581</v>
      </c>
      <c r="AH1362" s="131">
        <v>0.92</v>
      </c>
      <c r="AI1362" s="129">
        <v>0.974329627207325</v>
      </c>
      <c r="AJ1362" s="129">
        <v>0.971744471744472</v>
      </c>
      <c r="AK1362" s="129">
        <v>0.974103162810444</v>
      </c>
      <c r="AL1362" s="129">
        <v>0.976100224863476</v>
      </c>
      <c r="AM1362" s="128">
        <v>0.99</v>
      </c>
      <c r="AN1362" s="133">
        <v>1</v>
      </c>
      <c r="AO1362" s="133">
        <v>1</v>
      </c>
      <c r="AP1362" s="133">
        <v>1</v>
      </c>
      <c r="AQ1362" s="133">
        <v>1</v>
      </c>
      <c r="AR1362" s="153">
        <v>0.0721861525408278</v>
      </c>
      <c r="AS1362" s="137">
        <v>0.0540540540540541</v>
      </c>
      <c r="AT1362" s="137">
        <v>0</v>
      </c>
      <c r="AU1362" s="137">
        <v>0.0526315789473684</v>
      </c>
      <c r="AV1362" s="137">
        <v>0.0341151385927505</v>
      </c>
      <c r="AW1362" s="93"/>
      <c r="AX1362" s="91"/>
    </row>
    <row r="1363" ht="14.5" spans="1:50">
      <c r="A1363" s="89"/>
      <c r="B1363" s="93"/>
      <c r="C1363" s="148" t="s">
        <v>1080</v>
      </c>
      <c r="D1363" s="126" t="s">
        <v>1081</v>
      </c>
      <c r="E1363" s="186" t="s">
        <v>1388</v>
      </c>
      <c r="F1363" s="186" t="s">
        <v>1388</v>
      </c>
      <c r="G1363" s="186" t="s">
        <v>1388</v>
      </c>
      <c r="H1363" s="186" t="s">
        <v>1388</v>
      </c>
      <c r="I1363" s="128">
        <v>0.9</v>
      </c>
      <c r="J1363" s="129">
        <v>0.974025974025974</v>
      </c>
      <c r="K1363" s="129">
        <v>0.985074626865672</v>
      </c>
      <c r="L1363" s="130">
        <v>0.971428571428571</v>
      </c>
      <c r="M1363" s="129">
        <v>0.969942196531792</v>
      </c>
      <c r="N1363" s="131">
        <v>0.9</v>
      </c>
      <c r="O1363" s="129">
        <v>0.990881458966565</v>
      </c>
      <c r="P1363" s="129">
        <v>0.99095652173913</v>
      </c>
      <c r="Q1363" s="129">
        <v>0.993591529674004</v>
      </c>
      <c r="R1363" s="129">
        <v>0.991833139837463</v>
      </c>
      <c r="S1363" s="131">
        <v>0.9</v>
      </c>
      <c r="T1363" s="129">
        <v>0.941236068895643</v>
      </c>
      <c r="U1363" s="129">
        <v>0.953391304347826</v>
      </c>
      <c r="V1363" s="129">
        <v>0.955419336862636</v>
      </c>
      <c r="W1363" s="129">
        <v>0.945954601865567</v>
      </c>
      <c r="X1363" s="131">
        <v>0.92</v>
      </c>
      <c r="Y1363" s="131">
        <v>0.956263498920086</v>
      </c>
      <c r="Z1363" s="131">
        <v>0.972578965636932</v>
      </c>
      <c r="AA1363" s="131">
        <v>0.971943295924395</v>
      </c>
      <c r="AB1363" s="131">
        <v>0.968099791682353</v>
      </c>
      <c r="AC1363" s="131">
        <v>0.92</v>
      </c>
      <c r="AD1363" s="129">
        <v>0.997126436781609</v>
      </c>
      <c r="AE1363" s="129">
        <v>0.996723460026212</v>
      </c>
      <c r="AF1363" s="129">
        <v>0.947058823529412</v>
      </c>
      <c r="AG1363" s="129">
        <v>0.990744003570841</v>
      </c>
      <c r="AH1363" s="131">
        <v>0.92</v>
      </c>
      <c r="AI1363" s="129">
        <v>0.972450515105915</v>
      </c>
      <c r="AJ1363" s="129">
        <v>0.980013903371568</v>
      </c>
      <c r="AK1363" s="129">
        <v>0.981505376344086</v>
      </c>
      <c r="AL1363" s="129">
        <v>0.978642614553755</v>
      </c>
      <c r="AM1363" s="128">
        <v>0.99</v>
      </c>
      <c r="AN1363" s="133">
        <v>1</v>
      </c>
      <c r="AO1363" s="133">
        <v>1</v>
      </c>
      <c r="AP1363" s="133">
        <v>1</v>
      </c>
      <c r="AQ1363" s="133">
        <v>1</v>
      </c>
      <c r="AR1363" s="153">
        <v>0.0721861525408278</v>
      </c>
      <c r="AS1363" s="137">
        <v>0.0588235294117647</v>
      </c>
      <c r="AT1363" s="137">
        <v>0.0625</v>
      </c>
      <c r="AU1363" s="137">
        <v>0</v>
      </c>
      <c r="AV1363" s="137">
        <v>0.0293398533007335</v>
      </c>
      <c r="AW1363" s="93"/>
      <c r="AX1363" s="91"/>
    </row>
    <row r="1364" ht="14.5" spans="1:50">
      <c r="A1364" s="89"/>
      <c r="B1364" s="93"/>
      <c r="C1364" s="148" t="s">
        <v>1080</v>
      </c>
      <c r="D1364" s="126" t="s">
        <v>1081</v>
      </c>
      <c r="E1364" s="186" t="s">
        <v>1389</v>
      </c>
      <c r="F1364" s="186" t="s">
        <v>1389</v>
      </c>
      <c r="G1364" s="186" t="s">
        <v>1389</v>
      </c>
      <c r="H1364" s="186" t="s">
        <v>1389</v>
      </c>
      <c r="I1364" s="128">
        <v>0.9</v>
      </c>
      <c r="J1364" s="129">
        <v>0.954545454545455</v>
      </c>
      <c r="K1364" s="129">
        <v>0.947368421052632</v>
      </c>
      <c r="L1364" s="130">
        <v>0.8</v>
      </c>
      <c r="M1364" s="129">
        <v>0.957627118644068</v>
      </c>
      <c r="N1364" s="131">
        <v>0.9</v>
      </c>
      <c r="O1364" s="129">
        <v>0.992476060191518</v>
      </c>
      <c r="P1364" s="129">
        <v>0.992583436341162</v>
      </c>
      <c r="Q1364" s="129">
        <v>0.993138936535163</v>
      </c>
      <c r="R1364" s="129">
        <v>0.984311286198079</v>
      </c>
      <c r="S1364" s="131">
        <v>0.9</v>
      </c>
      <c r="T1364" s="129">
        <v>0.926812585499316</v>
      </c>
      <c r="U1364" s="129">
        <v>0.929542645241038</v>
      </c>
      <c r="V1364" s="129">
        <v>0.933962264150943</v>
      </c>
      <c r="W1364" s="129">
        <v>0.924390075333472</v>
      </c>
      <c r="X1364" s="131">
        <v>0.92</v>
      </c>
      <c r="Y1364" s="131">
        <v>0.968294772922022</v>
      </c>
      <c r="Z1364" s="131">
        <v>0.967706013363029</v>
      </c>
      <c r="AA1364" s="131">
        <v>0.967105263157895</v>
      </c>
      <c r="AB1364" s="131">
        <v>0.961406974094052</v>
      </c>
      <c r="AC1364" s="131">
        <v>0.92</v>
      </c>
      <c r="AD1364" s="129">
        <v>0.978973927670311</v>
      </c>
      <c r="AE1364" s="129">
        <v>0.994930291508238</v>
      </c>
      <c r="AF1364" s="129">
        <v>0.994358251057828</v>
      </c>
      <c r="AG1364" s="129">
        <v>0.989695921602536</v>
      </c>
      <c r="AH1364" s="131">
        <v>0.92</v>
      </c>
      <c r="AI1364" s="129">
        <v>0.97869912514264</v>
      </c>
      <c r="AJ1364" s="129">
        <v>0.975981253661394</v>
      </c>
      <c r="AK1364" s="129">
        <v>0.977749790092359</v>
      </c>
      <c r="AL1364" s="129">
        <v>0.974848912532117</v>
      </c>
      <c r="AM1364" s="128">
        <v>0.99</v>
      </c>
      <c r="AN1364" s="133">
        <v>1</v>
      </c>
      <c r="AO1364" s="133">
        <v>1</v>
      </c>
      <c r="AP1364" s="133">
        <v>1</v>
      </c>
      <c r="AQ1364" s="133">
        <v>1</v>
      </c>
      <c r="AR1364" s="153">
        <v>0.0721861525408278</v>
      </c>
      <c r="AS1364" s="137">
        <v>0</v>
      </c>
      <c r="AT1364" s="137">
        <v>0</v>
      </c>
      <c r="AU1364" s="137">
        <v>0</v>
      </c>
      <c r="AV1364" s="137">
        <v>0.0588235294117647</v>
      </c>
      <c r="AW1364" s="93"/>
      <c r="AX1364" s="91"/>
    </row>
    <row r="1365" ht="14.5" spans="1:50">
      <c r="A1365" s="89"/>
      <c r="B1365" s="93"/>
      <c r="C1365" s="148" t="s">
        <v>1080</v>
      </c>
      <c r="D1365" s="126" t="s">
        <v>1081</v>
      </c>
      <c r="E1365" s="186" t="s">
        <v>1390</v>
      </c>
      <c r="F1365" s="186" t="s">
        <v>1390</v>
      </c>
      <c r="G1365" s="186" t="s">
        <v>1390</v>
      </c>
      <c r="H1365" s="186" t="s">
        <v>1390</v>
      </c>
      <c r="I1365" s="128">
        <v>0.9</v>
      </c>
      <c r="J1365" s="129">
        <v>0.88135593220339</v>
      </c>
      <c r="K1365" s="129">
        <v>0.914893617021277</v>
      </c>
      <c r="L1365" s="130">
        <v>0.92156862745098</v>
      </c>
      <c r="M1365" s="129">
        <v>0.925396825396825</v>
      </c>
      <c r="N1365" s="131">
        <v>0.9</v>
      </c>
      <c r="O1365" s="129">
        <v>0.972840084289394</v>
      </c>
      <c r="P1365" s="129">
        <v>0.966818747407715</v>
      </c>
      <c r="Q1365" s="129">
        <v>0.974950560316414</v>
      </c>
      <c r="R1365" s="129">
        <v>0.967230468841892</v>
      </c>
      <c r="S1365" s="131">
        <v>0.9</v>
      </c>
      <c r="T1365" s="129">
        <v>0.91313509716694</v>
      </c>
      <c r="U1365" s="129">
        <v>0.912069680630444</v>
      </c>
      <c r="V1365" s="129">
        <v>0.917270929466051</v>
      </c>
      <c r="W1365" s="129">
        <v>0.909477992895622</v>
      </c>
      <c r="X1365" s="131">
        <v>0.92</v>
      </c>
      <c r="Y1365" s="131">
        <v>0.949983654789147</v>
      </c>
      <c r="Z1365" s="131">
        <v>0.949590163934426</v>
      </c>
      <c r="AA1365" s="131">
        <v>0.942388401373522</v>
      </c>
      <c r="AB1365" s="131">
        <v>0.946287018834422</v>
      </c>
      <c r="AC1365" s="131">
        <v>0.92</v>
      </c>
      <c r="AD1365" s="129">
        <v>0.990745501285347</v>
      </c>
      <c r="AE1365" s="129">
        <v>0.983907185628742</v>
      </c>
      <c r="AF1365" s="129">
        <v>0.99165402124431</v>
      </c>
      <c r="AG1365" s="129">
        <v>0.984892746849178</v>
      </c>
      <c r="AH1365" s="131">
        <v>0.92</v>
      </c>
      <c r="AI1365" s="129">
        <v>0.965079798117583</v>
      </c>
      <c r="AJ1365" s="129">
        <v>0.960222588623248</v>
      </c>
      <c r="AK1365" s="129">
        <v>0.964986737400531</v>
      </c>
      <c r="AL1365" s="129">
        <v>0.963781228899392</v>
      </c>
      <c r="AM1365" s="128">
        <v>0.99</v>
      </c>
      <c r="AN1365" s="133">
        <v>1</v>
      </c>
      <c r="AO1365" s="133">
        <v>1</v>
      </c>
      <c r="AP1365" s="133">
        <v>1</v>
      </c>
      <c r="AQ1365" s="133">
        <v>1</v>
      </c>
      <c r="AR1365" s="153">
        <v>0.0721861525408278</v>
      </c>
      <c r="AS1365" s="137">
        <v>0.0277777777777778</v>
      </c>
      <c r="AT1365" s="137">
        <v>0.0465116279069767</v>
      </c>
      <c r="AU1365" s="137">
        <v>0.0571428571428571</v>
      </c>
      <c r="AV1365" s="137">
        <v>0.0472972972972973</v>
      </c>
      <c r="AW1365" s="93"/>
      <c r="AX1365" s="91"/>
    </row>
    <row r="1366" ht="14.5" spans="1:50">
      <c r="A1366" s="89"/>
      <c r="B1366" s="93"/>
      <c r="C1366" s="148" t="s">
        <v>1080</v>
      </c>
      <c r="D1366" s="126" t="s">
        <v>1081</v>
      </c>
      <c r="E1366" s="186" t="s">
        <v>1391</v>
      </c>
      <c r="F1366" s="186" t="s">
        <v>1391</v>
      </c>
      <c r="G1366" s="186" t="s">
        <v>1391</v>
      </c>
      <c r="H1366" s="186" t="s">
        <v>1391</v>
      </c>
      <c r="I1366" s="128">
        <v>0.9</v>
      </c>
      <c r="J1366" s="129">
        <v>1</v>
      </c>
      <c r="K1366" s="129">
        <v>0.987012987012987</v>
      </c>
      <c r="L1366" s="130">
        <v>0.946666666666667</v>
      </c>
      <c r="M1366" s="129">
        <v>0.958333333333333</v>
      </c>
      <c r="N1366" s="131">
        <v>0.9</v>
      </c>
      <c r="O1366" s="129">
        <v>0.968276183811523</v>
      </c>
      <c r="P1366" s="129">
        <v>0.981029810298103</v>
      </c>
      <c r="Q1366" s="129">
        <v>0.985119047619048</v>
      </c>
      <c r="R1366" s="129">
        <v>0.942518886007442</v>
      </c>
      <c r="S1366" s="131">
        <v>0.9</v>
      </c>
      <c r="T1366" s="129">
        <v>0.763704222066713</v>
      </c>
      <c r="U1366" s="129">
        <v>0.787069299264421</v>
      </c>
      <c r="V1366" s="129">
        <v>0.8</v>
      </c>
      <c r="W1366" s="129">
        <v>0.754944187619799</v>
      </c>
      <c r="X1366" s="131">
        <v>0.92</v>
      </c>
      <c r="Y1366" s="131">
        <v>0.882403680276021</v>
      </c>
      <c r="Z1366" s="131">
        <v>0.893617021276596</v>
      </c>
      <c r="AA1366" s="131">
        <v>0.896426207809398</v>
      </c>
      <c r="AB1366" s="131">
        <v>0.893334060064316</v>
      </c>
      <c r="AC1366" s="131">
        <v>0.92</v>
      </c>
      <c r="AD1366" s="129">
        <v>1</v>
      </c>
      <c r="AE1366" s="129">
        <v>0.998623537508603</v>
      </c>
      <c r="AF1366" s="129">
        <v>0.997098646034816</v>
      </c>
      <c r="AG1366" s="129">
        <v>0.993079584775087</v>
      </c>
      <c r="AH1366" s="131">
        <v>0.92</v>
      </c>
      <c r="AI1366" s="129">
        <v>0.918104558331187</v>
      </c>
      <c r="AJ1366" s="129">
        <v>0.918969380134429</v>
      </c>
      <c r="AK1366" s="129">
        <v>0.930910230299232</v>
      </c>
      <c r="AL1366" s="129">
        <v>0.929383166960749</v>
      </c>
      <c r="AM1366" s="128">
        <v>0.99</v>
      </c>
      <c r="AN1366" s="133">
        <v>1</v>
      </c>
      <c r="AO1366" s="133">
        <v>1</v>
      </c>
      <c r="AP1366" s="133">
        <v>1</v>
      </c>
      <c r="AQ1366" s="133">
        <v>1</v>
      </c>
      <c r="AR1366" s="153">
        <v>0.0721861525408278</v>
      </c>
      <c r="AS1366" s="137">
        <v>0.0303030303030303</v>
      </c>
      <c r="AT1366" s="137">
        <v>0</v>
      </c>
      <c r="AU1366" s="137">
        <v>0</v>
      </c>
      <c r="AV1366" s="137">
        <v>0.05</v>
      </c>
      <c r="AW1366" s="93"/>
      <c r="AX1366" s="91"/>
    </row>
    <row r="1367" ht="14.5" spans="1:50">
      <c r="A1367" s="89"/>
      <c r="B1367" s="93"/>
      <c r="C1367" s="148" t="s">
        <v>1080</v>
      </c>
      <c r="D1367" s="126" t="s">
        <v>1081</v>
      </c>
      <c r="E1367" s="186" t="s">
        <v>1392</v>
      </c>
      <c r="F1367" s="186" t="s">
        <v>1392</v>
      </c>
      <c r="G1367" s="186" t="s">
        <v>1392</v>
      </c>
      <c r="H1367" s="186" t="s">
        <v>1392</v>
      </c>
      <c r="I1367" s="128">
        <v>0.9</v>
      </c>
      <c r="J1367" s="129">
        <v>1</v>
      </c>
      <c r="K1367" s="129">
        <v>0.972222222222222</v>
      </c>
      <c r="L1367" s="130">
        <v>0.973684210526316</v>
      </c>
      <c r="M1367" s="129">
        <v>0.967948717948718</v>
      </c>
      <c r="N1367" s="131">
        <v>0.9</v>
      </c>
      <c r="O1367" s="129">
        <v>0.969125214408233</v>
      </c>
      <c r="P1367" s="129">
        <v>0.982954545454545</v>
      </c>
      <c r="Q1367" s="129">
        <v>0.990004759638268</v>
      </c>
      <c r="R1367" s="129">
        <v>0.978363293708321</v>
      </c>
      <c r="S1367" s="131">
        <v>0.9</v>
      </c>
      <c r="T1367" s="129">
        <v>0.91114922813036</v>
      </c>
      <c r="U1367" s="129">
        <v>0.917929292929293</v>
      </c>
      <c r="V1367" s="129">
        <v>0.921465968586387</v>
      </c>
      <c r="W1367" s="129">
        <v>0.930015946651203</v>
      </c>
      <c r="X1367" s="131">
        <v>0.92</v>
      </c>
      <c r="Y1367" s="131">
        <v>0.951456310679612</v>
      </c>
      <c r="Z1367" s="131">
        <v>0.95997458703939</v>
      </c>
      <c r="AA1367" s="131">
        <v>0.967052023121387</v>
      </c>
      <c r="AB1367" s="131">
        <v>0.961342537491074</v>
      </c>
      <c r="AC1367" s="131">
        <v>0.92</v>
      </c>
      <c r="AD1367" s="129">
        <v>0.942130881557599</v>
      </c>
      <c r="AE1367" s="129">
        <v>0.99958932238193</v>
      </c>
      <c r="AF1367" s="129">
        <v>0.996359223300971</v>
      </c>
      <c r="AG1367" s="129">
        <v>0.987985442943317</v>
      </c>
      <c r="AH1367" s="131">
        <v>0.92</v>
      </c>
      <c r="AI1367" s="129">
        <v>0.967437185929648</v>
      </c>
      <c r="AJ1367" s="129">
        <v>0.967701076630779</v>
      </c>
      <c r="AK1367" s="129">
        <v>0.976507439310885</v>
      </c>
      <c r="AL1367" s="129">
        <v>0.97559670781893</v>
      </c>
      <c r="AM1367" s="128">
        <v>0.99</v>
      </c>
      <c r="AN1367" s="133">
        <v>1</v>
      </c>
      <c r="AO1367" s="133">
        <v>1</v>
      </c>
      <c r="AP1367" s="133">
        <v>1</v>
      </c>
      <c r="AQ1367" s="133">
        <v>1</v>
      </c>
      <c r="AR1367" s="153">
        <v>0.0721861525408278</v>
      </c>
      <c r="AS1367" s="137">
        <v>0.0833333333333333</v>
      </c>
      <c r="AT1367" s="137">
        <v>0.05</v>
      </c>
      <c r="AU1367" s="137">
        <v>0.0416666666666667</v>
      </c>
      <c r="AV1367" s="137">
        <v>0.0307692307692308</v>
      </c>
      <c r="AW1367" s="93"/>
      <c r="AX1367" s="91"/>
    </row>
    <row r="1368" ht="14.5" spans="1:50">
      <c r="A1368" s="89"/>
      <c r="B1368" s="93"/>
      <c r="C1368" s="148" t="s">
        <v>1080</v>
      </c>
      <c r="D1368" s="126" t="s">
        <v>1081</v>
      </c>
      <c r="E1368" s="186" t="s">
        <v>1393</v>
      </c>
      <c r="F1368" s="186" t="s">
        <v>1393</v>
      </c>
      <c r="G1368" s="186" t="s">
        <v>1393</v>
      </c>
      <c r="H1368" s="186" t="s">
        <v>1393</v>
      </c>
      <c r="I1368" s="128">
        <v>0.9</v>
      </c>
      <c r="J1368" s="129">
        <v>1</v>
      </c>
      <c r="K1368" s="129">
        <v>1</v>
      </c>
      <c r="L1368" s="130">
        <v>1</v>
      </c>
      <c r="M1368" s="129">
        <v>0.996447602131439</v>
      </c>
      <c r="N1368" s="131">
        <v>0.9</v>
      </c>
      <c r="O1368" s="129">
        <v>0.992978936810431</v>
      </c>
      <c r="P1368" s="129">
        <v>0.993431855500821</v>
      </c>
      <c r="Q1368" s="129">
        <v>0.996272134203169</v>
      </c>
      <c r="R1368" s="129">
        <v>0.995585275595663</v>
      </c>
      <c r="S1368" s="131">
        <v>0.9</v>
      </c>
      <c r="T1368" s="129">
        <v>0.933132731527917</v>
      </c>
      <c r="U1368" s="129">
        <v>0.934865900383142</v>
      </c>
      <c r="V1368" s="129">
        <v>0.940354147250699</v>
      </c>
      <c r="W1368" s="129">
        <v>0.926735051613322</v>
      </c>
      <c r="X1368" s="131">
        <v>0.92</v>
      </c>
      <c r="Y1368" s="131">
        <v>0.980811164413432</v>
      </c>
      <c r="Z1368" s="131">
        <v>0.978097982708934</v>
      </c>
      <c r="AA1368" s="131">
        <v>0.98093909809391</v>
      </c>
      <c r="AB1368" s="131">
        <v>0.978590436255141</v>
      </c>
      <c r="AC1368" s="131">
        <v>0.92</v>
      </c>
      <c r="AD1368" s="129">
        <v>0.99390243902439</v>
      </c>
      <c r="AE1368" s="129">
        <v>0.999398677089597</v>
      </c>
      <c r="AF1368" s="129">
        <v>0.982269503546099</v>
      </c>
      <c r="AG1368" s="129">
        <v>0.99607265586647</v>
      </c>
      <c r="AH1368" s="131">
        <v>0.92</v>
      </c>
      <c r="AI1368" s="129">
        <v>0.987320211960636</v>
      </c>
      <c r="AJ1368" s="129">
        <v>0.983997754070747</v>
      </c>
      <c r="AK1368" s="129">
        <v>0.987898533860833</v>
      </c>
      <c r="AL1368" s="129">
        <v>0.98631565697434</v>
      </c>
      <c r="AM1368" s="128">
        <v>0.99</v>
      </c>
      <c r="AN1368" s="133">
        <v>1</v>
      </c>
      <c r="AO1368" s="133">
        <v>1</v>
      </c>
      <c r="AP1368" s="133">
        <v>1</v>
      </c>
      <c r="AQ1368" s="133">
        <v>1</v>
      </c>
      <c r="AR1368" s="153">
        <v>0.0721861525408278</v>
      </c>
      <c r="AS1368" s="137">
        <v>0</v>
      </c>
      <c r="AT1368" s="137">
        <v>0</v>
      </c>
      <c r="AU1368" s="137">
        <v>0</v>
      </c>
      <c r="AV1368" s="137">
        <v>0.0448717948717949</v>
      </c>
      <c r="AW1368" s="93"/>
      <c r="AX1368" s="91"/>
    </row>
    <row r="1369" ht="14.5" spans="1:50">
      <c r="A1369" s="89"/>
      <c r="B1369" s="93"/>
      <c r="C1369" s="148" t="s">
        <v>1080</v>
      </c>
      <c r="D1369" s="126" t="s">
        <v>1081</v>
      </c>
      <c r="E1369" s="186" t="s">
        <v>1394</v>
      </c>
      <c r="F1369" s="186" t="s">
        <v>1394</v>
      </c>
      <c r="G1369" s="186" t="s">
        <v>1394</v>
      </c>
      <c r="H1369" s="186" t="s">
        <v>1394</v>
      </c>
      <c r="I1369" s="128">
        <v>0.9</v>
      </c>
      <c r="J1369" s="129">
        <v>1</v>
      </c>
      <c r="K1369" s="129">
        <v>0.962962962962963</v>
      </c>
      <c r="L1369" s="130">
        <v>0.925925925925926</v>
      </c>
      <c r="M1369" s="129">
        <v>0.942934782608696</v>
      </c>
      <c r="N1369" s="131">
        <v>0.9</v>
      </c>
      <c r="O1369" s="129">
        <v>0.991820040899795</v>
      </c>
      <c r="P1369" s="129">
        <v>0.997854077253219</v>
      </c>
      <c r="Q1369" s="129">
        <v>0.999515972894482</v>
      </c>
      <c r="R1369" s="129">
        <v>0.985663082437276</v>
      </c>
      <c r="S1369" s="131">
        <v>0.9</v>
      </c>
      <c r="T1369" s="129">
        <v>0.968302658486708</v>
      </c>
      <c r="U1369" s="129">
        <v>0.956545064377682</v>
      </c>
      <c r="V1369" s="129">
        <v>0.968538238141336</v>
      </c>
      <c r="W1369" s="129">
        <v>0.954644424345962</v>
      </c>
      <c r="X1369" s="131">
        <v>0.92</v>
      </c>
      <c r="Y1369" s="131">
        <v>0.974448315911731</v>
      </c>
      <c r="Z1369" s="131">
        <v>0.961253091508656</v>
      </c>
      <c r="AA1369" s="131">
        <v>0.981500513874615</v>
      </c>
      <c r="AB1369" s="131">
        <v>0.972605382463586</v>
      </c>
      <c r="AC1369" s="131">
        <v>0.92</v>
      </c>
      <c r="AD1369" s="129">
        <v>1</v>
      </c>
      <c r="AE1369" s="129">
        <v>0.998731366952109</v>
      </c>
      <c r="AF1369" s="129">
        <v>0.997252747252747</v>
      </c>
      <c r="AG1369" s="129">
        <v>0.999466614944479</v>
      </c>
      <c r="AH1369" s="131">
        <v>0.92</v>
      </c>
      <c r="AI1369" s="129">
        <v>0.987113402061856</v>
      </c>
      <c r="AJ1369" s="129">
        <v>0.978875528111797</v>
      </c>
      <c r="AK1369" s="129">
        <v>0.989282153539382</v>
      </c>
      <c r="AL1369" s="129">
        <v>0.982566069063668</v>
      </c>
      <c r="AM1369" s="128">
        <v>0.99</v>
      </c>
      <c r="AN1369" s="133">
        <v>1</v>
      </c>
      <c r="AO1369" s="133">
        <v>1</v>
      </c>
      <c r="AP1369" s="133">
        <v>1</v>
      </c>
      <c r="AQ1369" s="133">
        <v>1</v>
      </c>
      <c r="AR1369" s="153">
        <v>0.0721861525408278</v>
      </c>
      <c r="AS1369" s="137">
        <v>0</v>
      </c>
      <c r="AT1369" s="137">
        <v>0</v>
      </c>
      <c r="AU1369" s="137">
        <v>0.181818181818182</v>
      </c>
      <c r="AV1369" s="137">
        <v>0.0419161676646707</v>
      </c>
      <c r="AW1369" s="93"/>
      <c r="AX1369" s="91"/>
    </row>
    <row r="1370" ht="14.5" spans="1:50">
      <c r="A1370" s="89"/>
      <c r="B1370" s="93"/>
      <c r="C1370" s="148" t="s">
        <v>1080</v>
      </c>
      <c r="D1370" s="126" t="s">
        <v>1081</v>
      </c>
      <c r="E1370" s="186" t="s">
        <v>1395</v>
      </c>
      <c r="F1370" s="186" t="s">
        <v>1395</v>
      </c>
      <c r="G1370" s="186" t="s">
        <v>1395</v>
      </c>
      <c r="H1370" s="186" t="s">
        <v>1395</v>
      </c>
      <c r="I1370" s="128">
        <v>0.9</v>
      </c>
      <c r="J1370" s="129">
        <v>0.973684210526316</v>
      </c>
      <c r="K1370" s="129">
        <v>1</v>
      </c>
      <c r="L1370" s="130">
        <v>0.911764705882353</v>
      </c>
      <c r="M1370" s="129">
        <v>0.972093023255814</v>
      </c>
      <c r="N1370" s="131">
        <v>0.9</v>
      </c>
      <c r="O1370" s="129">
        <v>0.973015049299429</v>
      </c>
      <c r="P1370" s="129">
        <v>0.978944413250983</v>
      </c>
      <c r="Q1370" s="129">
        <v>0.978516184474363</v>
      </c>
      <c r="R1370" s="129">
        <v>0.975812115891133</v>
      </c>
      <c r="S1370" s="131">
        <v>0.9</v>
      </c>
      <c r="T1370" s="129">
        <v>0.952516865594188</v>
      </c>
      <c r="U1370" s="129">
        <v>0.955362156092083</v>
      </c>
      <c r="V1370" s="129">
        <v>0.96448009166428</v>
      </c>
      <c r="W1370" s="129">
        <v>0.960030728709394</v>
      </c>
      <c r="X1370" s="131">
        <v>0.92</v>
      </c>
      <c r="Y1370" s="131">
        <v>0</v>
      </c>
      <c r="Z1370" s="131">
        <v>0</v>
      </c>
      <c r="AA1370" s="131" t="s">
        <v>33</v>
      </c>
      <c r="AB1370" s="131">
        <v>0</v>
      </c>
      <c r="AC1370" s="131">
        <v>0.92</v>
      </c>
      <c r="AD1370" s="129">
        <v>1</v>
      </c>
      <c r="AE1370" s="129">
        <v>0.998390126106788</v>
      </c>
      <c r="AF1370" s="129">
        <v>0.995475113122172</v>
      </c>
      <c r="AG1370" s="129">
        <v>0.998748043818466</v>
      </c>
      <c r="AH1370" s="131">
        <v>0.92</v>
      </c>
      <c r="AI1370" s="129">
        <v>0.984966303784344</v>
      </c>
      <c r="AJ1370" s="129">
        <v>0.981481481481482</v>
      </c>
      <c r="AK1370" s="129">
        <v>0.988828415926669</v>
      </c>
      <c r="AL1370" s="129">
        <v>0.986371716373691</v>
      </c>
      <c r="AM1370" s="128">
        <v>0.99</v>
      </c>
      <c r="AN1370" s="133">
        <v>1</v>
      </c>
      <c r="AO1370" s="133">
        <v>1</v>
      </c>
      <c r="AP1370" s="133">
        <v>1</v>
      </c>
      <c r="AQ1370" s="133">
        <v>1</v>
      </c>
      <c r="AR1370" s="153">
        <v>0.0721861525408278</v>
      </c>
      <c r="AS1370" s="137">
        <v>0</v>
      </c>
      <c r="AT1370" s="137">
        <v>0.125</v>
      </c>
      <c r="AU1370" s="137">
        <v>0</v>
      </c>
      <c r="AV1370" s="137">
        <v>0.0555555555555556</v>
      </c>
      <c r="AW1370" s="93"/>
      <c r="AX1370" s="91"/>
    </row>
    <row r="1371" ht="14.5" spans="1:50">
      <c r="A1371" s="89"/>
      <c r="B1371" s="93"/>
      <c r="C1371" s="148" t="s">
        <v>1080</v>
      </c>
      <c r="D1371" s="126" t="s">
        <v>1081</v>
      </c>
      <c r="E1371" s="186" t="s">
        <v>1396</v>
      </c>
      <c r="F1371" s="186" t="s">
        <v>1396</v>
      </c>
      <c r="G1371" s="186" t="s">
        <v>1396</v>
      </c>
      <c r="H1371" s="186" t="s">
        <v>1396</v>
      </c>
      <c r="I1371" s="128">
        <v>0.9</v>
      </c>
      <c r="J1371" s="129">
        <v>1</v>
      </c>
      <c r="K1371" s="129">
        <v>1</v>
      </c>
      <c r="L1371" s="130">
        <v>0.96875</v>
      </c>
      <c r="M1371" s="129">
        <v>0.946859903381642</v>
      </c>
      <c r="N1371" s="131">
        <v>0.9</v>
      </c>
      <c r="O1371" s="129">
        <v>0.988787878787879</v>
      </c>
      <c r="P1371" s="129">
        <v>0.99020979020979</v>
      </c>
      <c r="Q1371" s="129">
        <v>0.99551724137931</v>
      </c>
      <c r="R1371" s="129">
        <v>0.98797797254324</v>
      </c>
      <c r="S1371" s="131">
        <v>0.9</v>
      </c>
      <c r="T1371" s="129">
        <v>0.922727272727273</v>
      </c>
      <c r="U1371" s="129">
        <v>0.914685314685315</v>
      </c>
      <c r="V1371" s="129">
        <v>0.972758620689655</v>
      </c>
      <c r="W1371" s="129">
        <v>0.92647172884511</v>
      </c>
      <c r="X1371" s="131">
        <v>0.92</v>
      </c>
      <c r="Y1371" s="131">
        <v>0</v>
      </c>
      <c r="Z1371" s="131" t="s">
        <v>33</v>
      </c>
      <c r="AA1371" s="131" t="s">
        <v>33</v>
      </c>
      <c r="AB1371" s="131">
        <v>0</v>
      </c>
      <c r="AC1371" s="131">
        <v>0.92</v>
      </c>
      <c r="AD1371" s="129">
        <v>0.996925441967717</v>
      </c>
      <c r="AE1371" s="129">
        <v>0.998319327731092</v>
      </c>
      <c r="AF1371" s="129">
        <v>0.999498243853487</v>
      </c>
      <c r="AG1371" s="129">
        <v>0.99853617733166</v>
      </c>
      <c r="AH1371" s="131">
        <v>0.92</v>
      </c>
      <c r="AI1371" s="129">
        <v>0.966835972512698</v>
      </c>
      <c r="AJ1371" s="129">
        <v>0.981468531468531</v>
      </c>
      <c r="AK1371" s="129">
        <v>0.990344827586207</v>
      </c>
      <c r="AL1371" s="129">
        <v>0.986443566503989</v>
      </c>
      <c r="AM1371" s="128">
        <v>0.99</v>
      </c>
      <c r="AN1371" s="133">
        <v>1</v>
      </c>
      <c r="AO1371" s="133">
        <v>1</v>
      </c>
      <c r="AP1371" s="133">
        <v>1</v>
      </c>
      <c r="AQ1371" s="133">
        <v>1</v>
      </c>
      <c r="AR1371" s="153">
        <v>0.0721861525408278</v>
      </c>
      <c r="AS1371" s="137">
        <v>0</v>
      </c>
      <c r="AT1371" s="137">
        <v>0</v>
      </c>
      <c r="AU1371" s="137">
        <v>0</v>
      </c>
      <c r="AV1371" s="137">
        <v>0.0303030303030303</v>
      </c>
      <c r="AW1371" s="93"/>
      <c r="AX1371" s="91"/>
    </row>
    <row r="1372" ht="14.5" spans="1:50">
      <c r="A1372" s="89"/>
      <c r="B1372" s="93"/>
      <c r="C1372" s="148" t="s">
        <v>1080</v>
      </c>
      <c r="D1372" s="126" t="s">
        <v>1081</v>
      </c>
      <c r="E1372" s="186" t="s">
        <v>1397</v>
      </c>
      <c r="F1372" s="186" t="s">
        <v>1397</v>
      </c>
      <c r="G1372" s="186" t="s">
        <v>1397</v>
      </c>
      <c r="H1372" s="186" t="s">
        <v>1397</v>
      </c>
      <c r="I1372" s="128">
        <v>0.9</v>
      </c>
      <c r="J1372" s="129">
        <v>1</v>
      </c>
      <c r="K1372" s="129">
        <v>0.971428571428571</v>
      </c>
      <c r="L1372" s="130">
        <v>0.916666666666667</v>
      </c>
      <c r="M1372" s="129">
        <v>0.959276018099548</v>
      </c>
      <c r="N1372" s="131">
        <v>0.9</v>
      </c>
      <c r="O1372" s="129">
        <v>0.971978984238179</v>
      </c>
      <c r="P1372" s="129">
        <v>0.97407524502055</v>
      </c>
      <c r="Q1372" s="129">
        <v>0.973486088379705</v>
      </c>
      <c r="R1372" s="129">
        <v>0.954595628817426</v>
      </c>
      <c r="S1372" s="131">
        <v>0.9</v>
      </c>
      <c r="T1372" s="129">
        <v>0.922942206654991</v>
      </c>
      <c r="U1372" s="129">
        <v>0.932658868163136</v>
      </c>
      <c r="V1372" s="129">
        <v>0.928968903436989</v>
      </c>
      <c r="W1372" s="129">
        <v>0.927048838521353</v>
      </c>
      <c r="X1372" s="131">
        <v>0.92</v>
      </c>
      <c r="Y1372" s="131">
        <v>0</v>
      </c>
      <c r="Z1372" s="131">
        <v>0</v>
      </c>
      <c r="AA1372" s="131" t="s">
        <v>33</v>
      </c>
      <c r="AB1372" s="131">
        <v>0</v>
      </c>
      <c r="AC1372" s="131">
        <v>0.92</v>
      </c>
      <c r="AD1372" s="129">
        <v>1</v>
      </c>
      <c r="AE1372" s="129">
        <v>0.984496124031008</v>
      </c>
      <c r="AF1372" s="129">
        <v>1</v>
      </c>
      <c r="AG1372" s="129">
        <v>0.993412384716733</v>
      </c>
      <c r="AH1372" s="131">
        <v>0.92</v>
      </c>
      <c r="AI1372" s="129">
        <v>0.962368728121354</v>
      </c>
      <c r="AJ1372" s="129">
        <v>0.965865992414665</v>
      </c>
      <c r="AK1372" s="129">
        <v>0.973486088379705</v>
      </c>
      <c r="AL1372" s="129">
        <v>0.968677949472652</v>
      </c>
      <c r="AM1372" s="128">
        <v>0.99</v>
      </c>
      <c r="AN1372" s="133">
        <v>1</v>
      </c>
      <c r="AO1372" s="133">
        <v>1</v>
      </c>
      <c r="AP1372" s="133">
        <v>1</v>
      </c>
      <c r="AQ1372" s="133">
        <v>1</v>
      </c>
      <c r="AR1372" s="153">
        <v>0.0721861525408278</v>
      </c>
      <c r="AS1372" s="137">
        <v>0</v>
      </c>
      <c r="AT1372" s="137">
        <v>0</v>
      </c>
      <c r="AU1372" s="137">
        <v>0</v>
      </c>
      <c r="AV1372" s="137">
        <v>0.00854700854700855</v>
      </c>
      <c r="AW1372" s="93"/>
      <c r="AX1372" s="91"/>
    </row>
    <row r="1373" ht="14.5" spans="1:50">
      <c r="A1373" s="89"/>
      <c r="B1373" s="93"/>
      <c r="C1373" s="148" t="s">
        <v>1080</v>
      </c>
      <c r="D1373" s="126" t="s">
        <v>1081</v>
      </c>
      <c r="E1373" s="186" t="s">
        <v>1398</v>
      </c>
      <c r="F1373" s="186" t="s">
        <v>1398</v>
      </c>
      <c r="G1373" s="186" t="s">
        <v>1398</v>
      </c>
      <c r="H1373" s="186" t="s">
        <v>1398</v>
      </c>
      <c r="I1373" s="128">
        <v>0.9</v>
      </c>
      <c r="J1373" s="129">
        <v>1</v>
      </c>
      <c r="K1373" s="129">
        <v>1</v>
      </c>
      <c r="L1373" s="130">
        <v>1</v>
      </c>
      <c r="M1373" s="129">
        <v>0.993150684931507</v>
      </c>
      <c r="N1373" s="131">
        <v>0.9</v>
      </c>
      <c r="O1373" s="129">
        <v>0.993172268907563</v>
      </c>
      <c r="P1373" s="129">
        <v>0.994295028524857</v>
      </c>
      <c r="Q1373" s="129">
        <v>0.992887624466572</v>
      </c>
      <c r="R1373" s="129">
        <v>0.98992443324937</v>
      </c>
      <c r="S1373" s="131">
        <v>0.9</v>
      </c>
      <c r="T1373" s="129">
        <v>0.940126050420168</v>
      </c>
      <c r="U1373" s="129">
        <v>0.960065199674002</v>
      </c>
      <c r="V1373" s="129">
        <v>0.974395448079659</v>
      </c>
      <c r="W1373" s="129">
        <v>0.95435151390531</v>
      </c>
      <c r="X1373" s="131">
        <v>0.92</v>
      </c>
      <c r="Y1373" s="131">
        <v>0.976679104477612</v>
      </c>
      <c r="Z1373" s="131">
        <v>0.986829727187206</v>
      </c>
      <c r="AA1373" s="131">
        <v>0.985494106980961</v>
      </c>
      <c r="AB1373" s="131">
        <v>0.983300883630373</v>
      </c>
      <c r="AC1373" s="131">
        <v>0.92</v>
      </c>
      <c r="AD1373" s="129">
        <v>0.998913043478261</v>
      </c>
      <c r="AE1373" s="129">
        <v>0.997402597402597</v>
      </c>
      <c r="AF1373" s="129">
        <v>0.995359628770302</v>
      </c>
      <c r="AG1373" s="129">
        <v>0.997233453926367</v>
      </c>
      <c r="AH1373" s="131">
        <v>0.92</v>
      </c>
      <c r="AI1373" s="129">
        <v>0.984543010752688</v>
      </c>
      <c r="AJ1373" s="129">
        <v>0.989082969432314</v>
      </c>
      <c r="AK1373" s="129">
        <v>0.990035870864886</v>
      </c>
      <c r="AL1373" s="129">
        <v>0.988906159519673</v>
      </c>
      <c r="AM1373" s="128">
        <v>0.99</v>
      </c>
      <c r="AN1373" s="133">
        <v>1</v>
      </c>
      <c r="AO1373" s="133">
        <v>1</v>
      </c>
      <c r="AP1373" s="133">
        <v>1</v>
      </c>
      <c r="AQ1373" s="133">
        <v>1</v>
      </c>
      <c r="AR1373" s="153">
        <v>0.0721861525408278</v>
      </c>
      <c r="AS1373" s="137">
        <v>0</v>
      </c>
      <c r="AT1373" s="137">
        <v>0</v>
      </c>
      <c r="AU1373" s="137">
        <v>0</v>
      </c>
      <c r="AV1373" s="137">
        <v>0.0521739130434783</v>
      </c>
      <c r="AW1373" s="93"/>
      <c r="AX1373" s="91"/>
    </row>
    <row r="1374" ht="14.5" spans="1:50">
      <c r="A1374" s="89"/>
      <c r="B1374" s="93"/>
      <c r="C1374" s="148" t="s">
        <v>1080</v>
      </c>
      <c r="D1374" s="126" t="s">
        <v>1081</v>
      </c>
      <c r="E1374" s="186" t="s">
        <v>1399</v>
      </c>
      <c r="F1374" s="186" t="s">
        <v>1399</v>
      </c>
      <c r="G1374" s="186" t="s">
        <v>1399</v>
      </c>
      <c r="H1374" s="186" t="s">
        <v>1399</v>
      </c>
      <c r="I1374" s="128">
        <v>0.9</v>
      </c>
      <c r="J1374" s="129">
        <v>1</v>
      </c>
      <c r="K1374" s="129">
        <v>1</v>
      </c>
      <c r="L1374" s="130">
        <v>0.972972972972973</v>
      </c>
      <c r="M1374" s="129">
        <v>0.985232067510548</v>
      </c>
      <c r="N1374" s="131">
        <v>0.9</v>
      </c>
      <c r="O1374" s="129">
        <v>0.933418693982074</v>
      </c>
      <c r="P1374" s="129">
        <v>0.991102323282254</v>
      </c>
      <c r="Q1374" s="129">
        <v>0.964172335600907</v>
      </c>
      <c r="R1374" s="129">
        <v>0.951838012200185</v>
      </c>
      <c r="S1374" s="131">
        <v>0.9</v>
      </c>
      <c r="T1374" s="129">
        <v>0.936619718309859</v>
      </c>
      <c r="U1374" s="129">
        <v>0.956994562530895</v>
      </c>
      <c r="V1374" s="129">
        <v>0.944671201814059</v>
      </c>
      <c r="W1374" s="129">
        <v>0.941075021557919</v>
      </c>
      <c r="X1374" s="131">
        <v>0.92</v>
      </c>
      <c r="Y1374" s="131">
        <v>0.947395301327886</v>
      </c>
      <c r="Z1374" s="131">
        <v>0.958509142053446</v>
      </c>
      <c r="AA1374" s="131">
        <v>0.96563245823389</v>
      </c>
      <c r="AB1374" s="131">
        <v>0.961531643325651</v>
      </c>
      <c r="AC1374" s="131">
        <v>0.92</v>
      </c>
      <c r="AD1374" s="129">
        <v>0.998015873015873</v>
      </c>
      <c r="AE1374" s="129">
        <v>1</v>
      </c>
      <c r="AF1374" s="129">
        <v>1</v>
      </c>
      <c r="AG1374" s="129">
        <v>0.998201592874882</v>
      </c>
      <c r="AH1374" s="131">
        <v>0.92</v>
      </c>
      <c r="AI1374" s="129">
        <v>0.966942148760331</v>
      </c>
      <c r="AJ1374" s="129">
        <v>0.972133526850508</v>
      </c>
      <c r="AK1374" s="129">
        <v>0.976284584980237</v>
      </c>
      <c r="AL1374" s="129">
        <v>0.975202316430322</v>
      </c>
      <c r="AM1374" s="128">
        <v>0.99</v>
      </c>
      <c r="AN1374" s="133">
        <v>1</v>
      </c>
      <c r="AO1374" s="133">
        <v>1</v>
      </c>
      <c r="AP1374" s="133">
        <v>1</v>
      </c>
      <c r="AQ1374" s="133">
        <v>1</v>
      </c>
      <c r="AR1374" s="153">
        <v>0.0721861525408278</v>
      </c>
      <c r="AS1374" s="137">
        <v>0</v>
      </c>
      <c r="AT1374" s="137">
        <v>0.117647058823529</v>
      </c>
      <c r="AU1374" s="137">
        <v>0</v>
      </c>
      <c r="AV1374" s="137">
        <v>0.0420560747663551</v>
      </c>
      <c r="AW1374" s="93"/>
      <c r="AX1374" s="91"/>
    </row>
    <row r="1375" ht="14.5" spans="1:50">
      <c r="A1375" s="89"/>
      <c r="B1375" s="93"/>
      <c r="C1375" s="148" t="s">
        <v>1080</v>
      </c>
      <c r="D1375" s="126" t="s">
        <v>1081</v>
      </c>
      <c r="E1375" s="186" t="s">
        <v>1400</v>
      </c>
      <c r="F1375" s="186" t="s">
        <v>1400</v>
      </c>
      <c r="G1375" s="186" t="s">
        <v>1400</v>
      </c>
      <c r="H1375" s="186" t="s">
        <v>1400</v>
      </c>
      <c r="I1375" s="128">
        <v>0.9</v>
      </c>
      <c r="J1375" s="129">
        <v>0.947368421052632</v>
      </c>
      <c r="K1375" s="129">
        <v>1</v>
      </c>
      <c r="L1375" s="130">
        <v>1</v>
      </c>
      <c r="M1375" s="129">
        <v>0.976525821596244</v>
      </c>
      <c r="N1375" s="131">
        <v>0.9</v>
      </c>
      <c r="O1375" s="129">
        <v>0.985714285714286</v>
      </c>
      <c r="P1375" s="129">
        <v>0.988610478359909</v>
      </c>
      <c r="Q1375" s="129">
        <v>0.992290748898678</v>
      </c>
      <c r="R1375" s="129">
        <v>0.98845641556904</v>
      </c>
      <c r="S1375" s="131">
        <v>0.9</v>
      </c>
      <c r="T1375" s="129">
        <v>0.930827067669173</v>
      </c>
      <c r="U1375" s="129">
        <v>0.931662870159453</v>
      </c>
      <c r="V1375" s="129">
        <v>0.92511013215859</v>
      </c>
      <c r="W1375" s="129">
        <v>0.923338759804647</v>
      </c>
      <c r="X1375" s="131">
        <v>0.92</v>
      </c>
      <c r="Y1375" s="131">
        <v>0.956636005256242</v>
      </c>
      <c r="Z1375" s="131">
        <v>0.952456418383518</v>
      </c>
      <c r="AA1375" s="131">
        <v>0.949748743718593</v>
      </c>
      <c r="AB1375" s="131">
        <v>0.950062563985895</v>
      </c>
      <c r="AC1375" s="131">
        <v>0.92</v>
      </c>
      <c r="AD1375" s="129">
        <v>0.994645247657296</v>
      </c>
      <c r="AE1375" s="129">
        <v>0.997985901309164</v>
      </c>
      <c r="AF1375" s="129">
        <v>0.988853503184713</v>
      </c>
      <c r="AG1375" s="129">
        <v>0.996538735620483</v>
      </c>
      <c r="AH1375" s="131">
        <v>0.92</v>
      </c>
      <c r="AI1375" s="129">
        <v>0.975621414913958</v>
      </c>
      <c r="AJ1375" s="129">
        <v>0.96752816434725</v>
      </c>
      <c r="AK1375" s="129">
        <v>0.963615023474178</v>
      </c>
      <c r="AL1375" s="129">
        <v>0.968688495258544</v>
      </c>
      <c r="AM1375" s="128">
        <v>0.99</v>
      </c>
      <c r="AN1375" s="133">
        <v>1</v>
      </c>
      <c r="AO1375" s="133">
        <v>1</v>
      </c>
      <c r="AP1375" s="133">
        <v>1</v>
      </c>
      <c r="AQ1375" s="133">
        <v>1</v>
      </c>
      <c r="AR1375" s="153">
        <v>0.0721861525408278</v>
      </c>
      <c r="AS1375" s="137">
        <v>0.2</v>
      </c>
      <c r="AT1375" s="137">
        <v>0</v>
      </c>
      <c r="AU1375" s="137">
        <v>0.181818181818182</v>
      </c>
      <c r="AV1375" s="137">
        <v>0.0672268907563025</v>
      </c>
      <c r="AW1375" s="93"/>
      <c r="AX1375" s="91"/>
    </row>
    <row r="1376" ht="14.5" spans="1:50">
      <c r="A1376" s="89"/>
      <c r="B1376" s="93"/>
      <c r="C1376" s="148" t="s">
        <v>1080</v>
      </c>
      <c r="D1376" s="126" t="s">
        <v>1081</v>
      </c>
      <c r="E1376" s="186" t="s">
        <v>1401</v>
      </c>
      <c r="F1376" s="186" t="s">
        <v>1401</v>
      </c>
      <c r="G1376" s="186" t="s">
        <v>1401</v>
      </c>
      <c r="H1376" s="186" t="s">
        <v>1401</v>
      </c>
      <c r="I1376" s="128">
        <v>0.9</v>
      </c>
      <c r="J1376" s="129">
        <v>0.909090909090909</v>
      </c>
      <c r="K1376" s="129">
        <v>0.923076923076923</v>
      </c>
      <c r="L1376" s="130">
        <v>0.975609756097561</v>
      </c>
      <c r="M1376" s="129">
        <v>0.950592885375494</v>
      </c>
      <c r="N1376" s="131">
        <v>0.9</v>
      </c>
      <c r="O1376" s="129">
        <v>0.957352941176471</v>
      </c>
      <c r="P1376" s="129">
        <v>0.951862842070557</v>
      </c>
      <c r="Q1376" s="129">
        <v>0.982102908277405</v>
      </c>
      <c r="R1376" s="129">
        <v>0.954409366404596</v>
      </c>
      <c r="S1376" s="131">
        <v>0.9</v>
      </c>
      <c r="T1376" s="129">
        <v>0.847941176470588</v>
      </c>
      <c r="U1376" s="129">
        <v>0.826904055390702</v>
      </c>
      <c r="V1376" s="129">
        <v>0.879194630872483</v>
      </c>
      <c r="W1376" s="129">
        <v>0.858846724922717</v>
      </c>
      <c r="X1376" s="131">
        <v>0.92</v>
      </c>
      <c r="Y1376" s="131">
        <v>0</v>
      </c>
      <c r="Z1376" s="131" t="s">
        <v>33</v>
      </c>
      <c r="AA1376" s="131" t="s">
        <v>33</v>
      </c>
      <c r="AB1376" s="131">
        <v>0</v>
      </c>
      <c r="AC1376" s="131">
        <v>0.92</v>
      </c>
      <c r="AD1376" s="129">
        <v>1</v>
      </c>
      <c r="AE1376" s="129">
        <v>1</v>
      </c>
      <c r="AF1376" s="129">
        <v>1</v>
      </c>
      <c r="AG1376" s="129">
        <v>1</v>
      </c>
      <c r="AH1376" s="131">
        <v>0.92</v>
      </c>
      <c r="AI1376" s="129">
        <v>0.957965902410347</v>
      </c>
      <c r="AJ1376" s="129">
        <v>0.963072865150016</v>
      </c>
      <c r="AK1376" s="129">
        <v>0.974752317034196</v>
      </c>
      <c r="AL1376" s="129">
        <v>0.968066204210782</v>
      </c>
      <c r="AM1376" s="128">
        <v>0.99</v>
      </c>
      <c r="AN1376" s="133">
        <v>1</v>
      </c>
      <c r="AO1376" s="133">
        <v>1</v>
      </c>
      <c r="AP1376" s="133">
        <v>1</v>
      </c>
      <c r="AQ1376" s="133">
        <v>1</v>
      </c>
      <c r="AR1376" s="153">
        <v>0.0721861525408278</v>
      </c>
      <c r="AS1376" s="137">
        <v>0</v>
      </c>
      <c r="AT1376" s="137">
        <v>0</v>
      </c>
      <c r="AU1376" s="137">
        <v>0</v>
      </c>
      <c r="AV1376" s="137">
        <v>0.0260869565217391</v>
      </c>
      <c r="AW1376" s="93"/>
      <c r="AX1376" s="91"/>
    </row>
    <row r="1377" ht="14.5" spans="1:50">
      <c r="A1377" s="89"/>
      <c r="B1377" s="93"/>
      <c r="C1377" s="148" t="s">
        <v>1080</v>
      </c>
      <c r="D1377" s="126" t="s">
        <v>1081</v>
      </c>
      <c r="E1377" s="186" t="s">
        <v>1402</v>
      </c>
      <c r="F1377" s="186" t="s">
        <v>1402</v>
      </c>
      <c r="G1377" s="186" t="s">
        <v>1402</v>
      </c>
      <c r="H1377" s="186" t="s">
        <v>1402</v>
      </c>
      <c r="I1377" s="128">
        <v>0.9</v>
      </c>
      <c r="J1377" s="129">
        <v>0.975</v>
      </c>
      <c r="K1377" s="129">
        <v>0.878787878787879</v>
      </c>
      <c r="L1377" s="130">
        <v>0.972222222222222</v>
      </c>
      <c r="M1377" s="129">
        <v>0.945823927765237</v>
      </c>
      <c r="N1377" s="131">
        <v>0.9</v>
      </c>
      <c r="O1377" s="129">
        <v>0.991780821917808</v>
      </c>
      <c r="P1377" s="129">
        <v>0.990424076607387</v>
      </c>
      <c r="Q1377" s="129">
        <v>0.989844278943805</v>
      </c>
      <c r="R1377" s="129">
        <v>0.98214446343438</v>
      </c>
      <c r="S1377" s="131">
        <v>0.9</v>
      </c>
      <c r="T1377" s="129">
        <v>0.905022831050228</v>
      </c>
      <c r="U1377" s="129">
        <v>0.861833105335157</v>
      </c>
      <c r="V1377" s="129">
        <v>0.936357481381178</v>
      </c>
      <c r="W1377" s="129">
        <v>0.892821804443645</v>
      </c>
      <c r="X1377" s="131">
        <v>0.92</v>
      </c>
      <c r="Y1377" s="131">
        <v>0.95820189274448</v>
      </c>
      <c r="Z1377" s="131">
        <v>0.969665271966527</v>
      </c>
      <c r="AA1377" s="131">
        <v>0.96264367816092</v>
      </c>
      <c r="AB1377" s="131">
        <v>0.960133542812254</v>
      </c>
      <c r="AC1377" s="131">
        <v>0.92</v>
      </c>
      <c r="AD1377" s="129">
        <v>0.986363636363636</v>
      </c>
      <c r="AE1377" s="129">
        <v>1</v>
      </c>
      <c r="AF1377" s="129">
        <v>1</v>
      </c>
      <c r="AG1377" s="129">
        <v>0.998397586954473</v>
      </c>
      <c r="AH1377" s="131">
        <v>0.92</v>
      </c>
      <c r="AI1377" s="129">
        <v>0.967042497831743</v>
      </c>
      <c r="AJ1377" s="129">
        <v>0.97601323407775</v>
      </c>
      <c r="AK1377" s="129">
        <v>0.967933077727431</v>
      </c>
      <c r="AL1377" s="129">
        <v>0.970755245128096</v>
      </c>
      <c r="AM1377" s="128">
        <v>0.99</v>
      </c>
      <c r="AN1377" s="133">
        <v>1</v>
      </c>
      <c r="AO1377" s="133">
        <v>1</v>
      </c>
      <c r="AP1377" s="133">
        <v>1</v>
      </c>
      <c r="AQ1377" s="133">
        <v>1</v>
      </c>
      <c r="AR1377" s="153">
        <v>0.0721861525408278</v>
      </c>
      <c r="AS1377" s="137">
        <v>0.1</v>
      </c>
      <c r="AT1377" s="137">
        <v>0</v>
      </c>
      <c r="AU1377" s="137">
        <v>0</v>
      </c>
      <c r="AV1377" s="137">
        <v>0.073394495412844</v>
      </c>
      <c r="AW1377" s="93"/>
      <c r="AX1377" s="91"/>
    </row>
    <row r="1378" ht="14.5" spans="1:50">
      <c r="A1378" s="89"/>
      <c r="B1378" s="93"/>
      <c r="C1378" s="148" t="s">
        <v>1080</v>
      </c>
      <c r="D1378" s="126" t="s">
        <v>1081</v>
      </c>
      <c r="E1378" s="186" t="s">
        <v>1403</v>
      </c>
      <c r="F1378" s="186" t="s">
        <v>1403</v>
      </c>
      <c r="G1378" s="186" t="s">
        <v>1403</v>
      </c>
      <c r="H1378" s="186" t="s">
        <v>1403</v>
      </c>
      <c r="I1378" s="128">
        <v>0.9</v>
      </c>
      <c r="J1378" s="129">
        <v>0.962264150943396</v>
      </c>
      <c r="K1378" s="129">
        <v>0.934782608695652</v>
      </c>
      <c r="L1378" s="130">
        <v>0.905660377358491</v>
      </c>
      <c r="M1378" s="129">
        <v>0.938009787928222</v>
      </c>
      <c r="N1378" s="131">
        <v>0.9</v>
      </c>
      <c r="O1378" s="129">
        <v>0.874351936566026</v>
      </c>
      <c r="P1378" s="129">
        <v>0.964249916471767</v>
      </c>
      <c r="Q1378" s="129">
        <v>0.91016007840575</v>
      </c>
      <c r="R1378" s="129">
        <v>0.919690707905613</v>
      </c>
      <c r="S1378" s="131">
        <v>0.9</v>
      </c>
      <c r="T1378" s="129">
        <v>0.854833790789875</v>
      </c>
      <c r="U1378" s="129">
        <v>0.897093217507518</v>
      </c>
      <c r="V1378" s="129">
        <v>0.882718065991506</v>
      </c>
      <c r="W1378" s="129">
        <v>0.887321690441275</v>
      </c>
      <c r="X1378" s="131">
        <v>0.92</v>
      </c>
      <c r="Y1378" s="131">
        <v>0</v>
      </c>
      <c r="Z1378" s="131" t="s">
        <v>33</v>
      </c>
      <c r="AA1378" s="131" t="s">
        <v>33</v>
      </c>
      <c r="AB1378" s="131">
        <v>0</v>
      </c>
      <c r="AC1378" s="131">
        <v>0.92</v>
      </c>
      <c r="AD1378" s="129">
        <v>0.995337995337995</v>
      </c>
      <c r="AE1378" s="129">
        <v>0.998046875</v>
      </c>
      <c r="AF1378" s="129">
        <v>0.990654205607477</v>
      </c>
      <c r="AG1378" s="129">
        <v>0.99473018549747</v>
      </c>
      <c r="AH1378" s="131">
        <v>0.92</v>
      </c>
      <c r="AI1378" s="129">
        <v>0.948507007921999</v>
      </c>
      <c r="AJ1378" s="129">
        <v>0.954969979986658</v>
      </c>
      <c r="AK1378" s="129">
        <v>0.953398058252427</v>
      </c>
      <c r="AL1378" s="129">
        <v>0.951895160216285</v>
      </c>
      <c r="AM1378" s="128">
        <v>0.99</v>
      </c>
      <c r="AN1378" s="133">
        <v>1</v>
      </c>
      <c r="AO1378" s="133">
        <v>1</v>
      </c>
      <c r="AP1378" s="133">
        <v>1</v>
      </c>
      <c r="AQ1378" s="133">
        <v>1</v>
      </c>
      <c r="AR1378" s="153">
        <v>0.0721861525408278</v>
      </c>
      <c r="AS1378" s="137">
        <v>0</v>
      </c>
      <c r="AT1378" s="137">
        <v>0</v>
      </c>
      <c r="AU1378" s="137">
        <v>0</v>
      </c>
      <c r="AV1378" s="137">
        <v>0.0427350427350427</v>
      </c>
      <c r="AW1378" s="93"/>
      <c r="AX1378" s="91"/>
    </row>
    <row r="1379" ht="14.5" spans="1:50">
      <c r="A1379" s="89"/>
      <c r="B1379" s="93"/>
      <c r="C1379" s="148" t="s">
        <v>1080</v>
      </c>
      <c r="D1379" s="126" t="s">
        <v>1081</v>
      </c>
      <c r="E1379" s="186" t="s">
        <v>1404</v>
      </c>
      <c r="F1379" s="186" t="s">
        <v>1404</v>
      </c>
      <c r="G1379" s="186" t="s">
        <v>1404</v>
      </c>
      <c r="H1379" s="186" t="s">
        <v>1404</v>
      </c>
      <c r="I1379" s="128">
        <v>0.9</v>
      </c>
      <c r="J1379" s="129">
        <v>0.976190476190476</v>
      </c>
      <c r="K1379" s="129">
        <v>0.914285714285714</v>
      </c>
      <c r="L1379" s="130">
        <v>1</v>
      </c>
      <c r="M1379" s="129">
        <v>0.967602591792657</v>
      </c>
      <c r="N1379" s="131">
        <v>0.9</v>
      </c>
      <c r="O1379" s="129">
        <v>0.964665523156089</v>
      </c>
      <c r="P1379" s="129">
        <v>0.941990011525163</v>
      </c>
      <c r="Q1379" s="129">
        <v>0.942613846723436</v>
      </c>
      <c r="R1379" s="129">
        <v>0.946366578405413</v>
      </c>
      <c r="S1379" s="131">
        <v>0.9</v>
      </c>
      <c r="T1379" s="129">
        <v>0.896397941680961</v>
      </c>
      <c r="U1379" s="129">
        <v>0.895889358432578</v>
      </c>
      <c r="V1379" s="129">
        <v>0.910033320992225</v>
      </c>
      <c r="W1379" s="129">
        <v>0.907472786113563</v>
      </c>
      <c r="X1379" s="131">
        <v>0.92</v>
      </c>
      <c r="Y1379" s="131">
        <v>0</v>
      </c>
      <c r="Z1379" s="131">
        <v>0</v>
      </c>
      <c r="AA1379" s="131" t="s">
        <v>33</v>
      </c>
      <c r="AB1379" s="131">
        <v>0</v>
      </c>
      <c r="AC1379" s="131">
        <v>0.92</v>
      </c>
      <c r="AD1379" s="129">
        <v>1</v>
      </c>
      <c r="AE1379" s="129">
        <v>0.979310344827586</v>
      </c>
      <c r="AF1379" s="129">
        <v>1</v>
      </c>
      <c r="AG1379" s="129">
        <v>0.994484514212983</v>
      </c>
      <c r="AH1379" s="131">
        <v>0.92</v>
      </c>
      <c r="AI1379" s="129">
        <v>0.953719574905725</v>
      </c>
      <c r="AJ1379" s="129">
        <v>0.953533026113671</v>
      </c>
      <c r="AK1379" s="129">
        <v>0.964457608293225</v>
      </c>
      <c r="AL1379" s="129">
        <v>0.962521695643221</v>
      </c>
      <c r="AM1379" s="128">
        <v>0.99</v>
      </c>
      <c r="AN1379" s="133">
        <v>1</v>
      </c>
      <c r="AO1379" s="133">
        <v>1</v>
      </c>
      <c r="AP1379" s="133">
        <v>1</v>
      </c>
      <c r="AQ1379" s="133">
        <v>1</v>
      </c>
      <c r="AR1379" s="153">
        <v>0.0721861525408278</v>
      </c>
      <c r="AS1379" s="137">
        <v>0</v>
      </c>
      <c r="AT1379" s="137">
        <v>0</v>
      </c>
      <c r="AU1379" s="137">
        <v>0.166666666666667</v>
      </c>
      <c r="AV1379" s="137">
        <v>0.0476190476190476</v>
      </c>
      <c r="AW1379" s="93"/>
      <c r="AX1379" s="91"/>
    </row>
    <row r="1380" ht="14.5" spans="1:50">
      <c r="A1380" s="89"/>
      <c r="B1380" s="93"/>
      <c r="C1380" s="148" t="s">
        <v>1080</v>
      </c>
      <c r="D1380" s="126" t="s">
        <v>1081</v>
      </c>
      <c r="E1380" s="186" t="s">
        <v>1405</v>
      </c>
      <c r="F1380" s="186" t="s">
        <v>1405</v>
      </c>
      <c r="G1380" s="186" t="s">
        <v>1405</v>
      </c>
      <c r="H1380" s="186" t="s">
        <v>1405</v>
      </c>
      <c r="I1380" s="128">
        <v>0.9</v>
      </c>
      <c r="J1380" s="129">
        <v>0.970588235294118</v>
      </c>
      <c r="K1380" s="129">
        <v>1</v>
      </c>
      <c r="L1380" s="130">
        <v>1</v>
      </c>
      <c r="M1380" s="129">
        <v>0.989583333333333</v>
      </c>
      <c r="N1380" s="131">
        <v>0.9</v>
      </c>
      <c r="O1380" s="129">
        <v>0.995092487731219</v>
      </c>
      <c r="P1380" s="129">
        <v>0.986262626262626</v>
      </c>
      <c r="Q1380" s="129">
        <v>0.98636926889715</v>
      </c>
      <c r="R1380" s="129">
        <v>0.976846747519294</v>
      </c>
      <c r="S1380" s="131">
        <v>0.9</v>
      </c>
      <c r="T1380" s="129">
        <v>0.861834654586636</v>
      </c>
      <c r="U1380" s="129">
        <v>0.817373737373737</v>
      </c>
      <c r="V1380" s="129">
        <v>0.938868236266006</v>
      </c>
      <c r="W1380" s="129">
        <v>0.885556780595369</v>
      </c>
      <c r="X1380" s="131">
        <v>0.92</v>
      </c>
      <c r="Y1380" s="131" t="s">
        <v>33</v>
      </c>
      <c r="Z1380" s="131" t="s">
        <v>33</v>
      </c>
      <c r="AA1380" s="131" t="s">
        <v>33</v>
      </c>
      <c r="AB1380" s="131" t="s">
        <v>33</v>
      </c>
      <c r="AC1380" s="131">
        <v>0.92</v>
      </c>
      <c r="AD1380" s="129">
        <v>0.99581589958159</v>
      </c>
      <c r="AE1380" s="129">
        <v>1</v>
      </c>
      <c r="AF1380" s="129">
        <v>1</v>
      </c>
      <c r="AG1380" s="129">
        <v>0.997033898305085</v>
      </c>
      <c r="AH1380" s="131">
        <v>0.92</v>
      </c>
      <c r="AI1380" s="129">
        <v>0.964514911287278</v>
      </c>
      <c r="AJ1380" s="129">
        <v>0.949090909090909</v>
      </c>
      <c r="AK1380" s="129">
        <v>0.967781908302354</v>
      </c>
      <c r="AL1380" s="129">
        <v>0.971869585761537</v>
      </c>
      <c r="AM1380" s="128">
        <v>0.99</v>
      </c>
      <c r="AN1380" s="133">
        <v>1</v>
      </c>
      <c r="AO1380" s="133">
        <v>1</v>
      </c>
      <c r="AP1380" s="133">
        <v>1</v>
      </c>
      <c r="AQ1380" s="133">
        <v>1</v>
      </c>
      <c r="AR1380" s="153">
        <v>0.0721861525408278</v>
      </c>
      <c r="AS1380" s="137">
        <v>0.111111111111111</v>
      </c>
      <c r="AT1380" s="137">
        <v>0.142857142857143</v>
      </c>
      <c r="AU1380" s="137">
        <v>0.111111111111111</v>
      </c>
      <c r="AV1380" s="137">
        <v>0.100840336134454</v>
      </c>
      <c r="AW1380" s="93"/>
      <c r="AX1380" s="91"/>
    </row>
    <row r="1381" ht="14.5" spans="1:50">
      <c r="A1381" s="89"/>
      <c r="B1381" s="93"/>
      <c r="C1381" s="148" t="s">
        <v>1080</v>
      </c>
      <c r="D1381" s="126" t="s">
        <v>1081</v>
      </c>
      <c r="E1381" s="186" t="s">
        <v>1406</v>
      </c>
      <c r="F1381" s="186" t="s">
        <v>1406</v>
      </c>
      <c r="G1381" s="186" t="s">
        <v>1406</v>
      </c>
      <c r="H1381" s="186" t="s">
        <v>1406</v>
      </c>
      <c r="I1381" s="128">
        <v>0.9</v>
      </c>
      <c r="J1381" s="129">
        <v>0.958333333333333</v>
      </c>
      <c r="K1381" s="129">
        <v>1</v>
      </c>
      <c r="L1381" s="130">
        <v>1</v>
      </c>
      <c r="M1381" s="129">
        <v>0.996212121212121</v>
      </c>
      <c r="N1381" s="131">
        <v>0.9</v>
      </c>
      <c r="O1381" s="129">
        <v>0.985694822888283</v>
      </c>
      <c r="P1381" s="129">
        <v>0.962053571428571</v>
      </c>
      <c r="Q1381" s="129">
        <v>0.973684210526316</v>
      </c>
      <c r="R1381" s="129">
        <v>0.976810031009842</v>
      </c>
      <c r="S1381" s="131">
        <v>0.9</v>
      </c>
      <c r="T1381" s="129">
        <v>0.956403269754768</v>
      </c>
      <c r="U1381" s="129">
        <v>0.931919642857143</v>
      </c>
      <c r="V1381" s="129">
        <v>0.964609800362976</v>
      </c>
      <c r="W1381" s="129">
        <v>0.956046919239585</v>
      </c>
      <c r="X1381" s="131">
        <v>0.92</v>
      </c>
      <c r="Y1381" s="131">
        <v>0.940449438202247</v>
      </c>
      <c r="Z1381" s="131">
        <v>0.943502824858757</v>
      </c>
      <c r="AA1381" s="131">
        <v>0.961852861035422</v>
      </c>
      <c r="AB1381" s="131">
        <v>0.964258426012395</v>
      </c>
      <c r="AC1381" s="131">
        <v>0.92</v>
      </c>
      <c r="AD1381" s="129">
        <v>1</v>
      </c>
      <c r="AE1381" s="129">
        <v>1</v>
      </c>
      <c r="AF1381" s="129">
        <v>1</v>
      </c>
      <c r="AG1381" s="129">
        <v>0.998853211009174</v>
      </c>
      <c r="AH1381" s="131">
        <v>0.92</v>
      </c>
      <c r="AI1381" s="129">
        <v>0.969465648854962</v>
      </c>
      <c r="AJ1381" s="129">
        <v>0.966334164588529</v>
      </c>
      <c r="AK1381" s="129">
        <v>0.977757603268271</v>
      </c>
      <c r="AL1381" s="129">
        <v>0.979671589073009</v>
      </c>
      <c r="AM1381" s="128">
        <v>0.99</v>
      </c>
      <c r="AN1381" s="133">
        <v>1</v>
      </c>
      <c r="AO1381" s="133">
        <v>1</v>
      </c>
      <c r="AP1381" s="133">
        <v>1</v>
      </c>
      <c r="AQ1381" s="133">
        <v>1</v>
      </c>
      <c r="AR1381" s="153">
        <v>0.0721861525408278</v>
      </c>
      <c r="AS1381" s="137">
        <v>0</v>
      </c>
      <c r="AT1381" s="137">
        <v>0</v>
      </c>
      <c r="AU1381" s="137">
        <v>0</v>
      </c>
      <c r="AV1381" s="137">
        <v>0</v>
      </c>
      <c r="AW1381" s="93"/>
      <c r="AX1381" s="91"/>
    </row>
    <row r="1382" ht="14.5" spans="1:50">
      <c r="A1382" s="89"/>
      <c r="B1382" s="93"/>
      <c r="C1382" s="148" t="s">
        <v>1080</v>
      </c>
      <c r="D1382" s="126" t="s">
        <v>1081</v>
      </c>
      <c r="E1382" s="186" t="s">
        <v>1407</v>
      </c>
      <c r="F1382" s="186" t="s">
        <v>1407</v>
      </c>
      <c r="G1382" s="186" t="s">
        <v>1407</v>
      </c>
      <c r="H1382" s="186" t="s">
        <v>1407</v>
      </c>
      <c r="I1382" s="128">
        <v>0.9</v>
      </c>
      <c r="J1382" s="129">
        <v>1</v>
      </c>
      <c r="K1382" s="129">
        <v>0.928571428571429</v>
      </c>
      <c r="L1382" s="130">
        <v>1</v>
      </c>
      <c r="M1382" s="129">
        <v>0.979381443298969</v>
      </c>
      <c r="N1382" s="131">
        <v>0.9</v>
      </c>
      <c r="O1382" s="129">
        <v>0.981481481481482</v>
      </c>
      <c r="P1382" s="129">
        <v>0.930979133226324</v>
      </c>
      <c r="Q1382" s="129">
        <v>0.982481751824818</v>
      </c>
      <c r="R1382" s="129">
        <v>0.958801122694467</v>
      </c>
      <c r="S1382" s="131">
        <v>0.9</v>
      </c>
      <c r="T1382" s="129">
        <v>0.93859649122807</v>
      </c>
      <c r="U1382" s="129">
        <v>0.897271268057785</v>
      </c>
      <c r="V1382" s="129">
        <v>0.94014598540146</v>
      </c>
      <c r="W1382" s="129">
        <v>0.925120288692863</v>
      </c>
      <c r="X1382" s="131">
        <v>0.92</v>
      </c>
      <c r="Y1382" s="131">
        <v>0.954372623574145</v>
      </c>
      <c r="Z1382" s="131">
        <v>0.965447154471545</v>
      </c>
      <c r="AA1382" s="131">
        <v>0.976660682226212</v>
      </c>
      <c r="AB1382" s="131">
        <v>0.964644380244876</v>
      </c>
      <c r="AC1382" s="131">
        <v>0.92</v>
      </c>
      <c r="AD1382" s="129">
        <v>1</v>
      </c>
      <c r="AE1382" s="129">
        <v>1</v>
      </c>
      <c r="AF1382" s="129">
        <v>1</v>
      </c>
      <c r="AG1382" s="129">
        <v>0.999794069192751</v>
      </c>
      <c r="AH1382" s="131">
        <v>0.92</v>
      </c>
      <c r="AI1382" s="129">
        <v>0.965850515463918</v>
      </c>
      <c r="AJ1382" s="129">
        <v>0.975784753363229</v>
      </c>
      <c r="AK1382" s="129">
        <v>0.981481481481482</v>
      </c>
      <c r="AL1382" s="129">
        <v>0.976342340252812</v>
      </c>
      <c r="AM1382" s="128">
        <v>0.99</v>
      </c>
      <c r="AN1382" s="133">
        <v>1</v>
      </c>
      <c r="AO1382" s="133">
        <v>1</v>
      </c>
      <c r="AP1382" s="133">
        <v>1</v>
      </c>
      <c r="AQ1382" s="133">
        <v>1</v>
      </c>
      <c r="AR1382" s="153">
        <v>0.0721861525408278</v>
      </c>
      <c r="AS1382" s="137">
        <v>0</v>
      </c>
      <c r="AT1382" s="137">
        <v>0</v>
      </c>
      <c r="AU1382" s="137">
        <v>0</v>
      </c>
      <c r="AV1382" s="137">
        <v>0.0204081632653061</v>
      </c>
      <c r="AW1382" s="93"/>
      <c r="AX1382" s="91"/>
    </row>
    <row r="1383" ht="14.5" spans="1:50">
      <c r="A1383" s="89"/>
      <c r="B1383" s="93"/>
      <c r="C1383" s="148" t="s">
        <v>1080</v>
      </c>
      <c r="D1383" s="126" t="s">
        <v>1081</v>
      </c>
      <c r="E1383" s="186" t="s">
        <v>1408</v>
      </c>
      <c r="F1383" s="186" t="s">
        <v>1408</v>
      </c>
      <c r="G1383" s="186" t="s">
        <v>1408</v>
      </c>
      <c r="H1383" s="186" t="s">
        <v>1408</v>
      </c>
      <c r="I1383" s="128">
        <v>0.9</v>
      </c>
      <c r="J1383" s="129">
        <v>0.956521739130435</v>
      </c>
      <c r="K1383" s="129">
        <v>0.722222222222222</v>
      </c>
      <c r="L1383" s="130">
        <v>0.902439024390244</v>
      </c>
      <c r="M1383" s="129">
        <v>0.933471933471933</v>
      </c>
      <c r="N1383" s="131">
        <v>0.9</v>
      </c>
      <c r="O1383" s="129">
        <v>0.951907467532468</v>
      </c>
      <c r="P1383" s="129">
        <v>0.9511925795053</v>
      </c>
      <c r="Q1383" s="129">
        <v>0.953483095076015</v>
      </c>
      <c r="R1383" s="129">
        <v>0.940872098864664</v>
      </c>
      <c r="S1383" s="131">
        <v>0.9</v>
      </c>
      <c r="T1383" s="129">
        <v>0.890422077922078</v>
      </c>
      <c r="U1383" s="129">
        <v>0.895097173144876</v>
      </c>
      <c r="V1383" s="129">
        <v>0.883140458361697</v>
      </c>
      <c r="W1383" s="129">
        <v>0.888241401252554</v>
      </c>
      <c r="X1383" s="131">
        <v>0.92</v>
      </c>
      <c r="Y1383" s="131">
        <v>0</v>
      </c>
      <c r="Z1383" s="131" t="s">
        <v>33</v>
      </c>
      <c r="AA1383" s="131" t="s">
        <v>33</v>
      </c>
      <c r="AB1383" s="131">
        <v>0</v>
      </c>
      <c r="AC1383" s="131">
        <v>0.92</v>
      </c>
      <c r="AD1383" s="129">
        <v>0.99837925445705</v>
      </c>
      <c r="AE1383" s="129">
        <v>0.996271439224459</v>
      </c>
      <c r="AF1383" s="129">
        <v>0.990528808208366</v>
      </c>
      <c r="AG1383" s="129">
        <v>0.985982257736846</v>
      </c>
      <c r="AH1383" s="131">
        <v>0.92</v>
      </c>
      <c r="AI1383" s="129">
        <v>0.96573398215734</v>
      </c>
      <c r="AJ1383" s="129">
        <v>0.966651943462898</v>
      </c>
      <c r="AK1383" s="129">
        <v>0.968459269344225</v>
      </c>
      <c r="AL1383" s="129">
        <v>0.970178493687418</v>
      </c>
      <c r="AM1383" s="128">
        <v>0.99</v>
      </c>
      <c r="AN1383" s="133">
        <v>1</v>
      </c>
      <c r="AO1383" s="133">
        <v>1</v>
      </c>
      <c r="AP1383" s="133">
        <v>1</v>
      </c>
      <c r="AQ1383" s="133">
        <v>1</v>
      </c>
      <c r="AR1383" s="153">
        <v>0.0721861525408278</v>
      </c>
      <c r="AS1383" s="137">
        <v>0</v>
      </c>
      <c r="AT1383" s="137">
        <v>0.153846153846154</v>
      </c>
      <c r="AU1383" s="137">
        <v>0</v>
      </c>
      <c r="AV1383" s="137">
        <v>0.0310880829015544</v>
      </c>
      <c r="AW1383" s="93"/>
      <c r="AX1383" s="91"/>
    </row>
    <row r="1384" ht="14.5" spans="1:50">
      <c r="A1384" s="89"/>
      <c r="B1384" s="93"/>
      <c r="C1384" s="148" t="s">
        <v>1080</v>
      </c>
      <c r="D1384" s="126" t="s">
        <v>1081</v>
      </c>
      <c r="E1384" s="186" t="s">
        <v>1409</v>
      </c>
      <c r="F1384" s="186" t="s">
        <v>1409</v>
      </c>
      <c r="G1384" s="186" t="s">
        <v>1409</v>
      </c>
      <c r="H1384" s="186" t="s">
        <v>1409</v>
      </c>
      <c r="I1384" s="128">
        <v>0.9</v>
      </c>
      <c r="J1384" s="129">
        <v>0.974358974358974</v>
      </c>
      <c r="K1384" s="129">
        <v>0.95</v>
      </c>
      <c r="L1384" s="130">
        <v>0.984848484848485</v>
      </c>
      <c r="M1384" s="129">
        <v>0.968599033816425</v>
      </c>
      <c r="N1384" s="131">
        <v>0.9</v>
      </c>
      <c r="O1384" s="129">
        <v>0.960733944954128</v>
      </c>
      <c r="P1384" s="129">
        <v>0.977441377263283</v>
      </c>
      <c r="Q1384" s="129">
        <v>0.978469595577539</v>
      </c>
      <c r="R1384" s="129">
        <v>0.975455030532993</v>
      </c>
      <c r="S1384" s="131">
        <v>0.9</v>
      </c>
      <c r="T1384" s="129">
        <v>0.920183486238532</v>
      </c>
      <c r="U1384" s="129">
        <v>0.92935589195607</v>
      </c>
      <c r="V1384" s="129">
        <v>0.944137329066046</v>
      </c>
      <c r="W1384" s="129">
        <v>0.93270883974625</v>
      </c>
      <c r="X1384" s="131">
        <v>0.92</v>
      </c>
      <c r="Y1384" s="131">
        <v>0.941828254847645</v>
      </c>
      <c r="Z1384" s="131">
        <v>0.955146175410493</v>
      </c>
      <c r="AA1384" s="131">
        <v>0.94321206743567</v>
      </c>
      <c r="AB1384" s="131">
        <v>0.946729531897158</v>
      </c>
      <c r="AC1384" s="131">
        <v>0.92</v>
      </c>
      <c r="AD1384" s="129">
        <v>0.998656515897895</v>
      </c>
      <c r="AE1384" s="129">
        <v>0.998003194888179</v>
      </c>
      <c r="AF1384" s="129">
        <v>0.995288574793875</v>
      </c>
      <c r="AG1384" s="129">
        <v>0.995674875311721</v>
      </c>
      <c r="AH1384" s="131">
        <v>0.92</v>
      </c>
      <c r="AI1384" s="129">
        <v>0.961719737900908</v>
      </c>
      <c r="AJ1384" s="129">
        <v>0.963859529491988</v>
      </c>
      <c r="AK1384" s="129">
        <v>0.959384164222874</v>
      </c>
      <c r="AL1384" s="129">
        <v>0.964583871728896</v>
      </c>
      <c r="AM1384" s="128">
        <v>0.99</v>
      </c>
      <c r="AN1384" s="133">
        <v>1</v>
      </c>
      <c r="AO1384" s="133">
        <v>1</v>
      </c>
      <c r="AP1384" s="133">
        <v>1</v>
      </c>
      <c r="AQ1384" s="133">
        <v>1</v>
      </c>
      <c r="AR1384" s="153">
        <v>0.0721861525408278</v>
      </c>
      <c r="AS1384" s="137">
        <v>0.0169491525423729</v>
      </c>
      <c r="AT1384" s="137">
        <v>0.0434782608695652</v>
      </c>
      <c r="AU1384" s="137">
        <v>0.0204081632653061</v>
      </c>
      <c r="AV1384" s="137">
        <v>0.0247678018575851</v>
      </c>
      <c r="AW1384" s="93"/>
      <c r="AX1384" s="91"/>
    </row>
    <row r="1385" ht="14.5" spans="1:50">
      <c r="A1385" s="89"/>
      <c r="B1385" s="93"/>
      <c r="C1385" s="148" t="s">
        <v>1080</v>
      </c>
      <c r="D1385" s="126" t="s">
        <v>1081</v>
      </c>
      <c r="E1385" s="186" t="s">
        <v>1410</v>
      </c>
      <c r="F1385" s="186" t="s">
        <v>1410</v>
      </c>
      <c r="G1385" s="186" t="s">
        <v>1410</v>
      </c>
      <c r="H1385" s="186" t="s">
        <v>1410</v>
      </c>
      <c r="I1385" s="128">
        <v>0.9</v>
      </c>
      <c r="J1385" s="129">
        <v>0.927536231884058</v>
      </c>
      <c r="K1385" s="129">
        <v>0.931034482758621</v>
      </c>
      <c r="L1385" s="130">
        <v>0.933333333333333</v>
      </c>
      <c r="M1385" s="129">
        <v>0.932270916334661</v>
      </c>
      <c r="N1385" s="131">
        <v>0.9</v>
      </c>
      <c r="O1385" s="129">
        <v>0.905036524413687</v>
      </c>
      <c r="P1385" s="129">
        <v>0.917251908396947</v>
      </c>
      <c r="Q1385" s="129">
        <v>0.874282433983926</v>
      </c>
      <c r="R1385" s="129">
        <v>0.884395956360725</v>
      </c>
      <c r="S1385" s="131">
        <v>0.9</v>
      </c>
      <c r="T1385" s="129">
        <v>0.774125336409073</v>
      </c>
      <c r="U1385" s="129">
        <v>0.796946564885496</v>
      </c>
      <c r="V1385" s="129">
        <v>0.828358208955224</v>
      </c>
      <c r="W1385" s="129">
        <v>0.809208287458713</v>
      </c>
      <c r="X1385" s="131">
        <v>0.92</v>
      </c>
      <c r="Y1385" s="131">
        <v>0.909611712285169</v>
      </c>
      <c r="Z1385" s="131">
        <v>0.893907998342312</v>
      </c>
      <c r="AA1385" s="131">
        <v>0.877633477633478</v>
      </c>
      <c r="AB1385" s="131">
        <v>0.904426297721835</v>
      </c>
      <c r="AC1385" s="131">
        <v>0.92</v>
      </c>
      <c r="AD1385" s="129">
        <v>0.99637632532546</v>
      </c>
      <c r="AE1385" s="129">
        <v>0.990425642626704</v>
      </c>
      <c r="AF1385" s="129">
        <v>0.993937274105165</v>
      </c>
      <c r="AG1385" s="129">
        <v>0.994684931506849</v>
      </c>
      <c r="AH1385" s="131">
        <v>0.92</v>
      </c>
      <c r="AI1385" s="129">
        <v>0.938518696069032</v>
      </c>
      <c r="AJ1385" s="129">
        <v>0.919465447511869</v>
      </c>
      <c r="AK1385" s="129">
        <v>0.920443101711984</v>
      </c>
      <c r="AL1385" s="129">
        <v>0.937252595625325</v>
      </c>
      <c r="AM1385" s="128">
        <v>0.99</v>
      </c>
      <c r="AN1385" s="133">
        <v>1</v>
      </c>
      <c r="AO1385" s="133">
        <v>1</v>
      </c>
      <c r="AP1385" s="133">
        <v>1</v>
      </c>
      <c r="AQ1385" s="133">
        <v>1</v>
      </c>
      <c r="AR1385" s="153">
        <v>0.0721861525408278</v>
      </c>
      <c r="AS1385" s="137">
        <v>0.192307692307692</v>
      </c>
      <c r="AT1385" s="137">
        <v>0.0625</v>
      </c>
      <c r="AU1385" s="137">
        <v>0.125</v>
      </c>
      <c r="AV1385" s="137">
        <v>0.0688622754491018</v>
      </c>
      <c r="AW1385" s="93"/>
      <c r="AX1385" s="91"/>
    </row>
    <row r="1386" ht="14.5" spans="1:50">
      <c r="A1386" s="89"/>
      <c r="B1386" s="93"/>
      <c r="C1386" s="148" t="s">
        <v>1080</v>
      </c>
      <c r="D1386" s="126" t="s">
        <v>1081</v>
      </c>
      <c r="E1386" s="186" t="s">
        <v>1411</v>
      </c>
      <c r="F1386" s="186" t="s">
        <v>1411</v>
      </c>
      <c r="G1386" s="186" t="s">
        <v>1411</v>
      </c>
      <c r="H1386" s="186" t="s">
        <v>1411</v>
      </c>
      <c r="I1386" s="128">
        <v>0.9</v>
      </c>
      <c r="J1386" s="129">
        <v>0.916666666666667</v>
      </c>
      <c r="K1386" s="129">
        <v>0.953488372093023</v>
      </c>
      <c r="L1386" s="130">
        <v>0.953488372093023</v>
      </c>
      <c r="M1386" s="129">
        <v>0.905017921146953</v>
      </c>
      <c r="N1386" s="131">
        <v>0.9</v>
      </c>
      <c r="O1386" s="129">
        <v>0.954937938478144</v>
      </c>
      <c r="P1386" s="129">
        <v>0.958126969833408</v>
      </c>
      <c r="Q1386" s="129">
        <v>0.954189944134078</v>
      </c>
      <c r="R1386" s="129">
        <v>0.941556645291085</v>
      </c>
      <c r="S1386" s="131">
        <v>0.9</v>
      </c>
      <c r="T1386" s="129">
        <v>0.949271451699946</v>
      </c>
      <c r="U1386" s="129">
        <v>0.95002251238181</v>
      </c>
      <c r="V1386" s="129">
        <v>0.964245810055866</v>
      </c>
      <c r="W1386" s="129">
        <v>0.963083113290582</v>
      </c>
      <c r="X1386" s="131">
        <v>0.92</v>
      </c>
      <c r="Y1386" s="131">
        <v>0.959876543209877</v>
      </c>
      <c r="Z1386" s="131">
        <v>0.964125560538117</v>
      </c>
      <c r="AA1386" s="131">
        <v>0.961312438785504</v>
      </c>
      <c r="AB1386" s="131">
        <v>0.96312695071496</v>
      </c>
      <c r="AC1386" s="131">
        <v>0.92</v>
      </c>
      <c r="AD1386" s="129">
        <v>0.997929606625259</v>
      </c>
      <c r="AE1386" s="129">
        <v>0.992769342010123</v>
      </c>
      <c r="AF1386" s="129">
        <v>0.993333333333333</v>
      </c>
      <c r="AG1386" s="129">
        <v>0.991974910063647</v>
      </c>
      <c r="AH1386" s="131">
        <v>0.92</v>
      </c>
      <c r="AI1386" s="129">
        <v>0.972556894243641</v>
      </c>
      <c r="AJ1386" s="129">
        <v>0.970198675496689</v>
      </c>
      <c r="AK1386" s="129">
        <v>0.975671673365771</v>
      </c>
      <c r="AL1386" s="129">
        <v>0.976977690639575</v>
      </c>
      <c r="AM1386" s="128">
        <v>0.99</v>
      </c>
      <c r="AN1386" s="133">
        <v>1</v>
      </c>
      <c r="AO1386" s="133">
        <v>1</v>
      </c>
      <c r="AP1386" s="133">
        <v>1</v>
      </c>
      <c r="AQ1386" s="133">
        <v>1</v>
      </c>
      <c r="AR1386" s="153">
        <v>0.0721861525408278</v>
      </c>
      <c r="AS1386" s="137">
        <v>0</v>
      </c>
      <c r="AT1386" s="137">
        <v>0</v>
      </c>
      <c r="AU1386" s="137">
        <v>-0.0588235294117647</v>
      </c>
      <c r="AV1386" s="137">
        <v>0.0122950819672131</v>
      </c>
      <c r="AW1386" s="93"/>
      <c r="AX1386" s="91"/>
    </row>
    <row r="1387" ht="14.5" spans="1:50">
      <c r="A1387" s="89"/>
      <c r="B1387" s="93"/>
      <c r="C1387" s="148" t="s">
        <v>1080</v>
      </c>
      <c r="D1387" s="126" t="s">
        <v>1081</v>
      </c>
      <c r="E1387" s="186" t="s">
        <v>1412</v>
      </c>
      <c r="F1387" s="186" t="s">
        <v>1412</v>
      </c>
      <c r="G1387" s="186" t="s">
        <v>1412</v>
      </c>
      <c r="H1387" s="186" t="s">
        <v>1412</v>
      </c>
      <c r="I1387" s="128">
        <v>0.9</v>
      </c>
      <c r="J1387" s="129">
        <v>1</v>
      </c>
      <c r="K1387" s="129">
        <v>1</v>
      </c>
      <c r="L1387" s="130">
        <v>0.96875</v>
      </c>
      <c r="M1387" s="129">
        <v>0.987405541561713</v>
      </c>
      <c r="N1387" s="131">
        <v>0.9</v>
      </c>
      <c r="O1387" s="129">
        <v>0.987451319774989</v>
      </c>
      <c r="P1387" s="129">
        <v>0.979577944179714</v>
      </c>
      <c r="Q1387" s="129">
        <v>0.987574284170719</v>
      </c>
      <c r="R1387" s="129">
        <v>0.985463856608233</v>
      </c>
      <c r="S1387" s="131">
        <v>0.9</v>
      </c>
      <c r="T1387" s="129">
        <v>0.969710082215491</v>
      </c>
      <c r="U1387" s="129">
        <v>0.966643975493533</v>
      </c>
      <c r="V1387" s="129">
        <v>0.972447325769854</v>
      </c>
      <c r="W1387" s="129">
        <v>0.975457947606854</v>
      </c>
      <c r="X1387" s="131">
        <v>0.92</v>
      </c>
      <c r="Y1387" s="131">
        <v>0.982444294395679</v>
      </c>
      <c r="Z1387" s="131">
        <v>0.979517190929042</v>
      </c>
      <c r="AA1387" s="131">
        <v>0.992331288343558</v>
      </c>
      <c r="AB1387" s="131">
        <v>0.982644349584363</v>
      </c>
      <c r="AC1387" s="131">
        <v>0.92</v>
      </c>
      <c r="AD1387" s="129">
        <v>0.99163179916318</v>
      </c>
      <c r="AE1387" s="129">
        <v>1</v>
      </c>
      <c r="AF1387" s="129">
        <v>0.984313725490196</v>
      </c>
      <c r="AG1387" s="129">
        <v>0.988298228017386</v>
      </c>
      <c r="AH1387" s="131">
        <v>0.92</v>
      </c>
      <c r="AI1387" s="129">
        <v>0.986550632911392</v>
      </c>
      <c r="AJ1387" s="129">
        <v>0.980613323933733</v>
      </c>
      <c r="AK1387" s="129">
        <v>0.99175911251981</v>
      </c>
      <c r="AL1387" s="129">
        <v>0.988169105389887</v>
      </c>
      <c r="AM1387" s="128">
        <v>0.99</v>
      </c>
      <c r="AN1387" s="133">
        <v>1</v>
      </c>
      <c r="AO1387" s="133">
        <v>1</v>
      </c>
      <c r="AP1387" s="133">
        <v>1</v>
      </c>
      <c r="AQ1387" s="133">
        <v>1</v>
      </c>
      <c r="AR1387" s="153">
        <v>0.0721861525408278</v>
      </c>
      <c r="AS1387" s="137">
        <v>0</v>
      </c>
      <c r="AT1387" s="137">
        <v>0</v>
      </c>
      <c r="AU1387" s="137">
        <v>0</v>
      </c>
      <c r="AV1387" s="137">
        <v>0.0388349514563107</v>
      </c>
      <c r="AW1387" s="93"/>
      <c r="AX1387" s="91"/>
    </row>
    <row r="1388" ht="14.5" spans="1:50">
      <c r="A1388" s="89"/>
      <c r="B1388" s="93"/>
      <c r="C1388" s="148" t="s">
        <v>1080</v>
      </c>
      <c r="D1388" s="126" t="s">
        <v>1081</v>
      </c>
      <c r="E1388" s="186" t="s">
        <v>1413</v>
      </c>
      <c r="F1388" s="186" t="s">
        <v>1413</v>
      </c>
      <c r="G1388" s="186" t="s">
        <v>1413</v>
      </c>
      <c r="H1388" s="186" t="s">
        <v>1413</v>
      </c>
      <c r="I1388" s="128">
        <v>0.9</v>
      </c>
      <c r="J1388" s="129">
        <v>0.846153846153846</v>
      </c>
      <c r="K1388" s="129">
        <v>1</v>
      </c>
      <c r="L1388" s="130">
        <v>0.921052631578947</v>
      </c>
      <c r="M1388" s="129">
        <v>0.919101123595506</v>
      </c>
      <c r="N1388" s="131">
        <v>0.9</v>
      </c>
      <c r="O1388" s="129">
        <v>0.984133611691023</v>
      </c>
      <c r="P1388" s="129">
        <v>0.987381703470032</v>
      </c>
      <c r="Q1388" s="129">
        <v>0.979444444444444</v>
      </c>
      <c r="R1388" s="129">
        <v>0.981641680040709</v>
      </c>
      <c r="S1388" s="131">
        <v>0.9</v>
      </c>
      <c r="T1388" s="129">
        <v>0.949895615866388</v>
      </c>
      <c r="U1388" s="129">
        <v>0.955047318611987</v>
      </c>
      <c r="V1388" s="129">
        <v>0.961666666666667</v>
      </c>
      <c r="W1388" s="129">
        <v>0.961717618507065</v>
      </c>
      <c r="X1388" s="131">
        <v>0.92</v>
      </c>
      <c r="Y1388" s="131">
        <v>0.966009517335146</v>
      </c>
      <c r="Z1388" s="131">
        <v>0.965055762081784</v>
      </c>
      <c r="AA1388" s="131">
        <v>0.971798780487805</v>
      </c>
      <c r="AB1388" s="131">
        <v>0.974214387386401</v>
      </c>
      <c r="AC1388" s="131">
        <v>0.92</v>
      </c>
      <c r="AD1388" s="129">
        <v>0.995245641838352</v>
      </c>
      <c r="AE1388" s="129">
        <v>1</v>
      </c>
      <c r="AF1388" s="129">
        <v>1</v>
      </c>
      <c r="AG1388" s="129">
        <v>0.980094654788419</v>
      </c>
      <c r="AH1388" s="131">
        <v>0.92</v>
      </c>
      <c r="AI1388" s="129">
        <v>0.975426797723746</v>
      </c>
      <c r="AJ1388" s="129">
        <v>0.975889781859931</v>
      </c>
      <c r="AK1388" s="129">
        <v>0.983290488431877</v>
      </c>
      <c r="AL1388" s="129">
        <v>0.983567271482369</v>
      </c>
      <c r="AM1388" s="128">
        <v>0.99</v>
      </c>
      <c r="AN1388" s="133">
        <v>1</v>
      </c>
      <c r="AO1388" s="133">
        <v>1</v>
      </c>
      <c r="AP1388" s="133">
        <v>1</v>
      </c>
      <c r="AQ1388" s="133">
        <v>1</v>
      </c>
      <c r="AR1388" s="153">
        <v>0.0721861525408278</v>
      </c>
      <c r="AS1388" s="137">
        <v>0</v>
      </c>
      <c r="AT1388" s="137">
        <v>0</v>
      </c>
      <c r="AU1388" s="137">
        <v>-0.111111111111111</v>
      </c>
      <c r="AV1388" s="137">
        <v>-0.0192307692307692</v>
      </c>
      <c r="AW1388" s="93"/>
      <c r="AX1388" s="91"/>
    </row>
    <row r="1389" ht="14.5" spans="1:50">
      <c r="A1389" s="89"/>
      <c r="B1389" s="93"/>
      <c r="C1389" s="148" t="s">
        <v>1080</v>
      </c>
      <c r="D1389" s="126" t="s">
        <v>1081</v>
      </c>
      <c r="E1389" s="186" t="s">
        <v>1414</v>
      </c>
      <c r="F1389" s="186" t="s">
        <v>1414</v>
      </c>
      <c r="G1389" s="186" t="s">
        <v>1414</v>
      </c>
      <c r="H1389" s="186" t="s">
        <v>1414</v>
      </c>
      <c r="I1389" s="128">
        <v>0.9</v>
      </c>
      <c r="J1389" s="129">
        <v>0.870967741935484</v>
      </c>
      <c r="K1389" s="129">
        <v>0.933333333333333</v>
      </c>
      <c r="L1389" s="130">
        <v>0.903225806451613</v>
      </c>
      <c r="M1389" s="129">
        <v>0.913513513513514</v>
      </c>
      <c r="N1389" s="131">
        <v>0.9</v>
      </c>
      <c r="O1389" s="129">
        <v>0.97334089619966</v>
      </c>
      <c r="P1389" s="129">
        <v>0.974358974358974</v>
      </c>
      <c r="Q1389" s="129">
        <v>0.962714392244594</v>
      </c>
      <c r="R1389" s="129">
        <v>0.96745913052447</v>
      </c>
      <c r="S1389" s="131">
        <v>0.9</v>
      </c>
      <c r="T1389" s="129">
        <v>0.952353942144073</v>
      </c>
      <c r="U1389" s="129">
        <v>0.955128205128205</v>
      </c>
      <c r="V1389" s="129">
        <v>0.950782997762864</v>
      </c>
      <c r="W1389" s="129">
        <v>0.951369191893146</v>
      </c>
      <c r="X1389" s="131">
        <v>0.92</v>
      </c>
      <c r="Y1389" s="131">
        <v>0.947416137805984</v>
      </c>
      <c r="Z1389" s="131">
        <v>0.949074074074074</v>
      </c>
      <c r="AA1389" s="131">
        <v>0.962113659022931</v>
      </c>
      <c r="AB1389" s="131">
        <v>0.952175476447321</v>
      </c>
      <c r="AC1389" s="131">
        <v>0.92</v>
      </c>
      <c r="AD1389" s="129">
        <v>1</v>
      </c>
      <c r="AE1389" s="129">
        <v>1</v>
      </c>
      <c r="AF1389" s="129">
        <v>1</v>
      </c>
      <c r="AG1389" s="129">
        <v>0.922116527942925</v>
      </c>
      <c r="AH1389" s="131">
        <v>0.92</v>
      </c>
      <c r="AI1389" s="129">
        <v>0.966503838101884</v>
      </c>
      <c r="AJ1389" s="129">
        <v>0.965469613259669</v>
      </c>
      <c r="AK1389" s="129">
        <v>0.975255972696246</v>
      </c>
      <c r="AL1389" s="129">
        <v>0.97014656415185</v>
      </c>
      <c r="AM1389" s="128">
        <v>0.99</v>
      </c>
      <c r="AN1389" s="133">
        <v>1</v>
      </c>
      <c r="AO1389" s="133">
        <v>1</v>
      </c>
      <c r="AP1389" s="133">
        <v>1</v>
      </c>
      <c r="AQ1389" s="133">
        <v>1</v>
      </c>
      <c r="AR1389" s="153">
        <v>0.0721861525408278</v>
      </c>
      <c r="AS1389" s="137">
        <v>0.333333333333333</v>
      </c>
      <c r="AT1389" s="137">
        <v>0</v>
      </c>
      <c r="AU1389" s="137">
        <v>0.166666666666667</v>
      </c>
      <c r="AV1389" s="137">
        <v>0.0786516853932584</v>
      </c>
      <c r="AW1389" s="93"/>
      <c r="AX1389" s="91"/>
    </row>
    <row r="1390" ht="14.5" spans="1:50">
      <c r="A1390" s="89"/>
      <c r="B1390" s="93"/>
      <c r="C1390" s="148" t="s">
        <v>1080</v>
      </c>
      <c r="D1390" s="126" t="s">
        <v>1081</v>
      </c>
      <c r="E1390" s="186" t="s">
        <v>1415</v>
      </c>
      <c r="F1390" s="186" t="s">
        <v>1415</v>
      </c>
      <c r="G1390" s="186" t="s">
        <v>1415</v>
      </c>
      <c r="H1390" s="186" t="s">
        <v>1415</v>
      </c>
      <c r="I1390" s="128">
        <v>0.9</v>
      </c>
      <c r="J1390" s="129">
        <v>0.952380952380952</v>
      </c>
      <c r="K1390" s="129">
        <v>1</v>
      </c>
      <c r="L1390" s="130">
        <v>1</v>
      </c>
      <c r="M1390" s="129">
        <v>0.965250965250965</v>
      </c>
      <c r="N1390" s="131">
        <v>0.9</v>
      </c>
      <c r="O1390" s="129">
        <v>0.993732193732194</v>
      </c>
      <c r="P1390" s="129">
        <v>0.990015360983103</v>
      </c>
      <c r="Q1390" s="129">
        <v>0.985722444317533</v>
      </c>
      <c r="R1390" s="129">
        <v>0.989973098557104</v>
      </c>
      <c r="S1390" s="131">
        <v>0.9</v>
      </c>
      <c r="T1390" s="129">
        <v>0.926495726495727</v>
      </c>
      <c r="U1390" s="129">
        <v>0.925499231950845</v>
      </c>
      <c r="V1390" s="129">
        <v>0.951456310679612</v>
      </c>
      <c r="W1390" s="129">
        <v>0.94301785277574</v>
      </c>
      <c r="X1390" s="131">
        <v>0.92</v>
      </c>
      <c r="Y1390" s="131" t="s">
        <v>33</v>
      </c>
      <c r="Z1390" s="131" t="s">
        <v>33</v>
      </c>
      <c r="AA1390" s="131" t="s">
        <v>33</v>
      </c>
      <c r="AB1390" s="131" t="s">
        <v>33</v>
      </c>
      <c r="AC1390" s="131">
        <v>0.92</v>
      </c>
      <c r="AD1390" s="129">
        <v>1</v>
      </c>
      <c r="AE1390" s="129">
        <v>1</v>
      </c>
      <c r="AF1390" s="129">
        <v>1</v>
      </c>
      <c r="AG1390" s="129">
        <v>0.993616051071591</v>
      </c>
      <c r="AH1390" s="131">
        <v>0.92</v>
      </c>
      <c r="AI1390" s="129">
        <v>0.953846153846154</v>
      </c>
      <c r="AJ1390" s="129">
        <v>0.938556067588326</v>
      </c>
      <c r="AK1390" s="129">
        <v>0.967447173043975</v>
      </c>
      <c r="AL1390" s="129">
        <v>0.964881389092688</v>
      </c>
      <c r="AM1390" s="128">
        <v>0.99</v>
      </c>
      <c r="AN1390" s="133">
        <v>1</v>
      </c>
      <c r="AO1390" s="133">
        <v>1</v>
      </c>
      <c r="AP1390" s="133">
        <v>1</v>
      </c>
      <c r="AQ1390" s="133">
        <v>1</v>
      </c>
      <c r="AR1390" s="153">
        <v>0.0721861525408278</v>
      </c>
      <c r="AS1390" s="137">
        <v>0</v>
      </c>
      <c r="AT1390" s="137">
        <v>0</v>
      </c>
      <c r="AU1390" s="137">
        <v>0.2</v>
      </c>
      <c r="AV1390" s="137">
        <v>0.0277777777777778</v>
      </c>
      <c r="AW1390" s="93"/>
      <c r="AX1390" s="91"/>
    </row>
    <row r="1391" ht="14.5" spans="1:50">
      <c r="A1391" s="89"/>
      <c r="B1391" s="93"/>
      <c r="C1391" s="148" t="s">
        <v>1080</v>
      </c>
      <c r="D1391" s="126" t="s">
        <v>1081</v>
      </c>
      <c r="E1391" s="186" t="s">
        <v>1416</v>
      </c>
      <c r="F1391" s="186" t="s">
        <v>1416</v>
      </c>
      <c r="G1391" s="186" t="s">
        <v>1416</v>
      </c>
      <c r="H1391" s="186" t="s">
        <v>1416</v>
      </c>
      <c r="I1391" s="128">
        <v>0.9</v>
      </c>
      <c r="J1391" s="129">
        <v>0.842105263157895</v>
      </c>
      <c r="K1391" s="129">
        <v>0.9375</v>
      </c>
      <c r="L1391" s="130">
        <v>0.864864864864865</v>
      </c>
      <c r="M1391" s="129">
        <v>0.890590809628009</v>
      </c>
      <c r="N1391" s="131">
        <v>0.9</v>
      </c>
      <c r="O1391" s="129">
        <v>0.98983183418068</v>
      </c>
      <c r="P1391" s="129">
        <v>0.984888304862024</v>
      </c>
      <c r="Q1391" s="129">
        <v>0.984672304439746</v>
      </c>
      <c r="R1391" s="129">
        <v>0.978528157149514</v>
      </c>
      <c r="S1391" s="131">
        <v>0.9</v>
      </c>
      <c r="T1391" s="129">
        <v>0.893625342197888</v>
      </c>
      <c r="U1391" s="129">
        <v>0.890275952693824</v>
      </c>
      <c r="V1391" s="129">
        <v>0.902219873150106</v>
      </c>
      <c r="W1391" s="129">
        <v>0.907015091228447</v>
      </c>
      <c r="X1391" s="131">
        <v>0.92</v>
      </c>
      <c r="Y1391" s="131">
        <v>0.938195302843016</v>
      </c>
      <c r="Z1391" s="131">
        <v>0.937081659973226</v>
      </c>
      <c r="AA1391" s="131">
        <v>0.938888888888889</v>
      </c>
      <c r="AB1391" s="131">
        <v>0.937083376063993</v>
      </c>
      <c r="AC1391" s="131">
        <v>0.92</v>
      </c>
      <c r="AD1391" s="129">
        <v>0.999164578111946</v>
      </c>
      <c r="AE1391" s="129">
        <v>1</v>
      </c>
      <c r="AF1391" s="129">
        <v>0.998701298701299</v>
      </c>
      <c r="AG1391" s="129">
        <v>0.99656687723153</v>
      </c>
      <c r="AH1391" s="131">
        <v>0.92</v>
      </c>
      <c r="AI1391" s="129">
        <v>0.953532934131737</v>
      </c>
      <c r="AJ1391" s="129">
        <v>0.954244031830239</v>
      </c>
      <c r="AK1391" s="129">
        <v>0.955282112845138</v>
      </c>
      <c r="AL1391" s="129">
        <v>0.958650661378452</v>
      </c>
      <c r="AM1391" s="128">
        <v>0.99</v>
      </c>
      <c r="AN1391" s="133">
        <v>1</v>
      </c>
      <c r="AO1391" s="133">
        <v>1</v>
      </c>
      <c r="AP1391" s="133">
        <v>1</v>
      </c>
      <c r="AQ1391" s="133">
        <v>1</v>
      </c>
      <c r="AR1391" s="153">
        <v>0.0721861525408278</v>
      </c>
      <c r="AS1391" s="137">
        <v>0</v>
      </c>
      <c r="AT1391" s="137">
        <v>0</v>
      </c>
      <c r="AU1391" s="137">
        <v>0</v>
      </c>
      <c r="AV1391" s="137">
        <v>0.0445859872611465</v>
      </c>
      <c r="AW1391" s="93"/>
      <c r="AX1391" s="91"/>
    </row>
    <row r="1392" ht="14.5" spans="1:50">
      <c r="A1392" s="89"/>
      <c r="B1392" s="93"/>
      <c r="C1392" s="148" t="s">
        <v>1080</v>
      </c>
      <c r="D1392" s="126" t="s">
        <v>1081</v>
      </c>
      <c r="E1392" s="186" t="s">
        <v>1417</v>
      </c>
      <c r="F1392" s="186" t="s">
        <v>1417</v>
      </c>
      <c r="G1392" s="186" t="s">
        <v>1417</v>
      </c>
      <c r="H1392" s="186" t="s">
        <v>1417</v>
      </c>
      <c r="I1392" s="128">
        <v>0.9</v>
      </c>
      <c r="J1392" s="129">
        <v>0.953488372093023</v>
      </c>
      <c r="K1392" s="129">
        <v>1</v>
      </c>
      <c r="L1392" s="130">
        <v>1</v>
      </c>
      <c r="M1392" s="129">
        <v>0.97165991902834</v>
      </c>
      <c r="N1392" s="131">
        <v>0.9</v>
      </c>
      <c r="O1392" s="129">
        <v>0.990073647134166</v>
      </c>
      <c r="P1392" s="129">
        <v>0.990749756572541</v>
      </c>
      <c r="Q1392" s="129">
        <v>0.991308126901347</v>
      </c>
      <c r="R1392" s="129">
        <v>0.989186470514271</v>
      </c>
      <c r="S1392" s="131">
        <v>0.9</v>
      </c>
      <c r="T1392" s="129">
        <v>0.952289465257765</v>
      </c>
      <c r="U1392" s="129">
        <v>0.952775073028238</v>
      </c>
      <c r="V1392" s="129">
        <v>0.972620599739244</v>
      </c>
      <c r="W1392" s="129">
        <v>0.964635986420219</v>
      </c>
      <c r="X1392" s="131">
        <v>0.92</v>
      </c>
      <c r="Y1392" s="131">
        <v>0.961885656970913</v>
      </c>
      <c r="Z1392" s="131">
        <v>0.955715140634351</v>
      </c>
      <c r="AA1392" s="131">
        <v>0.96372430471584</v>
      </c>
      <c r="AB1392" s="131">
        <v>0.966080347448426</v>
      </c>
      <c r="AC1392" s="131">
        <v>0.92</v>
      </c>
      <c r="AD1392" s="129">
        <v>0.994721689059501</v>
      </c>
      <c r="AE1392" s="129">
        <v>0.998995311453449</v>
      </c>
      <c r="AF1392" s="129">
        <v>0.937383177570093</v>
      </c>
      <c r="AG1392" s="129">
        <v>0.993484728655896</v>
      </c>
      <c r="AH1392" s="131">
        <v>0.92</v>
      </c>
      <c r="AI1392" s="129">
        <v>0.971272229822161</v>
      </c>
      <c r="AJ1392" s="129">
        <v>0.963738920225624</v>
      </c>
      <c r="AK1392" s="129">
        <v>0.979266750948167</v>
      </c>
      <c r="AL1392" s="129">
        <v>0.978026586918069</v>
      </c>
      <c r="AM1392" s="128">
        <v>0.99</v>
      </c>
      <c r="AN1392" s="133">
        <v>1</v>
      </c>
      <c r="AO1392" s="133">
        <v>1</v>
      </c>
      <c r="AP1392" s="133">
        <v>1</v>
      </c>
      <c r="AQ1392" s="133">
        <v>1</v>
      </c>
      <c r="AR1392" s="153">
        <v>0.0721861525408278</v>
      </c>
      <c r="AS1392" s="137">
        <v>0</v>
      </c>
      <c r="AT1392" s="137">
        <v>0</v>
      </c>
      <c r="AU1392" s="137">
        <v>0</v>
      </c>
      <c r="AV1392" s="137">
        <v>0</v>
      </c>
      <c r="AW1392" s="93"/>
      <c r="AX1392" s="91"/>
    </row>
    <row r="1393" ht="14.5" spans="1:50">
      <c r="A1393" s="89"/>
      <c r="B1393" s="93"/>
      <c r="C1393" s="148" t="s">
        <v>1080</v>
      </c>
      <c r="D1393" s="126" t="s">
        <v>1081</v>
      </c>
      <c r="E1393" s="186" t="s">
        <v>1418</v>
      </c>
      <c r="F1393" s="186" t="s">
        <v>1418</v>
      </c>
      <c r="G1393" s="186" t="s">
        <v>1418</v>
      </c>
      <c r="H1393" s="186" t="s">
        <v>1418</v>
      </c>
      <c r="I1393" s="128">
        <v>0.9</v>
      </c>
      <c r="J1393" s="129">
        <v>0.933333333333333</v>
      </c>
      <c r="K1393" s="129">
        <v>0.846153846153846</v>
      </c>
      <c r="L1393" s="130">
        <v>0.740740740740741</v>
      </c>
      <c r="M1393" s="129">
        <v>0.852852852852853</v>
      </c>
      <c r="N1393" s="131">
        <v>0.9</v>
      </c>
      <c r="O1393" s="129">
        <v>0.989342806394316</v>
      </c>
      <c r="P1393" s="129">
        <v>0.978494623655914</v>
      </c>
      <c r="Q1393" s="129">
        <v>0.988976377952756</v>
      </c>
      <c r="R1393" s="129">
        <v>0.985955056179775</v>
      </c>
      <c r="S1393" s="131">
        <v>0.9</v>
      </c>
      <c r="T1393" s="129">
        <v>0.95441089402013</v>
      </c>
      <c r="U1393" s="129">
        <v>0.951124144672532</v>
      </c>
      <c r="V1393" s="129">
        <v>0.969291338582677</v>
      </c>
      <c r="W1393" s="129">
        <v>0.965465961665565</v>
      </c>
      <c r="X1393" s="131">
        <v>0.92</v>
      </c>
      <c r="Y1393" s="131">
        <v>0.976027397260274</v>
      </c>
      <c r="Z1393" s="131">
        <v>0.971943887775551</v>
      </c>
      <c r="AA1393" s="131">
        <v>0.973684210526316</v>
      </c>
      <c r="AB1393" s="131">
        <v>0.977722041900266</v>
      </c>
      <c r="AC1393" s="131">
        <v>0.92</v>
      </c>
      <c r="AD1393" s="129">
        <v>0.993880048959608</v>
      </c>
      <c r="AE1393" s="129">
        <v>0.996843434343434</v>
      </c>
      <c r="AF1393" s="129">
        <v>0.949152542372881</v>
      </c>
      <c r="AG1393" s="129">
        <v>0.99351598173516</v>
      </c>
      <c r="AH1393" s="131">
        <v>0.92</v>
      </c>
      <c r="AI1393" s="129">
        <v>0.981449072453623</v>
      </c>
      <c r="AJ1393" s="129">
        <v>0.977733795150915</v>
      </c>
      <c r="AK1393" s="129">
        <v>0.984684684684685</v>
      </c>
      <c r="AL1393" s="129">
        <v>0.985842661201324</v>
      </c>
      <c r="AM1393" s="128">
        <v>0.99</v>
      </c>
      <c r="AN1393" s="133">
        <v>1</v>
      </c>
      <c r="AO1393" s="133">
        <v>1</v>
      </c>
      <c r="AP1393" s="133">
        <v>1</v>
      </c>
      <c r="AQ1393" s="133">
        <v>1</v>
      </c>
      <c r="AR1393" s="153">
        <v>0.0721861525408278</v>
      </c>
      <c r="AS1393" s="137">
        <v>0</v>
      </c>
      <c r="AT1393" s="137">
        <v>0.0909090909090909</v>
      </c>
      <c r="AU1393" s="137">
        <v>0.285714285714286</v>
      </c>
      <c r="AV1393" s="137">
        <v>0.104477611940299</v>
      </c>
      <c r="AW1393" s="93"/>
      <c r="AX1393" s="91"/>
    </row>
    <row r="1394" ht="14.5" spans="1:50">
      <c r="A1394" s="89"/>
      <c r="B1394" s="93"/>
      <c r="C1394" s="148" t="s">
        <v>1080</v>
      </c>
      <c r="D1394" s="126" t="s">
        <v>1081</v>
      </c>
      <c r="E1394" s="186" t="s">
        <v>1419</v>
      </c>
      <c r="F1394" s="186" t="s">
        <v>1419</v>
      </c>
      <c r="G1394" s="186" t="s">
        <v>1419</v>
      </c>
      <c r="H1394" s="186" t="s">
        <v>1419</v>
      </c>
      <c r="I1394" s="128">
        <v>0.9</v>
      </c>
      <c r="J1394" s="129">
        <v>0.787878787878788</v>
      </c>
      <c r="K1394" s="129">
        <v>0.793103448275862</v>
      </c>
      <c r="L1394" s="130">
        <v>0.783333333333333</v>
      </c>
      <c r="M1394" s="129">
        <v>0.810659186535764</v>
      </c>
      <c r="N1394" s="131">
        <v>0.9</v>
      </c>
      <c r="O1394" s="129">
        <v>0.981446737544299</v>
      </c>
      <c r="P1394" s="129">
        <v>0.975521958243341</v>
      </c>
      <c r="Q1394" s="129">
        <v>0.978120184899846</v>
      </c>
      <c r="R1394" s="129">
        <v>0.975552441522044</v>
      </c>
      <c r="S1394" s="131">
        <v>0.9</v>
      </c>
      <c r="T1394" s="129">
        <v>0.953095684803002</v>
      </c>
      <c r="U1394" s="129">
        <v>0.965442764578834</v>
      </c>
      <c r="V1394" s="129">
        <v>0.965485362095532</v>
      </c>
      <c r="W1394" s="129">
        <v>0.960612266896626</v>
      </c>
      <c r="X1394" s="131">
        <v>0.92</v>
      </c>
      <c r="Y1394" s="131">
        <v>0.966233766233766</v>
      </c>
      <c r="Z1394" s="131">
        <v>0.970540758676352</v>
      </c>
      <c r="AA1394" s="131">
        <v>0.974539757148453</v>
      </c>
      <c r="AB1394" s="131">
        <v>0.96917828537526</v>
      </c>
      <c r="AC1394" s="131">
        <v>0.92</v>
      </c>
      <c r="AD1394" s="129">
        <v>0.970250521920668</v>
      </c>
      <c r="AE1394" s="129">
        <v>0.983659083627043</v>
      </c>
      <c r="AF1394" s="129">
        <v>0.987980769230769</v>
      </c>
      <c r="AG1394" s="129">
        <v>0.982562515681191</v>
      </c>
      <c r="AH1394" s="131">
        <v>0.92</v>
      </c>
      <c r="AI1394" s="129">
        <v>0.97971169247197</v>
      </c>
      <c r="AJ1394" s="129">
        <v>0.982499524443599</v>
      </c>
      <c r="AK1394" s="129">
        <v>0.984649879268713</v>
      </c>
      <c r="AL1394" s="129">
        <v>0.981836113053031</v>
      </c>
      <c r="AM1394" s="128">
        <v>0.99</v>
      </c>
      <c r="AN1394" s="133">
        <v>1</v>
      </c>
      <c r="AO1394" s="133">
        <v>1</v>
      </c>
      <c r="AP1394" s="133">
        <v>1</v>
      </c>
      <c r="AQ1394" s="133">
        <v>1</v>
      </c>
      <c r="AR1394" s="153">
        <v>0.0721861525408278</v>
      </c>
      <c r="AS1394" s="137">
        <v>0</v>
      </c>
      <c r="AT1394" s="137">
        <v>0</v>
      </c>
      <c r="AU1394" s="137">
        <v>0.0625</v>
      </c>
      <c r="AV1394" s="137">
        <v>0.0404040404040404</v>
      </c>
      <c r="AW1394" s="93"/>
      <c r="AX1394" s="91"/>
    </row>
    <row r="1395" ht="14.5" spans="1:50">
      <c r="A1395" s="89"/>
      <c r="B1395" s="93"/>
      <c r="C1395" s="148" t="s">
        <v>1080</v>
      </c>
      <c r="D1395" s="126" t="s">
        <v>1081</v>
      </c>
      <c r="E1395" s="186" t="s">
        <v>1420</v>
      </c>
      <c r="F1395" s="186" t="s">
        <v>1420</v>
      </c>
      <c r="G1395" s="186" t="s">
        <v>1420</v>
      </c>
      <c r="H1395" s="186" t="s">
        <v>1420</v>
      </c>
      <c r="I1395" s="128">
        <v>0.9</v>
      </c>
      <c r="J1395" s="129">
        <v>0.857142857142857</v>
      </c>
      <c r="K1395" s="129">
        <v>0.761904761904762</v>
      </c>
      <c r="L1395" s="130">
        <v>0.85</v>
      </c>
      <c r="M1395" s="129">
        <v>0.858606557377049</v>
      </c>
      <c r="N1395" s="131">
        <v>0.9</v>
      </c>
      <c r="O1395" s="129">
        <v>0.993827160493827</v>
      </c>
      <c r="P1395" s="129">
        <v>0.941661756040071</v>
      </c>
      <c r="Q1395" s="129">
        <v>0.990054699154649</v>
      </c>
      <c r="R1395" s="129">
        <v>0.986284967889409</v>
      </c>
      <c r="S1395" s="131">
        <v>0.9</v>
      </c>
      <c r="T1395" s="129">
        <v>0.972403776325345</v>
      </c>
      <c r="U1395" s="129">
        <v>0.944608131997643</v>
      </c>
      <c r="V1395" s="129">
        <v>0.977125808055694</v>
      </c>
      <c r="W1395" s="129">
        <v>0.979681433910235</v>
      </c>
      <c r="X1395" s="131">
        <v>0.92</v>
      </c>
      <c r="Y1395" s="131">
        <v>0.957009345794393</v>
      </c>
      <c r="Z1395" s="131">
        <v>0.983471074380165</v>
      </c>
      <c r="AA1395" s="131">
        <v>0.981430536451169</v>
      </c>
      <c r="AB1395" s="131">
        <v>0.976856863048296</v>
      </c>
      <c r="AC1395" s="131">
        <v>0.92</v>
      </c>
      <c r="AD1395" s="129">
        <v>0.997833935018051</v>
      </c>
      <c r="AE1395" s="129">
        <v>0.995927318295739</v>
      </c>
      <c r="AF1395" s="129">
        <v>0.622191011235955</v>
      </c>
      <c r="AG1395" s="129">
        <v>0.980767761650115</v>
      </c>
      <c r="AH1395" s="131">
        <v>0.92</v>
      </c>
      <c r="AI1395" s="129">
        <v>0.973158981417756</v>
      </c>
      <c r="AJ1395" s="129">
        <v>0.985709749126707</v>
      </c>
      <c r="AK1395" s="129">
        <v>0.985858585858586</v>
      </c>
      <c r="AL1395" s="129">
        <v>0.985457565047055</v>
      </c>
      <c r="AM1395" s="128">
        <v>0.99</v>
      </c>
      <c r="AN1395" s="133">
        <v>1</v>
      </c>
      <c r="AO1395" s="133">
        <v>1</v>
      </c>
      <c r="AP1395" s="133">
        <v>1</v>
      </c>
      <c r="AQ1395" s="133">
        <v>1</v>
      </c>
      <c r="AR1395" s="153">
        <v>0.0721861525408278</v>
      </c>
      <c r="AS1395" s="137">
        <v>0.0384615384615385</v>
      </c>
      <c r="AT1395" s="137">
        <v>0.0666666666666667</v>
      </c>
      <c r="AU1395" s="137">
        <v>0</v>
      </c>
      <c r="AV1395" s="137">
        <v>0.0192307692307692</v>
      </c>
      <c r="AW1395" s="93"/>
      <c r="AX1395" s="91"/>
    </row>
    <row r="1396" ht="14.5" spans="1:50">
      <c r="A1396" s="89"/>
      <c r="B1396" s="93"/>
      <c r="C1396" s="148" t="s">
        <v>1080</v>
      </c>
      <c r="D1396" s="126" t="s">
        <v>1081</v>
      </c>
      <c r="E1396" s="186" t="s">
        <v>1421</v>
      </c>
      <c r="F1396" s="186" t="s">
        <v>1421</v>
      </c>
      <c r="G1396" s="186" t="s">
        <v>1421</v>
      </c>
      <c r="H1396" s="186" t="s">
        <v>1421</v>
      </c>
      <c r="I1396" s="128">
        <v>0.9</v>
      </c>
      <c r="J1396" s="129">
        <v>0.976744186046512</v>
      </c>
      <c r="K1396" s="129">
        <v>0.944444444444444</v>
      </c>
      <c r="L1396" s="130">
        <v>1</v>
      </c>
      <c r="M1396" s="129">
        <v>0.963906581740977</v>
      </c>
      <c r="N1396" s="131">
        <v>0.9</v>
      </c>
      <c r="O1396" s="129">
        <v>0.989795918367347</v>
      </c>
      <c r="P1396" s="129">
        <v>0.99493487698987</v>
      </c>
      <c r="Q1396" s="129">
        <v>0.988857938718663</v>
      </c>
      <c r="R1396" s="129">
        <v>0.970021328698949</v>
      </c>
      <c r="S1396" s="131">
        <v>0.9</v>
      </c>
      <c r="T1396" s="129">
        <v>0.933673469387755</v>
      </c>
      <c r="U1396" s="129">
        <v>0.949348769898698</v>
      </c>
      <c r="V1396" s="129">
        <v>0.956545961002786</v>
      </c>
      <c r="W1396" s="129">
        <v>0.94067461884825</v>
      </c>
      <c r="X1396" s="131">
        <v>0.92</v>
      </c>
      <c r="Y1396" s="131">
        <v>0.946325878594249</v>
      </c>
      <c r="Z1396" s="131">
        <v>0.917551020408163</v>
      </c>
      <c r="AA1396" s="131">
        <v>0.948616600790514</v>
      </c>
      <c r="AB1396" s="131">
        <v>0.954062282997703</v>
      </c>
      <c r="AC1396" s="131">
        <v>0.92</v>
      </c>
      <c r="AD1396" s="129">
        <v>1</v>
      </c>
      <c r="AE1396" s="129">
        <v>1</v>
      </c>
      <c r="AF1396" s="129">
        <v>1</v>
      </c>
      <c r="AG1396" s="129">
        <v>0.999410029498525</v>
      </c>
      <c r="AH1396" s="131">
        <v>0.92</v>
      </c>
      <c r="AI1396" s="129">
        <v>0.96451365841205</v>
      </c>
      <c r="AJ1396" s="129">
        <v>0.948963929393707</v>
      </c>
      <c r="AK1396" s="129">
        <v>0.968300653594771</v>
      </c>
      <c r="AL1396" s="129">
        <v>0.971662125340599</v>
      </c>
      <c r="AM1396" s="128">
        <v>0.99</v>
      </c>
      <c r="AN1396" s="133">
        <v>1</v>
      </c>
      <c r="AO1396" s="133">
        <v>1</v>
      </c>
      <c r="AP1396" s="133">
        <v>1</v>
      </c>
      <c r="AQ1396" s="133">
        <v>1</v>
      </c>
      <c r="AR1396" s="153">
        <v>0.0721861525408278</v>
      </c>
      <c r="AS1396" s="137">
        <v>0</v>
      </c>
      <c r="AT1396" s="137">
        <v>0</v>
      </c>
      <c r="AU1396" s="137">
        <v>-0.0714285714285714</v>
      </c>
      <c r="AV1396" s="137">
        <v>0.0458015267175573</v>
      </c>
      <c r="AW1396" s="93"/>
      <c r="AX1396" s="91"/>
    </row>
    <row r="1397" ht="14.5" spans="1:50">
      <c r="A1397" s="89"/>
      <c r="B1397" s="93"/>
      <c r="C1397" s="148" t="s">
        <v>1080</v>
      </c>
      <c r="D1397" s="126" t="s">
        <v>1081</v>
      </c>
      <c r="E1397" s="186" t="s">
        <v>1422</v>
      </c>
      <c r="F1397" s="186" t="s">
        <v>1422</v>
      </c>
      <c r="G1397" s="186" t="s">
        <v>1422</v>
      </c>
      <c r="H1397" s="186" t="s">
        <v>1422</v>
      </c>
      <c r="I1397" s="128">
        <v>0.9</v>
      </c>
      <c r="J1397" s="129">
        <v>0.963636363636364</v>
      </c>
      <c r="K1397" s="129">
        <v>0.94</v>
      </c>
      <c r="L1397" s="130">
        <v>0.981481481481482</v>
      </c>
      <c r="M1397" s="129">
        <v>0.93522906793049</v>
      </c>
      <c r="N1397" s="131">
        <v>0.9</v>
      </c>
      <c r="O1397" s="129">
        <v>0.971203685928201</v>
      </c>
      <c r="P1397" s="129">
        <v>0.976984742694595</v>
      </c>
      <c r="Q1397" s="129">
        <v>0.981400870597547</v>
      </c>
      <c r="R1397" s="129">
        <v>0.970793065411021</v>
      </c>
      <c r="S1397" s="131">
        <v>0.9</v>
      </c>
      <c r="T1397" s="129">
        <v>0.824726435016318</v>
      </c>
      <c r="U1397" s="129">
        <v>0.86733902249806</v>
      </c>
      <c r="V1397" s="129">
        <v>0.817570241392956</v>
      </c>
      <c r="W1397" s="129">
        <v>0.806862147878628</v>
      </c>
      <c r="X1397" s="131">
        <v>0.92</v>
      </c>
      <c r="Y1397" s="131">
        <v>0</v>
      </c>
      <c r="Z1397" s="131" t="s">
        <v>33</v>
      </c>
      <c r="AA1397" s="131" t="s">
        <v>33</v>
      </c>
      <c r="AB1397" s="131">
        <v>0</v>
      </c>
      <c r="AC1397" s="131">
        <v>0.92</v>
      </c>
      <c r="AD1397" s="129">
        <v>0.996366279069767</v>
      </c>
      <c r="AE1397" s="129">
        <v>0.999228097259745</v>
      </c>
      <c r="AF1397" s="129">
        <v>0.995786516853933</v>
      </c>
      <c r="AG1397" s="129">
        <v>0.99825086306099</v>
      </c>
      <c r="AH1397" s="131">
        <v>0.92</v>
      </c>
      <c r="AI1397" s="129">
        <v>0.954954954954955</v>
      </c>
      <c r="AJ1397" s="129">
        <v>0.95707266614947</v>
      </c>
      <c r="AK1397" s="129">
        <v>0.965769687376336</v>
      </c>
      <c r="AL1397" s="129">
        <v>0.962105124532899</v>
      </c>
      <c r="AM1397" s="128">
        <v>0.99</v>
      </c>
      <c r="AN1397" s="133">
        <v>1</v>
      </c>
      <c r="AO1397" s="133">
        <v>1</v>
      </c>
      <c r="AP1397" s="133">
        <v>1</v>
      </c>
      <c r="AQ1397" s="133">
        <v>1</v>
      </c>
      <c r="AR1397" s="153">
        <v>0.0721861525408278</v>
      </c>
      <c r="AS1397" s="137">
        <v>0.0588235294117647</v>
      </c>
      <c r="AT1397" s="137">
        <v>0</v>
      </c>
      <c r="AU1397" s="137">
        <v>0</v>
      </c>
      <c r="AV1397" s="137">
        <v>0.0408163265306122</v>
      </c>
      <c r="AW1397" s="93"/>
      <c r="AX1397" s="91"/>
    </row>
    <row r="1398" ht="14.5" spans="1:50">
      <c r="A1398" s="89"/>
      <c r="B1398" s="93"/>
      <c r="C1398" s="148" t="s">
        <v>1080</v>
      </c>
      <c r="D1398" s="126" t="s">
        <v>1081</v>
      </c>
      <c r="E1398" s="186" t="s">
        <v>1423</v>
      </c>
      <c r="F1398" s="186" t="s">
        <v>1423</v>
      </c>
      <c r="G1398" s="186" t="s">
        <v>1423</v>
      </c>
      <c r="H1398" s="186" t="s">
        <v>1423</v>
      </c>
      <c r="I1398" s="128">
        <v>0.9</v>
      </c>
      <c r="J1398" s="129">
        <v>0.975609756097561</v>
      </c>
      <c r="K1398" s="129">
        <v>0.930232558139535</v>
      </c>
      <c r="L1398" s="130">
        <v>0.975609756097561</v>
      </c>
      <c r="M1398" s="129">
        <v>0.947589098532495</v>
      </c>
      <c r="N1398" s="131">
        <v>0.9</v>
      </c>
      <c r="O1398" s="129">
        <v>0.987889273356401</v>
      </c>
      <c r="P1398" s="129">
        <v>0.989850427350427</v>
      </c>
      <c r="Q1398" s="129">
        <v>0.98975791433892</v>
      </c>
      <c r="R1398" s="129">
        <v>0.98539908092429</v>
      </c>
      <c r="S1398" s="131">
        <v>0.9</v>
      </c>
      <c r="T1398" s="129">
        <v>0.953287197231834</v>
      </c>
      <c r="U1398" s="129">
        <v>0.960470085470085</v>
      </c>
      <c r="V1398" s="129">
        <v>0.961824953445065</v>
      </c>
      <c r="W1398" s="129">
        <v>0.963106606264055</v>
      </c>
      <c r="X1398" s="131">
        <v>0.92</v>
      </c>
      <c r="Y1398" s="131">
        <v>0.972369819341126</v>
      </c>
      <c r="Z1398" s="131">
        <v>0.977670488835244</v>
      </c>
      <c r="AA1398" s="131">
        <v>0.979381443298969</v>
      </c>
      <c r="AB1398" s="131">
        <v>0.968559601878982</v>
      </c>
      <c r="AC1398" s="131">
        <v>0.92</v>
      </c>
      <c r="AD1398" s="129">
        <v>0.997796547925083</v>
      </c>
      <c r="AE1398" s="129">
        <v>0.948455850369726</v>
      </c>
      <c r="AF1398" s="129">
        <v>0.998911860718172</v>
      </c>
      <c r="AG1398" s="129">
        <v>0.984097971120453</v>
      </c>
      <c r="AH1398" s="131">
        <v>0.92</v>
      </c>
      <c r="AI1398" s="129">
        <v>0.978215333054043</v>
      </c>
      <c r="AJ1398" s="129">
        <v>0.981003685851999</v>
      </c>
      <c r="AK1398" s="129">
        <v>0.984324324324324</v>
      </c>
      <c r="AL1398" s="129">
        <v>0.980818242790074</v>
      </c>
      <c r="AM1398" s="128">
        <v>0.99</v>
      </c>
      <c r="AN1398" s="133">
        <v>1</v>
      </c>
      <c r="AO1398" s="133">
        <v>1</v>
      </c>
      <c r="AP1398" s="133">
        <v>1</v>
      </c>
      <c r="AQ1398" s="133">
        <v>1</v>
      </c>
      <c r="AR1398" s="153">
        <v>0.0721861525408278</v>
      </c>
      <c r="AS1398" s="137">
        <v>0</v>
      </c>
      <c r="AT1398" s="137">
        <v>0</v>
      </c>
      <c r="AU1398" s="137">
        <v>0</v>
      </c>
      <c r="AV1398" s="137">
        <v>0.0155763239875389</v>
      </c>
      <c r="AW1398" s="93"/>
      <c r="AX1398" s="91"/>
    </row>
    <row r="1399" ht="14.5" spans="1:50">
      <c r="A1399" s="89"/>
      <c r="B1399" s="93"/>
      <c r="C1399" s="148" t="s">
        <v>1080</v>
      </c>
      <c r="D1399" s="126" t="s">
        <v>1081</v>
      </c>
      <c r="E1399" s="186" t="s">
        <v>1424</v>
      </c>
      <c r="F1399" s="186" t="s">
        <v>1424</v>
      </c>
      <c r="G1399" s="186" t="s">
        <v>1424</v>
      </c>
      <c r="H1399" s="186" t="s">
        <v>1424</v>
      </c>
      <c r="I1399" s="128">
        <v>0.9</v>
      </c>
      <c r="J1399" s="129">
        <v>0.934210526315789</v>
      </c>
      <c r="K1399" s="129">
        <v>0.968253968253968</v>
      </c>
      <c r="L1399" s="130">
        <v>0.984375</v>
      </c>
      <c r="M1399" s="129">
        <v>0.956782713085234</v>
      </c>
      <c r="N1399" s="131">
        <v>0.9</v>
      </c>
      <c r="O1399" s="129">
        <v>0.972519700949687</v>
      </c>
      <c r="P1399" s="129">
        <v>0.978178368121442</v>
      </c>
      <c r="Q1399" s="129">
        <v>0.976829612884996</v>
      </c>
      <c r="R1399" s="129">
        <v>0.96655486159303</v>
      </c>
      <c r="S1399" s="131">
        <v>0.9</v>
      </c>
      <c r="T1399" s="129">
        <v>0.940796120428369</v>
      </c>
      <c r="U1399" s="129">
        <v>0.953826691967109</v>
      </c>
      <c r="V1399" s="129">
        <v>0.950551003108223</v>
      </c>
      <c r="W1399" s="129">
        <v>0.946468501812013</v>
      </c>
      <c r="X1399" s="131">
        <v>0.92</v>
      </c>
      <c r="Y1399" s="131">
        <v>0.782289002557545</v>
      </c>
      <c r="Z1399" s="131">
        <v>0.946786454733932</v>
      </c>
      <c r="AA1399" s="131">
        <v>0.951256092988376</v>
      </c>
      <c r="AB1399" s="131">
        <v>0.943241630039611</v>
      </c>
      <c r="AC1399" s="131">
        <v>0.92</v>
      </c>
      <c r="AD1399" s="129">
        <v>0.995522388059702</v>
      </c>
      <c r="AE1399" s="129">
        <v>0.997460317460317</v>
      </c>
      <c r="AF1399" s="129">
        <v>0.975460122699387</v>
      </c>
      <c r="AG1399" s="129">
        <v>0.96359940872136</v>
      </c>
      <c r="AH1399" s="131">
        <v>0.92</v>
      </c>
      <c r="AI1399" s="129">
        <v>0.899343815773183</v>
      </c>
      <c r="AJ1399" s="129">
        <v>0.961856010568032</v>
      </c>
      <c r="AK1399" s="129">
        <v>0.970029004189494</v>
      </c>
      <c r="AL1399" s="129">
        <v>0.966846595070938</v>
      </c>
      <c r="AM1399" s="128">
        <v>0.99</v>
      </c>
      <c r="AN1399" s="133">
        <v>1</v>
      </c>
      <c r="AO1399" s="133">
        <v>1</v>
      </c>
      <c r="AP1399" s="133">
        <v>1</v>
      </c>
      <c r="AQ1399" s="133">
        <v>1</v>
      </c>
      <c r="AR1399" s="153">
        <v>0.0721861525408278</v>
      </c>
      <c r="AS1399" s="137">
        <v>0.111111111111111</v>
      </c>
      <c r="AT1399" s="137">
        <v>0</v>
      </c>
      <c r="AU1399" s="137">
        <v>0</v>
      </c>
      <c r="AV1399" s="137">
        <v>0.0572916666666667</v>
      </c>
      <c r="AW1399" s="93"/>
      <c r="AX1399" s="91"/>
    </row>
    <row r="1400" ht="14.5" spans="1:50">
      <c r="A1400" s="89"/>
      <c r="B1400" s="93"/>
      <c r="C1400" s="148" t="s">
        <v>1080</v>
      </c>
      <c r="D1400" s="126" t="s">
        <v>1081</v>
      </c>
      <c r="E1400" s="186" t="s">
        <v>1425</v>
      </c>
      <c r="F1400" s="186" t="s">
        <v>1425</v>
      </c>
      <c r="G1400" s="186" t="s">
        <v>1425</v>
      </c>
      <c r="H1400" s="186" t="s">
        <v>1425</v>
      </c>
      <c r="I1400" s="128">
        <v>0.9</v>
      </c>
      <c r="J1400" s="129">
        <v>0.941176470588235</v>
      </c>
      <c r="K1400" s="129">
        <v>0.833333333333333</v>
      </c>
      <c r="L1400" s="130">
        <v>0.894736842105263</v>
      </c>
      <c r="M1400" s="129">
        <v>0.845771144278607</v>
      </c>
      <c r="N1400" s="131">
        <v>0.9</v>
      </c>
      <c r="O1400" s="129">
        <v>0.95324881141046</v>
      </c>
      <c r="P1400" s="129">
        <v>0.805223068552775</v>
      </c>
      <c r="Q1400" s="129">
        <v>0.991610738255034</v>
      </c>
      <c r="R1400" s="129">
        <v>0.956727874774232</v>
      </c>
      <c r="S1400" s="131">
        <v>0.9</v>
      </c>
      <c r="T1400" s="129">
        <v>0.678288431061807</v>
      </c>
      <c r="U1400" s="129">
        <v>0.542981501632209</v>
      </c>
      <c r="V1400" s="129">
        <v>0.73993288590604</v>
      </c>
      <c r="W1400" s="129">
        <v>0.680087296809151</v>
      </c>
      <c r="X1400" s="131">
        <v>0.92</v>
      </c>
      <c r="Y1400" s="131">
        <v>0</v>
      </c>
      <c r="Z1400" s="131">
        <v>0</v>
      </c>
      <c r="AA1400" s="131" t="s">
        <v>33</v>
      </c>
      <c r="AB1400" s="131">
        <v>0</v>
      </c>
      <c r="AC1400" s="131">
        <v>0.92</v>
      </c>
      <c r="AD1400" s="129">
        <v>1</v>
      </c>
      <c r="AE1400" s="129">
        <v>0.75</v>
      </c>
      <c r="AF1400" s="129">
        <v>1</v>
      </c>
      <c r="AG1400" s="129">
        <v>0.85</v>
      </c>
      <c r="AH1400" s="131">
        <v>0.92</v>
      </c>
      <c r="AI1400" s="129">
        <v>0.888449367088608</v>
      </c>
      <c r="AJ1400" s="129">
        <v>0.703260869565217</v>
      </c>
      <c r="AK1400" s="129">
        <v>0.926174496644295</v>
      </c>
      <c r="AL1400" s="129">
        <v>0.87706891363226</v>
      </c>
      <c r="AM1400" s="128">
        <v>0.99</v>
      </c>
      <c r="AN1400" s="133">
        <v>1</v>
      </c>
      <c r="AO1400" s="133">
        <v>1</v>
      </c>
      <c r="AP1400" s="133">
        <v>1</v>
      </c>
      <c r="AQ1400" s="133">
        <v>1</v>
      </c>
      <c r="AR1400" s="153">
        <v>0.0721861525408278</v>
      </c>
      <c r="AS1400" s="137">
        <v>0</v>
      </c>
      <c r="AT1400" s="137">
        <v>0</v>
      </c>
      <c r="AU1400" s="137">
        <v>0</v>
      </c>
      <c r="AV1400" s="137">
        <v>0.0470588235294118</v>
      </c>
      <c r="AW1400" s="93"/>
      <c r="AX1400" s="91"/>
    </row>
    <row r="1401" ht="14.5" spans="1:50">
      <c r="A1401" s="89"/>
      <c r="B1401" s="93"/>
      <c r="C1401" s="148" t="s">
        <v>1080</v>
      </c>
      <c r="D1401" s="126" t="s">
        <v>1081</v>
      </c>
      <c r="E1401" s="186" t="s">
        <v>1426</v>
      </c>
      <c r="F1401" s="186" t="s">
        <v>1426</v>
      </c>
      <c r="G1401" s="186" t="s">
        <v>1426</v>
      </c>
      <c r="H1401" s="186" t="s">
        <v>1426</v>
      </c>
      <c r="I1401" s="128">
        <v>0.9</v>
      </c>
      <c r="J1401" s="129">
        <v>0.95</v>
      </c>
      <c r="K1401" s="129">
        <v>0.941176470588235</v>
      </c>
      <c r="L1401" s="130">
        <v>0.923076923076923</v>
      </c>
      <c r="M1401" s="129">
        <v>0.95045045045045</v>
      </c>
      <c r="N1401" s="131">
        <v>0.9</v>
      </c>
      <c r="O1401" s="129">
        <v>0.984532095901005</v>
      </c>
      <c r="P1401" s="129">
        <v>0.9884149552396</v>
      </c>
      <c r="Q1401" s="129">
        <v>0.99604743083004</v>
      </c>
      <c r="R1401" s="129">
        <v>0.974395097383158</v>
      </c>
      <c r="S1401" s="131">
        <v>0.9</v>
      </c>
      <c r="T1401" s="129">
        <v>0.945088940448569</v>
      </c>
      <c r="U1401" s="129">
        <v>0.966298051606108</v>
      </c>
      <c r="V1401" s="129">
        <v>0.973320158102767</v>
      </c>
      <c r="W1401" s="129">
        <v>0.953333568132991</v>
      </c>
      <c r="X1401" s="131">
        <v>0.92</v>
      </c>
      <c r="Y1401" s="131">
        <v>0.977421271538919</v>
      </c>
      <c r="Z1401" s="131">
        <v>0.971992361553151</v>
      </c>
      <c r="AA1401" s="131">
        <v>0.984126984126984</v>
      </c>
      <c r="AB1401" s="131">
        <v>0.968706605832176</v>
      </c>
      <c r="AC1401" s="131">
        <v>0.92</v>
      </c>
      <c r="AD1401" s="129">
        <v>0.998319892473118</v>
      </c>
      <c r="AE1401" s="129">
        <v>0.998257839721254</v>
      </c>
      <c r="AF1401" s="129">
        <v>1</v>
      </c>
      <c r="AG1401" s="129">
        <v>0.994181590133092</v>
      </c>
      <c r="AH1401" s="131">
        <v>0.92</v>
      </c>
      <c r="AI1401" s="129">
        <v>0.980089013820567</v>
      </c>
      <c r="AJ1401" s="129">
        <v>0.981556195965418</v>
      </c>
      <c r="AK1401" s="129">
        <v>0.988404977375566</v>
      </c>
      <c r="AL1401" s="129">
        <v>0.979879317091254</v>
      </c>
      <c r="AM1401" s="128">
        <v>0.99</v>
      </c>
      <c r="AN1401" s="133">
        <v>1</v>
      </c>
      <c r="AO1401" s="133">
        <v>1</v>
      </c>
      <c r="AP1401" s="133">
        <v>1</v>
      </c>
      <c r="AQ1401" s="133">
        <v>1</v>
      </c>
      <c r="AR1401" s="153">
        <v>0.0721861525408278</v>
      </c>
      <c r="AS1401" s="137">
        <v>0</v>
      </c>
      <c r="AT1401" s="137">
        <v>0</v>
      </c>
      <c r="AU1401" s="137">
        <v>0</v>
      </c>
      <c r="AV1401" s="137">
        <v>-0.0203045685279188</v>
      </c>
      <c r="AW1401" s="93"/>
      <c r="AX1401" s="91"/>
    </row>
    <row r="1402" ht="14.5" spans="1:50">
      <c r="A1402" s="89"/>
      <c r="B1402" s="93"/>
      <c r="C1402" s="148" t="s">
        <v>1080</v>
      </c>
      <c r="D1402" s="126" t="s">
        <v>1081</v>
      </c>
      <c r="E1402" s="186" t="s">
        <v>1427</v>
      </c>
      <c r="F1402" s="186" t="s">
        <v>1427</v>
      </c>
      <c r="G1402" s="186" t="s">
        <v>1427</v>
      </c>
      <c r="H1402" s="186" t="s">
        <v>1427</v>
      </c>
      <c r="I1402" s="128">
        <v>0.9</v>
      </c>
      <c r="J1402" s="129">
        <v>0.952380952380952</v>
      </c>
      <c r="K1402" s="129">
        <v>0.947368421052632</v>
      </c>
      <c r="L1402" s="130">
        <v>0.921052631578947</v>
      </c>
      <c r="M1402" s="129">
        <v>0.935550935550936</v>
      </c>
      <c r="N1402" s="131">
        <v>0.9</v>
      </c>
      <c r="O1402" s="129">
        <v>0.991639403853144</v>
      </c>
      <c r="P1402" s="129">
        <v>0.987272727272727</v>
      </c>
      <c r="Q1402" s="129">
        <v>0.9932918064207</v>
      </c>
      <c r="R1402" s="129">
        <v>0.989419919737322</v>
      </c>
      <c r="S1402" s="131">
        <v>0.9</v>
      </c>
      <c r="T1402" s="129">
        <v>0.934932751726645</v>
      </c>
      <c r="U1402" s="129">
        <v>0.937575757575758</v>
      </c>
      <c r="V1402" s="129">
        <v>0.944417824628654</v>
      </c>
      <c r="W1402" s="129">
        <v>0.9458591754834</v>
      </c>
      <c r="X1402" s="131">
        <v>0.92</v>
      </c>
      <c r="Y1402" s="131">
        <v>0.948973607038123</v>
      </c>
      <c r="Z1402" s="131">
        <v>0.949562878278413</v>
      </c>
      <c r="AA1402" s="131">
        <v>0.968210089841051</v>
      </c>
      <c r="AB1402" s="131">
        <v>0.965204766196055</v>
      </c>
      <c r="AC1402" s="131">
        <v>0.92</v>
      </c>
      <c r="AD1402" s="129">
        <v>0.998694516971279</v>
      </c>
      <c r="AE1402" s="129">
        <v>0.99815157116451</v>
      </c>
      <c r="AF1402" s="129">
        <v>1</v>
      </c>
      <c r="AG1402" s="129">
        <v>0.999080036798528</v>
      </c>
      <c r="AH1402" s="131">
        <v>0.92</v>
      </c>
      <c r="AI1402" s="129">
        <v>0.957585278276481</v>
      </c>
      <c r="AJ1402" s="129">
        <v>0.964934650940389</v>
      </c>
      <c r="AK1402" s="129">
        <v>0.975382003395586</v>
      </c>
      <c r="AL1402" s="129">
        <v>0.97532870438765</v>
      </c>
      <c r="AM1402" s="128">
        <v>0.99</v>
      </c>
      <c r="AN1402" s="133">
        <v>1</v>
      </c>
      <c r="AO1402" s="133">
        <v>1</v>
      </c>
      <c r="AP1402" s="133">
        <v>1</v>
      </c>
      <c r="AQ1402" s="133">
        <v>1</v>
      </c>
      <c r="AR1402" s="153">
        <v>0.0721861525408278</v>
      </c>
      <c r="AS1402" s="137">
        <v>0</v>
      </c>
      <c r="AT1402" s="137">
        <v>0.25</v>
      </c>
      <c r="AU1402" s="137">
        <v>0</v>
      </c>
      <c r="AV1402" s="137">
        <v>0.0294117647058824</v>
      </c>
      <c r="AW1402" s="93"/>
      <c r="AX1402" s="91"/>
    </row>
    <row r="1403" ht="14.5" spans="1:50">
      <c r="A1403" s="89"/>
      <c r="B1403" s="93"/>
      <c r="C1403" s="148" t="s">
        <v>1080</v>
      </c>
      <c r="D1403" s="126" t="s">
        <v>1081</v>
      </c>
      <c r="E1403" s="186" t="s">
        <v>1428</v>
      </c>
      <c r="F1403" s="186" t="s">
        <v>1428</v>
      </c>
      <c r="G1403" s="186" t="s">
        <v>1428</v>
      </c>
      <c r="H1403" s="186" t="s">
        <v>1428</v>
      </c>
      <c r="I1403" s="128">
        <v>0.9</v>
      </c>
      <c r="J1403" s="129">
        <v>1</v>
      </c>
      <c r="K1403" s="129">
        <v>0.977272727272727</v>
      </c>
      <c r="L1403" s="130">
        <v>0.954545454545455</v>
      </c>
      <c r="M1403" s="129">
        <v>0.98936170212766</v>
      </c>
      <c r="N1403" s="131">
        <v>0.9</v>
      </c>
      <c r="O1403" s="129">
        <v>0.986267677802828</v>
      </c>
      <c r="P1403" s="129">
        <v>0.984709480122324</v>
      </c>
      <c r="Q1403" s="129">
        <v>0.984338292873923</v>
      </c>
      <c r="R1403" s="129">
        <v>0.982853065250698</v>
      </c>
      <c r="S1403" s="131">
        <v>0.9</v>
      </c>
      <c r="T1403" s="129">
        <v>0.949169911867186</v>
      </c>
      <c r="U1403" s="129">
        <v>0.963982330954808</v>
      </c>
      <c r="V1403" s="129">
        <v>0.948577394936048</v>
      </c>
      <c r="W1403" s="129">
        <v>0.95011228408924</v>
      </c>
      <c r="X1403" s="131">
        <v>0.92</v>
      </c>
      <c r="Y1403" s="131">
        <v>0.95320197044335</v>
      </c>
      <c r="Z1403" s="131">
        <v>0.958990536277603</v>
      </c>
      <c r="AA1403" s="131">
        <v>0.96711509715994</v>
      </c>
      <c r="AB1403" s="131">
        <v>0.96485536631522</v>
      </c>
      <c r="AC1403" s="131">
        <v>0.92</v>
      </c>
      <c r="AD1403" s="129">
        <v>0.999016853932584</v>
      </c>
      <c r="AE1403" s="129">
        <v>0.99930001399972</v>
      </c>
      <c r="AF1403" s="129">
        <v>0.998227281209181</v>
      </c>
      <c r="AG1403" s="129">
        <v>0.993668033462684</v>
      </c>
      <c r="AH1403" s="131">
        <v>0.92</v>
      </c>
      <c r="AI1403" s="129">
        <v>0.981138264720354</v>
      </c>
      <c r="AJ1403" s="129">
        <v>0.981477083828069</v>
      </c>
      <c r="AK1403" s="129">
        <v>0.990002221728505</v>
      </c>
      <c r="AL1403" s="129">
        <v>0.985463582358849</v>
      </c>
      <c r="AM1403" s="128">
        <v>0.99</v>
      </c>
      <c r="AN1403" s="133">
        <v>1</v>
      </c>
      <c r="AO1403" s="133">
        <v>1</v>
      </c>
      <c r="AP1403" s="133">
        <v>1</v>
      </c>
      <c r="AQ1403" s="133">
        <v>1</v>
      </c>
      <c r="AR1403" s="153">
        <v>0.0721861525408278</v>
      </c>
      <c r="AS1403" s="137">
        <v>0</v>
      </c>
      <c r="AT1403" s="137">
        <v>0.111111111111111</v>
      </c>
      <c r="AU1403" s="137">
        <v>-0.0769230769230769</v>
      </c>
      <c r="AV1403" s="137">
        <v>0.0154639175257732</v>
      </c>
      <c r="AW1403" s="93"/>
      <c r="AX1403" s="91"/>
    </row>
    <row r="1404" ht="14.5" spans="1:50">
      <c r="A1404" s="89"/>
      <c r="B1404" s="93"/>
      <c r="C1404" s="148" t="s">
        <v>1080</v>
      </c>
      <c r="D1404" s="126" t="s">
        <v>1081</v>
      </c>
      <c r="E1404" s="186" t="s">
        <v>1429</v>
      </c>
      <c r="F1404" s="186" t="s">
        <v>1429</v>
      </c>
      <c r="G1404" s="186" t="s">
        <v>1429</v>
      </c>
      <c r="H1404" s="186" t="s">
        <v>1429</v>
      </c>
      <c r="I1404" s="128">
        <v>0.9</v>
      </c>
      <c r="J1404" s="129">
        <v>1</v>
      </c>
      <c r="K1404" s="129">
        <v>1</v>
      </c>
      <c r="L1404" s="130">
        <v>1</v>
      </c>
      <c r="M1404" s="129">
        <v>0.995348837209302</v>
      </c>
      <c r="N1404" s="131">
        <v>0.9</v>
      </c>
      <c r="O1404" s="129">
        <v>0.990808823529412</v>
      </c>
      <c r="P1404" s="129">
        <v>0.998618148318747</v>
      </c>
      <c r="Q1404" s="129">
        <v>0.996722505462491</v>
      </c>
      <c r="R1404" s="129">
        <v>0.992419475655431</v>
      </c>
      <c r="S1404" s="131">
        <v>0.9</v>
      </c>
      <c r="T1404" s="129">
        <v>0.947610294117647</v>
      </c>
      <c r="U1404" s="129">
        <v>0.953017042837402</v>
      </c>
      <c r="V1404" s="129">
        <v>0.961398397669337</v>
      </c>
      <c r="W1404" s="129">
        <v>0.960689138576779</v>
      </c>
      <c r="X1404" s="131">
        <v>0.92</v>
      </c>
      <c r="Y1404" s="131">
        <v>0.981554677206851</v>
      </c>
      <c r="Z1404" s="131">
        <v>0.98547215496368</v>
      </c>
      <c r="AA1404" s="131">
        <v>0.987012987012987</v>
      </c>
      <c r="AB1404" s="131">
        <v>0.984021665538253</v>
      </c>
      <c r="AC1404" s="131">
        <v>0.92</v>
      </c>
      <c r="AD1404" s="129">
        <v>0.999831847990583</v>
      </c>
      <c r="AE1404" s="129">
        <v>0.999710648148148</v>
      </c>
      <c r="AF1404" s="129">
        <v>0.992835820895522</v>
      </c>
      <c r="AG1404" s="129">
        <v>0.999238708732889</v>
      </c>
      <c r="AH1404" s="131">
        <v>0.92</v>
      </c>
      <c r="AI1404" s="129">
        <v>0.988565746955009</v>
      </c>
      <c r="AJ1404" s="129">
        <v>0.990326884589727</v>
      </c>
      <c r="AK1404" s="129">
        <v>0.990648379052369</v>
      </c>
      <c r="AL1404" s="129">
        <v>0.990726657180708</v>
      </c>
      <c r="AM1404" s="128">
        <v>0.99</v>
      </c>
      <c r="AN1404" s="133">
        <v>1</v>
      </c>
      <c r="AO1404" s="133">
        <v>1</v>
      </c>
      <c r="AP1404" s="133">
        <v>1</v>
      </c>
      <c r="AQ1404" s="133">
        <v>1</v>
      </c>
      <c r="AR1404" s="153">
        <v>0.0721861525408278</v>
      </c>
      <c r="AS1404" s="137">
        <v>0.0625</v>
      </c>
      <c r="AT1404" s="137">
        <v>0</v>
      </c>
      <c r="AU1404" s="137">
        <v>0</v>
      </c>
      <c r="AV1404" s="137">
        <v>0.00543478260869565</v>
      </c>
      <c r="AW1404" s="93"/>
      <c r="AX1404" s="91"/>
    </row>
    <row r="1405" ht="14.5" spans="1:50">
      <c r="A1405" s="89"/>
      <c r="B1405" s="93"/>
      <c r="C1405" s="148" t="s">
        <v>1080</v>
      </c>
      <c r="D1405" s="126" t="s">
        <v>1081</v>
      </c>
      <c r="E1405" s="186" t="s">
        <v>1430</v>
      </c>
      <c r="F1405" s="186" t="s">
        <v>1430</v>
      </c>
      <c r="G1405" s="186" t="s">
        <v>1430</v>
      </c>
      <c r="H1405" s="186" t="s">
        <v>1430</v>
      </c>
      <c r="I1405" s="128">
        <v>0.9</v>
      </c>
      <c r="J1405" s="129">
        <v>0.974358974358974</v>
      </c>
      <c r="K1405" s="129">
        <v>0.903225806451613</v>
      </c>
      <c r="L1405" s="130">
        <v>0.971428571428571</v>
      </c>
      <c r="M1405" s="129">
        <v>0.920481927710843</v>
      </c>
      <c r="N1405" s="131">
        <v>0.9</v>
      </c>
      <c r="O1405" s="129">
        <v>0.810246136233543</v>
      </c>
      <c r="P1405" s="129">
        <v>0.971614704513727</v>
      </c>
      <c r="Q1405" s="129">
        <v>0.968795355587808</v>
      </c>
      <c r="R1405" s="129">
        <v>0.883660714285714</v>
      </c>
      <c r="S1405" s="131">
        <v>0.9</v>
      </c>
      <c r="T1405" s="129">
        <v>0.914997137950773</v>
      </c>
      <c r="U1405" s="129">
        <v>0.886924150767799</v>
      </c>
      <c r="V1405" s="129">
        <v>0.929608127721335</v>
      </c>
      <c r="W1405" s="129">
        <v>0.900773809523809</v>
      </c>
      <c r="X1405" s="131">
        <v>0.92</v>
      </c>
      <c r="Y1405" s="131">
        <v>0.936788874841972</v>
      </c>
      <c r="Z1405" s="131">
        <v>0.921212121212121</v>
      </c>
      <c r="AA1405" s="131">
        <v>0.910973084886128</v>
      </c>
      <c r="AB1405" s="131">
        <v>0.927140255009107</v>
      </c>
      <c r="AC1405" s="131">
        <v>0.92</v>
      </c>
      <c r="AD1405" s="129">
        <v>0.993374558303887</v>
      </c>
      <c r="AE1405" s="129">
        <v>0.99640763849499</v>
      </c>
      <c r="AF1405" s="129">
        <v>0.996861924686193</v>
      </c>
      <c r="AG1405" s="129">
        <v>0.995191027984313</v>
      </c>
      <c r="AH1405" s="131">
        <v>0.92</v>
      </c>
      <c r="AI1405" s="129">
        <v>0.954524253731343</v>
      </c>
      <c r="AJ1405" s="129">
        <v>0.954942837928715</v>
      </c>
      <c r="AK1405" s="129">
        <v>0.960185185185185</v>
      </c>
      <c r="AL1405" s="129">
        <v>0.960694565533275</v>
      </c>
      <c r="AM1405" s="128">
        <v>0.99</v>
      </c>
      <c r="AN1405" s="133">
        <v>1</v>
      </c>
      <c r="AO1405" s="133">
        <v>1</v>
      </c>
      <c r="AP1405" s="133">
        <v>1</v>
      </c>
      <c r="AQ1405" s="133">
        <v>1</v>
      </c>
      <c r="AR1405" s="153">
        <v>0.0721861525408278</v>
      </c>
      <c r="AS1405" s="137">
        <v>0.0625</v>
      </c>
      <c r="AT1405" s="137">
        <v>0</v>
      </c>
      <c r="AU1405" s="137">
        <v>0.0588235294117647</v>
      </c>
      <c r="AV1405" s="137">
        <v>0.0470588235294118</v>
      </c>
      <c r="AW1405" s="93"/>
      <c r="AX1405" s="91"/>
    </row>
    <row r="1406" ht="14.5" spans="1:50">
      <c r="A1406" s="89"/>
      <c r="B1406" s="93"/>
      <c r="C1406" s="148" t="s">
        <v>1080</v>
      </c>
      <c r="D1406" s="126" t="s">
        <v>1081</v>
      </c>
      <c r="E1406" s="186" t="s">
        <v>1431</v>
      </c>
      <c r="F1406" s="186" t="s">
        <v>1431</v>
      </c>
      <c r="G1406" s="186" t="s">
        <v>1431</v>
      </c>
      <c r="H1406" s="186" t="s">
        <v>1431</v>
      </c>
      <c r="I1406" s="128">
        <v>0.9</v>
      </c>
      <c r="J1406" s="129">
        <v>0.95</v>
      </c>
      <c r="K1406" s="129">
        <v>0.972222222222222</v>
      </c>
      <c r="L1406" s="130">
        <v>0.918918918918919</v>
      </c>
      <c r="M1406" s="129">
        <v>0.950892857142857</v>
      </c>
      <c r="N1406" s="131">
        <v>0.9</v>
      </c>
      <c r="O1406" s="129">
        <v>0.960994131860545</v>
      </c>
      <c r="P1406" s="129">
        <v>0.957815035154137</v>
      </c>
      <c r="Q1406" s="129">
        <v>0.991626267078008</v>
      </c>
      <c r="R1406" s="129">
        <v>0.977033560864619</v>
      </c>
      <c r="S1406" s="131">
        <v>0.9</v>
      </c>
      <c r="T1406" s="129">
        <v>0.9285467725233</v>
      </c>
      <c r="U1406" s="129">
        <v>0.913466738777718</v>
      </c>
      <c r="V1406" s="129">
        <v>0.942265315116792</v>
      </c>
      <c r="W1406" s="129">
        <v>0.943792662116041</v>
      </c>
      <c r="X1406" s="131">
        <v>0.92</v>
      </c>
      <c r="Y1406" s="131">
        <v>0.966666666666667</v>
      </c>
      <c r="Z1406" s="131">
        <v>0.96510067114094</v>
      </c>
      <c r="AA1406" s="131">
        <v>0.968680089485459</v>
      </c>
      <c r="AB1406" s="131">
        <v>0.963503649635037</v>
      </c>
      <c r="AC1406" s="131">
        <v>0.92</v>
      </c>
      <c r="AD1406" s="129">
        <v>0.976751443282883</v>
      </c>
      <c r="AE1406" s="129">
        <v>0.874858597285068</v>
      </c>
      <c r="AF1406" s="129">
        <v>0.896950338428778</v>
      </c>
      <c r="AG1406" s="129">
        <v>0.841202150223888</v>
      </c>
      <c r="AH1406" s="131">
        <v>0.92</v>
      </c>
      <c r="AI1406" s="129">
        <v>0.984406010774029</v>
      </c>
      <c r="AJ1406" s="129">
        <v>0.980732177263969</v>
      </c>
      <c r="AK1406" s="129">
        <v>0.9860088365243</v>
      </c>
      <c r="AL1406" s="129">
        <v>0.986202707393266</v>
      </c>
      <c r="AM1406" s="128">
        <v>0.99</v>
      </c>
      <c r="AN1406" s="133">
        <v>1</v>
      </c>
      <c r="AO1406" s="133">
        <v>1</v>
      </c>
      <c r="AP1406" s="133">
        <v>1</v>
      </c>
      <c r="AQ1406" s="133">
        <v>1</v>
      </c>
      <c r="AR1406" s="153">
        <v>0.0721861525408278</v>
      </c>
      <c r="AS1406" s="137">
        <v>0.0625</v>
      </c>
      <c r="AT1406" s="137">
        <v>0</v>
      </c>
      <c r="AU1406" s="137">
        <v>-0.142857142857143</v>
      </c>
      <c r="AV1406" s="137">
        <v>0.032520325203252</v>
      </c>
      <c r="AW1406" s="93"/>
      <c r="AX1406" s="91"/>
    </row>
    <row r="1407" ht="14.5" spans="1:50">
      <c r="A1407" s="89"/>
      <c r="B1407" s="93"/>
      <c r="C1407" s="148" t="s">
        <v>1080</v>
      </c>
      <c r="D1407" s="126" t="s">
        <v>1081</v>
      </c>
      <c r="E1407" s="186" t="s">
        <v>1432</v>
      </c>
      <c r="F1407" s="186" t="s">
        <v>1432</v>
      </c>
      <c r="G1407" s="186" t="s">
        <v>1432</v>
      </c>
      <c r="H1407" s="186" t="s">
        <v>1432</v>
      </c>
      <c r="I1407" s="128">
        <v>0.9</v>
      </c>
      <c r="J1407" s="129">
        <v>0.968421052631579</v>
      </c>
      <c r="K1407" s="129">
        <v>0.88</v>
      </c>
      <c r="L1407" s="130">
        <v>0.875</v>
      </c>
      <c r="M1407" s="129">
        <v>0.9209726443769</v>
      </c>
      <c r="N1407" s="131">
        <v>0.9</v>
      </c>
      <c r="O1407" s="129">
        <v>0.949632859109683</v>
      </c>
      <c r="P1407" s="129">
        <v>0.955499276410999</v>
      </c>
      <c r="Q1407" s="129">
        <v>0.938444584382871</v>
      </c>
      <c r="R1407" s="129">
        <v>0.943238313244394</v>
      </c>
      <c r="S1407" s="131">
        <v>0.9</v>
      </c>
      <c r="T1407" s="129">
        <v>0.93793024323084</v>
      </c>
      <c r="U1407" s="129">
        <v>0.908465991316932</v>
      </c>
      <c r="V1407" s="129">
        <v>0.919552896725441</v>
      </c>
      <c r="W1407" s="129">
        <v>0.917915519153045</v>
      </c>
      <c r="X1407" s="131">
        <v>0.92</v>
      </c>
      <c r="Y1407" s="131">
        <v>0.942399307059333</v>
      </c>
      <c r="Z1407" s="131">
        <v>0.926500612494896</v>
      </c>
      <c r="AA1407" s="131">
        <v>0.922690763052209</v>
      </c>
      <c r="AB1407" s="131">
        <v>0.926689189189189</v>
      </c>
      <c r="AC1407" s="131">
        <v>0.92</v>
      </c>
      <c r="AD1407" s="129">
        <v>0.957492354740061</v>
      </c>
      <c r="AE1407" s="129">
        <v>0.97909053999188</v>
      </c>
      <c r="AF1407" s="129">
        <v>0.762983947119924</v>
      </c>
      <c r="AG1407" s="129">
        <v>0.898353003681075</v>
      </c>
      <c r="AH1407" s="131">
        <v>0.92</v>
      </c>
      <c r="AI1407" s="129">
        <v>0.973335751859242</v>
      </c>
      <c r="AJ1407" s="129">
        <v>0.958631064309891</v>
      </c>
      <c r="AK1407" s="129">
        <v>0.957131192161132</v>
      </c>
      <c r="AL1407" s="129">
        <v>0.96565965583174</v>
      </c>
      <c r="AM1407" s="128">
        <v>0.99</v>
      </c>
      <c r="AN1407" s="133">
        <v>1</v>
      </c>
      <c r="AO1407" s="133">
        <v>1</v>
      </c>
      <c r="AP1407" s="133">
        <v>1</v>
      </c>
      <c r="AQ1407" s="133">
        <v>1</v>
      </c>
      <c r="AR1407" s="153">
        <v>0.0721861525408278</v>
      </c>
      <c r="AS1407" s="137">
        <v>0.0681818181818182</v>
      </c>
      <c r="AT1407" s="137">
        <v>0.0555555555555556</v>
      </c>
      <c r="AU1407" s="137">
        <v>0.0212765957446809</v>
      </c>
      <c r="AV1407" s="137">
        <v>0.0371747211895911</v>
      </c>
      <c r="AW1407" s="93"/>
      <c r="AX1407" s="91"/>
    </row>
    <row r="1408" ht="14.5" spans="1:50">
      <c r="A1408" s="89"/>
      <c r="B1408" s="93"/>
      <c r="C1408" s="148" t="s">
        <v>1080</v>
      </c>
      <c r="D1408" s="126" t="s">
        <v>1081</v>
      </c>
      <c r="E1408" s="186" t="s">
        <v>1433</v>
      </c>
      <c r="F1408" s="186" t="s">
        <v>1433</v>
      </c>
      <c r="G1408" s="186" t="s">
        <v>1433</v>
      </c>
      <c r="H1408" s="186" t="s">
        <v>1433</v>
      </c>
      <c r="I1408" s="128">
        <v>0.9</v>
      </c>
      <c r="J1408" s="129">
        <v>1</v>
      </c>
      <c r="K1408" s="129">
        <v>1</v>
      </c>
      <c r="L1408" s="130">
        <v>1</v>
      </c>
      <c r="M1408" s="129">
        <v>1</v>
      </c>
      <c r="N1408" s="131">
        <v>0.9</v>
      </c>
      <c r="O1408" s="129">
        <v>0.988339552238806</v>
      </c>
      <c r="P1408" s="129">
        <v>0.993406593406593</v>
      </c>
      <c r="Q1408" s="129">
        <v>0.985874043555032</v>
      </c>
      <c r="R1408" s="129">
        <v>0.985199454964056</v>
      </c>
      <c r="S1408" s="131">
        <v>0.9</v>
      </c>
      <c r="T1408" s="129">
        <v>0.939365671641791</v>
      </c>
      <c r="U1408" s="129">
        <v>0.936996336996337</v>
      </c>
      <c r="V1408" s="129">
        <v>0.941141848145968</v>
      </c>
      <c r="W1408" s="129">
        <v>0.946248179298031</v>
      </c>
      <c r="X1408" s="131">
        <v>0.92</v>
      </c>
      <c r="Y1408" s="131">
        <v>0.941176470588235</v>
      </c>
      <c r="Z1408" s="131">
        <v>0.938775510204082</v>
      </c>
      <c r="AA1408" s="131">
        <v>0.934375</v>
      </c>
      <c r="AB1408" s="131">
        <v>0.950612629594722</v>
      </c>
      <c r="AC1408" s="131">
        <v>0.92</v>
      </c>
      <c r="AD1408" s="129">
        <v>0.997314084270606</v>
      </c>
      <c r="AE1408" s="129">
        <v>0.997637710726941</v>
      </c>
      <c r="AF1408" s="129">
        <v>0.996703070265815</v>
      </c>
      <c r="AG1408" s="129">
        <v>0.993983465840336</v>
      </c>
      <c r="AH1408" s="131">
        <v>0.92</v>
      </c>
      <c r="AI1408" s="129">
        <v>0.972446730345334</v>
      </c>
      <c r="AJ1408" s="129">
        <v>0.971838197644649</v>
      </c>
      <c r="AK1408" s="129">
        <v>0.975235264982665</v>
      </c>
      <c r="AL1408" s="129">
        <v>0.978564175848971</v>
      </c>
      <c r="AM1408" s="128">
        <v>0.99</v>
      </c>
      <c r="AN1408" s="133">
        <v>1</v>
      </c>
      <c r="AO1408" s="133">
        <v>1</v>
      </c>
      <c r="AP1408" s="133">
        <v>1</v>
      </c>
      <c r="AQ1408" s="133">
        <v>1</v>
      </c>
      <c r="AR1408" s="153">
        <v>0.0721861525408278</v>
      </c>
      <c r="AS1408" s="137">
        <v>0</v>
      </c>
      <c r="AT1408" s="137">
        <v>0</v>
      </c>
      <c r="AU1408" s="137">
        <v>0</v>
      </c>
      <c r="AV1408" s="137">
        <v>0.010989010989011</v>
      </c>
      <c r="AW1408" s="93"/>
      <c r="AX1408" s="91"/>
    </row>
    <row r="1409" ht="14.5" spans="1:50">
      <c r="A1409" s="89"/>
      <c r="B1409" s="93"/>
      <c r="C1409" s="148" t="s">
        <v>1080</v>
      </c>
      <c r="D1409" s="126" t="s">
        <v>1081</v>
      </c>
      <c r="E1409" s="186" t="s">
        <v>1434</v>
      </c>
      <c r="F1409" s="186" t="s">
        <v>1434</v>
      </c>
      <c r="G1409" s="186" t="s">
        <v>1434</v>
      </c>
      <c r="H1409" s="186" t="s">
        <v>1434</v>
      </c>
      <c r="I1409" s="128">
        <v>0.9</v>
      </c>
      <c r="J1409" s="129">
        <v>0.985507246376812</v>
      </c>
      <c r="K1409" s="129">
        <v>0.982142857142857</v>
      </c>
      <c r="L1409" s="130">
        <v>1</v>
      </c>
      <c r="M1409" s="129">
        <v>0.982216142270862</v>
      </c>
      <c r="N1409" s="131">
        <v>0.9</v>
      </c>
      <c r="O1409" s="129">
        <v>0.98</v>
      </c>
      <c r="P1409" s="129">
        <v>0.986539402838962</v>
      </c>
      <c r="Q1409" s="129">
        <v>0.985367809180196</v>
      </c>
      <c r="R1409" s="129">
        <v>0.977123234668214</v>
      </c>
      <c r="S1409" s="131">
        <v>0.9</v>
      </c>
      <c r="T1409" s="129">
        <v>0.916535433070866</v>
      </c>
      <c r="U1409" s="129">
        <v>0.881791483113069</v>
      </c>
      <c r="V1409" s="129">
        <v>0.922830226498296</v>
      </c>
      <c r="W1409" s="129">
        <v>0.925904430257303</v>
      </c>
      <c r="X1409" s="131">
        <v>0.92</v>
      </c>
      <c r="Y1409" s="131">
        <v>0.935079726651481</v>
      </c>
      <c r="Z1409" s="131">
        <v>0.899220489977728</v>
      </c>
      <c r="AA1409" s="131">
        <v>0.943060498220641</v>
      </c>
      <c r="AB1409" s="131">
        <v>0.937582913239586</v>
      </c>
      <c r="AC1409" s="131">
        <v>0.92</v>
      </c>
      <c r="AD1409" s="129">
        <v>0.994272324915387</v>
      </c>
      <c r="AE1409" s="129">
        <v>0.988633382880126</v>
      </c>
      <c r="AF1409" s="129">
        <v>0.997626957759848</v>
      </c>
      <c r="AG1409" s="129">
        <v>0.995325666437013</v>
      </c>
      <c r="AH1409" s="131">
        <v>0.92</v>
      </c>
      <c r="AI1409" s="129">
        <v>0.962757430016032</v>
      </c>
      <c r="AJ1409" s="129">
        <v>0.936246174770486</v>
      </c>
      <c r="AK1409" s="129">
        <v>0.968283901937254</v>
      </c>
      <c r="AL1409" s="129">
        <v>0.971612351026442</v>
      </c>
      <c r="AM1409" s="128">
        <v>0.99</v>
      </c>
      <c r="AN1409" s="133">
        <v>1</v>
      </c>
      <c r="AO1409" s="133">
        <v>1</v>
      </c>
      <c r="AP1409" s="133">
        <v>1</v>
      </c>
      <c r="AQ1409" s="133">
        <v>1</v>
      </c>
      <c r="AR1409" s="153">
        <v>0.0721861525408278</v>
      </c>
      <c r="AS1409" s="137">
        <v>0</v>
      </c>
      <c r="AT1409" s="137">
        <v>0</v>
      </c>
      <c r="AU1409" s="137">
        <v>0</v>
      </c>
      <c r="AV1409" s="137">
        <v>0.0335051546391753</v>
      </c>
      <c r="AW1409" s="93"/>
      <c r="AX1409" s="91"/>
    </row>
    <row r="1410" ht="14.5" spans="1:50">
      <c r="A1410" s="89"/>
      <c r="B1410" s="93"/>
      <c r="C1410" s="148" t="s">
        <v>1080</v>
      </c>
      <c r="D1410" s="126" t="s">
        <v>1081</v>
      </c>
      <c r="E1410" s="186" t="s">
        <v>1435</v>
      </c>
      <c r="F1410" s="186" t="s">
        <v>1435</v>
      </c>
      <c r="G1410" s="186" t="s">
        <v>1435</v>
      </c>
      <c r="H1410" s="186" t="s">
        <v>1435</v>
      </c>
      <c r="I1410" s="128">
        <v>0.9</v>
      </c>
      <c r="J1410" s="129">
        <v>0.967741935483871</v>
      </c>
      <c r="K1410" s="129">
        <v>0.943661971830986</v>
      </c>
      <c r="L1410" s="130">
        <v>0.893333333333333</v>
      </c>
      <c r="M1410" s="129">
        <v>0.866043613707165</v>
      </c>
      <c r="N1410" s="131">
        <v>0.9</v>
      </c>
      <c r="O1410" s="129">
        <v>0.951155273554412</v>
      </c>
      <c r="P1410" s="129">
        <v>0.963328899866996</v>
      </c>
      <c r="Q1410" s="129">
        <v>0.958951533135509</v>
      </c>
      <c r="R1410" s="129">
        <v>0.936093467251242</v>
      </c>
      <c r="S1410" s="131">
        <v>0.9</v>
      </c>
      <c r="T1410" s="129">
        <v>0.927690650065845</v>
      </c>
      <c r="U1410" s="129">
        <v>0.933117993539806</v>
      </c>
      <c r="V1410" s="129">
        <v>0.93010220903396</v>
      </c>
      <c r="W1410" s="129">
        <v>0.924057858366023</v>
      </c>
      <c r="X1410" s="131">
        <v>0.92</v>
      </c>
      <c r="Y1410" s="131">
        <v>0.912575970079476</v>
      </c>
      <c r="Z1410" s="131">
        <v>0.935443037974684</v>
      </c>
      <c r="AA1410" s="131">
        <v>0.862183020948181</v>
      </c>
      <c r="AB1410" s="131">
        <v>0.91681237747046</v>
      </c>
      <c r="AC1410" s="131">
        <v>0.92</v>
      </c>
      <c r="AD1410" s="129">
        <v>0.998495486459378</v>
      </c>
      <c r="AE1410" s="129">
        <v>0.997322080662176</v>
      </c>
      <c r="AF1410" s="129">
        <v>0.98819320214669</v>
      </c>
      <c r="AG1410" s="129">
        <v>0.989457357614673</v>
      </c>
      <c r="AH1410" s="131">
        <v>0.92</v>
      </c>
      <c r="AI1410" s="129">
        <v>0.956356012959787</v>
      </c>
      <c r="AJ1410" s="129">
        <v>0.961876064456963</v>
      </c>
      <c r="AK1410" s="129">
        <v>0.951240499067833</v>
      </c>
      <c r="AL1410" s="129">
        <v>0.96392827150126</v>
      </c>
      <c r="AM1410" s="128">
        <v>0.99</v>
      </c>
      <c r="AN1410" s="133">
        <v>1</v>
      </c>
      <c r="AO1410" s="133">
        <v>1</v>
      </c>
      <c r="AP1410" s="133">
        <v>1</v>
      </c>
      <c r="AQ1410" s="133">
        <v>1</v>
      </c>
      <c r="AR1410" s="153">
        <v>0.0721861525408278</v>
      </c>
      <c r="AS1410" s="137">
        <v>0.0212765957446809</v>
      </c>
      <c r="AT1410" s="137">
        <v>0.151515151515152</v>
      </c>
      <c r="AU1410" s="137">
        <v>0.075</v>
      </c>
      <c r="AV1410" s="137">
        <v>0.0362438220757825</v>
      </c>
      <c r="AW1410" s="93"/>
      <c r="AX1410" s="91"/>
    </row>
    <row r="1411" ht="14.5" spans="1:50">
      <c r="A1411" s="89"/>
      <c r="B1411" s="93"/>
      <c r="C1411" s="148" t="s">
        <v>1080</v>
      </c>
      <c r="D1411" s="126" t="s">
        <v>1081</v>
      </c>
      <c r="E1411" s="186" t="s">
        <v>1436</v>
      </c>
      <c r="F1411" s="186" t="s">
        <v>1436</v>
      </c>
      <c r="G1411" s="186" t="s">
        <v>1436</v>
      </c>
      <c r="H1411" s="186" t="s">
        <v>1436</v>
      </c>
      <c r="I1411" s="128">
        <v>0.9</v>
      </c>
      <c r="J1411" s="129">
        <v>0.962962962962963</v>
      </c>
      <c r="K1411" s="129">
        <v>0.957142857142857</v>
      </c>
      <c r="L1411" s="130">
        <v>0.96969696969697</v>
      </c>
      <c r="M1411" s="129">
        <v>0.946285714285714</v>
      </c>
      <c r="N1411" s="131">
        <v>0.9</v>
      </c>
      <c r="O1411" s="129">
        <v>0.921082159331754</v>
      </c>
      <c r="P1411" s="129">
        <v>0.964733542319749</v>
      </c>
      <c r="Q1411" s="129">
        <v>0.906403079076277</v>
      </c>
      <c r="R1411" s="129">
        <v>0.941136262060625</v>
      </c>
      <c r="S1411" s="131">
        <v>0.9</v>
      </c>
      <c r="T1411" s="129">
        <v>0.91397581348959</v>
      </c>
      <c r="U1411" s="129">
        <v>0.933973354231975</v>
      </c>
      <c r="V1411" s="129">
        <v>0.896780965710287</v>
      </c>
      <c r="W1411" s="129">
        <v>0.927386492099798</v>
      </c>
      <c r="X1411" s="131">
        <v>0.92</v>
      </c>
      <c r="Y1411" s="131">
        <v>0.912116484659386</v>
      </c>
      <c r="Z1411" s="131">
        <v>0.930712530712531</v>
      </c>
      <c r="AA1411" s="131">
        <v>0.82837528604119</v>
      </c>
      <c r="AB1411" s="131">
        <v>0.910350067208229</v>
      </c>
      <c r="AC1411" s="131">
        <v>0.92</v>
      </c>
      <c r="AD1411" s="129">
        <v>0.991439148542341</v>
      </c>
      <c r="AE1411" s="129">
        <v>0.986462093862816</v>
      </c>
      <c r="AF1411" s="129">
        <v>0.985798816568047</v>
      </c>
      <c r="AG1411" s="129">
        <v>0.982177107376223</v>
      </c>
      <c r="AH1411" s="131">
        <v>0.92</v>
      </c>
      <c r="AI1411" s="129">
        <v>0.959983913130907</v>
      </c>
      <c r="AJ1411" s="129">
        <v>0.959798291077182</v>
      </c>
      <c r="AK1411" s="129">
        <v>0.948589626933576</v>
      </c>
      <c r="AL1411" s="129">
        <v>0.963423139236703</v>
      </c>
      <c r="AM1411" s="128">
        <v>0.99</v>
      </c>
      <c r="AN1411" s="133">
        <v>1</v>
      </c>
      <c r="AO1411" s="133">
        <v>1</v>
      </c>
      <c r="AP1411" s="133">
        <v>1</v>
      </c>
      <c r="AQ1411" s="133">
        <v>1</v>
      </c>
      <c r="AR1411" s="153">
        <v>0.0721861525408278</v>
      </c>
      <c r="AS1411" s="137">
        <v>0.0555555555555556</v>
      </c>
      <c r="AT1411" s="137">
        <v>0.0714285714285714</v>
      </c>
      <c r="AU1411" s="137">
        <v>0.0793650793650794</v>
      </c>
      <c r="AV1411" s="137">
        <v>0.0364321608040201</v>
      </c>
      <c r="AW1411" s="93"/>
      <c r="AX1411" s="91"/>
    </row>
    <row r="1412" ht="14.5" spans="1:50">
      <c r="A1412" s="89"/>
      <c r="B1412" s="93"/>
      <c r="C1412" s="148" t="s">
        <v>1080</v>
      </c>
      <c r="D1412" s="126" t="s">
        <v>1081</v>
      </c>
      <c r="E1412" s="186" t="s">
        <v>1437</v>
      </c>
      <c r="F1412" s="186" t="s">
        <v>1437</v>
      </c>
      <c r="G1412" s="186" t="s">
        <v>1437</v>
      </c>
      <c r="H1412" s="186" t="s">
        <v>1437</v>
      </c>
      <c r="I1412" s="128">
        <v>0.9</v>
      </c>
      <c r="J1412" s="129">
        <v>0.902439024390244</v>
      </c>
      <c r="K1412" s="129">
        <v>0.890625</v>
      </c>
      <c r="L1412" s="130">
        <v>0.903225806451613</v>
      </c>
      <c r="M1412" s="129">
        <v>0.917181705809642</v>
      </c>
      <c r="N1412" s="131">
        <v>0.9</v>
      </c>
      <c r="O1412" s="129">
        <v>0.941479952830189</v>
      </c>
      <c r="P1412" s="129">
        <v>0.95375854214123</v>
      </c>
      <c r="Q1412" s="129">
        <v>0.936435643564356</v>
      </c>
      <c r="R1412" s="129">
        <v>0.931591476683559</v>
      </c>
      <c r="S1412" s="131">
        <v>0.9</v>
      </c>
      <c r="T1412" s="129">
        <v>0.932635613207547</v>
      </c>
      <c r="U1412" s="129">
        <v>0.920273348519362</v>
      </c>
      <c r="V1412" s="129">
        <v>0.924950495049505</v>
      </c>
      <c r="W1412" s="129">
        <v>0.906252281987995</v>
      </c>
      <c r="X1412" s="131">
        <v>0.92</v>
      </c>
      <c r="Y1412" s="131">
        <v>0.912426035502959</v>
      </c>
      <c r="Z1412" s="131">
        <v>0.927729369554075</v>
      </c>
      <c r="AA1412" s="131">
        <v>0.905840286054827</v>
      </c>
      <c r="AB1412" s="131">
        <v>0.924727228147603</v>
      </c>
      <c r="AC1412" s="131">
        <v>0.92</v>
      </c>
      <c r="AD1412" s="129">
        <v>0.997335109926715</v>
      </c>
      <c r="AE1412" s="129">
        <v>0.999397227245329</v>
      </c>
      <c r="AF1412" s="129">
        <v>0.947768762677485</v>
      </c>
      <c r="AG1412" s="129">
        <v>0.994527909622249</v>
      </c>
      <c r="AH1412" s="131">
        <v>0.92</v>
      </c>
      <c r="AI1412" s="129">
        <v>0.96212389380531</v>
      </c>
      <c r="AJ1412" s="129">
        <v>0.958050780633969</v>
      </c>
      <c r="AK1412" s="129">
        <v>0.96723259762309</v>
      </c>
      <c r="AL1412" s="129">
        <v>0.967329897271987</v>
      </c>
      <c r="AM1412" s="128">
        <v>0.99</v>
      </c>
      <c r="AN1412" s="133">
        <v>1</v>
      </c>
      <c r="AO1412" s="133">
        <v>1</v>
      </c>
      <c r="AP1412" s="133">
        <v>1</v>
      </c>
      <c r="AQ1412" s="133">
        <v>1</v>
      </c>
      <c r="AR1412" s="153">
        <v>0.0721861525408278</v>
      </c>
      <c r="AS1412" s="137">
        <v>0.0208333333333333</v>
      </c>
      <c r="AT1412" s="137">
        <v>0.0697674418604651</v>
      </c>
      <c r="AU1412" s="137">
        <v>-0.0212765957446809</v>
      </c>
      <c r="AV1412" s="137">
        <v>0.0266666666666667</v>
      </c>
      <c r="AW1412" s="93"/>
      <c r="AX1412" s="91"/>
    </row>
    <row r="1413" ht="14.5" spans="1:50">
      <c r="A1413" s="89"/>
      <c r="B1413" s="93"/>
      <c r="C1413" s="148" t="s">
        <v>1080</v>
      </c>
      <c r="D1413" s="126" t="s">
        <v>1081</v>
      </c>
      <c r="E1413" s="186" t="s">
        <v>1438</v>
      </c>
      <c r="F1413" s="186" t="s">
        <v>1438</v>
      </c>
      <c r="G1413" s="186" t="s">
        <v>1438</v>
      </c>
      <c r="H1413" s="186" t="s">
        <v>1438</v>
      </c>
      <c r="I1413" s="128">
        <v>0.9</v>
      </c>
      <c r="J1413" s="129">
        <v>0.8</v>
      </c>
      <c r="K1413" s="129">
        <v>0.958333333333333</v>
      </c>
      <c r="L1413" s="130">
        <v>0.95</v>
      </c>
      <c r="M1413" s="129">
        <v>0.944649446494465</v>
      </c>
      <c r="N1413" s="131">
        <v>0.9</v>
      </c>
      <c r="O1413" s="129">
        <v>0.979738856371004</v>
      </c>
      <c r="P1413" s="129">
        <v>0.982261640798226</v>
      </c>
      <c r="Q1413" s="129">
        <v>0.975301866081229</v>
      </c>
      <c r="R1413" s="129">
        <v>0.980403993498955</v>
      </c>
      <c r="S1413" s="131">
        <v>0.9</v>
      </c>
      <c r="T1413" s="129">
        <v>0.925709140027015</v>
      </c>
      <c r="U1413" s="129">
        <v>0.951958610495196</v>
      </c>
      <c r="V1413" s="129">
        <v>0.929747530186608</v>
      </c>
      <c r="W1413" s="129">
        <v>0.937961458091479</v>
      </c>
      <c r="X1413" s="131">
        <v>0.92</v>
      </c>
      <c r="Y1413" s="131">
        <v>0.924564796905222</v>
      </c>
      <c r="Z1413" s="131">
        <v>0.910331384015595</v>
      </c>
      <c r="AA1413" s="131">
        <v>0.981617647058823</v>
      </c>
      <c r="AB1413" s="131">
        <v>0.949201741654572</v>
      </c>
      <c r="AC1413" s="131">
        <v>0.92</v>
      </c>
      <c r="AD1413" s="129">
        <v>1</v>
      </c>
      <c r="AE1413" s="129">
        <v>0.998601398601399</v>
      </c>
      <c r="AF1413" s="129">
        <v>0.998425196850394</v>
      </c>
      <c r="AG1413" s="129">
        <v>0.999324841337714</v>
      </c>
      <c r="AH1413" s="131">
        <v>0.92</v>
      </c>
      <c r="AI1413" s="129">
        <v>0.965315808689303</v>
      </c>
      <c r="AJ1413" s="129">
        <v>0.963022508038585</v>
      </c>
      <c r="AK1413" s="129">
        <v>0.988066825775656</v>
      </c>
      <c r="AL1413" s="129">
        <v>0.975381230559138</v>
      </c>
      <c r="AM1413" s="128">
        <v>0.99</v>
      </c>
      <c r="AN1413" s="133">
        <v>1</v>
      </c>
      <c r="AO1413" s="133">
        <v>1</v>
      </c>
      <c r="AP1413" s="133">
        <v>1</v>
      </c>
      <c r="AQ1413" s="133">
        <v>1</v>
      </c>
      <c r="AR1413" s="153">
        <v>0.0721861525408278</v>
      </c>
      <c r="AS1413" s="137">
        <v>0.05</v>
      </c>
      <c r="AT1413" s="137">
        <v>0.0769230769230769</v>
      </c>
      <c r="AU1413" s="137">
        <v>0</v>
      </c>
      <c r="AV1413" s="137">
        <v>0.0408163265306122</v>
      </c>
      <c r="AW1413" s="93"/>
      <c r="AX1413" s="91"/>
    </row>
    <row r="1414" ht="14.5" spans="1:50">
      <c r="A1414" s="89"/>
      <c r="B1414" s="93"/>
      <c r="C1414" s="148" t="s">
        <v>1080</v>
      </c>
      <c r="D1414" s="126" t="s">
        <v>1081</v>
      </c>
      <c r="E1414" s="186" t="s">
        <v>1439</v>
      </c>
      <c r="F1414" s="186" t="s">
        <v>1439</v>
      </c>
      <c r="G1414" s="186" t="s">
        <v>1439</v>
      </c>
      <c r="H1414" s="186" t="s">
        <v>1439</v>
      </c>
      <c r="I1414" s="128">
        <v>0.9</v>
      </c>
      <c r="J1414" s="129">
        <v>1</v>
      </c>
      <c r="K1414" s="129">
        <v>0.966666666666667</v>
      </c>
      <c r="L1414" s="130">
        <v>0.966666666666667</v>
      </c>
      <c r="M1414" s="129">
        <v>0.991329479768786</v>
      </c>
      <c r="N1414" s="131">
        <v>0.9</v>
      </c>
      <c r="O1414" s="129">
        <v>0.993501805054152</v>
      </c>
      <c r="P1414" s="129">
        <v>0.995171997585999</v>
      </c>
      <c r="Q1414" s="129">
        <v>0.991967871485944</v>
      </c>
      <c r="R1414" s="129">
        <v>0.991051454138702</v>
      </c>
      <c r="S1414" s="131">
        <v>0.9</v>
      </c>
      <c r="T1414" s="129">
        <v>0.93826714801444</v>
      </c>
      <c r="U1414" s="129">
        <v>0.96016898008449</v>
      </c>
      <c r="V1414" s="129">
        <v>0.960341365461847</v>
      </c>
      <c r="W1414" s="129">
        <v>0.941912947917893</v>
      </c>
      <c r="X1414" s="131">
        <v>0.92</v>
      </c>
      <c r="Y1414" s="131">
        <v>0.973509933774834</v>
      </c>
      <c r="Z1414" s="131">
        <v>0.974358974358974</v>
      </c>
      <c r="AA1414" s="131">
        <v>0.976878612716763</v>
      </c>
      <c r="AB1414" s="131">
        <v>0.973403518492866</v>
      </c>
      <c r="AC1414" s="131">
        <v>0.92</v>
      </c>
      <c r="AD1414" s="129">
        <v>1</v>
      </c>
      <c r="AE1414" s="129">
        <v>1</v>
      </c>
      <c r="AF1414" s="129">
        <v>1</v>
      </c>
      <c r="AG1414" s="129">
        <v>1</v>
      </c>
      <c r="AH1414" s="131">
        <v>0.92</v>
      </c>
      <c r="AI1414" s="129">
        <v>0.982518518518519</v>
      </c>
      <c r="AJ1414" s="129">
        <v>0.982902235861464</v>
      </c>
      <c r="AK1414" s="129">
        <v>0.989734816082121</v>
      </c>
      <c r="AL1414" s="129">
        <v>0.982753348419057</v>
      </c>
      <c r="AM1414" s="128">
        <v>0.99</v>
      </c>
      <c r="AN1414" s="133">
        <v>1</v>
      </c>
      <c r="AO1414" s="133">
        <v>1</v>
      </c>
      <c r="AP1414" s="133">
        <v>1</v>
      </c>
      <c r="AQ1414" s="133">
        <v>1</v>
      </c>
      <c r="AR1414" s="153">
        <v>0.0721861525408278</v>
      </c>
      <c r="AS1414" s="137">
        <v>0</v>
      </c>
      <c r="AT1414" s="137">
        <v>0.0625</v>
      </c>
      <c r="AU1414" s="137">
        <v>0.0555555555555556</v>
      </c>
      <c r="AV1414" s="137">
        <v>0.0335570469798658</v>
      </c>
      <c r="AW1414" s="93"/>
      <c r="AX1414" s="91"/>
    </row>
    <row r="1415" ht="14.5" spans="1:50">
      <c r="A1415" s="89"/>
      <c r="B1415" s="93"/>
      <c r="C1415" s="148" t="s">
        <v>1080</v>
      </c>
      <c r="D1415" s="126" t="s">
        <v>1081</v>
      </c>
      <c r="E1415" s="186" t="s">
        <v>1440</v>
      </c>
      <c r="F1415" s="186" t="s">
        <v>1440</v>
      </c>
      <c r="G1415" s="186" t="s">
        <v>1440</v>
      </c>
      <c r="H1415" s="186" t="s">
        <v>1440</v>
      </c>
      <c r="I1415" s="128">
        <v>0.9</v>
      </c>
      <c r="J1415" s="129">
        <v>0.959183673469388</v>
      </c>
      <c r="K1415" s="129">
        <v>0.886363636363636</v>
      </c>
      <c r="L1415" s="130">
        <v>0.952380952380952</v>
      </c>
      <c r="M1415" s="129">
        <v>0.919413919413919</v>
      </c>
      <c r="N1415" s="131">
        <v>0.9</v>
      </c>
      <c r="O1415" s="129">
        <v>0.969722633919119</v>
      </c>
      <c r="P1415" s="129">
        <v>0.970418225093506</v>
      </c>
      <c r="Q1415" s="129">
        <v>0.974822112753147</v>
      </c>
      <c r="R1415" s="129">
        <v>0.968067527131437</v>
      </c>
      <c r="S1415" s="131">
        <v>0.9</v>
      </c>
      <c r="T1415" s="129">
        <v>0.959559601947914</v>
      </c>
      <c r="U1415" s="129">
        <v>0.96497789867392</v>
      </c>
      <c r="V1415" s="129">
        <v>0.952380952380952</v>
      </c>
      <c r="W1415" s="129">
        <v>0.951096422669823</v>
      </c>
      <c r="X1415" s="131">
        <v>0.92</v>
      </c>
      <c r="Y1415" s="131">
        <v>0.924693520140105</v>
      </c>
      <c r="Z1415" s="131">
        <v>0.946192052980132</v>
      </c>
      <c r="AA1415" s="131">
        <v>0.835034013605442</v>
      </c>
      <c r="AB1415" s="131">
        <v>0.929727564102564</v>
      </c>
      <c r="AC1415" s="131">
        <v>0.92</v>
      </c>
      <c r="AD1415" s="129">
        <v>0.997307221542228</v>
      </c>
      <c r="AE1415" s="129">
        <v>0.989810997899977</v>
      </c>
      <c r="AF1415" s="129">
        <v>0.653448510406747</v>
      </c>
      <c r="AG1415" s="129">
        <v>0.928017701931602</v>
      </c>
      <c r="AH1415" s="131">
        <v>0.92</v>
      </c>
      <c r="AI1415" s="129">
        <v>0.967313585291113</v>
      </c>
      <c r="AJ1415" s="129">
        <v>0.973291626564004</v>
      </c>
      <c r="AK1415" s="129">
        <v>0.951305575158786</v>
      </c>
      <c r="AL1415" s="129">
        <v>0.96825673672277</v>
      </c>
      <c r="AM1415" s="128">
        <v>0.99</v>
      </c>
      <c r="AN1415" s="133">
        <v>1</v>
      </c>
      <c r="AO1415" s="133">
        <v>1</v>
      </c>
      <c r="AP1415" s="133">
        <v>1</v>
      </c>
      <c r="AQ1415" s="133">
        <v>1</v>
      </c>
      <c r="AR1415" s="153">
        <v>0.0721861525408278</v>
      </c>
      <c r="AS1415" s="137">
        <v>0</v>
      </c>
      <c r="AT1415" s="137">
        <v>0.0454545454545455</v>
      </c>
      <c r="AU1415" s="137">
        <v>0.0476190476190476</v>
      </c>
      <c r="AV1415" s="137">
        <v>0.0228136882129278</v>
      </c>
      <c r="AW1415" s="93"/>
      <c r="AX1415" s="91"/>
    </row>
    <row r="1416" ht="14.5" spans="1:50">
      <c r="A1416" s="89"/>
      <c r="B1416" s="93"/>
      <c r="C1416" s="148" t="s">
        <v>1080</v>
      </c>
      <c r="D1416" s="126" t="s">
        <v>1081</v>
      </c>
      <c r="E1416" s="186" t="s">
        <v>1441</v>
      </c>
      <c r="F1416" s="186" t="s">
        <v>1441</v>
      </c>
      <c r="G1416" s="186" t="s">
        <v>1441</v>
      </c>
      <c r="H1416" s="186" t="s">
        <v>1441</v>
      </c>
      <c r="I1416" s="128">
        <v>0.9</v>
      </c>
      <c r="J1416" s="129" t="s">
        <v>33</v>
      </c>
      <c r="K1416" s="129" t="s">
        <v>33</v>
      </c>
      <c r="L1416" s="130" t="s">
        <v>33</v>
      </c>
      <c r="M1416" s="129" t="s">
        <v>33</v>
      </c>
      <c r="N1416" s="131">
        <v>0.9</v>
      </c>
      <c r="O1416" s="129" t="s">
        <v>33</v>
      </c>
      <c r="P1416" s="129" t="s">
        <v>33</v>
      </c>
      <c r="Q1416" s="129" t="s">
        <v>33</v>
      </c>
      <c r="R1416" s="129" t="s">
        <v>33</v>
      </c>
      <c r="S1416" s="131">
        <v>0.9</v>
      </c>
      <c r="T1416" s="129" t="s">
        <v>33</v>
      </c>
      <c r="U1416" s="129" t="s">
        <v>33</v>
      </c>
      <c r="V1416" s="129" t="s">
        <v>33</v>
      </c>
      <c r="W1416" s="129" t="s">
        <v>33</v>
      </c>
      <c r="X1416" s="131">
        <v>0.92</v>
      </c>
      <c r="Y1416" s="131" t="s">
        <v>33</v>
      </c>
      <c r="Z1416" s="131" t="s">
        <v>33</v>
      </c>
      <c r="AA1416" s="131" t="s">
        <v>33</v>
      </c>
      <c r="AB1416" s="131" t="s">
        <v>33</v>
      </c>
      <c r="AC1416" s="131">
        <v>0.92</v>
      </c>
      <c r="AD1416" s="129">
        <v>1</v>
      </c>
      <c r="AE1416" s="129">
        <v>1</v>
      </c>
      <c r="AF1416" s="129">
        <v>0.998058252427184</v>
      </c>
      <c r="AG1416" s="129">
        <v>0.998884435813742</v>
      </c>
      <c r="AH1416" s="131">
        <v>0.92</v>
      </c>
      <c r="AI1416" s="129" t="s">
        <v>33</v>
      </c>
      <c r="AJ1416" s="129" t="s">
        <v>33</v>
      </c>
      <c r="AK1416" s="129" t="s">
        <v>33</v>
      </c>
      <c r="AL1416" s="129" t="s">
        <v>33</v>
      </c>
      <c r="AM1416" s="128">
        <v>0.99</v>
      </c>
      <c r="AN1416" s="133">
        <v>1</v>
      </c>
      <c r="AO1416" s="133">
        <v>1</v>
      </c>
      <c r="AP1416" s="133">
        <v>1</v>
      </c>
      <c r="AQ1416" s="133">
        <v>1</v>
      </c>
      <c r="AR1416" s="153">
        <v>0.0721861525408278</v>
      </c>
      <c r="AS1416" s="137" t="s">
        <v>33</v>
      </c>
      <c r="AT1416" s="137" t="s">
        <v>33</v>
      </c>
      <c r="AU1416" s="137" t="s">
        <v>33</v>
      </c>
      <c r="AV1416" s="137" t="s">
        <v>33</v>
      </c>
      <c r="AW1416" s="93"/>
      <c r="AX1416" s="91"/>
    </row>
    <row r="1417" ht="14.5" spans="1:50">
      <c r="A1417" s="89"/>
      <c r="B1417" s="93"/>
      <c r="C1417" s="148" t="s">
        <v>1080</v>
      </c>
      <c r="D1417" s="126" t="s">
        <v>1081</v>
      </c>
      <c r="E1417" s="186" t="s">
        <v>1442</v>
      </c>
      <c r="F1417" s="186" t="s">
        <v>1442</v>
      </c>
      <c r="G1417" s="186" t="s">
        <v>1442</v>
      </c>
      <c r="H1417" s="186" t="s">
        <v>1442</v>
      </c>
      <c r="I1417" s="128">
        <v>0.9</v>
      </c>
      <c r="J1417" s="129">
        <v>0.888888888888889</v>
      </c>
      <c r="K1417" s="129">
        <v>0.905660377358491</v>
      </c>
      <c r="L1417" s="130">
        <v>0.779661016949153</v>
      </c>
      <c r="M1417" s="129">
        <v>0.871447902571042</v>
      </c>
      <c r="N1417" s="131">
        <v>0.9</v>
      </c>
      <c r="O1417" s="129">
        <v>0.931661614769909</v>
      </c>
      <c r="P1417" s="129">
        <v>0.946633312486971</v>
      </c>
      <c r="Q1417" s="129">
        <v>0.969248291571754</v>
      </c>
      <c r="R1417" s="129">
        <v>0.938419774253465</v>
      </c>
      <c r="S1417" s="131">
        <v>0.9</v>
      </c>
      <c r="T1417" s="129">
        <v>0.878203361807661</v>
      </c>
      <c r="U1417" s="129">
        <v>0.8878465707734</v>
      </c>
      <c r="V1417" s="129">
        <v>0.890280941533789</v>
      </c>
      <c r="W1417" s="129">
        <v>0.882954707815402</v>
      </c>
      <c r="X1417" s="131">
        <v>0.92</v>
      </c>
      <c r="Y1417" s="131">
        <v>0.94228855721393</v>
      </c>
      <c r="Z1417" s="131">
        <v>0.933052434456929</v>
      </c>
      <c r="AA1417" s="131">
        <v>0.923226433430515</v>
      </c>
      <c r="AB1417" s="131">
        <v>0.93246841538723</v>
      </c>
      <c r="AC1417" s="131">
        <v>0.92</v>
      </c>
      <c r="AD1417" s="129">
        <v>0.992303346984889</v>
      </c>
      <c r="AE1417" s="129">
        <v>0.913447933287172</v>
      </c>
      <c r="AF1417" s="129">
        <v>0.811766765890387</v>
      </c>
      <c r="AG1417" s="129">
        <v>0.944836463097892</v>
      </c>
      <c r="AH1417" s="131">
        <v>0.92</v>
      </c>
      <c r="AI1417" s="129">
        <v>0.967209578254773</v>
      </c>
      <c r="AJ1417" s="129">
        <v>0.956026528258362</v>
      </c>
      <c r="AK1417" s="129">
        <v>0.960146078120038</v>
      </c>
      <c r="AL1417" s="129">
        <v>0.962365959388547</v>
      </c>
      <c r="AM1417" s="128">
        <v>0.99</v>
      </c>
      <c r="AN1417" s="133">
        <v>1</v>
      </c>
      <c r="AO1417" s="133">
        <v>1</v>
      </c>
      <c r="AP1417" s="133">
        <v>1</v>
      </c>
      <c r="AQ1417" s="133">
        <v>1</v>
      </c>
      <c r="AR1417" s="153">
        <v>0.0721861525408278</v>
      </c>
      <c r="AS1417" s="137">
        <v>0.0952380952380952</v>
      </c>
      <c r="AT1417" s="137">
        <v>0.0810810810810811</v>
      </c>
      <c r="AU1417" s="137">
        <v>0.0454545454545455</v>
      </c>
      <c r="AV1417" s="137">
        <v>0.0352941176470588</v>
      </c>
      <c r="AW1417" s="93"/>
      <c r="AX1417" s="91"/>
    </row>
    <row r="1418" ht="14.5" spans="1:50">
      <c r="A1418" s="89"/>
      <c r="B1418" s="93"/>
      <c r="C1418" s="148" t="s">
        <v>1080</v>
      </c>
      <c r="D1418" s="126" t="s">
        <v>1081</v>
      </c>
      <c r="E1418" s="186" t="s">
        <v>1443</v>
      </c>
      <c r="F1418" s="186" t="s">
        <v>1443</v>
      </c>
      <c r="G1418" s="186" t="s">
        <v>1443</v>
      </c>
      <c r="H1418" s="186" t="s">
        <v>1443</v>
      </c>
      <c r="I1418" s="128">
        <v>0.9</v>
      </c>
      <c r="J1418" s="129">
        <v>0.983050847457627</v>
      </c>
      <c r="K1418" s="129">
        <v>0.934782608695652</v>
      </c>
      <c r="L1418" s="130">
        <v>0.956521739130435</v>
      </c>
      <c r="M1418" s="129">
        <v>0.967796610169491</v>
      </c>
      <c r="N1418" s="131">
        <v>0.9</v>
      </c>
      <c r="O1418" s="129">
        <v>0.983621150080114</v>
      </c>
      <c r="P1418" s="129">
        <v>0.960379918588874</v>
      </c>
      <c r="Q1418" s="129">
        <v>0.989049394221808</v>
      </c>
      <c r="R1418" s="129">
        <v>0.969865852133683</v>
      </c>
      <c r="S1418" s="131">
        <v>0.9</v>
      </c>
      <c r="T1418" s="129">
        <v>0.950863450240342</v>
      </c>
      <c r="U1418" s="129">
        <v>0.953324287652646</v>
      </c>
      <c r="V1418" s="129">
        <v>0.958061509785648</v>
      </c>
      <c r="W1418" s="129">
        <v>0.937088044584963</v>
      </c>
      <c r="X1418" s="131">
        <v>0.92</v>
      </c>
      <c r="Y1418" s="131">
        <v>0.949848024316109</v>
      </c>
      <c r="Z1418" s="131">
        <v>0.943089430894309</v>
      </c>
      <c r="AA1418" s="131">
        <v>0.913522012578616</v>
      </c>
      <c r="AB1418" s="131">
        <v>0.935977564102564</v>
      </c>
      <c r="AC1418" s="131">
        <v>0.92</v>
      </c>
      <c r="AD1418" s="129">
        <v>0.997919762258544</v>
      </c>
      <c r="AE1418" s="129">
        <v>0.985318472763081</v>
      </c>
      <c r="AF1418" s="129">
        <v>0.978319783197832</v>
      </c>
      <c r="AG1418" s="129">
        <v>0.964183060605165</v>
      </c>
      <c r="AH1418" s="131">
        <v>0.92</v>
      </c>
      <c r="AI1418" s="129">
        <v>0.969142033165104</v>
      </c>
      <c r="AJ1418" s="129">
        <v>0.96474234792716</v>
      </c>
      <c r="AK1418" s="129">
        <v>0.970176506390749</v>
      </c>
      <c r="AL1418" s="129">
        <v>0.966543022372802</v>
      </c>
      <c r="AM1418" s="128">
        <v>0.99</v>
      </c>
      <c r="AN1418" s="133">
        <v>1</v>
      </c>
      <c r="AO1418" s="133">
        <v>1</v>
      </c>
      <c r="AP1418" s="133">
        <v>1</v>
      </c>
      <c r="AQ1418" s="133">
        <v>1</v>
      </c>
      <c r="AR1418" s="153">
        <v>0.0721861525408278</v>
      </c>
      <c r="AS1418" s="137">
        <v>0.0227272727272727</v>
      </c>
      <c r="AT1418" s="137">
        <v>0.0416666666666667</v>
      </c>
      <c r="AU1418" s="137">
        <v>0.0338983050847458</v>
      </c>
      <c r="AV1418" s="137">
        <v>0.0475285171102662</v>
      </c>
      <c r="AW1418" s="93"/>
      <c r="AX1418" s="91"/>
    </row>
    <row r="1419" ht="14.5" spans="1:50">
      <c r="A1419" s="89"/>
      <c r="B1419" s="93"/>
      <c r="C1419" s="148" t="s">
        <v>1080</v>
      </c>
      <c r="D1419" s="126" t="s">
        <v>1081</v>
      </c>
      <c r="E1419" s="186" t="s">
        <v>1444</v>
      </c>
      <c r="F1419" s="186" t="s">
        <v>1444</v>
      </c>
      <c r="G1419" s="186" t="s">
        <v>1444</v>
      </c>
      <c r="H1419" s="186" t="s">
        <v>1444</v>
      </c>
      <c r="I1419" s="128">
        <v>0.9</v>
      </c>
      <c r="J1419" s="129">
        <v>0.911764705882353</v>
      </c>
      <c r="K1419" s="129">
        <v>0.907407407407407</v>
      </c>
      <c r="L1419" s="130">
        <v>0.910714285714286</v>
      </c>
      <c r="M1419" s="129">
        <v>0.924137931034483</v>
      </c>
      <c r="N1419" s="131">
        <v>0.9</v>
      </c>
      <c r="O1419" s="129">
        <v>0.953232002672457</v>
      </c>
      <c r="P1419" s="129">
        <v>0.968559837728195</v>
      </c>
      <c r="Q1419" s="129">
        <v>0.936567994658357</v>
      </c>
      <c r="R1419" s="129">
        <v>0.907872504470218</v>
      </c>
      <c r="S1419" s="131">
        <v>0.9</v>
      </c>
      <c r="T1419" s="129">
        <v>0.911307833639552</v>
      </c>
      <c r="U1419" s="129">
        <v>0.925709939148073</v>
      </c>
      <c r="V1419" s="129">
        <v>0.896950812374805</v>
      </c>
      <c r="W1419" s="129">
        <v>0.88735051428009</v>
      </c>
      <c r="X1419" s="131">
        <v>0.92</v>
      </c>
      <c r="Y1419" s="131">
        <v>0.916370106761566</v>
      </c>
      <c r="Z1419" s="131">
        <v>0.909090909090909</v>
      </c>
      <c r="AA1419" s="131">
        <v>0.946768060836502</v>
      </c>
      <c r="AB1419" s="131">
        <v>0.910719187482844</v>
      </c>
      <c r="AC1419" s="131">
        <v>0.92</v>
      </c>
      <c r="AD1419" s="129">
        <v>0.996855741416174</v>
      </c>
      <c r="AE1419" s="129">
        <v>0.995687510366562</v>
      </c>
      <c r="AF1419" s="129">
        <v>0.81019181219582</v>
      </c>
      <c r="AG1419" s="129">
        <v>0.952837638005542</v>
      </c>
      <c r="AH1419" s="131">
        <v>0.92</v>
      </c>
      <c r="AI1419" s="129">
        <v>0.961428199113891</v>
      </c>
      <c r="AJ1419" s="129">
        <v>0.956730769230769</v>
      </c>
      <c r="AK1419" s="129">
        <v>0.973873532752745</v>
      </c>
      <c r="AL1419" s="129">
        <v>0.961871475097307</v>
      </c>
      <c r="AM1419" s="128">
        <v>0.99</v>
      </c>
      <c r="AN1419" s="133">
        <v>1</v>
      </c>
      <c r="AO1419" s="133">
        <v>1</v>
      </c>
      <c r="AP1419" s="133">
        <v>0.98936170212766</v>
      </c>
      <c r="AQ1419" s="133">
        <v>0.999263080324245</v>
      </c>
      <c r="AR1419" s="153">
        <v>0.0721861525408278</v>
      </c>
      <c r="AS1419" s="137">
        <v>0.115384615384615</v>
      </c>
      <c r="AT1419" s="137">
        <v>0.125</v>
      </c>
      <c r="AU1419" s="137">
        <v>0.0333333333333333</v>
      </c>
      <c r="AV1419" s="137">
        <v>0.0649350649350649</v>
      </c>
      <c r="AW1419" s="93"/>
      <c r="AX1419" s="91"/>
    </row>
    <row r="1420" ht="14.5" spans="1:50">
      <c r="A1420" s="89"/>
      <c r="B1420" s="93"/>
      <c r="C1420" s="148" t="s">
        <v>1080</v>
      </c>
      <c r="D1420" s="126" t="s">
        <v>1081</v>
      </c>
      <c r="E1420" s="186" t="s">
        <v>1445</v>
      </c>
      <c r="F1420" s="186" t="s">
        <v>1445</v>
      </c>
      <c r="G1420" s="186" t="s">
        <v>1445</v>
      </c>
      <c r="H1420" s="186" t="s">
        <v>1445</v>
      </c>
      <c r="I1420" s="128">
        <v>0.9</v>
      </c>
      <c r="J1420" s="129">
        <v>0.923076923076923</v>
      </c>
      <c r="K1420" s="129">
        <v>0.980769230769231</v>
      </c>
      <c r="L1420" s="130">
        <v>0.981818181818182</v>
      </c>
      <c r="M1420" s="129">
        <v>0.945508100147275</v>
      </c>
      <c r="N1420" s="131">
        <v>0.9</v>
      </c>
      <c r="O1420" s="129">
        <v>0.960163934426229</v>
      </c>
      <c r="P1420" s="129">
        <v>0.950980392156863</v>
      </c>
      <c r="Q1420" s="129">
        <v>0.956039441248973</v>
      </c>
      <c r="R1420" s="129">
        <v>0.913467695729837</v>
      </c>
      <c r="S1420" s="131">
        <v>0.9</v>
      </c>
      <c r="T1420" s="129">
        <v>0.919180327868853</v>
      </c>
      <c r="U1420" s="129">
        <v>0.928534571723426</v>
      </c>
      <c r="V1420" s="129">
        <v>0.925842235004108</v>
      </c>
      <c r="W1420" s="129">
        <v>0.921050857739881</v>
      </c>
      <c r="X1420" s="131">
        <v>0.92</v>
      </c>
      <c r="Y1420" s="131">
        <v>0.948582729070534</v>
      </c>
      <c r="Z1420" s="131">
        <v>0.913119533527697</v>
      </c>
      <c r="AA1420" s="131">
        <v>0.900593471810089</v>
      </c>
      <c r="AB1420" s="131">
        <v>0.921381774865992</v>
      </c>
      <c r="AC1420" s="131">
        <v>0.92</v>
      </c>
      <c r="AD1420" s="129">
        <v>0.995836121644732</v>
      </c>
      <c r="AE1420" s="129">
        <v>0.880887281707532</v>
      </c>
      <c r="AF1420" s="129">
        <v>0.918786206896552</v>
      </c>
      <c r="AG1420" s="129">
        <v>0.95619190552613</v>
      </c>
      <c r="AH1420" s="131">
        <v>0.92</v>
      </c>
      <c r="AI1420" s="129">
        <v>0.965997111723776</v>
      </c>
      <c r="AJ1420" s="129">
        <v>0.955114449213162</v>
      </c>
      <c r="AK1420" s="129">
        <v>0.970052318239221</v>
      </c>
      <c r="AL1420" s="129">
        <v>0.965691595333947</v>
      </c>
      <c r="AM1420" s="128">
        <v>0.99</v>
      </c>
      <c r="AN1420" s="133">
        <v>1</v>
      </c>
      <c r="AO1420" s="133">
        <v>1</v>
      </c>
      <c r="AP1420" s="133">
        <v>1</v>
      </c>
      <c r="AQ1420" s="133">
        <v>1</v>
      </c>
      <c r="AR1420" s="153">
        <v>0.0721861525408278</v>
      </c>
      <c r="AS1420" s="137">
        <v>0.0476190476190476</v>
      </c>
      <c r="AT1420" s="137">
        <v>0.1875</v>
      </c>
      <c r="AU1420" s="137">
        <v>0</v>
      </c>
      <c r="AV1420" s="137">
        <v>0.0476190476190476</v>
      </c>
      <c r="AW1420" s="93"/>
      <c r="AX1420" s="91"/>
    </row>
    <row r="1421" ht="14.5" spans="1:50">
      <c r="A1421" s="89"/>
      <c r="B1421" s="93"/>
      <c r="C1421" s="148" t="s">
        <v>1080</v>
      </c>
      <c r="D1421" s="126" t="s">
        <v>1081</v>
      </c>
      <c r="E1421" s="186" t="s">
        <v>1446</v>
      </c>
      <c r="F1421" s="186" t="s">
        <v>1446</v>
      </c>
      <c r="G1421" s="186" t="s">
        <v>1446</v>
      </c>
      <c r="H1421" s="186" t="s">
        <v>1446</v>
      </c>
      <c r="I1421" s="128">
        <v>0.9</v>
      </c>
      <c r="J1421" s="129">
        <v>0.967213114754098</v>
      </c>
      <c r="K1421" s="129">
        <v>0.958333333333333</v>
      </c>
      <c r="L1421" s="130">
        <v>0.857142857142857</v>
      </c>
      <c r="M1421" s="129">
        <v>0.941732283464567</v>
      </c>
      <c r="N1421" s="131">
        <v>0.9</v>
      </c>
      <c r="O1421" s="129">
        <v>0.980671795834115</v>
      </c>
      <c r="P1421" s="129">
        <v>0.979639325189063</v>
      </c>
      <c r="Q1421" s="129">
        <v>0.975024248302619</v>
      </c>
      <c r="R1421" s="129">
        <v>0.973448447490333</v>
      </c>
      <c r="S1421" s="131">
        <v>0.9</v>
      </c>
      <c r="T1421" s="129">
        <v>0.92512666541565</v>
      </c>
      <c r="U1421" s="129">
        <v>0.941244909831297</v>
      </c>
      <c r="V1421" s="129">
        <v>0.941561590688652</v>
      </c>
      <c r="W1421" s="129">
        <v>0.939775642252766</v>
      </c>
      <c r="X1421" s="131">
        <v>0.92</v>
      </c>
      <c r="Y1421" s="131">
        <v>0.894444444444444</v>
      </c>
      <c r="Z1421" s="131">
        <v>0.919388464211258</v>
      </c>
      <c r="AA1421" s="131">
        <v>0.850533807829182</v>
      </c>
      <c r="AB1421" s="131">
        <v>0.897689768976898</v>
      </c>
      <c r="AC1421" s="131">
        <v>0.92</v>
      </c>
      <c r="AD1421" s="129">
        <v>0.970579994396189</v>
      </c>
      <c r="AE1421" s="129">
        <v>0.996520226185298</v>
      </c>
      <c r="AF1421" s="129">
        <v>0.98924398359514</v>
      </c>
      <c r="AG1421" s="129">
        <v>0.983303664193871</v>
      </c>
      <c r="AH1421" s="131">
        <v>0.92</v>
      </c>
      <c r="AI1421" s="129">
        <v>0.950523599939293</v>
      </c>
      <c r="AJ1421" s="129">
        <v>0.955300389583761</v>
      </c>
      <c r="AK1421" s="129">
        <v>0.960315767015148</v>
      </c>
      <c r="AL1421" s="129">
        <v>0.959223816288618</v>
      </c>
      <c r="AM1421" s="128">
        <v>0.99</v>
      </c>
      <c r="AN1421" s="133">
        <v>1</v>
      </c>
      <c r="AO1421" s="133">
        <v>1</v>
      </c>
      <c r="AP1421" s="133">
        <v>1</v>
      </c>
      <c r="AQ1421" s="133">
        <v>1</v>
      </c>
      <c r="AR1421" s="153">
        <v>0.0721861525408278</v>
      </c>
      <c r="AS1421" s="137">
        <v>0.0238095238095238</v>
      </c>
      <c r="AT1421" s="137">
        <v>0</v>
      </c>
      <c r="AU1421" s="137">
        <v>0.114285714285714</v>
      </c>
      <c r="AV1421" s="137">
        <v>0.0440835266821346</v>
      </c>
      <c r="AW1421" s="93"/>
      <c r="AX1421" s="91"/>
    </row>
    <row r="1422" ht="14.5" spans="1:50">
      <c r="A1422" s="89"/>
      <c r="B1422" s="93"/>
      <c r="C1422" s="148" t="s">
        <v>1080</v>
      </c>
      <c r="D1422" s="126" t="s">
        <v>1081</v>
      </c>
      <c r="E1422" s="186" t="s">
        <v>1447</v>
      </c>
      <c r="F1422" s="186" t="s">
        <v>1447</v>
      </c>
      <c r="G1422" s="186" t="s">
        <v>1447</v>
      </c>
      <c r="H1422" s="186" t="s">
        <v>1447</v>
      </c>
      <c r="I1422" s="128">
        <v>0.9</v>
      </c>
      <c r="J1422" s="129" t="s">
        <v>33</v>
      </c>
      <c r="K1422" s="129" t="s">
        <v>33</v>
      </c>
      <c r="L1422" s="130" t="s">
        <v>33</v>
      </c>
      <c r="M1422" s="129" t="s">
        <v>33</v>
      </c>
      <c r="N1422" s="131">
        <v>0.9</v>
      </c>
      <c r="O1422" s="129" t="s">
        <v>33</v>
      </c>
      <c r="P1422" s="129" t="s">
        <v>33</v>
      </c>
      <c r="Q1422" s="129" t="s">
        <v>33</v>
      </c>
      <c r="R1422" s="129" t="s">
        <v>33</v>
      </c>
      <c r="S1422" s="131">
        <v>0.9</v>
      </c>
      <c r="T1422" s="129" t="s">
        <v>33</v>
      </c>
      <c r="U1422" s="129" t="s">
        <v>33</v>
      </c>
      <c r="V1422" s="129" t="s">
        <v>33</v>
      </c>
      <c r="W1422" s="129" t="s">
        <v>33</v>
      </c>
      <c r="X1422" s="131">
        <v>0.92</v>
      </c>
      <c r="Y1422" s="131" t="s">
        <v>33</v>
      </c>
      <c r="Z1422" s="131" t="s">
        <v>33</v>
      </c>
      <c r="AA1422" s="131" t="s">
        <v>33</v>
      </c>
      <c r="AB1422" s="131" t="s">
        <v>33</v>
      </c>
      <c r="AC1422" s="131">
        <v>0.92</v>
      </c>
      <c r="AD1422" s="129" t="s">
        <v>33</v>
      </c>
      <c r="AE1422" s="129" t="s">
        <v>33</v>
      </c>
      <c r="AF1422" s="129" t="s">
        <v>33</v>
      </c>
      <c r="AG1422" s="129" t="s">
        <v>33</v>
      </c>
      <c r="AH1422" s="131">
        <v>0.92</v>
      </c>
      <c r="AI1422" s="129" t="s">
        <v>33</v>
      </c>
      <c r="AJ1422" s="129" t="s">
        <v>33</v>
      </c>
      <c r="AK1422" s="129" t="s">
        <v>33</v>
      </c>
      <c r="AL1422" s="129" t="s">
        <v>33</v>
      </c>
      <c r="AM1422" s="128">
        <v>0.99</v>
      </c>
      <c r="AN1422" s="133" t="s">
        <v>33</v>
      </c>
      <c r="AO1422" s="133" t="s">
        <v>33</v>
      </c>
      <c r="AP1422" s="133" t="s">
        <v>33</v>
      </c>
      <c r="AQ1422" s="133" t="s">
        <v>33</v>
      </c>
      <c r="AR1422" s="153">
        <v>0.0721861525408278</v>
      </c>
      <c r="AS1422" s="137" t="s">
        <v>33</v>
      </c>
      <c r="AT1422" s="137" t="s">
        <v>33</v>
      </c>
      <c r="AU1422" s="137" t="s">
        <v>33</v>
      </c>
      <c r="AV1422" s="137" t="s">
        <v>33</v>
      </c>
      <c r="AW1422" s="93"/>
      <c r="AX1422" s="91"/>
    </row>
    <row r="1423" ht="14.5" spans="1:50">
      <c r="A1423" s="89"/>
      <c r="B1423" s="93"/>
      <c r="C1423" s="148" t="s">
        <v>1080</v>
      </c>
      <c r="D1423" s="126" t="s">
        <v>1081</v>
      </c>
      <c r="E1423" s="186" t="s">
        <v>1448</v>
      </c>
      <c r="F1423" s="186" t="s">
        <v>1448</v>
      </c>
      <c r="G1423" s="186" t="s">
        <v>1448</v>
      </c>
      <c r="H1423" s="186" t="s">
        <v>1448</v>
      </c>
      <c r="I1423" s="128">
        <v>0.9</v>
      </c>
      <c r="J1423" s="129" t="s">
        <v>33</v>
      </c>
      <c r="K1423" s="129" t="s">
        <v>33</v>
      </c>
      <c r="L1423" s="130" t="s">
        <v>33</v>
      </c>
      <c r="M1423" s="129" t="s">
        <v>33</v>
      </c>
      <c r="N1423" s="131">
        <v>0.9</v>
      </c>
      <c r="O1423" s="129" t="s">
        <v>33</v>
      </c>
      <c r="P1423" s="129" t="s">
        <v>33</v>
      </c>
      <c r="Q1423" s="129" t="s">
        <v>33</v>
      </c>
      <c r="R1423" s="129" t="s">
        <v>33</v>
      </c>
      <c r="S1423" s="131">
        <v>0.9</v>
      </c>
      <c r="T1423" s="129" t="s">
        <v>33</v>
      </c>
      <c r="U1423" s="129" t="s">
        <v>33</v>
      </c>
      <c r="V1423" s="129" t="s">
        <v>33</v>
      </c>
      <c r="W1423" s="129" t="s">
        <v>33</v>
      </c>
      <c r="X1423" s="131">
        <v>0.92</v>
      </c>
      <c r="Y1423" s="131" t="s">
        <v>33</v>
      </c>
      <c r="Z1423" s="131" t="s">
        <v>33</v>
      </c>
      <c r="AA1423" s="131" t="s">
        <v>33</v>
      </c>
      <c r="AB1423" s="131" t="s">
        <v>33</v>
      </c>
      <c r="AC1423" s="131">
        <v>0.92</v>
      </c>
      <c r="AD1423" s="129" t="s">
        <v>33</v>
      </c>
      <c r="AE1423" s="129" t="s">
        <v>33</v>
      </c>
      <c r="AF1423" s="129" t="s">
        <v>33</v>
      </c>
      <c r="AG1423" s="129" t="s">
        <v>33</v>
      </c>
      <c r="AH1423" s="131">
        <v>0.92</v>
      </c>
      <c r="AI1423" s="129" t="s">
        <v>33</v>
      </c>
      <c r="AJ1423" s="129" t="s">
        <v>33</v>
      </c>
      <c r="AK1423" s="129" t="s">
        <v>33</v>
      </c>
      <c r="AL1423" s="129" t="s">
        <v>33</v>
      </c>
      <c r="AM1423" s="128">
        <v>0.99</v>
      </c>
      <c r="AN1423" s="133" t="s">
        <v>33</v>
      </c>
      <c r="AO1423" s="133" t="s">
        <v>33</v>
      </c>
      <c r="AP1423" s="133" t="s">
        <v>33</v>
      </c>
      <c r="AQ1423" s="133" t="s">
        <v>33</v>
      </c>
      <c r="AR1423" s="153">
        <v>0.0721861525408278</v>
      </c>
      <c r="AS1423" s="137" t="s">
        <v>33</v>
      </c>
      <c r="AT1423" s="137" t="s">
        <v>33</v>
      </c>
      <c r="AU1423" s="137" t="s">
        <v>33</v>
      </c>
      <c r="AV1423" s="137" t="s">
        <v>33</v>
      </c>
      <c r="AW1423" s="93"/>
      <c r="AX1423" s="91"/>
    </row>
    <row r="1424" ht="14.5" spans="1:50">
      <c r="A1424" s="89"/>
      <c r="B1424" s="93"/>
      <c r="C1424" s="167"/>
      <c r="D1424" s="168"/>
      <c r="E1424" s="168"/>
      <c r="F1424" s="141"/>
      <c r="G1424" s="141"/>
      <c r="H1424" s="168"/>
      <c r="I1424" s="169"/>
      <c r="J1424" s="190"/>
      <c r="K1424" s="190"/>
      <c r="L1424" s="190"/>
      <c r="M1424" s="190"/>
      <c r="N1424" s="146"/>
      <c r="O1424" s="170"/>
      <c r="P1424" s="170"/>
      <c r="Q1424" s="129"/>
      <c r="R1424" s="170"/>
      <c r="S1424" s="146"/>
      <c r="T1424" s="170"/>
      <c r="U1424" s="170"/>
      <c r="V1424" s="129"/>
      <c r="W1424" s="170"/>
      <c r="X1424" s="146"/>
      <c r="Y1424" s="146"/>
      <c r="Z1424" s="146"/>
      <c r="AA1424" s="131"/>
      <c r="AB1424" s="146"/>
      <c r="AC1424" s="170"/>
      <c r="AD1424" s="170"/>
      <c r="AE1424" s="170"/>
      <c r="AF1424" s="129"/>
      <c r="AG1424" s="170"/>
      <c r="AH1424" s="170"/>
      <c r="AI1424" s="170"/>
      <c r="AJ1424" s="170"/>
      <c r="AK1424" s="129"/>
      <c r="AL1424" s="170"/>
      <c r="AM1424" s="169"/>
      <c r="AN1424" s="169"/>
      <c r="AO1424" s="169"/>
      <c r="AP1424" s="133"/>
      <c r="AQ1424" s="169"/>
      <c r="AR1424" s="170"/>
      <c r="AS1424" s="169"/>
      <c r="AT1424" s="169"/>
      <c r="AU1424" s="137"/>
      <c r="AV1424" s="169"/>
      <c r="AW1424" s="93"/>
      <c r="AX1424" s="91"/>
    </row>
    <row r="1425" ht="14.5" spans="1:50">
      <c r="A1425" s="89"/>
      <c r="B1425" s="93"/>
      <c r="C1425" s="148" t="s">
        <v>1449</v>
      </c>
      <c r="D1425" s="126" t="s">
        <v>1450</v>
      </c>
      <c r="E1425" s="191" t="s">
        <v>1451</v>
      </c>
      <c r="F1425" s="191" t="s">
        <v>1451</v>
      </c>
      <c r="G1425" s="191" t="s">
        <v>1451</v>
      </c>
      <c r="H1425" s="191" t="s">
        <v>1451</v>
      </c>
      <c r="I1425" s="128">
        <v>0.9</v>
      </c>
      <c r="J1425" s="129" t="s">
        <v>33</v>
      </c>
      <c r="K1425" s="129" t="s">
        <v>33</v>
      </c>
      <c r="L1425" s="130" t="s">
        <v>33</v>
      </c>
      <c r="M1425" s="129" t="s">
        <v>33</v>
      </c>
      <c r="N1425" s="131">
        <v>0.9</v>
      </c>
      <c r="O1425" s="129" t="s">
        <v>33</v>
      </c>
      <c r="P1425" s="129" t="s">
        <v>33</v>
      </c>
      <c r="Q1425" s="129">
        <v>0</v>
      </c>
      <c r="R1425" s="129">
        <v>0</v>
      </c>
      <c r="S1425" s="131">
        <v>0.9</v>
      </c>
      <c r="T1425" s="129" t="s">
        <v>33</v>
      </c>
      <c r="U1425" s="129" t="s">
        <v>33</v>
      </c>
      <c r="V1425" s="129">
        <v>1</v>
      </c>
      <c r="W1425" s="129">
        <v>1</v>
      </c>
      <c r="X1425" s="131">
        <v>0.92</v>
      </c>
      <c r="Y1425" s="131" t="s">
        <v>33</v>
      </c>
      <c r="Z1425" s="131" t="s">
        <v>33</v>
      </c>
      <c r="AA1425" s="131" t="s">
        <v>33</v>
      </c>
      <c r="AB1425" s="131" t="s">
        <v>33</v>
      </c>
      <c r="AC1425" s="131">
        <v>0.92</v>
      </c>
      <c r="AD1425" s="129">
        <v>1</v>
      </c>
      <c r="AE1425" s="129">
        <v>0.995249406175772</v>
      </c>
      <c r="AF1425" s="129">
        <v>0.994241842610365</v>
      </c>
      <c r="AG1425" s="129">
        <v>0.992159425024502</v>
      </c>
      <c r="AH1425" s="131">
        <v>0.92</v>
      </c>
      <c r="AI1425" s="129" t="s">
        <v>33</v>
      </c>
      <c r="AJ1425" s="129" t="s">
        <v>33</v>
      </c>
      <c r="AK1425" s="129">
        <v>1</v>
      </c>
      <c r="AL1425" s="129">
        <v>1</v>
      </c>
      <c r="AM1425" s="128">
        <v>0.99</v>
      </c>
      <c r="AN1425" s="133">
        <v>1</v>
      </c>
      <c r="AO1425" s="133">
        <v>1</v>
      </c>
      <c r="AP1425" s="133">
        <v>1</v>
      </c>
      <c r="AQ1425" s="133">
        <v>1</v>
      </c>
      <c r="AR1425" s="153">
        <v>0.110069253262963</v>
      </c>
      <c r="AS1425" s="137" t="s">
        <v>33</v>
      </c>
      <c r="AT1425" s="137" t="s">
        <v>33</v>
      </c>
      <c r="AU1425" s="137" t="s">
        <v>33</v>
      </c>
      <c r="AV1425" s="137" t="s">
        <v>33</v>
      </c>
      <c r="AW1425" s="93"/>
      <c r="AX1425" s="91"/>
    </row>
    <row r="1426" ht="14.5" spans="1:50">
      <c r="A1426" s="89"/>
      <c r="B1426" s="93"/>
      <c r="C1426" s="148" t="s">
        <v>1449</v>
      </c>
      <c r="D1426" s="126" t="s">
        <v>1450</v>
      </c>
      <c r="E1426" s="192" t="s">
        <v>1452</v>
      </c>
      <c r="F1426" s="192" t="s">
        <v>1452</v>
      </c>
      <c r="G1426" s="192" t="s">
        <v>1452</v>
      </c>
      <c r="H1426" s="192" t="s">
        <v>1452</v>
      </c>
      <c r="I1426" s="128">
        <v>0.9</v>
      </c>
      <c r="J1426" s="129" t="s">
        <v>33</v>
      </c>
      <c r="K1426" s="129" t="s">
        <v>33</v>
      </c>
      <c r="L1426" s="130" t="s">
        <v>33</v>
      </c>
      <c r="M1426" s="129" t="s">
        <v>33</v>
      </c>
      <c r="N1426" s="131">
        <v>0.9</v>
      </c>
      <c r="O1426" s="129" t="s">
        <v>33</v>
      </c>
      <c r="P1426" s="129">
        <v>0</v>
      </c>
      <c r="Q1426" s="129" t="s">
        <v>33</v>
      </c>
      <c r="R1426" s="129">
        <v>0</v>
      </c>
      <c r="S1426" s="131">
        <v>0.9</v>
      </c>
      <c r="T1426" s="129" t="s">
        <v>33</v>
      </c>
      <c r="U1426" s="129">
        <v>1</v>
      </c>
      <c r="V1426" s="129" t="s">
        <v>33</v>
      </c>
      <c r="W1426" s="129">
        <v>1</v>
      </c>
      <c r="X1426" s="131">
        <v>0.92</v>
      </c>
      <c r="Y1426" s="131" t="s">
        <v>33</v>
      </c>
      <c r="Z1426" s="131" t="s">
        <v>33</v>
      </c>
      <c r="AA1426" s="131" t="s">
        <v>33</v>
      </c>
      <c r="AB1426" s="131" t="s">
        <v>33</v>
      </c>
      <c r="AC1426" s="131">
        <v>0.92</v>
      </c>
      <c r="AD1426" s="129">
        <v>0.929245283018868</v>
      </c>
      <c r="AE1426" s="129">
        <v>0.940959409594096</v>
      </c>
      <c r="AF1426" s="129">
        <v>0.838028169014085</v>
      </c>
      <c r="AG1426" s="129">
        <v>0.96838347781744</v>
      </c>
      <c r="AH1426" s="131">
        <v>0.92</v>
      </c>
      <c r="AI1426" s="129" t="s">
        <v>33</v>
      </c>
      <c r="AJ1426" s="129">
        <v>1</v>
      </c>
      <c r="AK1426" s="129" t="s">
        <v>33</v>
      </c>
      <c r="AL1426" s="129">
        <v>1</v>
      </c>
      <c r="AM1426" s="128">
        <v>0.99</v>
      </c>
      <c r="AN1426" s="133" t="s">
        <v>33</v>
      </c>
      <c r="AO1426" s="133" t="s">
        <v>33</v>
      </c>
      <c r="AP1426" s="133">
        <v>1</v>
      </c>
      <c r="AQ1426" s="133">
        <v>1</v>
      </c>
      <c r="AR1426" s="153">
        <v>0.110069253262963</v>
      </c>
      <c r="AS1426" s="137" t="s">
        <v>33</v>
      </c>
      <c r="AT1426" s="137" t="s">
        <v>33</v>
      </c>
      <c r="AU1426" s="137" t="s">
        <v>33</v>
      </c>
      <c r="AV1426" s="137" t="s">
        <v>33</v>
      </c>
      <c r="AW1426" s="93"/>
      <c r="AX1426" s="91"/>
    </row>
    <row r="1427" ht="14.5" spans="1:50">
      <c r="A1427" s="89"/>
      <c r="B1427" s="93"/>
      <c r="C1427" s="148" t="s">
        <v>1449</v>
      </c>
      <c r="D1427" s="126" t="s">
        <v>1450</v>
      </c>
      <c r="E1427" s="191" t="s">
        <v>1453</v>
      </c>
      <c r="F1427" s="191" t="s">
        <v>1453</v>
      </c>
      <c r="G1427" s="191" t="s">
        <v>1453</v>
      </c>
      <c r="H1427" s="191" t="s">
        <v>1453</v>
      </c>
      <c r="I1427" s="128">
        <v>0.9</v>
      </c>
      <c r="J1427" s="129" t="s">
        <v>33</v>
      </c>
      <c r="K1427" s="129" t="s">
        <v>33</v>
      </c>
      <c r="L1427" s="130" t="s">
        <v>33</v>
      </c>
      <c r="M1427" s="129" t="s">
        <v>33</v>
      </c>
      <c r="N1427" s="131">
        <v>0.9</v>
      </c>
      <c r="O1427" s="129" t="s">
        <v>33</v>
      </c>
      <c r="P1427" s="129" t="s">
        <v>33</v>
      </c>
      <c r="Q1427" s="129" t="s">
        <v>33</v>
      </c>
      <c r="R1427" s="129" t="s">
        <v>33</v>
      </c>
      <c r="S1427" s="131">
        <v>0.9</v>
      </c>
      <c r="T1427" s="129" t="s">
        <v>33</v>
      </c>
      <c r="U1427" s="129" t="s">
        <v>33</v>
      </c>
      <c r="V1427" s="129" t="s">
        <v>33</v>
      </c>
      <c r="W1427" s="129" t="s">
        <v>33</v>
      </c>
      <c r="X1427" s="131">
        <v>0.92</v>
      </c>
      <c r="Y1427" s="131" t="s">
        <v>33</v>
      </c>
      <c r="Z1427" s="131" t="s">
        <v>33</v>
      </c>
      <c r="AA1427" s="131" t="s">
        <v>33</v>
      </c>
      <c r="AB1427" s="131" t="s">
        <v>33</v>
      </c>
      <c r="AC1427" s="131">
        <v>0.92</v>
      </c>
      <c r="AD1427" s="129">
        <v>0.314814814814815</v>
      </c>
      <c r="AE1427" s="129">
        <v>0.98936170212766</v>
      </c>
      <c r="AF1427" s="129">
        <v>0.993288590604027</v>
      </c>
      <c r="AG1427" s="129">
        <v>0.941060903732809</v>
      </c>
      <c r="AH1427" s="131">
        <v>0.92</v>
      </c>
      <c r="AI1427" s="129" t="s">
        <v>33</v>
      </c>
      <c r="AJ1427" s="129" t="s">
        <v>33</v>
      </c>
      <c r="AK1427" s="129" t="s">
        <v>33</v>
      </c>
      <c r="AL1427" s="129" t="s">
        <v>33</v>
      </c>
      <c r="AM1427" s="128">
        <v>0.99</v>
      </c>
      <c r="AN1427" s="133" t="s">
        <v>33</v>
      </c>
      <c r="AO1427" s="133" t="s">
        <v>33</v>
      </c>
      <c r="AP1427" s="133" t="s">
        <v>33</v>
      </c>
      <c r="AQ1427" s="133">
        <v>1</v>
      </c>
      <c r="AR1427" s="153">
        <v>0.110069253262963</v>
      </c>
      <c r="AS1427" s="137" t="s">
        <v>33</v>
      </c>
      <c r="AT1427" s="137" t="s">
        <v>33</v>
      </c>
      <c r="AU1427" s="137" t="s">
        <v>33</v>
      </c>
      <c r="AV1427" s="137" t="s">
        <v>33</v>
      </c>
      <c r="AW1427" s="93"/>
      <c r="AX1427" s="91"/>
    </row>
    <row r="1428" ht="14.5" spans="1:50">
      <c r="A1428" s="89"/>
      <c r="B1428" s="93"/>
      <c r="C1428" s="148" t="s">
        <v>1449</v>
      </c>
      <c r="D1428" s="126" t="s">
        <v>1450</v>
      </c>
      <c r="E1428" s="192" t="s">
        <v>1454</v>
      </c>
      <c r="F1428" s="192" t="s">
        <v>1454</v>
      </c>
      <c r="G1428" s="192" t="s">
        <v>1454</v>
      </c>
      <c r="H1428" s="192" t="s">
        <v>1454</v>
      </c>
      <c r="I1428" s="128">
        <v>0.9</v>
      </c>
      <c r="J1428" s="129" t="s">
        <v>33</v>
      </c>
      <c r="K1428" s="129" t="s">
        <v>33</v>
      </c>
      <c r="L1428" s="130" t="s">
        <v>33</v>
      </c>
      <c r="M1428" s="129" t="s">
        <v>33</v>
      </c>
      <c r="N1428" s="131">
        <v>0.9</v>
      </c>
      <c r="O1428" s="129">
        <v>0</v>
      </c>
      <c r="P1428" s="129">
        <v>0</v>
      </c>
      <c r="Q1428" s="129">
        <v>0</v>
      </c>
      <c r="R1428" s="129">
        <v>0</v>
      </c>
      <c r="S1428" s="131">
        <v>0.9</v>
      </c>
      <c r="T1428" s="129">
        <v>1</v>
      </c>
      <c r="U1428" s="129">
        <v>1</v>
      </c>
      <c r="V1428" s="129">
        <v>1</v>
      </c>
      <c r="W1428" s="129">
        <v>1</v>
      </c>
      <c r="X1428" s="131">
        <v>0.92</v>
      </c>
      <c r="Y1428" s="131" t="s">
        <v>33</v>
      </c>
      <c r="Z1428" s="131">
        <v>1</v>
      </c>
      <c r="AA1428" s="131" t="s">
        <v>33</v>
      </c>
      <c r="AB1428" s="131">
        <v>1</v>
      </c>
      <c r="AC1428" s="131">
        <v>0.92</v>
      </c>
      <c r="AD1428" s="129">
        <v>1</v>
      </c>
      <c r="AE1428" s="129">
        <v>0.999114521841795</v>
      </c>
      <c r="AF1428" s="129">
        <v>0.999076638965836</v>
      </c>
      <c r="AG1428" s="129">
        <v>0.997171212371231</v>
      </c>
      <c r="AH1428" s="131">
        <v>0.92</v>
      </c>
      <c r="AI1428" s="129">
        <v>1</v>
      </c>
      <c r="AJ1428" s="129">
        <v>1</v>
      </c>
      <c r="AK1428" s="129">
        <v>1</v>
      </c>
      <c r="AL1428" s="129">
        <v>0.973333333333333</v>
      </c>
      <c r="AM1428" s="128">
        <v>0.99</v>
      </c>
      <c r="AN1428" s="133">
        <v>1</v>
      </c>
      <c r="AO1428" s="133">
        <v>1</v>
      </c>
      <c r="AP1428" s="133">
        <v>1</v>
      </c>
      <c r="AQ1428" s="133">
        <v>1</v>
      </c>
      <c r="AR1428" s="153">
        <v>0.110069253262963</v>
      </c>
      <c r="AS1428" s="137" t="s">
        <v>33</v>
      </c>
      <c r="AT1428" s="137" t="s">
        <v>33</v>
      </c>
      <c r="AU1428" s="137" t="s">
        <v>33</v>
      </c>
      <c r="AV1428" s="137" t="s">
        <v>33</v>
      </c>
      <c r="AW1428" s="93"/>
      <c r="AX1428" s="91"/>
    </row>
    <row r="1429" ht="14.5" spans="1:50">
      <c r="A1429" s="89"/>
      <c r="B1429" s="93"/>
      <c r="C1429" s="148" t="s">
        <v>1449</v>
      </c>
      <c r="D1429" s="126" t="s">
        <v>1450</v>
      </c>
      <c r="E1429" s="192" t="s">
        <v>1455</v>
      </c>
      <c r="F1429" s="192" t="s">
        <v>1455</v>
      </c>
      <c r="G1429" s="192" t="s">
        <v>1455</v>
      </c>
      <c r="H1429" s="192" t="s">
        <v>1455</v>
      </c>
      <c r="I1429" s="128">
        <v>0.9</v>
      </c>
      <c r="J1429" s="129" t="s">
        <v>33</v>
      </c>
      <c r="K1429" s="129" t="s">
        <v>33</v>
      </c>
      <c r="L1429" s="130" t="s">
        <v>33</v>
      </c>
      <c r="M1429" s="129" t="s">
        <v>33</v>
      </c>
      <c r="N1429" s="131">
        <v>0.9</v>
      </c>
      <c r="O1429" s="129" t="s">
        <v>33</v>
      </c>
      <c r="P1429" s="129">
        <v>0</v>
      </c>
      <c r="Q1429" s="129" t="s">
        <v>33</v>
      </c>
      <c r="R1429" s="129">
        <v>0</v>
      </c>
      <c r="S1429" s="131">
        <v>0.9</v>
      </c>
      <c r="T1429" s="129" t="s">
        <v>33</v>
      </c>
      <c r="U1429" s="129">
        <v>0</v>
      </c>
      <c r="V1429" s="129" t="s">
        <v>33</v>
      </c>
      <c r="W1429" s="129">
        <v>0.75</v>
      </c>
      <c r="X1429" s="131">
        <v>0.92</v>
      </c>
      <c r="Y1429" s="131" t="s">
        <v>33</v>
      </c>
      <c r="Z1429" s="131" t="s">
        <v>33</v>
      </c>
      <c r="AA1429" s="131" t="s">
        <v>33</v>
      </c>
      <c r="AB1429" s="131" t="s">
        <v>33</v>
      </c>
      <c r="AC1429" s="131">
        <v>0.92</v>
      </c>
      <c r="AD1429" s="129">
        <v>0.967741935483871</v>
      </c>
      <c r="AE1429" s="129">
        <v>0.942528735632184</v>
      </c>
      <c r="AF1429" s="129">
        <v>0.819484240687679</v>
      </c>
      <c r="AG1429" s="129">
        <v>0.965499660095173</v>
      </c>
      <c r="AH1429" s="131">
        <v>0.92</v>
      </c>
      <c r="AI1429" s="129" t="s">
        <v>33</v>
      </c>
      <c r="AJ1429" s="129">
        <v>0</v>
      </c>
      <c r="AK1429" s="129" t="s">
        <v>33</v>
      </c>
      <c r="AL1429" s="129">
        <v>0.75</v>
      </c>
      <c r="AM1429" s="128">
        <v>0.99</v>
      </c>
      <c r="AN1429" s="133">
        <v>1</v>
      </c>
      <c r="AO1429" s="133">
        <v>1</v>
      </c>
      <c r="AP1429" s="133">
        <v>1</v>
      </c>
      <c r="AQ1429" s="133">
        <v>1</v>
      </c>
      <c r="AR1429" s="153">
        <v>0.110069253262963</v>
      </c>
      <c r="AS1429" s="137" t="s">
        <v>33</v>
      </c>
      <c r="AT1429" s="137" t="s">
        <v>33</v>
      </c>
      <c r="AU1429" s="137" t="s">
        <v>33</v>
      </c>
      <c r="AV1429" s="137" t="s">
        <v>33</v>
      </c>
      <c r="AW1429" s="93"/>
      <c r="AX1429" s="91"/>
    </row>
    <row r="1430" ht="14.5" spans="1:50">
      <c r="A1430" s="89"/>
      <c r="B1430" s="93"/>
      <c r="C1430" s="148" t="s">
        <v>1449</v>
      </c>
      <c r="D1430" s="126" t="s">
        <v>1450</v>
      </c>
      <c r="E1430" s="192" t="s">
        <v>1456</v>
      </c>
      <c r="F1430" s="192" t="s">
        <v>1456</v>
      </c>
      <c r="G1430" s="192" t="s">
        <v>1456</v>
      </c>
      <c r="H1430" s="192" t="s">
        <v>1456</v>
      </c>
      <c r="I1430" s="128">
        <v>0.9</v>
      </c>
      <c r="J1430" s="129" t="s">
        <v>33</v>
      </c>
      <c r="K1430" s="129" t="s">
        <v>33</v>
      </c>
      <c r="L1430" s="130" t="s">
        <v>33</v>
      </c>
      <c r="M1430" s="129" t="s">
        <v>33</v>
      </c>
      <c r="N1430" s="131">
        <v>0.9</v>
      </c>
      <c r="O1430" s="129">
        <v>0</v>
      </c>
      <c r="P1430" s="129">
        <v>0</v>
      </c>
      <c r="Q1430" s="129" t="s">
        <v>33</v>
      </c>
      <c r="R1430" s="129">
        <v>0</v>
      </c>
      <c r="S1430" s="131">
        <v>0.9</v>
      </c>
      <c r="T1430" s="129">
        <v>0</v>
      </c>
      <c r="U1430" s="129">
        <v>0</v>
      </c>
      <c r="V1430" s="129" t="s">
        <v>33</v>
      </c>
      <c r="W1430" s="129">
        <v>0</v>
      </c>
      <c r="X1430" s="131">
        <v>0.92</v>
      </c>
      <c r="Y1430" s="131" t="s">
        <v>33</v>
      </c>
      <c r="Z1430" s="131" t="s">
        <v>33</v>
      </c>
      <c r="AA1430" s="131" t="s">
        <v>33</v>
      </c>
      <c r="AB1430" s="131" t="s">
        <v>33</v>
      </c>
      <c r="AC1430" s="131">
        <v>0.92</v>
      </c>
      <c r="AD1430" s="129">
        <v>0.998344370860927</v>
      </c>
      <c r="AE1430" s="129">
        <v>0.999425287356322</v>
      </c>
      <c r="AF1430" s="129">
        <v>0.994061757719715</v>
      </c>
      <c r="AG1430" s="129">
        <v>0.977258325705837</v>
      </c>
      <c r="AH1430" s="131">
        <v>0.92</v>
      </c>
      <c r="AI1430" s="129">
        <v>0</v>
      </c>
      <c r="AJ1430" s="129">
        <v>0</v>
      </c>
      <c r="AK1430" s="129">
        <v>1</v>
      </c>
      <c r="AL1430" s="129">
        <v>0.4</v>
      </c>
      <c r="AM1430" s="128">
        <v>0.99</v>
      </c>
      <c r="AN1430" s="133">
        <v>1</v>
      </c>
      <c r="AO1430" s="133">
        <v>1</v>
      </c>
      <c r="AP1430" s="133">
        <v>1</v>
      </c>
      <c r="AQ1430" s="133">
        <v>1</v>
      </c>
      <c r="AR1430" s="153">
        <v>0.110069253262963</v>
      </c>
      <c r="AS1430" s="137" t="s">
        <v>33</v>
      </c>
      <c r="AT1430" s="137" t="s">
        <v>33</v>
      </c>
      <c r="AU1430" s="137" t="s">
        <v>33</v>
      </c>
      <c r="AV1430" s="137" t="s">
        <v>33</v>
      </c>
      <c r="AW1430" s="93"/>
      <c r="AX1430" s="91"/>
    </row>
    <row r="1431" ht="14.5" spans="1:50">
      <c r="A1431" s="89"/>
      <c r="B1431" s="93"/>
      <c r="C1431" s="148" t="s">
        <v>1449</v>
      </c>
      <c r="D1431" s="126" t="s">
        <v>1450</v>
      </c>
      <c r="E1431" s="192" t="s">
        <v>1457</v>
      </c>
      <c r="F1431" s="192" t="s">
        <v>1457</v>
      </c>
      <c r="G1431" s="192" t="s">
        <v>1457</v>
      </c>
      <c r="H1431" s="192" t="s">
        <v>1457</v>
      </c>
      <c r="I1431" s="128">
        <v>0.9</v>
      </c>
      <c r="J1431" s="129" t="s">
        <v>33</v>
      </c>
      <c r="K1431" s="129" t="s">
        <v>33</v>
      </c>
      <c r="L1431" s="130" t="s">
        <v>33</v>
      </c>
      <c r="M1431" s="129" t="s">
        <v>33</v>
      </c>
      <c r="N1431" s="131">
        <v>0.9</v>
      </c>
      <c r="O1431" s="129" t="s">
        <v>33</v>
      </c>
      <c r="P1431" s="129" t="s">
        <v>33</v>
      </c>
      <c r="Q1431" s="129" t="s">
        <v>33</v>
      </c>
      <c r="R1431" s="129">
        <v>0</v>
      </c>
      <c r="S1431" s="131">
        <v>0.9</v>
      </c>
      <c r="T1431" s="129" t="s">
        <v>33</v>
      </c>
      <c r="U1431" s="129" t="s">
        <v>33</v>
      </c>
      <c r="V1431" s="129" t="s">
        <v>33</v>
      </c>
      <c r="W1431" s="129">
        <v>1</v>
      </c>
      <c r="X1431" s="131">
        <v>0.92</v>
      </c>
      <c r="Y1431" s="131" t="s">
        <v>33</v>
      </c>
      <c r="Z1431" s="131" t="s">
        <v>33</v>
      </c>
      <c r="AA1431" s="131" t="s">
        <v>33</v>
      </c>
      <c r="AB1431" s="131" t="s">
        <v>33</v>
      </c>
      <c r="AC1431" s="131">
        <v>0.92</v>
      </c>
      <c r="AD1431" s="129">
        <v>1</v>
      </c>
      <c r="AE1431" s="129">
        <v>0.990180032733224</v>
      </c>
      <c r="AF1431" s="129">
        <v>0.991689750692521</v>
      </c>
      <c r="AG1431" s="129">
        <v>0.996892801657172</v>
      </c>
      <c r="AH1431" s="131">
        <v>0.92</v>
      </c>
      <c r="AI1431" s="129" t="s">
        <v>33</v>
      </c>
      <c r="AJ1431" s="129" t="s">
        <v>33</v>
      </c>
      <c r="AK1431" s="129" t="s">
        <v>33</v>
      </c>
      <c r="AL1431" s="129">
        <v>1</v>
      </c>
      <c r="AM1431" s="128">
        <v>0.99</v>
      </c>
      <c r="AN1431" s="133">
        <v>1</v>
      </c>
      <c r="AO1431" s="133">
        <v>1</v>
      </c>
      <c r="AP1431" s="133">
        <v>1</v>
      </c>
      <c r="AQ1431" s="133">
        <v>1</v>
      </c>
      <c r="AR1431" s="153">
        <v>0.110069253262963</v>
      </c>
      <c r="AS1431" s="137" t="s">
        <v>33</v>
      </c>
      <c r="AT1431" s="137" t="s">
        <v>33</v>
      </c>
      <c r="AU1431" s="137" t="s">
        <v>33</v>
      </c>
      <c r="AV1431" s="137" t="s">
        <v>33</v>
      </c>
      <c r="AW1431" s="93"/>
      <c r="AX1431" s="91"/>
    </row>
    <row r="1432" ht="14.5" spans="1:50">
      <c r="A1432" s="89"/>
      <c r="B1432" s="93"/>
      <c r="C1432" s="148" t="s">
        <v>1449</v>
      </c>
      <c r="D1432" s="126" t="s">
        <v>1450</v>
      </c>
      <c r="E1432" s="192" t="s">
        <v>1458</v>
      </c>
      <c r="F1432" s="192" t="s">
        <v>1458</v>
      </c>
      <c r="G1432" s="192" t="s">
        <v>1458</v>
      </c>
      <c r="H1432" s="192" t="s">
        <v>1458</v>
      </c>
      <c r="I1432" s="128">
        <v>0.9</v>
      </c>
      <c r="J1432" s="129" t="s">
        <v>33</v>
      </c>
      <c r="K1432" s="129" t="s">
        <v>33</v>
      </c>
      <c r="L1432" s="130" t="s">
        <v>33</v>
      </c>
      <c r="M1432" s="129" t="s">
        <v>33</v>
      </c>
      <c r="N1432" s="131">
        <v>0.9</v>
      </c>
      <c r="O1432" s="129" t="s">
        <v>33</v>
      </c>
      <c r="P1432" s="129" t="s">
        <v>33</v>
      </c>
      <c r="Q1432" s="129" t="s">
        <v>33</v>
      </c>
      <c r="R1432" s="129">
        <v>0</v>
      </c>
      <c r="S1432" s="131">
        <v>0.9</v>
      </c>
      <c r="T1432" s="129" t="s">
        <v>33</v>
      </c>
      <c r="U1432" s="129" t="s">
        <v>33</v>
      </c>
      <c r="V1432" s="129" t="s">
        <v>33</v>
      </c>
      <c r="W1432" s="129">
        <v>0.619047619047619</v>
      </c>
      <c r="X1432" s="131">
        <v>0.92</v>
      </c>
      <c r="Y1432" s="131" t="s">
        <v>33</v>
      </c>
      <c r="Z1432" s="131" t="s">
        <v>33</v>
      </c>
      <c r="AA1432" s="131" t="s">
        <v>33</v>
      </c>
      <c r="AB1432" s="131">
        <v>0</v>
      </c>
      <c r="AC1432" s="131">
        <v>0.92</v>
      </c>
      <c r="AD1432" s="129">
        <v>0.985294117647059</v>
      </c>
      <c r="AE1432" s="129">
        <v>0.996889580093313</v>
      </c>
      <c r="AF1432" s="129">
        <v>0.992647058823529</v>
      </c>
      <c r="AG1432" s="129">
        <v>0.995555950582171</v>
      </c>
      <c r="AH1432" s="131">
        <v>0.92</v>
      </c>
      <c r="AI1432" s="129" t="s">
        <v>33</v>
      </c>
      <c r="AJ1432" s="129" t="s">
        <v>33</v>
      </c>
      <c r="AK1432" s="129" t="s">
        <v>33</v>
      </c>
      <c r="AL1432" s="129">
        <v>0.818181818181818</v>
      </c>
      <c r="AM1432" s="128">
        <v>0.99</v>
      </c>
      <c r="AN1432" s="133" t="s">
        <v>33</v>
      </c>
      <c r="AO1432" s="133" t="s">
        <v>33</v>
      </c>
      <c r="AP1432" s="133" t="s">
        <v>33</v>
      </c>
      <c r="AQ1432" s="133">
        <v>1</v>
      </c>
      <c r="AR1432" s="153">
        <v>0.110069253262963</v>
      </c>
      <c r="AS1432" s="137" t="s">
        <v>33</v>
      </c>
      <c r="AT1432" s="137" t="s">
        <v>33</v>
      </c>
      <c r="AU1432" s="137" t="s">
        <v>33</v>
      </c>
      <c r="AV1432" s="137" t="s">
        <v>33</v>
      </c>
      <c r="AW1432" s="93"/>
      <c r="AX1432" s="91"/>
    </row>
    <row r="1433" ht="14.5" spans="1:50">
      <c r="A1433" s="89"/>
      <c r="B1433" s="93"/>
      <c r="C1433" s="148" t="s">
        <v>1449</v>
      </c>
      <c r="D1433" s="126" t="s">
        <v>1450</v>
      </c>
      <c r="E1433" s="191" t="s">
        <v>1459</v>
      </c>
      <c r="F1433" s="191" t="s">
        <v>1459</v>
      </c>
      <c r="G1433" s="191" t="s">
        <v>1459</v>
      </c>
      <c r="H1433" s="191" t="s">
        <v>1459</v>
      </c>
      <c r="I1433" s="128">
        <v>0.9</v>
      </c>
      <c r="J1433" s="129" t="s">
        <v>33</v>
      </c>
      <c r="K1433" s="129" t="s">
        <v>33</v>
      </c>
      <c r="L1433" s="130" t="s">
        <v>33</v>
      </c>
      <c r="M1433" s="129" t="s">
        <v>33</v>
      </c>
      <c r="N1433" s="131">
        <v>0.9</v>
      </c>
      <c r="O1433" s="129">
        <v>0</v>
      </c>
      <c r="P1433" s="129">
        <v>0</v>
      </c>
      <c r="Q1433" s="129" t="s">
        <v>33</v>
      </c>
      <c r="R1433" s="129">
        <v>0</v>
      </c>
      <c r="S1433" s="131">
        <v>0.9</v>
      </c>
      <c r="T1433" s="129">
        <v>1</v>
      </c>
      <c r="U1433" s="129">
        <v>1</v>
      </c>
      <c r="V1433" s="129" t="s">
        <v>33</v>
      </c>
      <c r="W1433" s="129">
        <v>1</v>
      </c>
      <c r="X1433" s="131">
        <v>0.92</v>
      </c>
      <c r="Y1433" s="131" t="s">
        <v>33</v>
      </c>
      <c r="Z1433" s="131" t="s">
        <v>33</v>
      </c>
      <c r="AA1433" s="131" t="s">
        <v>33</v>
      </c>
      <c r="AB1433" s="131" t="s">
        <v>33</v>
      </c>
      <c r="AC1433" s="131">
        <v>0.92</v>
      </c>
      <c r="AD1433" s="129">
        <v>0.913907284768212</v>
      </c>
      <c r="AE1433" s="129">
        <v>0.904255319148936</v>
      </c>
      <c r="AF1433" s="129">
        <v>0.903225806451613</v>
      </c>
      <c r="AG1433" s="129">
        <v>0.975638051044084</v>
      </c>
      <c r="AH1433" s="131">
        <v>0.92</v>
      </c>
      <c r="AI1433" s="129">
        <v>1</v>
      </c>
      <c r="AJ1433" s="129">
        <v>1</v>
      </c>
      <c r="AK1433" s="129" t="s">
        <v>33</v>
      </c>
      <c r="AL1433" s="129">
        <v>1</v>
      </c>
      <c r="AM1433" s="128">
        <v>0.99</v>
      </c>
      <c r="AN1433" s="133">
        <v>1</v>
      </c>
      <c r="AO1433" s="133" t="s">
        <v>33</v>
      </c>
      <c r="AP1433" s="133" t="s">
        <v>33</v>
      </c>
      <c r="AQ1433" s="133">
        <v>1</v>
      </c>
      <c r="AR1433" s="153">
        <v>0.110069253262963</v>
      </c>
      <c r="AS1433" s="137" t="s">
        <v>33</v>
      </c>
      <c r="AT1433" s="137" t="s">
        <v>33</v>
      </c>
      <c r="AU1433" s="137" t="s">
        <v>33</v>
      </c>
      <c r="AV1433" s="137" t="s">
        <v>33</v>
      </c>
      <c r="AW1433" s="93"/>
      <c r="AX1433" s="91"/>
    </row>
    <row r="1434" ht="14.5" spans="1:50">
      <c r="A1434" s="89"/>
      <c r="B1434" s="93"/>
      <c r="C1434" s="148" t="s">
        <v>1449</v>
      </c>
      <c r="D1434" s="126" t="s">
        <v>1450</v>
      </c>
      <c r="E1434" s="192" t="s">
        <v>1460</v>
      </c>
      <c r="F1434" s="192" t="s">
        <v>1460</v>
      </c>
      <c r="G1434" s="192" t="s">
        <v>1460</v>
      </c>
      <c r="H1434" s="192" t="s">
        <v>1460</v>
      </c>
      <c r="I1434" s="128">
        <v>0.9</v>
      </c>
      <c r="J1434" s="129" t="s">
        <v>33</v>
      </c>
      <c r="K1434" s="129" t="s">
        <v>33</v>
      </c>
      <c r="L1434" s="130" t="s">
        <v>33</v>
      </c>
      <c r="M1434" s="129" t="s">
        <v>33</v>
      </c>
      <c r="N1434" s="131">
        <v>0.9</v>
      </c>
      <c r="O1434" s="129" t="s">
        <v>33</v>
      </c>
      <c r="P1434" s="129" t="s">
        <v>33</v>
      </c>
      <c r="Q1434" s="129" t="s">
        <v>33</v>
      </c>
      <c r="R1434" s="129" t="s">
        <v>33</v>
      </c>
      <c r="S1434" s="131">
        <v>0.9</v>
      </c>
      <c r="T1434" s="129" t="s">
        <v>33</v>
      </c>
      <c r="U1434" s="129" t="s">
        <v>33</v>
      </c>
      <c r="V1434" s="129" t="s">
        <v>33</v>
      </c>
      <c r="W1434" s="129" t="s">
        <v>33</v>
      </c>
      <c r="X1434" s="131">
        <v>0.92</v>
      </c>
      <c r="Y1434" s="131" t="s">
        <v>33</v>
      </c>
      <c r="Z1434" s="131" t="s">
        <v>33</v>
      </c>
      <c r="AA1434" s="131" t="s">
        <v>33</v>
      </c>
      <c r="AB1434" s="131" t="s">
        <v>33</v>
      </c>
      <c r="AC1434" s="131">
        <v>0.92</v>
      </c>
      <c r="AD1434" s="129">
        <v>0.982456140350877</v>
      </c>
      <c r="AE1434" s="129">
        <v>0.909090909090909</v>
      </c>
      <c r="AF1434" s="129">
        <v>0.875</v>
      </c>
      <c r="AG1434" s="129">
        <v>0.952732644017725</v>
      </c>
      <c r="AH1434" s="131">
        <v>0.92</v>
      </c>
      <c r="AI1434" s="129" t="s">
        <v>33</v>
      </c>
      <c r="AJ1434" s="129" t="s">
        <v>33</v>
      </c>
      <c r="AK1434" s="129" t="s">
        <v>33</v>
      </c>
      <c r="AL1434" s="129" t="s">
        <v>33</v>
      </c>
      <c r="AM1434" s="128">
        <v>0.99</v>
      </c>
      <c r="AN1434" s="133" t="s">
        <v>33</v>
      </c>
      <c r="AO1434" s="133" t="s">
        <v>33</v>
      </c>
      <c r="AP1434" s="133" t="s">
        <v>33</v>
      </c>
      <c r="AQ1434" s="133" t="s">
        <v>33</v>
      </c>
      <c r="AR1434" s="153">
        <v>0.110069253262963</v>
      </c>
      <c r="AS1434" s="137" t="s">
        <v>33</v>
      </c>
      <c r="AT1434" s="137" t="s">
        <v>33</v>
      </c>
      <c r="AU1434" s="137" t="s">
        <v>33</v>
      </c>
      <c r="AV1434" s="137" t="s">
        <v>33</v>
      </c>
      <c r="AW1434" s="93"/>
      <c r="AX1434" s="91"/>
    </row>
    <row r="1435" ht="14.5" spans="1:50">
      <c r="A1435" s="89"/>
      <c r="B1435" s="93"/>
      <c r="C1435" s="148" t="s">
        <v>1449</v>
      </c>
      <c r="D1435" s="126" t="s">
        <v>1450</v>
      </c>
      <c r="E1435" s="191" t="s">
        <v>1461</v>
      </c>
      <c r="F1435" s="191" t="s">
        <v>1461</v>
      </c>
      <c r="G1435" s="191" t="s">
        <v>1461</v>
      </c>
      <c r="H1435" s="191" t="s">
        <v>1461</v>
      </c>
      <c r="I1435" s="128">
        <v>0.9</v>
      </c>
      <c r="J1435" s="129" t="s">
        <v>33</v>
      </c>
      <c r="K1435" s="129" t="s">
        <v>33</v>
      </c>
      <c r="L1435" s="130" t="s">
        <v>33</v>
      </c>
      <c r="M1435" s="129" t="s">
        <v>33</v>
      </c>
      <c r="N1435" s="131">
        <v>0.9</v>
      </c>
      <c r="O1435" s="129">
        <v>0</v>
      </c>
      <c r="P1435" s="129">
        <v>0</v>
      </c>
      <c r="Q1435" s="129">
        <v>0</v>
      </c>
      <c r="R1435" s="129">
        <v>0</v>
      </c>
      <c r="S1435" s="131">
        <v>0.9</v>
      </c>
      <c r="T1435" s="129">
        <v>0.625</v>
      </c>
      <c r="U1435" s="129">
        <v>1</v>
      </c>
      <c r="V1435" s="129">
        <v>0.666666666666667</v>
      </c>
      <c r="W1435" s="129">
        <v>0.821428571428571</v>
      </c>
      <c r="X1435" s="131">
        <v>0.92</v>
      </c>
      <c r="Y1435" s="131" t="s">
        <v>33</v>
      </c>
      <c r="Z1435" s="131">
        <v>0</v>
      </c>
      <c r="AA1435" s="131" t="s">
        <v>33</v>
      </c>
      <c r="AB1435" s="131">
        <v>0</v>
      </c>
      <c r="AC1435" s="131">
        <v>0.92</v>
      </c>
      <c r="AD1435" s="129">
        <v>0.996575342465753</v>
      </c>
      <c r="AE1435" s="129">
        <v>0.956207021353601</v>
      </c>
      <c r="AF1435" s="129">
        <v>0.904186447993095</v>
      </c>
      <c r="AG1435" s="129">
        <v>0.965178601151836</v>
      </c>
      <c r="AH1435" s="131">
        <v>0.92</v>
      </c>
      <c r="AI1435" s="129">
        <v>0.555555555555556</v>
      </c>
      <c r="AJ1435" s="129">
        <v>0.833333333333333</v>
      </c>
      <c r="AK1435" s="129">
        <v>0.5</v>
      </c>
      <c r="AL1435" s="129">
        <v>0.804347826086957</v>
      </c>
      <c r="AM1435" s="128">
        <v>0.99</v>
      </c>
      <c r="AN1435" s="133">
        <v>1</v>
      </c>
      <c r="AO1435" s="133">
        <v>1</v>
      </c>
      <c r="AP1435" s="133" t="s">
        <v>33</v>
      </c>
      <c r="AQ1435" s="133">
        <v>1</v>
      </c>
      <c r="AR1435" s="153">
        <v>0.110069253262963</v>
      </c>
      <c r="AS1435" s="137" t="s">
        <v>33</v>
      </c>
      <c r="AT1435" s="137" t="s">
        <v>33</v>
      </c>
      <c r="AU1435" s="137" t="s">
        <v>33</v>
      </c>
      <c r="AV1435" s="137" t="s">
        <v>33</v>
      </c>
      <c r="AW1435" s="93"/>
      <c r="AX1435" s="91"/>
    </row>
    <row r="1436" ht="14.5" spans="1:50">
      <c r="A1436" s="89"/>
      <c r="B1436" s="93"/>
      <c r="C1436" s="148" t="s">
        <v>1449</v>
      </c>
      <c r="D1436" s="126" t="s">
        <v>1450</v>
      </c>
      <c r="E1436" s="191" t="s">
        <v>1462</v>
      </c>
      <c r="F1436" s="191" t="s">
        <v>1462</v>
      </c>
      <c r="G1436" s="191" t="s">
        <v>1462</v>
      </c>
      <c r="H1436" s="191" t="s">
        <v>1462</v>
      </c>
      <c r="I1436" s="128">
        <v>0.9</v>
      </c>
      <c r="J1436" s="129" t="s">
        <v>33</v>
      </c>
      <c r="K1436" s="129" t="s">
        <v>33</v>
      </c>
      <c r="L1436" s="130" t="s">
        <v>33</v>
      </c>
      <c r="M1436" s="129" t="s">
        <v>33</v>
      </c>
      <c r="N1436" s="131">
        <v>0.9</v>
      </c>
      <c r="O1436" s="129" t="s">
        <v>33</v>
      </c>
      <c r="P1436" s="129" t="s">
        <v>33</v>
      </c>
      <c r="Q1436" s="129" t="s">
        <v>33</v>
      </c>
      <c r="R1436" s="129" t="s">
        <v>33</v>
      </c>
      <c r="S1436" s="131">
        <v>0.9</v>
      </c>
      <c r="T1436" s="129" t="s">
        <v>33</v>
      </c>
      <c r="U1436" s="129" t="s">
        <v>33</v>
      </c>
      <c r="V1436" s="129" t="s">
        <v>33</v>
      </c>
      <c r="W1436" s="129" t="s">
        <v>33</v>
      </c>
      <c r="X1436" s="131">
        <v>0.92</v>
      </c>
      <c r="Y1436" s="131" t="s">
        <v>33</v>
      </c>
      <c r="Z1436" s="131" t="s">
        <v>33</v>
      </c>
      <c r="AA1436" s="131" t="s">
        <v>33</v>
      </c>
      <c r="AB1436" s="131" t="s">
        <v>33</v>
      </c>
      <c r="AC1436" s="131">
        <v>0.92</v>
      </c>
      <c r="AD1436" s="129">
        <v>1</v>
      </c>
      <c r="AE1436" s="129">
        <v>1</v>
      </c>
      <c r="AF1436" s="129">
        <v>1</v>
      </c>
      <c r="AG1436" s="129">
        <v>1</v>
      </c>
      <c r="AH1436" s="131">
        <v>0.92</v>
      </c>
      <c r="AI1436" s="129" t="s">
        <v>33</v>
      </c>
      <c r="AJ1436" s="129" t="s">
        <v>33</v>
      </c>
      <c r="AK1436" s="129" t="s">
        <v>33</v>
      </c>
      <c r="AL1436" s="129" t="s">
        <v>33</v>
      </c>
      <c r="AM1436" s="128">
        <v>0.99</v>
      </c>
      <c r="AN1436" s="133" t="s">
        <v>33</v>
      </c>
      <c r="AO1436" s="133" t="s">
        <v>33</v>
      </c>
      <c r="AP1436" s="133" t="s">
        <v>33</v>
      </c>
      <c r="AQ1436" s="133">
        <v>1</v>
      </c>
      <c r="AR1436" s="153">
        <v>0.110069253262963</v>
      </c>
      <c r="AS1436" s="137" t="s">
        <v>33</v>
      </c>
      <c r="AT1436" s="137" t="s">
        <v>33</v>
      </c>
      <c r="AU1436" s="137" t="s">
        <v>33</v>
      </c>
      <c r="AV1436" s="137" t="s">
        <v>33</v>
      </c>
      <c r="AW1436" s="93"/>
      <c r="AX1436" s="91"/>
    </row>
    <row r="1437" ht="14.5" spans="1:50">
      <c r="A1437" s="89"/>
      <c r="B1437" s="93"/>
      <c r="C1437" s="148" t="s">
        <v>1449</v>
      </c>
      <c r="D1437" s="126" t="s">
        <v>1450</v>
      </c>
      <c r="E1437" s="192" t="s">
        <v>1463</v>
      </c>
      <c r="F1437" s="192" t="s">
        <v>1463</v>
      </c>
      <c r="G1437" s="192" t="s">
        <v>1463</v>
      </c>
      <c r="H1437" s="192" t="s">
        <v>1463</v>
      </c>
      <c r="I1437" s="128">
        <v>0.9</v>
      </c>
      <c r="J1437" s="129" t="s">
        <v>33</v>
      </c>
      <c r="K1437" s="129" t="s">
        <v>33</v>
      </c>
      <c r="L1437" s="130" t="s">
        <v>33</v>
      </c>
      <c r="M1437" s="129" t="s">
        <v>33</v>
      </c>
      <c r="N1437" s="131">
        <v>0.9</v>
      </c>
      <c r="O1437" s="129" t="s">
        <v>33</v>
      </c>
      <c r="P1437" s="129" t="s">
        <v>33</v>
      </c>
      <c r="Q1437" s="129" t="s">
        <v>33</v>
      </c>
      <c r="R1437" s="129" t="s">
        <v>33</v>
      </c>
      <c r="S1437" s="131">
        <v>0.9</v>
      </c>
      <c r="T1437" s="129" t="s">
        <v>33</v>
      </c>
      <c r="U1437" s="129" t="s">
        <v>33</v>
      </c>
      <c r="V1437" s="129" t="s">
        <v>33</v>
      </c>
      <c r="W1437" s="129" t="s">
        <v>33</v>
      </c>
      <c r="X1437" s="131">
        <v>0.92</v>
      </c>
      <c r="Y1437" s="131" t="s">
        <v>33</v>
      </c>
      <c r="Z1437" s="131" t="s">
        <v>33</v>
      </c>
      <c r="AA1437" s="131" t="s">
        <v>33</v>
      </c>
      <c r="AB1437" s="131" t="s">
        <v>33</v>
      </c>
      <c r="AC1437" s="131">
        <v>0.92</v>
      </c>
      <c r="AD1437" s="129">
        <v>1</v>
      </c>
      <c r="AE1437" s="129">
        <v>0.99800796812749</v>
      </c>
      <c r="AF1437" s="129">
        <v>1</v>
      </c>
      <c r="AG1437" s="129">
        <v>0.991217063989962</v>
      </c>
      <c r="AH1437" s="131">
        <v>0.92</v>
      </c>
      <c r="AI1437" s="129" t="s">
        <v>33</v>
      </c>
      <c r="AJ1437" s="129" t="s">
        <v>33</v>
      </c>
      <c r="AK1437" s="129" t="s">
        <v>33</v>
      </c>
      <c r="AL1437" s="129" t="s">
        <v>33</v>
      </c>
      <c r="AM1437" s="128">
        <v>0.99</v>
      </c>
      <c r="AN1437" s="133" t="s">
        <v>33</v>
      </c>
      <c r="AO1437" s="133" t="s">
        <v>33</v>
      </c>
      <c r="AP1437" s="133">
        <v>1</v>
      </c>
      <c r="AQ1437" s="133">
        <v>1</v>
      </c>
      <c r="AR1437" s="153">
        <v>0.110069253262963</v>
      </c>
      <c r="AS1437" s="137" t="s">
        <v>33</v>
      </c>
      <c r="AT1437" s="137" t="s">
        <v>33</v>
      </c>
      <c r="AU1437" s="137" t="s">
        <v>33</v>
      </c>
      <c r="AV1437" s="137" t="s">
        <v>33</v>
      </c>
      <c r="AW1437" s="93"/>
      <c r="AX1437" s="91"/>
    </row>
    <row r="1438" ht="14.5" spans="1:50">
      <c r="A1438" s="89"/>
      <c r="B1438" s="93"/>
      <c r="C1438" s="148" t="s">
        <v>1449</v>
      </c>
      <c r="D1438" s="126" t="s">
        <v>1450</v>
      </c>
      <c r="E1438" s="192" t="s">
        <v>1464</v>
      </c>
      <c r="F1438" s="192" t="s">
        <v>1464</v>
      </c>
      <c r="G1438" s="192" t="s">
        <v>1464</v>
      </c>
      <c r="H1438" s="192" t="s">
        <v>1464</v>
      </c>
      <c r="I1438" s="128">
        <v>0.9</v>
      </c>
      <c r="J1438" s="129" t="s">
        <v>33</v>
      </c>
      <c r="K1438" s="129" t="s">
        <v>33</v>
      </c>
      <c r="L1438" s="130" t="s">
        <v>33</v>
      </c>
      <c r="M1438" s="129" t="s">
        <v>33</v>
      </c>
      <c r="N1438" s="131">
        <v>0.9</v>
      </c>
      <c r="O1438" s="129" t="s">
        <v>33</v>
      </c>
      <c r="P1438" s="129" t="s">
        <v>33</v>
      </c>
      <c r="Q1438" s="129" t="s">
        <v>33</v>
      </c>
      <c r="R1438" s="129">
        <v>0</v>
      </c>
      <c r="S1438" s="131">
        <v>0.9</v>
      </c>
      <c r="T1438" s="129" t="s">
        <v>33</v>
      </c>
      <c r="U1438" s="129" t="s">
        <v>33</v>
      </c>
      <c r="V1438" s="129" t="s">
        <v>33</v>
      </c>
      <c r="W1438" s="129">
        <v>1</v>
      </c>
      <c r="X1438" s="131">
        <v>0.92</v>
      </c>
      <c r="Y1438" s="131" t="s">
        <v>33</v>
      </c>
      <c r="Z1438" s="131" t="s">
        <v>33</v>
      </c>
      <c r="AA1438" s="131" t="s">
        <v>33</v>
      </c>
      <c r="AB1438" s="131" t="s">
        <v>33</v>
      </c>
      <c r="AC1438" s="131">
        <v>0.92</v>
      </c>
      <c r="AD1438" s="129">
        <v>0.95049504950495</v>
      </c>
      <c r="AE1438" s="129">
        <v>0.937984496124031</v>
      </c>
      <c r="AF1438" s="129" t="s">
        <v>33</v>
      </c>
      <c r="AG1438" s="129">
        <v>0.983402489626556</v>
      </c>
      <c r="AH1438" s="131">
        <v>0.92</v>
      </c>
      <c r="AI1438" s="129" t="s">
        <v>33</v>
      </c>
      <c r="AJ1438" s="129" t="s">
        <v>33</v>
      </c>
      <c r="AK1438" s="129" t="s">
        <v>33</v>
      </c>
      <c r="AL1438" s="129">
        <v>1</v>
      </c>
      <c r="AM1438" s="128">
        <v>0.99</v>
      </c>
      <c r="AN1438" s="133" t="s">
        <v>33</v>
      </c>
      <c r="AO1438" s="133" t="s">
        <v>33</v>
      </c>
      <c r="AP1438" s="133" t="s">
        <v>33</v>
      </c>
      <c r="AQ1438" s="133" t="s">
        <v>33</v>
      </c>
      <c r="AR1438" s="153">
        <v>0.110069253262963</v>
      </c>
      <c r="AS1438" s="137" t="s">
        <v>33</v>
      </c>
      <c r="AT1438" s="137" t="s">
        <v>33</v>
      </c>
      <c r="AU1438" s="137" t="s">
        <v>33</v>
      </c>
      <c r="AV1438" s="137" t="s">
        <v>33</v>
      </c>
      <c r="AW1438" s="93"/>
      <c r="AX1438" s="91"/>
    </row>
    <row r="1439" ht="14.5" spans="1:50">
      <c r="A1439" s="89"/>
      <c r="B1439" s="93"/>
      <c r="C1439" s="148" t="s">
        <v>1449</v>
      </c>
      <c r="D1439" s="126" t="s">
        <v>1450</v>
      </c>
      <c r="E1439" s="192" t="s">
        <v>1465</v>
      </c>
      <c r="F1439" s="192" t="s">
        <v>1465</v>
      </c>
      <c r="G1439" s="192" t="s">
        <v>1465</v>
      </c>
      <c r="H1439" s="192" t="s">
        <v>1465</v>
      </c>
      <c r="I1439" s="128">
        <v>0.9</v>
      </c>
      <c r="J1439" s="129" t="s">
        <v>33</v>
      </c>
      <c r="K1439" s="129" t="s">
        <v>33</v>
      </c>
      <c r="L1439" s="130" t="s">
        <v>33</v>
      </c>
      <c r="M1439" s="129" t="s">
        <v>33</v>
      </c>
      <c r="N1439" s="131">
        <v>0.9</v>
      </c>
      <c r="O1439" s="129" t="s">
        <v>33</v>
      </c>
      <c r="P1439" s="129" t="s">
        <v>33</v>
      </c>
      <c r="Q1439" s="129" t="s">
        <v>33</v>
      </c>
      <c r="R1439" s="129" t="s">
        <v>33</v>
      </c>
      <c r="S1439" s="131">
        <v>0.9</v>
      </c>
      <c r="T1439" s="129" t="s">
        <v>33</v>
      </c>
      <c r="U1439" s="129" t="s">
        <v>33</v>
      </c>
      <c r="V1439" s="129" t="s">
        <v>33</v>
      </c>
      <c r="W1439" s="129" t="s">
        <v>33</v>
      </c>
      <c r="X1439" s="131">
        <v>0.92</v>
      </c>
      <c r="Y1439" s="131" t="s">
        <v>33</v>
      </c>
      <c r="Z1439" s="131" t="s">
        <v>33</v>
      </c>
      <c r="AA1439" s="131" t="s">
        <v>33</v>
      </c>
      <c r="AB1439" s="131" t="s">
        <v>33</v>
      </c>
      <c r="AC1439" s="131">
        <v>0.92</v>
      </c>
      <c r="AD1439" s="129">
        <v>1</v>
      </c>
      <c r="AE1439" s="129">
        <v>1</v>
      </c>
      <c r="AF1439" s="129">
        <v>1</v>
      </c>
      <c r="AG1439" s="129">
        <v>0.999686520376176</v>
      </c>
      <c r="AH1439" s="131">
        <v>0.92</v>
      </c>
      <c r="AI1439" s="129" t="s">
        <v>33</v>
      </c>
      <c r="AJ1439" s="129" t="s">
        <v>33</v>
      </c>
      <c r="AK1439" s="129" t="s">
        <v>33</v>
      </c>
      <c r="AL1439" s="129" t="s">
        <v>33</v>
      </c>
      <c r="AM1439" s="128">
        <v>0.99</v>
      </c>
      <c r="AN1439" s="133" t="s">
        <v>33</v>
      </c>
      <c r="AO1439" s="133" t="s">
        <v>33</v>
      </c>
      <c r="AP1439" s="133" t="s">
        <v>33</v>
      </c>
      <c r="AQ1439" s="133" t="s">
        <v>33</v>
      </c>
      <c r="AR1439" s="153">
        <v>0.110069253262963</v>
      </c>
      <c r="AS1439" s="137" t="s">
        <v>33</v>
      </c>
      <c r="AT1439" s="137" t="s">
        <v>33</v>
      </c>
      <c r="AU1439" s="137" t="s">
        <v>33</v>
      </c>
      <c r="AV1439" s="137" t="s">
        <v>33</v>
      </c>
      <c r="AW1439" s="93"/>
      <c r="AX1439" s="91"/>
    </row>
    <row r="1440" ht="14.5" spans="1:50">
      <c r="A1440" s="89"/>
      <c r="B1440" s="93"/>
      <c r="C1440" s="148" t="s">
        <v>1449</v>
      </c>
      <c r="D1440" s="126" t="s">
        <v>1450</v>
      </c>
      <c r="E1440" s="192" t="s">
        <v>1466</v>
      </c>
      <c r="F1440" s="192" t="s">
        <v>1466</v>
      </c>
      <c r="G1440" s="192" t="s">
        <v>1466</v>
      </c>
      <c r="H1440" s="192" t="s">
        <v>1466</v>
      </c>
      <c r="I1440" s="128">
        <v>0.9</v>
      </c>
      <c r="J1440" s="129" t="s">
        <v>33</v>
      </c>
      <c r="K1440" s="129" t="s">
        <v>33</v>
      </c>
      <c r="L1440" s="130" t="s">
        <v>33</v>
      </c>
      <c r="M1440" s="129" t="s">
        <v>33</v>
      </c>
      <c r="N1440" s="131">
        <v>0.9</v>
      </c>
      <c r="O1440" s="129" t="s">
        <v>33</v>
      </c>
      <c r="P1440" s="129" t="s">
        <v>33</v>
      </c>
      <c r="Q1440" s="129">
        <v>0</v>
      </c>
      <c r="R1440" s="129">
        <v>0</v>
      </c>
      <c r="S1440" s="131">
        <v>0.9</v>
      </c>
      <c r="T1440" s="129" t="s">
        <v>33</v>
      </c>
      <c r="U1440" s="129" t="s">
        <v>33</v>
      </c>
      <c r="V1440" s="129">
        <v>1</v>
      </c>
      <c r="W1440" s="129">
        <v>1</v>
      </c>
      <c r="X1440" s="131">
        <v>0.92</v>
      </c>
      <c r="Y1440" s="131" t="s">
        <v>33</v>
      </c>
      <c r="Z1440" s="131" t="s">
        <v>33</v>
      </c>
      <c r="AA1440" s="131" t="s">
        <v>33</v>
      </c>
      <c r="AB1440" s="131" t="s">
        <v>33</v>
      </c>
      <c r="AC1440" s="131">
        <v>0.92</v>
      </c>
      <c r="AD1440" s="129">
        <v>0.997560975609756</v>
      </c>
      <c r="AE1440" s="129">
        <v>1</v>
      </c>
      <c r="AF1440" s="129">
        <v>1</v>
      </c>
      <c r="AG1440" s="129">
        <v>0.986411889596603</v>
      </c>
      <c r="AH1440" s="131">
        <v>0.92</v>
      </c>
      <c r="AI1440" s="129" t="s">
        <v>33</v>
      </c>
      <c r="AJ1440" s="129" t="s">
        <v>33</v>
      </c>
      <c r="AK1440" s="129">
        <v>1</v>
      </c>
      <c r="AL1440" s="129">
        <v>1</v>
      </c>
      <c r="AM1440" s="128">
        <v>0.99</v>
      </c>
      <c r="AN1440" s="133" t="s">
        <v>33</v>
      </c>
      <c r="AO1440" s="133" t="s">
        <v>33</v>
      </c>
      <c r="AP1440" s="133" t="s">
        <v>33</v>
      </c>
      <c r="AQ1440" s="133" t="s">
        <v>33</v>
      </c>
      <c r="AR1440" s="153">
        <v>0.110069253262963</v>
      </c>
      <c r="AS1440" s="137" t="s">
        <v>33</v>
      </c>
      <c r="AT1440" s="137" t="s">
        <v>33</v>
      </c>
      <c r="AU1440" s="137" t="s">
        <v>33</v>
      </c>
      <c r="AV1440" s="137" t="s">
        <v>33</v>
      </c>
      <c r="AW1440" s="93"/>
      <c r="AX1440" s="91"/>
    </row>
    <row r="1441" ht="14.5" spans="1:50">
      <c r="A1441" s="89"/>
      <c r="B1441" s="93"/>
      <c r="C1441" s="148" t="s">
        <v>1449</v>
      </c>
      <c r="D1441" s="126" t="s">
        <v>1450</v>
      </c>
      <c r="E1441" s="192" t="s">
        <v>1467</v>
      </c>
      <c r="F1441" s="192" t="s">
        <v>1467</v>
      </c>
      <c r="G1441" s="192" t="s">
        <v>1467</v>
      </c>
      <c r="H1441" s="192" t="s">
        <v>1467</v>
      </c>
      <c r="I1441" s="128">
        <v>0.9</v>
      </c>
      <c r="J1441" s="129" t="s">
        <v>33</v>
      </c>
      <c r="K1441" s="129" t="s">
        <v>33</v>
      </c>
      <c r="L1441" s="130" t="s">
        <v>33</v>
      </c>
      <c r="M1441" s="129" t="s">
        <v>33</v>
      </c>
      <c r="N1441" s="131">
        <v>0.9</v>
      </c>
      <c r="O1441" s="129">
        <v>0</v>
      </c>
      <c r="P1441" s="129" t="s">
        <v>33</v>
      </c>
      <c r="Q1441" s="129">
        <v>0</v>
      </c>
      <c r="R1441" s="129">
        <v>0</v>
      </c>
      <c r="S1441" s="131">
        <v>0.9</v>
      </c>
      <c r="T1441" s="129">
        <v>1</v>
      </c>
      <c r="U1441" s="129" t="s">
        <v>33</v>
      </c>
      <c r="V1441" s="129">
        <v>1</v>
      </c>
      <c r="W1441" s="129">
        <v>1</v>
      </c>
      <c r="X1441" s="131">
        <v>0.92</v>
      </c>
      <c r="Y1441" s="131" t="s">
        <v>33</v>
      </c>
      <c r="Z1441" s="131" t="s">
        <v>33</v>
      </c>
      <c r="AA1441" s="131" t="s">
        <v>33</v>
      </c>
      <c r="AB1441" s="131">
        <v>1</v>
      </c>
      <c r="AC1441" s="131">
        <v>0.92</v>
      </c>
      <c r="AD1441" s="129">
        <v>0.98109756097561</v>
      </c>
      <c r="AE1441" s="129">
        <v>0.979064898813678</v>
      </c>
      <c r="AF1441" s="129">
        <v>0.997229916897507</v>
      </c>
      <c r="AG1441" s="129">
        <v>0.994227581871178</v>
      </c>
      <c r="AH1441" s="131">
        <v>0.92</v>
      </c>
      <c r="AI1441" s="129">
        <v>1</v>
      </c>
      <c r="AJ1441" s="129" t="s">
        <v>33</v>
      </c>
      <c r="AK1441" s="129">
        <v>1</v>
      </c>
      <c r="AL1441" s="129">
        <v>1</v>
      </c>
      <c r="AM1441" s="128">
        <v>0.99</v>
      </c>
      <c r="AN1441" s="133">
        <v>1</v>
      </c>
      <c r="AO1441" s="133" t="s">
        <v>33</v>
      </c>
      <c r="AP1441" s="133" t="s">
        <v>33</v>
      </c>
      <c r="AQ1441" s="133">
        <v>1</v>
      </c>
      <c r="AR1441" s="153">
        <v>0.110069253262963</v>
      </c>
      <c r="AS1441" s="137" t="s">
        <v>33</v>
      </c>
      <c r="AT1441" s="137" t="s">
        <v>33</v>
      </c>
      <c r="AU1441" s="137" t="s">
        <v>33</v>
      </c>
      <c r="AV1441" s="137" t="s">
        <v>33</v>
      </c>
      <c r="AW1441" s="93"/>
      <c r="AX1441" s="91"/>
    </row>
    <row r="1442" ht="14.5" spans="1:50">
      <c r="A1442" s="89"/>
      <c r="B1442" s="93"/>
      <c r="C1442" s="148" t="s">
        <v>1449</v>
      </c>
      <c r="D1442" s="126" t="s">
        <v>1450</v>
      </c>
      <c r="E1442" s="192" t="s">
        <v>1468</v>
      </c>
      <c r="F1442" s="192" t="s">
        <v>1468</v>
      </c>
      <c r="G1442" s="192" t="s">
        <v>1468</v>
      </c>
      <c r="H1442" s="192" t="s">
        <v>1468</v>
      </c>
      <c r="I1442" s="128">
        <v>0.9</v>
      </c>
      <c r="J1442" s="129" t="s">
        <v>33</v>
      </c>
      <c r="K1442" s="129" t="s">
        <v>33</v>
      </c>
      <c r="L1442" s="130" t="s">
        <v>33</v>
      </c>
      <c r="M1442" s="129" t="s">
        <v>33</v>
      </c>
      <c r="N1442" s="131">
        <v>0.9</v>
      </c>
      <c r="O1442" s="129" t="s">
        <v>33</v>
      </c>
      <c r="P1442" s="129" t="s">
        <v>33</v>
      </c>
      <c r="Q1442" s="129" t="s">
        <v>33</v>
      </c>
      <c r="R1442" s="129" t="s">
        <v>33</v>
      </c>
      <c r="S1442" s="131">
        <v>0.9</v>
      </c>
      <c r="T1442" s="129" t="s">
        <v>33</v>
      </c>
      <c r="U1442" s="129" t="s">
        <v>33</v>
      </c>
      <c r="V1442" s="129" t="s">
        <v>33</v>
      </c>
      <c r="W1442" s="129" t="s">
        <v>33</v>
      </c>
      <c r="X1442" s="131">
        <v>0.92</v>
      </c>
      <c r="Y1442" s="131" t="s">
        <v>33</v>
      </c>
      <c r="Z1442" s="131" t="s">
        <v>33</v>
      </c>
      <c r="AA1442" s="131" t="s">
        <v>33</v>
      </c>
      <c r="AB1442" s="131" t="s">
        <v>33</v>
      </c>
      <c r="AC1442" s="131">
        <v>0.92</v>
      </c>
      <c r="AD1442" s="129">
        <v>0.98019801980198</v>
      </c>
      <c r="AE1442" s="129">
        <v>0.601036269430052</v>
      </c>
      <c r="AF1442" s="129">
        <v>0.611895910780669</v>
      </c>
      <c r="AG1442" s="129">
        <v>0.849722103463018</v>
      </c>
      <c r="AH1442" s="131">
        <v>0.92</v>
      </c>
      <c r="AI1442" s="129" t="s">
        <v>33</v>
      </c>
      <c r="AJ1442" s="129" t="s">
        <v>33</v>
      </c>
      <c r="AK1442" s="129" t="s">
        <v>33</v>
      </c>
      <c r="AL1442" s="129" t="s">
        <v>33</v>
      </c>
      <c r="AM1442" s="128">
        <v>0.99</v>
      </c>
      <c r="AN1442" s="133" t="s">
        <v>33</v>
      </c>
      <c r="AO1442" s="133" t="s">
        <v>33</v>
      </c>
      <c r="AP1442" s="133" t="s">
        <v>33</v>
      </c>
      <c r="AQ1442" s="133">
        <v>1</v>
      </c>
      <c r="AR1442" s="153">
        <v>0.110069253262963</v>
      </c>
      <c r="AS1442" s="137" t="s">
        <v>33</v>
      </c>
      <c r="AT1442" s="137" t="s">
        <v>33</v>
      </c>
      <c r="AU1442" s="137" t="s">
        <v>33</v>
      </c>
      <c r="AV1442" s="137" t="s">
        <v>33</v>
      </c>
      <c r="AW1442" s="93"/>
      <c r="AX1442" s="91"/>
    </row>
    <row r="1443" ht="14.5" spans="1:50">
      <c r="A1443" s="89"/>
      <c r="B1443" s="93"/>
      <c r="C1443" s="148" t="s">
        <v>1449</v>
      </c>
      <c r="D1443" s="126" t="s">
        <v>1450</v>
      </c>
      <c r="E1443" s="191" t="s">
        <v>1469</v>
      </c>
      <c r="F1443" s="191" t="s">
        <v>1469</v>
      </c>
      <c r="G1443" s="191" t="s">
        <v>1469</v>
      </c>
      <c r="H1443" s="191" t="s">
        <v>1469</v>
      </c>
      <c r="I1443" s="128">
        <v>0.9</v>
      </c>
      <c r="J1443" s="129" t="s">
        <v>33</v>
      </c>
      <c r="K1443" s="129" t="s">
        <v>33</v>
      </c>
      <c r="L1443" s="130" t="s">
        <v>33</v>
      </c>
      <c r="M1443" s="129" t="s">
        <v>33</v>
      </c>
      <c r="N1443" s="131">
        <v>0.9</v>
      </c>
      <c r="O1443" s="129" t="s">
        <v>33</v>
      </c>
      <c r="P1443" s="129" t="s">
        <v>33</v>
      </c>
      <c r="Q1443" s="129" t="s">
        <v>33</v>
      </c>
      <c r="R1443" s="129">
        <v>0</v>
      </c>
      <c r="S1443" s="131">
        <v>0.9</v>
      </c>
      <c r="T1443" s="129" t="s">
        <v>33</v>
      </c>
      <c r="U1443" s="129" t="s">
        <v>33</v>
      </c>
      <c r="V1443" s="129" t="s">
        <v>33</v>
      </c>
      <c r="W1443" s="129">
        <v>1</v>
      </c>
      <c r="X1443" s="131">
        <v>0.92</v>
      </c>
      <c r="Y1443" s="131" t="s">
        <v>33</v>
      </c>
      <c r="Z1443" s="131" t="s">
        <v>33</v>
      </c>
      <c r="AA1443" s="131" t="s">
        <v>33</v>
      </c>
      <c r="AB1443" s="131" t="s">
        <v>33</v>
      </c>
      <c r="AC1443" s="131">
        <v>0.92</v>
      </c>
      <c r="AD1443" s="129">
        <v>0.94131455399061</v>
      </c>
      <c r="AE1443" s="129">
        <v>0.959501557632399</v>
      </c>
      <c r="AF1443" s="129">
        <v>1</v>
      </c>
      <c r="AG1443" s="129">
        <v>0.988859764089122</v>
      </c>
      <c r="AH1443" s="131">
        <v>0.92</v>
      </c>
      <c r="AI1443" s="129" t="s">
        <v>33</v>
      </c>
      <c r="AJ1443" s="129" t="s">
        <v>33</v>
      </c>
      <c r="AK1443" s="129" t="s">
        <v>33</v>
      </c>
      <c r="AL1443" s="129">
        <v>1</v>
      </c>
      <c r="AM1443" s="128">
        <v>0.99</v>
      </c>
      <c r="AN1443" s="133" t="s">
        <v>33</v>
      </c>
      <c r="AO1443" s="133" t="s">
        <v>33</v>
      </c>
      <c r="AP1443" s="133">
        <v>1</v>
      </c>
      <c r="AQ1443" s="133">
        <v>1</v>
      </c>
      <c r="AR1443" s="153">
        <v>0.110069253262963</v>
      </c>
      <c r="AS1443" s="137" t="s">
        <v>33</v>
      </c>
      <c r="AT1443" s="137" t="s">
        <v>33</v>
      </c>
      <c r="AU1443" s="137" t="s">
        <v>33</v>
      </c>
      <c r="AV1443" s="137" t="s">
        <v>33</v>
      </c>
      <c r="AW1443" s="93"/>
      <c r="AX1443" s="91"/>
    </row>
    <row r="1444" ht="14.5" spans="1:50">
      <c r="A1444" s="89"/>
      <c r="B1444" s="93"/>
      <c r="C1444" s="148" t="s">
        <v>1449</v>
      </c>
      <c r="D1444" s="126" t="s">
        <v>1450</v>
      </c>
      <c r="E1444" s="191" t="s">
        <v>1470</v>
      </c>
      <c r="F1444" s="191" t="s">
        <v>1470</v>
      </c>
      <c r="G1444" s="191" t="s">
        <v>1470</v>
      </c>
      <c r="H1444" s="191" t="s">
        <v>1470</v>
      </c>
      <c r="I1444" s="128">
        <v>0.9</v>
      </c>
      <c r="J1444" s="129" t="s">
        <v>33</v>
      </c>
      <c r="K1444" s="129" t="s">
        <v>33</v>
      </c>
      <c r="L1444" s="130" t="s">
        <v>33</v>
      </c>
      <c r="M1444" s="129" t="s">
        <v>33</v>
      </c>
      <c r="N1444" s="131">
        <v>0.9</v>
      </c>
      <c r="O1444" s="129" t="s">
        <v>33</v>
      </c>
      <c r="P1444" s="129" t="s">
        <v>33</v>
      </c>
      <c r="Q1444" s="129" t="s">
        <v>33</v>
      </c>
      <c r="R1444" s="129" t="s">
        <v>33</v>
      </c>
      <c r="S1444" s="131">
        <v>0.9</v>
      </c>
      <c r="T1444" s="129" t="s">
        <v>33</v>
      </c>
      <c r="U1444" s="129" t="s">
        <v>33</v>
      </c>
      <c r="V1444" s="129" t="s">
        <v>33</v>
      </c>
      <c r="W1444" s="129" t="s">
        <v>33</v>
      </c>
      <c r="X1444" s="131">
        <v>0.92</v>
      </c>
      <c r="Y1444" s="131" t="s">
        <v>33</v>
      </c>
      <c r="Z1444" s="131" t="s">
        <v>33</v>
      </c>
      <c r="AA1444" s="131" t="s">
        <v>33</v>
      </c>
      <c r="AB1444" s="131" t="s">
        <v>33</v>
      </c>
      <c r="AC1444" s="131">
        <v>0.92</v>
      </c>
      <c r="AD1444" s="129">
        <v>0.0666666666666667</v>
      </c>
      <c r="AE1444" s="129">
        <v>0.357142857142857</v>
      </c>
      <c r="AF1444" s="129">
        <v>0.1</v>
      </c>
      <c r="AG1444" s="129">
        <v>0.328859060402685</v>
      </c>
      <c r="AH1444" s="131">
        <v>0.92</v>
      </c>
      <c r="AI1444" s="129" t="s">
        <v>33</v>
      </c>
      <c r="AJ1444" s="129" t="s">
        <v>33</v>
      </c>
      <c r="AK1444" s="129" t="s">
        <v>33</v>
      </c>
      <c r="AL1444" s="129" t="s">
        <v>33</v>
      </c>
      <c r="AM1444" s="128">
        <v>0.99</v>
      </c>
      <c r="AN1444" s="133" t="s">
        <v>33</v>
      </c>
      <c r="AO1444" s="133" t="s">
        <v>33</v>
      </c>
      <c r="AP1444" s="133" t="s">
        <v>33</v>
      </c>
      <c r="AQ1444" s="133" t="s">
        <v>33</v>
      </c>
      <c r="AR1444" s="153">
        <v>0.110069253262963</v>
      </c>
      <c r="AS1444" s="137" t="s">
        <v>33</v>
      </c>
      <c r="AT1444" s="137" t="s">
        <v>33</v>
      </c>
      <c r="AU1444" s="137" t="s">
        <v>33</v>
      </c>
      <c r="AV1444" s="137" t="s">
        <v>33</v>
      </c>
      <c r="AW1444" s="93"/>
      <c r="AX1444" s="91"/>
    </row>
    <row r="1445" ht="14.5" spans="1:50">
      <c r="A1445" s="89"/>
      <c r="B1445" s="93"/>
      <c r="C1445" s="148" t="s">
        <v>1449</v>
      </c>
      <c r="D1445" s="126" t="s">
        <v>1450</v>
      </c>
      <c r="E1445" s="191" t="s">
        <v>1471</v>
      </c>
      <c r="F1445" s="191" t="s">
        <v>1471</v>
      </c>
      <c r="G1445" s="191" t="s">
        <v>1471</v>
      </c>
      <c r="H1445" s="191" t="s">
        <v>1471</v>
      </c>
      <c r="I1445" s="128">
        <v>0.9</v>
      </c>
      <c r="J1445" s="129" t="s">
        <v>33</v>
      </c>
      <c r="K1445" s="129" t="s">
        <v>33</v>
      </c>
      <c r="L1445" s="130" t="s">
        <v>33</v>
      </c>
      <c r="M1445" s="129" t="s">
        <v>33</v>
      </c>
      <c r="N1445" s="131">
        <v>0.9</v>
      </c>
      <c r="O1445" s="129" t="s">
        <v>33</v>
      </c>
      <c r="P1445" s="129" t="s">
        <v>33</v>
      </c>
      <c r="Q1445" s="129" t="s">
        <v>33</v>
      </c>
      <c r="R1445" s="129" t="s">
        <v>33</v>
      </c>
      <c r="S1445" s="131">
        <v>0.9</v>
      </c>
      <c r="T1445" s="129" t="s">
        <v>33</v>
      </c>
      <c r="U1445" s="129" t="s">
        <v>33</v>
      </c>
      <c r="V1445" s="129" t="s">
        <v>33</v>
      </c>
      <c r="W1445" s="129" t="s">
        <v>33</v>
      </c>
      <c r="X1445" s="131">
        <v>0.92</v>
      </c>
      <c r="Y1445" s="131" t="s">
        <v>33</v>
      </c>
      <c r="Z1445" s="131" t="s">
        <v>33</v>
      </c>
      <c r="AA1445" s="131" t="s">
        <v>33</v>
      </c>
      <c r="AB1445" s="131" t="s">
        <v>33</v>
      </c>
      <c r="AC1445" s="131">
        <v>0.92</v>
      </c>
      <c r="AD1445" s="129">
        <v>1</v>
      </c>
      <c r="AE1445" s="129">
        <v>1</v>
      </c>
      <c r="AF1445" s="129">
        <v>1</v>
      </c>
      <c r="AG1445" s="129">
        <v>0.835164835164835</v>
      </c>
      <c r="AH1445" s="131">
        <v>0.92</v>
      </c>
      <c r="AI1445" s="129" t="s">
        <v>33</v>
      </c>
      <c r="AJ1445" s="129" t="s">
        <v>33</v>
      </c>
      <c r="AK1445" s="129" t="s">
        <v>33</v>
      </c>
      <c r="AL1445" s="129" t="s">
        <v>33</v>
      </c>
      <c r="AM1445" s="128">
        <v>0.99</v>
      </c>
      <c r="AN1445" s="133" t="s">
        <v>33</v>
      </c>
      <c r="AO1445" s="133" t="s">
        <v>33</v>
      </c>
      <c r="AP1445" s="133" t="s">
        <v>33</v>
      </c>
      <c r="AQ1445" s="133" t="s">
        <v>33</v>
      </c>
      <c r="AR1445" s="153">
        <v>0.110069253262963</v>
      </c>
      <c r="AS1445" s="137" t="s">
        <v>33</v>
      </c>
      <c r="AT1445" s="137" t="s">
        <v>33</v>
      </c>
      <c r="AU1445" s="137" t="s">
        <v>33</v>
      </c>
      <c r="AV1445" s="137" t="s">
        <v>33</v>
      </c>
      <c r="AW1445" s="93"/>
      <c r="AX1445" s="91"/>
    </row>
    <row r="1446" ht="14.5" spans="1:50">
      <c r="A1446" s="89"/>
      <c r="B1446" s="93"/>
      <c r="C1446" s="148" t="s">
        <v>1449</v>
      </c>
      <c r="D1446" s="126" t="s">
        <v>1450</v>
      </c>
      <c r="E1446" s="192" t="s">
        <v>1472</v>
      </c>
      <c r="F1446" s="192" t="s">
        <v>1472</v>
      </c>
      <c r="G1446" s="192" t="s">
        <v>1472</v>
      </c>
      <c r="H1446" s="192" t="s">
        <v>1472</v>
      </c>
      <c r="I1446" s="128">
        <v>0.9</v>
      </c>
      <c r="J1446" s="129" t="s">
        <v>33</v>
      </c>
      <c r="K1446" s="129" t="s">
        <v>33</v>
      </c>
      <c r="L1446" s="130" t="s">
        <v>33</v>
      </c>
      <c r="M1446" s="129" t="s">
        <v>33</v>
      </c>
      <c r="N1446" s="131">
        <v>0.9</v>
      </c>
      <c r="O1446" s="129">
        <v>0</v>
      </c>
      <c r="P1446" s="129">
        <v>0</v>
      </c>
      <c r="Q1446" s="129" t="s">
        <v>33</v>
      </c>
      <c r="R1446" s="129">
        <v>0</v>
      </c>
      <c r="S1446" s="131">
        <v>0.9</v>
      </c>
      <c r="T1446" s="129">
        <v>0</v>
      </c>
      <c r="U1446" s="129">
        <v>0.2</v>
      </c>
      <c r="V1446" s="129" t="s">
        <v>33</v>
      </c>
      <c r="W1446" s="129">
        <v>0.421052631578947</v>
      </c>
      <c r="X1446" s="131">
        <v>0.92</v>
      </c>
      <c r="Y1446" s="131" t="s">
        <v>33</v>
      </c>
      <c r="Z1446" s="131">
        <v>0</v>
      </c>
      <c r="AA1446" s="131">
        <v>1</v>
      </c>
      <c r="AB1446" s="131">
        <v>0.0714285714285714</v>
      </c>
      <c r="AC1446" s="131">
        <v>0.92</v>
      </c>
      <c r="AD1446" s="129">
        <v>0.999797077922078</v>
      </c>
      <c r="AE1446" s="129">
        <v>0.999144593239337</v>
      </c>
      <c r="AF1446" s="129">
        <v>0.997933884297521</v>
      </c>
      <c r="AG1446" s="129">
        <v>0.999709780785103</v>
      </c>
      <c r="AH1446" s="131">
        <v>0.92</v>
      </c>
      <c r="AI1446" s="129">
        <v>0.5</v>
      </c>
      <c r="AJ1446" s="129">
        <v>0.0444444444444444</v>
      </c>
      <c r="AK1446" s="129">
        <v>0.666666666666667</v>
      </c>
      <c r="AL1446" s="129">
        <v>0.302631578947368</v>
      </c>
      <c r="AM1446" s="128">
        <v>0.99</v>
      </c>
      <c r="AN1446" s="133">
        <v>1</v>
      </c>
      <c r="AO1446" s="133">
        <v>1</v>
      </c>
      <c r="AP1446" s="133">
        <v>1</v>
      </c>
      <c r="AQ1446" s="133">
        <v>1</v>
      </c>
      <c r="AR1446" s="153">
        <v>0.110069253262963</v>
      </c>
      <c r="AS1446" s="137" t="s">
        <v>33</v>
      </c>
      <c r="AT1446" s="137" t="s">
        <v>33</v>
      </c>
      <c r="AU1446" s="137" t="s">
        <v>33</v>
      </c>
      <c r="AV1446" s="137" t="s">
        <v>33</v>
      </c>
      <c r="AW1446" s="93"/>
      <c r="AX1446" s="91"/>
    </row>
    <row r="1447" ht="14.5" spans="1:50">
      <c r="A1447" s="89"/>
      <c r="B1447" s="93"/>
      <c r="C1447" s="148" t="s">
        <v>1449</v>
      </c>
      <c r="D1447" s="126" t="s">
        <v>1450</v>
      </c>
      <c r="E1447" s="192" t="s">
        <v>1473</v>
      </c>
      <c r="F1447" s="192" t="s">
        <v>1473</v>
      </c>
      <c r="G1447" s="192" t="s">
        <v>1473</v>
      </c>
      <c r="H1447" s="192" t="s">
        <v>1473</v>
      </c>
      <c r="I1447" s="128">
        <v>0.9</v>
      </c>
      <c r="J1447" s="129" t="s">
        <v>33</v>
      </c>
      <c r="K1447" s="129" t="s">
        <v>33</v>
      </c>
      <c r="L1447" s="130" t="s">
        <v>33</v>
      </c>
      <c r="M1447" s="129" t="s">
        <v>33</v>
      </c>
      <c r="N1447" s="131">
        <v>0.9</v>
      </c>
      <c r="O1447" s="129" t="s">
        <v>33</v>
      </c>
      <c r="P1447" s="129" t="s">
        <v>33</v>
      </c>
      <c r="Q1447" s="129" t="s">
        <v>33</v>
      </c>
      <c r="R1447" s="129" t="s">
        <v>33</v>
      </c>
      <c r="S1447" s="131">
        <v>0.9</v>
      </c>
      <c r="T1447" s="129" t="s">
        <v>33</v>
      </c>
      <c r="U1447" s="129" t="s">
        <v>33</v>
      </c>
      <c r="V1447" s="129" t="s">
        <v>33</v>
      </c>
      <c r="W1447" s="129" t="s">
        <v>33</v>
      </c>
      <c r="X1447" s="131">
        <v>0.92</v>
      </c>
      <c r="Y1447" s="131" t="s">
        <v>33</v>
      </c>
      <c r="Z1447" s="131" t="s">
        <v>33</v>
      </c>
      <c r="AA1447" s="131" t="s">
        <v>33</v>
      </c>
      <c r="AB1447" s="131" t="s">
        <v>33</v>
      </c>
      <c r="AC1447" s="131">
        <v>0.92</v>
      </c>
      <c r="AD1447" s="129">
        <v>0.907692307692308</v>
      </c>
      <c r="AE1447" s="129">
        <v>0.876106194690266</v>
      </c>
      <c r="AF1447" s="129">
        <v>0.923076923076923</v>
      </c>
      <c r="AG1447" s="129">
        <v>0.904182879377432</v>
      </c>
      <c r="AH1447" s="131">
        <v>0.92</v>
      </c>
      <c r="AI1447" s="129" t="s">
        <v>33</v>
      </c>
      <c r="AJ1447" s="129" t="s">
        <v>33</v>
      </c>
      <c r="AK1447" s="129" t="s">
        <v>33</v>
      </c>
      <c r="AL1447" s="129" t="s">
        <v>33</v>
      </c>
      <c r="AM1447" s="128">
        <v>0.99</v>
      </c>
      <c r="AN1447" s="133">
        <v>1</v>
      </c>
      <c r="AO1447" s="133">
        <v>1</v>
      </c>
      <c r="AP1447" s="133">
        <v>1</v>
      </c>
      <c r="AQ1447" s="133">
        <v>1</v>
      </c>
      <c r="AR1447" s="153">
        <v>0.110069253262963</v>
      </c>
      <c r="AS1447" s="137" t="s">
        <v>33</v>
      </c>
      <c r="AT1447" s="137" t="s">
        <v>33</v>
      </c>
      <c r="AU1447" s="137" t="s">
        <v>33</v>
      </c>
      <c r="AV1447" s="137" t="s">
        <v>33</v>
      </c>
      <c r="AW1447" s="93"/>
      <c r="AX1447" s="91"/>
    </row>
    <row r="1448" ht="14.5" spans="1:50">
      <c r="A1448" s="89"/>
      <c r="B1448" s="93"/>
      <c r="C1448" s="148" t="s">
        <v>1449</v>
      </c>
      <c r="D1448" s="126" t="s">
        <v>1450</v>
      </c>
      <c r="E1448" s="192" t="s">
        <v>1474</v>
      </c>
      <c r="F1448" s="192" t="s">
        <v>1474</v>
      </c>
      <c r="G1448" s="192" t="s">
        <v>1474</v>
      </c>
      <c r="H1448" s="192" t="s">
        <v>1474</v>
      </c>
      <c r="I1448" s="128">
        <v>0.9</v>
      </c>
      <c r="J1448" s="129" t="s">
        <v>33</v>
      </c>
      <c r="K1448" s="129" t="s">
        <v>33</v>
      </c>
      <c r="L1448" s="130" t="s">
        <v>33</v>
      </c>
      <c r="M1448" s="129" t="s">
        <v>33</v>
      </c>
      <c r="N1448" s="131">
        <v>0.9</v>
      </c>
      <c r="O1448" s="129" t="s">
        <v>33</v>
      </c>
      <c r="P1448" s="129" t="s">
        <v>33</v>
      </c>
      <c r="Q1448" s="129" t="s">
        <v>33</v>
      </c>
      <c r="R1448" s="129" t="s">
        <v>33</v>
      </c>
      <c r="S1448" s="131">
        <v>0.9</v>
      </c>
      <c r="T1448" s="129" t="s">
        <v>33</v>
      </c>
      <c r="U1448" s="129" t="s">
        <v>33</v>
      </c>
      <c r="V1448" s="129" t="s">
        <v>33</v>
      </c>
      <c r="W1448" s="129" t="s">
        <v>33</v>
      </c>
      <c r="X1448" s="131">
        <v>0.92</v>
      </c>
      <c r="Y1448" s="131" t="s">
        <v>33</v>
      </c>
      <c r="Z1448" s="131" t="s">
        <v>33</v>
      </c>
      <c r="AA1448" s="131" t="s">
        <v>33</v>
      </c>
      <c r="AB1448" s="131" t="s">
        <v>33</v>
      </c>
      <c r="AC1448" s="131">
        <v>0.92</v>
      </c>
      <c r="AD1448" s="129">
        <v>1</v>
      </c>
      <c r="AE1448" s="129">
        <v>0.602409638554217</v>
      </c>
      <c r="AF1448" s="129">
        <v>0.286259541984733</v>
      </c>
      <c r="AG1448" s="129">
        <v>0.802201467645097</v>
      </c>
      <c r="AH1448" s="131">
        <v>0.92</v>
      </c>
      <c r="AI1448" s="129" t="s">
        <v>33</v>
      </c>
      <c r="AJ1448" s="129" t="s">
        <v>33</v>
      </c>
      <c r="AK1448" s="129" t="s">
        <v>33</v>
      </c>
      <c r="AL1448" s="129" t="s">
        <v>33</v>
      </c>
      <c r="AM1448" s="128">
        <v>0.99</v>
      </c>
      <c r="AN1448" s="133">
        <v>1</v>
      </c>
      <c r="AO1448" s="133">
        <v>1</v>
      </c>
      <c r="AP1448" s="133">
        <v>1</v>
      </c>
      <c r="AQ1448" s="133">
        <v>1</v>
      </c>
      <c r="AR1448" s="153">
        <v>0.110069253262963</v>
      </c>
      <c r="AS1448" s="137" t="s">
        <v>33</v>
      </c>
      <c r="AT1448" s="137" t="s">
        <v>33</v>
      </c>
      <c r="AU1448" s="137" t="s">
        <v>33</v>
      </c>
      <c r="AV1448" s="137" t="s">
        <v>33</v>
      </c>
      <c r="AW1448" s="93"/>
      <c r="AX1448" s="91"/>
    </row>
    <row r="1449" ht="14.5" spans="1:50">
      <c r="A1449" s="89"/>
      <c r="B1449" s="93"/>
      <c r="C1449" s="148" t="s">
        <v>1449</v>
      </c>
      <c r="D1449" s="126" t="s">
        <v>1450</v>
      </c>
      <c r="E1449" s="191" t="s">
        <v>1475</v>
      </c>
      <c r="F1449" s="191" t="s">
        <v>1475</v>
      </c>
      <c r="G1449" s="191" t="s">
        <v>1475</v>
      </c>
      <c r="H1449" s="191" t="s">
        <v>1475</v>
      </c>
      <c r="I1449" s="128">
        <v>0.9</v>
      </c>
      <c r="J1449" s="129" t="s">
        <v>33</v>
      </c>
      <c r="K1449" s="129" t="s">
        <v>33</v>
      </c>
      <c r="L1449" s="130" t="s">
        <v>33</v>
      </c>
      <c r="M1449" s="129" t="s">
        <v>33</v>
      </c>
      <c r="N1449" s="131">
        <v>0.9</v>
      </c>
      <c r="O1449" s="129" t="s">
        <v>33</v>
      </c>
      <c r="P1449" s="129" t="s">
        <v>33</v>
      </c>
      <c r="Q1449" s="129" t="s">
        <v>33</v>
      </c>
      <c r="R1449" s="129" t="s">
        <v>33</v>
      </c>
      <c r="S1449" s="131">
        <v>0.9</v>
      </c>
      <c r="T1449" s="129" t="s">
        <v>33</v>
      </c>
      <c r="U1449" s="129" t="s">
        <v>33</v>
      </c>
      <c r="V1449" s="129" t="s">
        <v>33</v>
      </c>
      <c r="W1449" s="129" t="s">
        <v>33</v>
      </c>
      <c r="X1449" s="131">
        <v>0.92</v>
      </c>
      <c r="Y1449" s="131" t="s">
        <v>33</v>
      </c>
      <c r="Z1449" s="131" t="s">
        <v>33</v>
      </c>
      <c r="AA1449" s="131" t="s">
        <v>33</v>
      </c>
      <c r="AB1449" s="131" t="s">
        <v>33</v>
      </c>
      <c r="AC1449" s="131">
        <v>0.92</v>
      </c>
      <c r="AD1449" s="129">
        <v>0.517241379310345</v>
      </c>
      <c r="AE1449" s="129">
        <v>0.482142857142857</v>
      </c>
      <c r="AF1449" s="129" t="s">
        <v>33</v>
      </c>
      <c r="AG1449" s="129">
        <v>0.532544378698225</v>
      </c>
      <c r="AH1449" s="131">
        <v>0.92</v>
      </c>
      <c r="AI1449" s="129" t="s">
        <v>33</v>
      </c>
      <c r="AJ1449" s="129" t="s">
        <v>33</v>
      </c>
      <c r="AK1449" s="129" t="s">
        <v>33</v>
      </c>
      <c r="AL1449" s="129" t="s">
        <v>33</v>
      </c>
      <c r="AM1449" s="128">
        <v>0.99</v>
      </c>
      <c r="AN1449" s="133" t="s">
        <v>33</v>
      </c>
      <c r="AO1449" s="133" t="s">
        <v>33</v>
      </c>
      <c r="AP1449" s="133" t="s">
        <v>33</v>
      </c>
      <c r="AQ1449" s="133">
        <v>1</v>
      </c>
      <c r="AR1449" s="153">
        <v>0.110069253262963</v>
      </c>
      <c r="AS1449" s="137" t="s">
        <v>33</v>
      </c>
      <c r="AT1449" s="137" t="s">
        <v>33</v>
      </c>
      <c r="AU1449" s="137" t="s">
        <v>33</v>
      </c>
      <c r="AV1449" s="137" t="s">
        <v>33</v>
      </c>
      <c r="AW1449" s="93"/>
      <c r="AX1449" s="91"/>
    </row>
    <row r="1450" ht="14.5" spans="1:50">
      <c r="A1450" s="89"/>
      <c r="B1450" s="93"/>
      <c r="C1450" s="148" t="s">
        <v>1449</v>
      </c>
      <c r="D1450" s="126" t="s">
        <v>1450</v>
      </c>
      <c r="E1450" s="191" t="s">
        <v>1476</v>
      </c>
      <c r="F1450" s="191" t="s">
        <v>1476</v>
      </c>
      <c r="G1450" s="191" t="s">
        <v>1476</v>
      </c>
      <c r="H1450" s="191" t="s">
        <v>1476</v>
      </c>
      <c r="I1450" s="128">
        <v>0.9</v>
      </c>
      <c r="J1450" s="129" t="s">
        <v>33</v>
      </c>
      <c r="K1450" s="129" t="s">
        <v>33</v>
      </c>
      <c r="L1450" s="130" t="s">
        <v>33</v>
      </c>
      <c r="M1450" s="129" t="s">
        <v>33</v>
      </c>
      <c r="N1450" s="131">
        <v>0.9</v>
      </c>
      <c r="O1450" s="129">
        <v>0</v>
      </c>
      <c r="P1450" s="129" t="s">
        <v>33</v>
      </c>
      <c r="Q1450" s="129" t="s">
        <v>33</v>
      </c>
      <c r="R1450" s="129">
        <v>0</v>
      </c>
      <c r="S1450" s="131">
        <v>0.9</v>
      </c>
      <c r="T1450" s="129">
        <v>0</v>
      </c>
      <c r="U1450" s="129" t="s">
        <v>33</v>
      </c>
      <c r="V1450" s="129" t="s">
        <v>33</v>
      </c>
      <c r="W1450" s="129">
        <v>0.727272727272727</v>
      </c>
      <c r="X1450" s="131">
        <v>0.92</v>
      </c>
      <c r="Y1450" s="131" t="s">
        <v>33</v>
      </c>
      <c r="Z1450" s="131" t="s">
        <v>33</v>
      </c>
      <c r="AA1450" s="131" t="s">
        <v>33</v>
      </c>
      <c r="AB1450" s="131" t="s">
        <v>33</v>
      </c>
      <c r="AC1450" s="131">
        <v>0.92</v>
      </c>
      <c r="AD1450" s="129">
        <v>1</v>
      </c>
      <c r="AE1450" s="129">
        <v>0.504520795660036</v>
      </c>
      <c r="AF1450" s="129">
        <v>0.898573692551506</v>
      </c>
      <c r="AG1450" s="129">
        <v>0.733338597599495</v>
      </c>
      <c r="AH1450" s="131">
        <v>0.92</v>
      </c>
      <c r="AI1450" s="129">
        <v>0</v>
      </c>
      <c r="AJ1450" s="129" t="s">
        <v>33</v>
      </c>
      <c r="AK1450" s="129" t="s">
        <v>33</v>
      </c>
      <c r="AL1450" s="129">
        <v>0.666666666666667</v>
      </c>
      <c r="AM1450" s="128">
        <v>0.99</v>
      </c>
      <c r="AN1450" s="133" t="s">
        <v>33</v>
      </c>
      <c r="AO1450" s="133">
        <v>1</v>
      </c>
      <c r="AP1450" s="133" t="s">
        <v>33</v>
      </c>
      <c r="AQ1450" s="133">
        <v>1</v>
      </c>
      <c r="AR1450" s="153">
        <v>0.110069253262963</v>
      </c>
      <c r="AS1450" s="137" t="s">
        <v>33</v>
      </c>
      <c r="AT1450" s="137" t="s">
        <v>33</v>
      </c>
      <c r="AU1450" s="137" t="s">
        <v>33</v>
      </c>
      <c r="AV1450" s="137" t="s">
        <v>33</v>
      </c>
      <c r="AW1450" s="93"/>
      <c r="AX1450" s="91"/>
    </row>
    <row r="1451" ht="14.5" spans="1:50">
      <c r="A1451" s="89"/>
      <c r="B1451" s="93"/>
      <c r="C1451" s="148" t="s">
        <v>1449</v>
      </c>
      <c r="D1451" s="126" t="s">
        <v>1450</v>
      </c>
      <c r="E1451" s="191" t="s">
        <v>1477</v>
      </c>
      <c r="F1451" s="191" t="s">
        <v>1477</v>
      </c>
      <c r="G1451" s="191" t="s">
        <v>1477</v>
      </c>
      <c r="H1451" s="191" t="s">
        <v>1477</v>
      </c>
      <c r="I1451" s="128">
        <v>0.9</v>
      </c>
      <c r="J1451" s="129" t="s">
        <v>33</v>
      </c>
      <c r="K1451" s="129" t="s">
        <v>33</v>
      </c>
      <c r="L1451" s="130" t="s">
        <v>33</v>
      </c>
      <c r="M1451" s="129" t="s">
        <v>33</v>
      </c>
      <c r="N1451" s="131">
        <v>0.9</v>
      </c>
      <c r="O1451" s="129" t="s">
        <v>33</v>
      </c>
      <c r="P1451" s="129" t="s">
        <v>33</v>
      </c>
      <c r="Q1451" s="129" t="s">
        <v>33</v>
      </c>
      <c r="R1451" s="129" t="s">
        <v>33</v>
      </c>
      <c r="S1451" s="131">
        <v>0.9</v>
      </c>
      <c r="T1451" s="129" t="s">
        <v>33</v>
      </c>
      <c r="U1451" s="129" t="s">
        <v>33</v>
      </c>
      <c r="V1451" s="129" t="s">
        <v>33</v>
      </c>
      <c r="W1451" s="129" t="s">
        <v>33</v>
      </c>
      <c r="X1451" s="131">
        <v>0.92</v>
      </c>
      <c r="Y1451" s="131" t="s">
        <v>33</v>
      </c>
      <c r="Z1451" s="131" t="s">
        <v>33</v>
      </c>
      <c r="AA1451" s="131" t="s">
        <v>33</v>
      </c>
      <c r="AB1451" s="131" t="s">
        <v>33</v>
      </c>
      <c r="AC1451" s="131">
        <v>0.92</v>
      </c>
      <c r="AD1451" s="129">
        <v>1</v>
      </c>
      <c r="AE1451" s="129">
        <v>1</v>
      </c>
      <c r="AF1451" s="129">
        <v>1</v>
      </c>
      <c r="AG1451" s="129">
        <v>0.844298245614035</v>
      </c>
      <c r="AH1451" s="131">
        <v>0.92</v>
      </c>
      <c r="AI1451" s="129" t="s">
        <v>33</v>
      </c>
      <c r="AJ1451" s="129" t="s">
        <v>33</v>
      </c>
      <c r="AK1451" s="129" t="s">
        <v>33</v>
      </c>
      <c r="AL1451" s="129" t="s">
        <v>33</v>
      </c>
      <c r="AM1451" s="128">
        <v>0.99</v>
      </c>
      <c r="AN1451" s="133" t="s">
        <v>33</v>
      </c>
      <c r="AO1451" s="133" t="s">
        <v>33</v>
      </c>
      <c r="AP1451" s="133">
        <v>1</v>
      </c>
      <c r="AQ1451" s="133">
        <v>1</v>
      </c>
      <c r="AR1451" s="153">
        <v>0.110069253262963</v>
      </c>
      <c r="AS1451" s="137" t="s">
        <v>33</v>
      </c>
      <c r="AT1451" s="137" t="s">
        <v>33</v>
      </c>
      <c r="AU1451" s="137" t="s">
        <v>33</v>
      </c>
      <c r="AV1451" s="137" t="s">
        <v>33</v>
      </c>
      <c r="AW1451" s="93"/>
      <c r="AX1451" s="91"/>
    </row>
    <row r="1452" ht="14.5" spans="1:50">
      <c r="A1452" s="89"/>
      <c r="B1452" s="93"/>
      <c r="C1452" s="148" t="s">
        <v>1449</v>
      </c>
      <c r="D1452" s="126" t="s">
        <v>1450</v>
      </c>
      <c r="E1452" s="191" t="s">
        <v>1478</v>
      </c>
      <c r="F1452" s="191" t="s">
        <v>1478</v>
      </c>
      <c r="G1452" s="191" t="s">
        <v>1478</v>
      </c>
      <c r="H1452" s="191" t="s">
        <v>1478</v>
      </c>
      <c r="I1452" s="128">
        <v>0.9</v>
      </c>
      <c r="J1452" s="129" t="s">
        <v>33</v>
      </c>
      <c r="K1452" s="129" t="s">
        <v>33</v>
      </c>
      <c r="L1452" s="130" t="s">
        <v>33</v>
      </c>
      <c r="M1452" s="129" t="s">
        <v>33</v>
      </c>
      <c r="N1452" s="131">
        <v>0.9</v>
      </c>
      <c r="O1452" s="129" t="s">
        <v>33</v>
      </c>
      <c r="P1452" s="129" t="s">
        <v>33</v>
      </c>
      <c r="Q1452" s="129" t="s">
        <v>33</v>
      </c>
      <c r="R1452" s="129" t="s">
        <v>33</v>
      </c>
      <c r="S1452" s="131">
        <v>0.9</v>
      </c>
      <c r="T1452" s="129" t="s">
        <v>33</v>
      </c>
      <c r="U1452" s="129" t="s">
        <v>33</v>
      </c>
      <c r="V1452" s="129" t="s">
        <v>33</v>
      </c>
      <c r="W1452" s="129" t="s">
        <v>33</v>
      </c>
      <c r="X1452" s="131">
        <v>0.92</v>
      </c>
      <c r="Y1452" s="131" t="s">
        <v>33</v>
      </c>
      <c r="Z1452" s="131" t="s">
        <v>33</v>
      </c>
      <c r="AA1452" s="131" t="s">
        <v>33</v>
      </c>
      <c r="AB1452" s="131" t="s">
        <v>33</v>
      </c>
      <c r="AC1452" s="131">
        <v>0.92</v>
      </c>
      <c r="AD1452" s="129">
        <v>0.950704225352113</v>
      </c>
      <c r="AE1452" s="129">
        <v>1</v>
      </c>
      <c r="AF1452" s="129">
        <v>0.72972972972973</v>
      </c>
      <c r="AG1452" s="129">
        <v>0.962539021852237</v>
      </c>
      <c r="AH1452" s="131">
        <v>0.92</v>
      </c>
      <c r="AI1452" s="129" t="s">
        <v>33</v>
      </c>
      <c r="AJ1452" s="129" t="s">
        <v>33</v>
      </c>
      <c r="AK1452" s="129" t="s">
        <v>33</v>
      </c>
      <c r="AL1452" s="129" t="s">
        <v>33</v>
      </c>
      <c r="AM1452" s="128">
        <v>0.99</v>
      </c>
      <c r="AN1452" s="133" t="s">
        <v>33</v>
      </c>
      <c r="AO1452" s="133">
        <v>1</v>
      </c>
      <c r="AP1452" s="133">
        <v>1</v>
      </c>
      <c r="AQ1452" s="133">
        <v>1</v>
      </c>
      <c r="AR1452" s="153">
        <v>0.110069253262963</v>
      </c>
      <c r="AS1452" s="137" t="s">
        <v>33</v>
      </c>
      <c r="AT1452" s="137" t="s">
        <v>33</v>
      </c>
      <c r="AU1452" s="137" t="s">
        <v>33</v>
      </c>
      <c r="AV1452" s="137" t="s">
        <v>33</v>
      </c>
      <c r="AW1452" s="93"/>
      <c r="AX1452" s="91"/>
    </row>
    <row r="1453" ht="14.5" spans="1:50">
      <c r="A1453" s="89"/>
      <c r="B1453" s="93"/>
      <c r="C1453" s="148" t="s">
        <v>1449</v>
      </c>
      <c r="D1453" s="126" t="s">
        <v>1450</v>
      </c>
      <c r="E1453" s="191" t="s">
        <v>1479</v>
      </c>
      <c r="F1453" s="191" t="s">
        <v>1479</v>
      </c>
      <c r="G1453" s="191" t="s">
        <v>1479</v>
      </c>
      <c r="H1453" s="191" t="s">
        <v>1479</v>
      </c>
      <c r="I1453" s="128">
        <v>0.9</v>
      </c>
      <c r="J1453" s="129" t="s">
        <v>33</v>
      </c>
      <c r="K1453" s="129" t="s">
        <v>33</v>
      </c>
      <c r="L1453" s="130" t="s">
        <v>33</v>
      </c>
      <c r="M1453" s="129" t="s">
        <v>33</v>
      </c>
      <c r="N1453" s="131">
        <v>0.9</v>
      </c>
      <c r="O1453" s="129" t="s">
        <v>33</v>
      </c>
      <c r="P1453" s="129" t="s">
        <v>33</v>
      </c>
      <c r="Q1453" s="129" t="s">
        <v>33</v>
      </c>
      <c r="R1453" s="129" t="s">
        <v>33</v>
      </c>
      <c r="S1453" s="131">
        <v>0.9</v>
      </c>
      <c r="T1453" s="129" t="s">
        <v>33</v>
      </c>
      <c r="U1453" s="129" t="s">
        <v>33</v>
      </c>
      <c r="V1453" s="129" t="s">
        <v>33</v>
      </c>
      <c r="W1453" s="129" t="s">
        <v>33</v>
      </c>
      <c r="X1453" s="131">
        <v>0.92</v>
      </c>
      <c r="Y1453" s="131" t="s">
        <v>33</v>
      </c>
      <c r="Z1453" s="131" t="s">
        <v>33</v>
      </c>
      <c r="AA1453" s="131" t="s">
        <v>33</v>
      </c>
      <c r="AB1453" s="131" t="s">
        <v>33</v>
      </c>
      <c r="AC1453" s="131">
        <v>0.92</v>
      </c>
      <c r="AD1453" s="129">
        <v>1</v>
      </c>
      <c r="AE1453" s="129">
        <v>1</v>
      </c>
      <c r="AF1453" s="129">
        <v>1</v>
      </c>
      <c r="AG1453" s="129">
        <v>0.998950682056663</v>
      </c>
      <c r="AH1453" s="131">
        <v>0.92</v>
      </c>
      <c r="AI1453" s="129" t="s">
        <v>33</v>
      </c>
      <c r="AJ1453" s="129" t="s">
        <v>33</v>
      </c>
      <c r="AK1453" s="129" t="s">
        <v>33</v>
      </c>
      <c r="AL1453" s="129" t="s">
        <v>33</v>
      </c>
      <c r="AM1453" s="128">
        <v>0.99</v>
      </c>
      <c r="AN1453" s="133" t="s">
        <v>33</v>
      </c>
      <c r="AO1453" s="133" t="s">
        <v>33</v>
      </c>
      <c r="AP1453" s="133">
        <v>1</v>
      </c>
      <c r="AQ1453" s="133">
        <v>1</v>
      </c>
      <c r="AR1453" s="153">
        <v>0.110069253262963</v>
      </c>
      <c r="AS1453" s="137" t="s">
        <v>33</v>
      </c>
      <c r="AT1453" s="137" t="s">
        <v>33</v>
      </c>
      <c r="AU1453" s="137" t="s">
        <v>33</v>
      </c>
      <c r="AV1453" s="137" t="s">
        <v>33</v>
      </c>
      <c r="AW1453" s="93"/>
      <c r="AX1453" s="91"/>
    </row>
    <row r="1454" ht="14.5" spans="1:50">
      <c r="A1454" s="89"/>
      <c r="B1454" s="93"/>
      <c r="C1454" s="148" t="s">
        <v>1449</v>
      </c>
      <c r="D1454" s="126" t="s">
        <v>1450</v>
      </c>
      <c r="E1454" s="191" t="s">
        <v>1480</v>
      </c>
      <c r="F1454" s="191" t="s">
        <v>1480</v>
      </c>
      <c r="G1454" s="191" t="s">
        <v>1480</v>
      </c>
      <c r="H1454" s="191" t="s">
        <v>1480</v>
      </c>
      <c r="I1454" s="128">
        <v>0.9</v>
      </c>
      <c r="J1454" s="129" t="s">
        <v>33</v>
      </c>
      <c r="K1454" s="129" t="s">
        <v>33</v>
      </c>
      <c r="L1454" s="130" t="s">
        <v>33</v>
      </c>
      <c r="M1454" s="129" t="s">
        <v>33</v>
      </c>
      <c r="N1454" s="131">
        <v>0.9</v>
      </c>
      <c r="O1454" s="129">
        <v>0</v>
      </c>
      <c r="P1454" s="129">
        <v>0</v>
      </c>
      <c r="Q1454" s="129">
        <v>0</v>
      </c>
      <c r="R1454" s="129">
        <v>0</v>
      </c>
      <c r="S1454" s="131">
        <v>0.9</v>
      </c>
      <c r="T1454" s="129">
        <v>1</v>
      </c>
      <c r="U1454" s="129">
        <v>1</v>
      </c>
      <c r="V1454" s="129">
        <v>1</v>
      </c>
      <c r="W1454" s="129">
        <v>1</v>
      </c>
      <c r="X1454" s="131">
        <v>0.92</v>
      </c>
      <c r="Y1454" s="131" t="s">
        <v>33</v>
      </c>
      <c r="Z1454" s="131" t="s">
        <v>33</v>
      </c>
      <c r="AA1454" s="131" t="s">
        <v>33</v>
      </c>
      <c r="AB1454" s="131">
        <v>0.625</v>
      </c>
      <c r="AC1454" s="131">
        <v>0.92</v>
      </c>
      <c r="AD1454" s="129">
        <v>0.999234303215927</v>
      </c>
      <c r="AE1454" s="129">
        <v>0.986894453545518</v>
      </c>
      <c r="AF1454" s="129">
        <v>0.997934311092749</v>
      </c>
      <c r="AG1454" s="129">
        <v>0.994477727812038</v>
      </c>
      <c r="AH1454" s="131">
        <v>0.92</v>
      </c>
      <c r="AI1454" s="129">
        <v>1</v>
      </c>
      <c r="AJ1454" s="129">
        <v>1</v>
      </c>
      <c r="AK1454" s="129">
        <v>1</v>
      </c>
      <c r="AL1454" s="129">
        <v>0.982248520710059</v>
      </c>
      <c r="AM1454" s="128">
        <v>0.99</v>
      </c>
      <c r="AN1454" s="133">
        <v>1</v>
      </c>
      <c r="AO1454" s="133">
        <v>1</v>
      </c>
      <c r="AP1454" s="133">
        <v>1</v>
      </c>
      <c r="AQ1454" s="133">
        <v>1</v>
      </c>
      <c r="AR1454" s="153">
        <v>0.110069253262963</v>
      </c>
      <c r="AS1454" s="137" t="s">
        <v>33</v>
      </c>
      <c r="AT1454" s="137" t="s">
        <v>33</v>
      </c>
      <c r="AU1454" s="137" t="s">
        <v>33</v>
      </c>
      <c r="AV1454" s="137" t="s">
        <v>33</v>
      </c>
      <c r="AW1454" s="93"/>
      <c r="AX1454" s="91"/>
    </row>
    <row r="1455" ht="14.5" spans="1:50">
      <c r="A1455" s="89"/>
      <c r="B1455" s="93"/>
      <c r="C1455" s="148" t="s">
        <v>1449</v>
      </c>
      <c r="D1455" s="126" t="s">
        <v>1450</v>
      </c>
      <c r="E1455" s="191" t="s">
        <v>1481</v>
      </c>
      <c r="F1455" s="191" t="s">
        <v>1481</v>
      </c>
      <c r="G1455" s="191" t="s">
        <v>1481</v>
      </c>
      <c r="H1455" s="191" t="s">
        <v>1481</v>
      </c>
      <c r="I1455" s="128">
        <v>0.9</v>
      </c>
      <c r="J1455" s="129" t="s">
        <v>33</v>
      </c>
      <c r="K1455" s="129" t="s">
        <v>33</v>
      </c>
      <c r="L1455" s="130" t="s">
        <v>33</v>
      </c>
      <c r="M1455" s="129" t="s">
        <v>33</v>
      </c>
      <c r="N1455" s="131">
        <v>0.9</v>
      </c>
      <c r="O1455" s="129" t="s">
        <v>33</v>
      </c>
      <c r="P1455" s="129" t="s">
        <v>33</v>
      </c>
      <c r="Q1455" s="129" t="s">
        <v>33</v>
      </c>
      <c r="R1455" s="129" t="s">
        <v>33</v>
      </c>
      <c r="S1455" s="131">
        <v>0.9</v>
      </c>
      <c r="T1455" s="129" t="s">
        <v>33</v>
      </c>
      <c r="U1455" s="129" t="s">
        <v>33</v>
      </c>
      <c r="V1455" s="129" t="s">
        <v>33</v>
      </c>
      <c r="W1455" s="129" t="s">
        <v>33</v>
      </c>
      <c r="X1455" s="131">
        <v>0.92</v>
      </c>
      <c r="Y1455" s="131" t="s">
        <v>33</v>
      </c>
      <c r="Z1455" s="131" t="s">
        <v>33</v>
      </c>
      <c r="AA1455" s="131" t="s">
        <v>33</v>
      </c>
      <c r="AB1455" s="131" t="s">
        <v>33</v>
      </c>
      <c r="AC1455" s="131">
        <v>0.92</v>
      </c>
      <c r="AD1455" s="129">
        <v>1</v>
      </c>
      <c r="AE1455" s="129">
        <v>0.99774011299435</v>
      </c>
      <c r="AF1455" s="129">
        <v>0.998095238095238</v>
      </c>
      <c r="AG1455" s="129">
        <v>0.999482334670635</v>
      </c>
      <c r="AH1455" s="131">
        <v>0.92</v>
      </c>
      <c r="AI1455" s="129" t="s">
        <v>33</v>
      </c>
      <c r="AJ1455" s="129" t="s">
        <v>33</v>
      </c>
      <c r="AK1455" s="129" t="s">
        <v>33</v>
      </c>
      <c r="AL1455" s="129" t="s">
        <v>33</v>
      </c>
      <c r="AM1455" s="128">
        <v>0.99</v>
      </c>
      <c r="AN1455" s="133">
        <v>1</v>
      </c>
      <c r="AO1455" s="133" t="s">
        <v>33</v>
      </c>
      <c r="AP1455" s="133" t="s">
        <v>33</v>
      </c>
      <c r="AQ1455" s="133">
        <v>1</v>
      </c>
      <c r="AR1455" s="153">
        <v>0.110069253262963</v>
      </c>
      <c r="AS1455" s="137" t="s">
        <v>33</v>
      </c>
      <c r="AT1455" s="137" t="s">
        <v>33</v>
      </c>
      <c r="AU1455" s="137" t="s">
        <v>33</v>
      </c>
      <c r="AV1455" s="137" t="s">
        <v>33</v>
      </c>
      <c r="AW1455" s="93"/>
      <c r="AX1455" s="91"/>
    </row>
    <row r="1456" ht="14.5" spans="1:50">
      <c r="A1456" s="89"/>
      <c r="B1456" s="93"/>
      <c r="C1456" s="148" t="s">
        <v>1449</v>
      </c>
      <c r="D1456" s="126" t="s">
        <v>1450</v>
      </c>
      <c r="E1456" s="191" t="s">
        <v>1482</v>
      </c>
      <c r="F1456" s="191" t="s">
        <v>1482</v>
      </c>
      <c r="G1456" s="191" t="s">
        <v>1482</v>
      </c>
      <c r="H1456" s="191" t="s">
        <v>1482</v>
      </c>
      <c r="I1456" s="128">
        <v>0.9</v>
      </c>
      <c r="J1456" s="129" t="s">
        <v>33</v>
      </c>
      <c r="K1456" s="129" t="s">
        <v>33</v>
      </c>
      <c r="L1456" s="130" t="s">
        <v>33</v>
      </c>
      <c r="M1456" s="129" t="s">
        <v>33</v>
      </c>
      <c r="N1456" s="131">
        <v>0.9</v>
      </c>
      <c r="O1456" s="129" t="s">
        <v>33</v>
      </c>
      <c r="P1456" s="129" t="s">
        <v>33</v>
      </c>
      <c r="Q1456" s="129" t="s">
        <v>33</v>
      </c>
      <c r="R1456" s="129" t="s">
        <v>33</v>
      </c>
      <c r="S1456" s="131">
        <v>0.9</v>
      </c>
      <c r="T1456" s="129" t="s">
        <v>33</v>
      </c>
      <c r="U1456" s="129" t="s">
        <v>33</v>
      </c>
      <c r="V1456" s="129" t="s">
        <v>33</v>
      </c>
      <c r="W1456" s="129" t="s">
        <v>33</v>
      </c>
      <c r="X1456" s="131">
        <v>0.92</v>
      </c>
      <c r="Y1456" s="131" t="s">
        <v>33</v>
      </c>
      <c r="Z1456" s="131" t="s">
        <v>33</v>
      </c>
      <c r="AA1456" s="131" t="s">
        <v>33</v>
      </c>
      <c r="AB1456" s="131" t="s">
        <v>33</v>
      </c>
      <c r="AC1456" s="131">
        <v>0.92</v>
      </c>
      <c r="AD1456" s="129">
        <v>0.970802919708029</v>
      </c>
      <c r="AE1456" s="129">
        <v>0.997222222222222</v>
      </c>
      <c r="AF1456" s="129">
        <v>0</v>
      </c>
      <c r="AG1456" s="129">
        <v>0.810035842293907</v>
      </c>
      <c r="AH1456" s="131">
        <v>0.92</v>
      </c>
      <c r="AI1456" s="129" t="s">
        <v>33</v>
      </c>
      <c r="AJ1456" s="129" t="s">
        <v>33</v>
      </c>
      <c r="AK1456" s="129" t="s">
        <v>33</v>
      </c>
      <c r="AL1456" s="129" t="s">
        <v>33</v>
      </c>
      <c r="AM1456" s="128">
        <v>0.99</v>
      </c>
      <c r="AN1456" s="133" t="s">
        <v>33</v>
      </c>
      <c r="AO1456" s="133" t="s">
        <v>33</v>
      </c>
      <c r="AP1456" s="133">
        <v>1</v>
      </c>
      <c r="AQ1456" s="133">
        <v>1</v>
      </c>
      <c r="AR1456" s="153">
        <v>0.110069253262963</v>
      </c>
      <c r="AS1456" s="137" t="s">
        <v>33</v>
      </c>
      <c r="AT1456" s="137" t="s">
        <v>33</v>
      </c>
      <c r="AU1456" s="137" t="s">
        <v>33</v>
      </c>
      <c r="AV1456" s="137" t="s">
        <v>33</v>
      </c>
      <c r="AW1456" s="93"/>
      <c r="AX1456" s="91"/>
    </row>
    <row r="1457" ht="14.5" spans="1:50">
      <c r="A1457" s="89"/>
      <c r="B1457" s="93"/>
      <c r="C1457" s="148" t="s">
        <v>1449</v>
      </c>
      <c r="D1457" s="126" t="s">
        <v>1450</v>
      </c>
      <c r="E1457" s="193" t="s">
        <v>1483</v>
      </c>
      <c r="F1457" s="193" t="s">
        <v>1483</v>
      </c>
      <c r="G1457" s="193" t="s">
        <v>1483</v>
      </c>
      <c r="H1457" s="193" t="s">
        <v>1483</v>
      </c>
      <c r="I1457" s="128">
        <v>0.9</v>
      </c>
      <c r="J1457" s="129" t="s">
        <v>33</v>
      </c>
      <c r="K1457" s="129" t="s">
        <v>33</v>
      </c>
      <c r="L1457" s="130" t="s">
        <v>33</v>
      </c>
      <c r="M1457" s="129" t="s">
        <v>33</v>
      </c>
      <c r="N1457" s="131">
        <v>0.9</v>
      </c>
      <c r="O1457" s="129" t="s">
        <v>33</v>
      </c>
      <c r="P1457" s="129" t="s">
        <v>33</v>
      </c>
      <c r="Q1457" s="129" t="s">
        <v>33</v>
      </c>
      <c r="R1457" s="129" t="s">
        <v>33</v>
      </c>
      <c r="S1457" s="131">
        <v>0.9</v>
      </c>
      <c r="T1457" s="129" t="s">
        <v>33</v>
      </c>
      <c r="U1457" s="129" t="s">
        <v>33</v>
      </c>
      <c r="V1457" s="129" t="s">
        <v>33</v>
      </c>
      <c r="W1457" s="129" t="s">
        <v>33</v>
      </c>
      <c r="X1457" s="131">
        <v>0.92</v>
      </c>
      <c r="Y1457" s="131" t="s">
        <v>33</v>
      </c>
      <c r="Z1457" s="131" t="s">
        <v>33</v>
      </c>
      <c r="AA1457" s="131" t="s">
        <v>33</v>
      </c>
      <c r="AB1457" s="131" t="s">
        <v>33</v>
      </c>
      <c r="AC1457" s="131">
        <v>0.92</v>
      </c>
      <c r="AD1457" s="129">
        <v>0.958064516129032</v>
      </c>
      <c r="AE1457" s="129">
        <v>0.908675799086758</v>
      </c>
      <c r="AF1457" s="129">
        <v>1</v>
      </c>
      <c r="AG1457" s="129">
        <v>0.873414510400812</v>
      </c>
      <c r="AH1457" s="131">
        <v>0.92</v>
      </c>
      <c r="AI1457" s="129" t="s">
        <v>33</v>
      </c>
      <c r="AJ1457" s="129" t="s">
        <v>33</v>
      </c>
      <c r="AK1457" s="129" t="s">
        <v>33</v>
      </c>
      <c r="AL1457" s="129" t="s">
        <v>33</v>
      </c>
      <c r="AM1457" s="128">
        <v>0.99</v>
      </c>
      <c r="AN1457" s="133">
        <v>1</v>
      </c>
      <c r="AO1457" s="133">
        <v>1</v>
      </c>
      <c r="AP1457" s="133">
        <v>1</v>
      </c>
      <c r="AQ1457" s="133">
        <v>1</v>
      </c>
      <c r="AR1457" s="153">
        <v>0.110069253262963</v>
      </c>
      <c r="AS1457" s="137" t="s">
        <v>33</v>
      </c>
      <c r="AT1457" s="137" t="s">
        <v>33</v>
      </c>
      <c r="AU1457" s="137" t="s">
        <v>33</v>
      </c>
      <c r="AV1457" s="137" t="s">
        <v>33</v>
      </c>
      <c r="AW1457" s="93"/>
      <c r="AX1457" s="91"/>
    </row>
    <row r="1458" ht="14.5" spans="1:50">
      <c r="A1458" s="89"/>
      <c r="B1458" s="93"/>
      <c r="C1458" s="148" t="s">
        <v>1449</v>
      </c>
      <c r="D1458" s="126" t="s">
        <v>1450</v>
      </c>
      <c r="E1458" s="193" t="s">
        <v>1484</v>
      </c>
      <c r="F1458" s="193" t="s">
        <v>1484</v>
      </c>
      <c r="G1458" s="193" t="s">
        <v>1484</v>
      </c>
      <c r="H1458" s="193" t="s">
        <v>1484</v>
      </c>
      <c r="I1458" s="128">
        <v>0.9</v>
      </c>
      <c r="J1458" s="129" t="s">
        <v>33</v>
      </c>
      <c r="K1458" s="129" t="s">
        <v>33</v>
      </c>
      <c r="L1458" s="130" t="s">
        <v>33</v>
      </c>
      <c r="M1458" s="129" t="s">
        <v>33</v>
      </c>
      <c r="N1458" s="131">
        <v>0.9</v>
      </c>
      <c r="O1458" s="129" t="s">
        <v>33</v>
      </c>
      <c r="P1458" s="129" t="s">
        <v>33</v>
      </c>
      <c r="Q1458" s="129" t="s">
        <v>33</v>
      </c>
      <c r="R1458" s="129" t="s">
        <v>33</v>
      </c>
      <c r="S1458" s="131">
        <v>0.9</v>
      </c>
      <c r="T1458" s="129" t="s">
        <v>33</v>
      </c>
      <c r="U1458" s="129" t="s">
        <v>33</v>
      </c>
      <c r="V1458" s="129" t="s">
        <v>33</v>
      </c>
      <c r="W1458" s="129" t="s">
        <v>33</v>
      </c>
      <c r="X1458" s="131">
        <v>0.92</v>
      </c>
      <c r="Y1458" s="131" t="s">
        <v>33</v>
      </c>
      <c r="Z1458" s="131" t="s">
        <v>33</v>
      </c>
      <c r="AA1458" s="131" t="s">
        <v>33</v>
      </c>
      <c r="AB1458" s="131" t="s">
        <v>33</v>
      </c>
      <c r="AC1458" s="131">
        <v>0.92</v>
      </c>
      <c r="AD1458" s="129">
        <v>1</v>
      </c>
      <c r="AE1458" s="129">
        <v>0.995260663507109</v>
      </c>
      <c r="AF1458" s="129">
        <v>0.989110707803993</v>
      </c>
      <c r="AG1458" s="129">
        <v>0.998034204835856</v>
      </c>
      <c r="AH1458" s="131">
        <v>0.92</v>
      </c>
      <c r="AI1458" s="129" t="s">
        <v>33</v>
      </c>
      <c r="AJ1458" s="129" t="s">
        <v>33</v>
      </c>
      <c r="AK1458" s="129" t="s">
        <v>33</v>
      </c>
      <c r="AL1458" s="129" t="s">
        <v>33</v>
      </c>
      <c r="AM1458" s="128">
        <v>0.99</v>
      </c>
      <c r="AN1458" s="133">
        <v>1</v>
      </c>
      <c r="AO1458" s="133">
        <v>1</v>
      </c>
      <c r="AP1458" s="133">
        <v>1</v>
      </c>
      <c r="AQ1458" s="133">
        <v>1</v>
      </c>
      <c r="AR1458" s="153">
        <v>0.110069253262963</v>
      </c>
      <c r="AS1458" s="137" t="s">
        <v>33</v>
      </c>
      <c r="AT1458" s="137" t="s">
        <v>33</v>
      </c>
      <c r="AU1458" s="137" t="s">
        <v>33</v>
      </c>
      <c r="AV1458" s="137" t="s">
        <v>33</v>
      </c>
      <c r="AW1458" s="93"/>
      <c r="AX1458" s="91"/>
    </row>
    <row r="1459" ht="14.5" spans="1:50">
      <c r="A1459" s="89"/>
      <c r="B1459" s="93"/>
      <c r="C1459" s="148" t="s">
        <v>1449</v>
      </c>
      <c r="D1459" s="126" t="s">
        <v>1450</v>
      </c>
      <c r="E1459" s="191" t="s">
        <v>1485</v>
      </c>
      <c r="F1459" s="191" t="s">
        <v>1485</v>
      </c>
      <c r="G1459" s="191" t="s">
        <v>1485</v>
      </c>
      <c r="H1459" s="191" t="s">
        <v>1485</v>
      </c>
      <c r="I1459" s="128">
        <v>0.9</v>
      </c>
      <c r="J1459" s="129" t="s">
        <v>33</v>
      </c>
      <c r="K1459" s="129" t="s">
        <v>33</v>
      </c>
      <c r="L1459" s="130" t="s">
        <v>33</v>
      </c>
      <c r="M1459" s="129" t="s">
        <v>33</v>
      </c>
      <c r="N1459" s="131">
        <v>0.9</v>
      </c>
      <c r="O1459" s="129">
        <v>0</v>
      </c>
      <c r="P1459" s="129">
        <v>0</v>
      </c>
      <c r="Q1459" s="129">
        <v>0</v>
      </c>
      <c r="R1459" s="129">
        <v>0</v>
      </c>
      <c r="S1459" s="131">
        <v>0.9</v>
      </c>
      <c r="T1459" s="129">
        <v>1</v>
      </c>
      <c r="U1459" s="129">
        <v>1</v>
      </c>
      <c r="V1459" s="129">
        <v>1</v>
      </c>
      <c r="W1459" s="129">
        <v>1</v>
      </c>
      <c r="X1459" s="131">
        <v>0.92</v>
      </c>
      <c r="Y1459" s="131" t="s">
        <v>33</v>
      </c>
      <c r="Z1459" s="131" t="s">
        <v>33</v>
      </c>
      <c r="AA1459" s="131">
        <v>1</v>
      </c>
      <c r="AB1459" s="131">
        <v>1</v>
      </c>
      <c r="AC1459" s="131">
        <v>0.92</v>
      </c>
      <c r="AD1459" s="129">
        <v>0.983717774762551</v>
      </c>
      <c r="AE1459" s="129">
        <v>0.990546927751519</v>
      </c>
      <c r="AF1459" s="129">
        <v>0.992063492063492</v>
      </c>
      <c r="AG1459" s="129">
        <v>0.992392663609837</v>
      </c>
      <c r="AH1459" s="131">
        <v>0.92</v>
      </c>
      <c r="AI1459" s="129">
        <v>1</v>
      </c>
      <c r="AJ1459" s="129">
        <v>1</v>
      </c>
      <c r="AK1459" s="129">
        <v>1</v>
      </c>
      <c r="AL1459" s="129">
        <v>1</v>
      </c>
      <c r="AM1459" s="128">
        <v>0.99</v>
      </c>
      <c r="AN1459" s="133">
        <v>1</v>
      </c>
      <c r="AO1459" s="133">
        <v>1</v>
      </c>
      <c r="AP1459" s="133">
        <v>1</v>
      </c>
      <c r="AQ1459" s="133">
        <v>1</v>
      </c>
      <c r="AR1459" s="153">
        <v>0.110069253262963</v>
      </c>
      <c r="AS1459" s="137" t="s">
        <v>33</v>
      </c>
      <c r="AT1459" s="137" t="s">
        <v>33</v>
      </c>
      <c r="AU1459" s="137" t="s">
        <v>33</v>
      </c>
      <c r="AV1459" s="137" t="s">
        <v>33</v>
      </c>
      <c r="AW1459" s="93"/>
      <c r="AX1459" s="91"/>
    </row>
    <row r="1460" ht="14.5" spans="1:50">
      <c r="A1460" s="89"/>
      <c r="B1460" s="93"/>
      <c r="C1460" s="148" t="s">
        <v>1449</v>
      </c>
      <c r="D1460" s="126" t="s">
        <v>1450</v>
      </c>
      <c r="E1460" s="164" t="s">
        <v>1486</v>
      </c>
      <c r="F1460" s="164" t="s">
        <v>1486</v>
      </c>
      <c r="G1460" s="164" t="s">
        <v>1486</v>
      </c>
      <c r="H1460" s="164" t="s">
        <v>1486</v>
      </c>
      <c r="I1460" s="128">
        <v>0.9</v>
      </c>
      <c r="J1460" s="129">
        <v>1</v>
      </c>
      <c r="K1460" s="129">
        <v>1</v>
      </c>
      <c r="L1460" s="130">
        <v>1</v>
      </c>
      <c r="M1460" s="129">
        <v>0.994117647058824</v>
      </c>
      <c r="N1460" s="131">
        <v>0.9</v>
      </c>
      <c r="O1460" s="129">
        <v>0.997779422649889</v>
      </c>
      <c r="P1460" s="129">
        <v>0.996960486322188</v>
      </c>
      <c r="Q1460" s="129">
        <v>0.993827160493827</v>
      </c>
      <c r="R1460" s="129">
        <v>0.993937723890879</v>
      </c>
      <c r="S1460" s="131">
        <v>0.9</v>
      </c>
      <c r="T1460" s="129">
        <v>0.846039970392302</v>
      </c>
      <c r="U1460" s="129">
        <v>0.958966565349544</v>
      </c>
      <c r="V1460" s="129">
        <v>0.943672839506173</v>
      </c>
      <c r="W1460" s="129">
        <v>0.918503720033067</v>
      </c>
      <c r="X1460" s="131">
        <v>0.92</v>
      </c>
      <c r="Y1460" s="131" t="s">
        <v>33</v>
      </c>
      <c r="Z1460" s="131" t="s">
        <v>33</v>
      </c>
      <c r="AA1460" s="131" t="s">
        <v>33</v>
      </c>
      <c r="AB1460" s="131" t="s">
        <v>33</v>
      </c>
      <c r="AC1460" s="131">
        <v>0.92</v>
      </c>
      <c r="AD1460" s="129">
        <v>1</v>
      </c>
      <c r="AE1460" s="129">
        <v>1</v>
      </c>
      <c r="AF1460" s="129">
        <v>1</v>
      </c>
      <c r="AG1460" s="129">
        <v>0.979591836734694</v>
      </c>
      <c r="AH1460" s="131">
        <v>0.92</v>
      </c>
      <c r="AI1460" s="129">
        <v>0.937823834196891</v>
      </c>
      <c r="AJ1460" s="129">
        <v>0.991641337386018</v>
      </c>
      <c r="AK1460" s="129">
        <v>0.989969135802469</v>
      </c>
      <c r="AL1460" s="129">
        <v>0.984086525213557</v>
      </c>
      <c r="AM1460" s="128">
        <v>0.99</v>
      </c>
      <c r="AN1460" s="133">
        <v>1</v>
      </c>
      <c r="AO1460" s="133">
        <v>1</v>
      </c>
      <c r="AP1460" s="133">
        <v>1</v>
      </c>
      <c r="AQ1460" s="133">
        <v>1</v>
      </c>
      <c r="AR1460" s="153">
        <v>0.110069253262963</v>
      </c>
      <c r="AS1460" s="137">
        <v>0</v>
      </c>
      <c r="AT1460" s="137">
        <v>0.142857142857143</v>
      </c>
      <c r="AU1460" s="137">
        <v>0.214285714285714</v>
      </c>
      <c r="AV1460" s="137">
        <v>0.101910828025478</v>
      </c>
      <c r="AW1460" s="93"/>
      <c r="AX1460" s="91"/>
    </row>
    <row r="1461" ht="14.5" spans="1:50">
      <c r="A1461" s="89"/>
      <c r="B1461" s="93"/>
      <c r="C1461" s="148" t="s">
        <v>1449</v>
      </c>
      <c r="D1461" s="126" t="s">
        <v>1450</v>
      </c>
      <c r="E1461" s="164" t="s">
        <v>1487</v>
      </c>
      <c r="F1461" s="164" t="s">
        <v>1487</v>
      </c>
      <c r="G1461" s="164" t="s">
        <v>1487</v>
      </c>
      <c r="H1461" s="164" t="s">
        <v>1487</v>
      </c>
      <c r="I1461" s="128">
        <v>0.9</v>
      </c>
      <c r="J1461" s="129">
        <v>1</v>
      </c>
      <c r="K1461" s="129">
        <v>1</v>
      </c>
      <c r="L1461" s="130">
        <v>1</v>
      </c>
      <c r="M1461" s="129">
        <v>0.989974937343358</v>
      </c>
      <c r="N1461" s="131">
        <v>0.9</v>
      </c>
      <c r="O1461" s="129">
        <v>0.999447513812155</v>
      </c>
      <c r="P1461" s="129">
        <v>0.999121265377856</v>
      </c>
      <c r="Q1461" s="129">
        <v>0.999191374663073</v>
      </c>
      <c r="R1461" s="129">
        <v>0.998786309571972</v>
      </c>
      <c r="S1461" s="131">
        <v>0.9</v>
      </c>
      <c r="T1461" s="129">
        <v>0.948066298342541</v>
      </c>
      <c r="U1461" s="129">
        <v>0.954598711189221</v>
      </c>
      <c r="V1461" s="129">
        <v>0.960916442048518</v>
      </c>
      <c r="W1461" s="129">
        <v>0.964101734228767</v>
      </c>
      <c r="X1461" s="131">
        <v>0.92</v>
      </c>
      <c r="Y1461" s="131" t="s">
        <v>33</v>
      </c>
      <c r="Z1461" s="131" t="s">
        <v>33</v>
      </c>
      <c r="AA1461" s="131" t="s">
        <v>33</v>
      </c>
      <c r="AB1461" s="131" t="s">
        <v>33</v>
      </c>
      <c r="AC1461" s="131">
        <v>0.92</v>
      </c>
      <c r="AD1461" s="129">
        <v>0.933333333333333</v>
      </c>
      <c r="AE1461" s="129">
        <v>0.916666666666667</v>
      </c>
      <c r="AF1461" s="129">
        <v>0.9</v>
      </c>
      <c r="AG1461" s="129">
        <v>0.8125</v>
      </c>
      <c r="AH1461" s="131">
        <v>0.92</v>
      </c>
      <c r="AI1461" s="129">
        <v>0.973480662983425</v>
      </c>
      <c r="AJ1461" s="129">
        <v>0.984182776801406</v>
      </c>
      <c r="AK1461" s="129">
        <v>0.990835579514825</v>
      </c>
      <c r="AL1461" s="129">
        <v>0.987970979313321</v>
      </c>
      <c r="AM1461" s="128">
        <v>0.99</v>
      </c>
      <c r="AN1461" s="133">
        <v>1</v>
      </c>
      <c r="AO1461" s="133">
        <v>1</v>
      </c>
      <c r="AP1461" s="133">
        <v>1</v>
      </c>
      <c r="AQ1461" s="133">
        <v>1</v>
      </c>
      <c r="AR1461" s="153">
        <v>0.110069253262963</v>
      </c>
      <c r="AS1461" s="137">
        <v>0</v>
      </c>
      <c r="AT1461" s="137">
        <v>0</v>
      </c>
      <c r="AU1461" s="137">
        <v>0</v>
      </c>
      <c r="AV1461" s="137">
        <v>0.0328947368421053</v>
      </c>
      <c r="AW1461" s="93"/>
      <c r="AX1461" s="91"/>
    </row>
    <row r="1462" ht="14.5" spans="1:50">
      <c r="A1462" s="89"/>
      <c r="B1462" s="93"/>
      <c r="C1462" s="148" t="s">
        <v>1449</v>
      </c>
      <c r="D1462" s="126" t="s">
        <v>1450</v>
      </c>
      <c r="E1462" s="164" t="s">
        <v>1488</v>
      </c>
      <c r="F1462" s="164" t="s">
        <v>1488</v>
      </c>
      <c r="G1462" s="164" t="s">
        <v>1488</v>
      </c>
      <c r="H1462" s="164" t="s">
        <v>1488</v>
      </c>
      <c r="I1462" s="128">
        <v>0.9</v>
      </c>
      <c r="J1462" s="129" t="s">
        <v>33</v>
      </c>
      <c r="K1462" s="129" t="s">
        <v>33</v>
      </c>
      <c r="L1462" s="130" t="s">
        <v>33</v>
      </c>
      <c r="M1462" s="129" t="s">
        <v>33</v>
      </c>
      <c r="N1462" s="131">
        <v>0.9</v>
      </c>
      <c r="O1462" s="129" t="s">
        <v>33</v>
      </c>
      <c r="P1462" s="129" t="s">
        <v>33</v>
      </c>
      <c r="Q1462" s="129" t="s">
        <v>33</v>
      </c>
      <c r="R1462" s="129" t="s">
        <v>33</v>
      </c>
      <c r="S1462" s="131">
        <v>0.9</v>
      </c>
      <c r="T1462" s="129" t="s">
        <v>33</v>
      </c>
      <c r="U1462" s="129" t="s">
        <v>33</v>
      </c>
      <c r="V1462" s="129" t="s">
        <v>33</v>
      </c>
      <c r="W1462" s="129" t="s">
        <v>33</v>
      </c>
      <c r="X1462" s="131">
        <v>0.92</v>
      </c>
      <c r="Y1462" s="131" t="s">
        <v>33</v>
      </c>
      <c r="Z1462" s="131" t="s">
        <v>33</v>
      </c>
      <c r="AA1462" s="131" t="s">
        <v>33</v>
      </c>
      <c r="AB1462" s="131" t="s">
        <v>33</v>
      </c>
      <c r="AC1462" s="131">
        <v>0.92</v>
      </c>
      <c r="AD1462" s="129" t="s">
        <v>33</v>
      </c>
      <c r="AE1462" s="129" t="s">
        <v>33</v>
      </c>
      <c r="AF1462" s="129" t="s">
        <v>33</v>
      </c>
      <c r="AG1462" s="129" t="s">
        <v>33</v>
      </c>
      <c r="AH1462" s="131">
        <v>0.92</v>
      </c>
      <c r="AI1462" s="129" t="s">
        <v>33</v>
      </c>
      <c r="AJ1462" s="129" t="s">
        <v>33</v>
      </c>
      <c r="AK1462" s="129" t="s">
        <v>33</v>
      </c>
      <c r="AL1462" s="129" t="s">
        <v>33</v>
      </c>
      <c r="AM1462" s="128">
        <v>0.99</v>
      </c>
      <c r="AN1462" s="133" t="s">
        <v>33</v>
      </c>
      <c r="AO1462" s="133" t="s">
        <v>33</v>
      </c>
      <c r="AP1462" s="133" t="s">
        <v>33</v>
      </c>
      <c r="AQ1462" s="133" t="s">
        <v>33</v>
      </c>
      <c r="AR1462" s="153">
        <v>0.110069253262963</v>
      </c>
      <c r="AS1462" s="137" t="s">
        <v>33</v>
      </c>
      <c r="AT1462" s="137" t="s">
        <v>33</v>
      </c>
      <c r="AU1462" s="137" t="s">
        <v>33</v>
      </c>
      <c r="AV1462" s="137" t="s">
        <v>33</v>
      </c>
      <c r="AW1462" s="93"/>
      <c r="AX1462" s="91"/>
    </row>
    <row r="1463" ht="14.5" spans="1:50">
      <c r="A1463" s="89"/>
      <c r="B1463" s="93"/>
      <c r="C1463" s="148" t="s">
        <v>1449</v>
      </c>
      <c r="D1463" s="126" t="s">
        <v>1450</v>
      </c>
      <c r="E1463" s="164" t="s">
        <v>1489</v>
      </c>
      <c r="F1463" s="164" t="s">
        <v>1489</v>
      </c>
      <c r="G1463" s="164" t="s">
        <v>1489</v>
      </c>
      <c r="H1463" s="164" t="s">
        <v>1489</v>
      </c>
      <c r="I1463" s="128">
        <v>0.9</v>
      </c>
      <c r="J1463" s="129">
        <v>0.571428571428571</v>
      </c>
      <c r="K1463" s="129">
        <v>0.714285714285714</v>
      </c>
      <c r="L1463" s="130">
        <v>0.625</v>
      </c>
      <c r="M1463" s="129">
        <v>0.731707317073171</v>
      </c>
      <c r="N1463" s="131">
        <v>0.9</v>
      </c>
      <c r="O1463" s="129">
        <v>1</v>
      </c>
      <c r="P1463" s="129">
        <v>1</v>
      </c>
      <c r="Q1463" s="129">
        <v>0.720890410958904</v>
      </c>
      <c r="R1463" s="129">
        <v>0.669318181818182</v>
      </c>
      <c r="S1463" s="131">
        <v>0.9</v>
      </c>
      <c r="T1463" s="129">
        <v>1</v>
      </c>
      <c r="U1463" s="129">
        <v>0.980392156862745</v>
      </c>
      <c r="V1463" s="129">
        <v>0.637557077625571</v>
      </c>
      <c r="W1463" s="129">
        <v>0.554318181818182</v>
      </c>
      <c r="X1463" s="131">
        <v>0.92</v>
      </c>
      <c r="Y1463" s="131" t="s">
        <v>33</v>
      </c>
      <c r="Z1463" s="131" t="s">
        <v>33</v>
      </c>
      <c r="AA1463" s="131" t="s">
        <v>33</v>
      </c>
      <c r="AB1463" s="131" t="s">
        <v>33</v>
      </c>
      <c r="AC1463" s="131">
        <v>0.92</v>
      </c>
      <c r="AD1463" s="129" t="s">
        <v>33</v>
      </c>
      <c r="AE1463" s="129" t="s">
        <v>33</v>
      </c>
      <c r="AF1463" s="129">
        <v>1</v>
      </c>
      <c r="AG1463" s="129">
        <v>1</v>
      </c>
      <c r="AH1463" s="131">
        <v>0.92</v>
      </c>
      <c r="AI1463" s="129">
        <v>1</v>
      </c>
      <c r="AJ1463" s="129">
        <v>0.982142857142857</v>
      </c>
      <c r="AK1463" s="129">
        <v>0.704040978941377</v>
      </c>
      <c r="AL1463" s="129">
        <v>0.605937921727395</v>
      </c>
      <c r="AM1463" s="128">
        <v>0.99</v>
      </c>
      <c r="AN1463" s="133" t="s">
        <v>33</v>
      </c>
      <c r="AO1463" s="133" t="s">
        <v>33</v>
      </c>
      <c r="AP1463" s="133" t="s">
        <v>33</v>
      </c>
      <c r="AQ1463" s="133">
        <v>1</v>
      </c>
      <c r="AR1463" s="153">
        <v>0.110069253262963</v>
      </c>
      <c r="AS1463" s="137">
        <v>0.25</v>
      </c>
      <c r="AT1463" s="137">
        <v>0.285714285714286</v>
      </c>
      <c r="AU1463" s="137">
        <v>0.285714285714286</v>
      </c>
      <c r="AV1463" s="137">
        <v>0.145454545454545</v>
      </c>
      <c r="AW1463" s="93"/>
      <c r="AX1463" s="91"/>
    </row>
    <row r="1464" ht="14.5" spans="1:50">
      <c r="A1464" s="89"/>
      <c r="B1464" s="93"/>
      <c r="C1464" s="148" t="s">
        <v>1449</v>
      </c>
      <c r="D1464" s="126" t="s">
        <v>1450</v>
      </c>
      <c r="E1464" s="164" t="s">
        <v>1490</v>
      </c>
      <c r="F1464" s="164" t="s">
        <v>1490</v>
      </c>
      <c r="G1464" s="164" t="s">
        <v>1490</v>
      </c>
      <c r="H1464" s="164" t="s">
        <v>1490</v>
      </c>
      <c r="I1464" s="128">
        <v>0.9</v>
      </c>
      <c r="J1464" s="129">
        <v>0.833333333333333</v>
      </c>
      <c r="K1464" s="129">
        <v>0.833333333333333</v>
      </c>
      <c r="L1464" s="130">
        <v>0.833333333333333</v>
      </c>
      <c r="M1464" s="129">
        <v>0.907894736842105</v>
      </c>
      <c r="N1464" s="131">
        <v>0.9</v>
      </c>
      <c r="O1464" s="129">
        <v>1</v>
      </c>
      <c r="P1464" s="129" t="s">
        <v>33</v>
      </c>
      <c r="Q1464" s="129" t="s">
        <v>33</v>
      </c>
      <c r="R1464" s="129">
        <v>0.333333333333333</v>
      </c>
      <c r="S1464" s="131">
        <v>0.9</v>
      </c>
      <c r="T1464" s="129">
        <v>0</v>
      </c>
      <c r="U1464" s="129" t="s">
        <v>33</v>
      </c>
      <c r="V1464" s="129" t="s">
        <v>33</v>
      </c>
      <c r="W1464" s="129">
        <v>0</v>
      </c>
      <c r="X1464" s="131">
        <v>0.92</v>
      </c>
      <c r="Y1464" s="131" t="s">
        <v>33</v>
      </c>
      <c r="Z1464" s="131" t="s">
        <v>33</v>
      </c>
      <c r="AA1464" s="131" t="s">
        <v>33</v>
      </c>
      <c r="AB1464" s="131" t="s">
        <v>33</v>
      </c>
      <c r="AC1464" s="131">
        <v>0.92</v>
      </c>
      <c r="AD1464" s="129">
        <v>0</v>
      </c>
      <c r="AE1464" s="129" t="s">
        <v>33</v>
      </c>
      <c r="AF1464" s="129">
        <v>0</v>
      </c>
      <c r="AG1464" s="129">
        <v>0.0416666666666667</v>
      </c>
      <c r="AH1464" s="131">
        <v>0.92</v>
      </c>
      <c r="AI1464" s="129">
        <v>0.933333333333333</v>
      </c>
      <c r="AJ1464" s="129">
        <v>0.738888888888889</v>
      </c>
      <c r="AK1464" s="129">
        <v>0.774960380348653</v>
      </c>
      <c r="AL1464" s="129">
        <v>0.882123473541384</v>
      </c>
      <c r="AM1464" s="128">
        <v>0.99</v>
      </c>
      <c r="AN1464" s="133" t="s">
        <v>33</v>
      </c>
      <c r="AO1464" s="133" t="s">
        <v>33</v>
      </c>
      <c r="AP1464" s="133" t="s">
        <v>33</v>
      </c>
      <c r="AQ1464" s="133" t="s">
        <v>33</v>
      </c>
      <c r="AR1464" s="153">
        <v>0.110069253262963</v>
      </c>
      <c r="AS1464" s="137">
        <v>0</v>
      </c>
      <c r="AT1464" s="137">
        <v>0.142857142857143</v>
      </c>
      <c r="AU1464" s="137">
        <v>0.25</v>
      </c>
      <c r="AV1464" s="137">
        <v>0.0882352941176471</v>
      </c>
      <c r="AW1464" s="93"/>
      <c r="AX1464" s="91"/>
    </row>
    <row r="1465" ht="14.5" spans="1:50">
      <c r="A1465" s="89"/>
      <c r="B1465" s="93"/>
      <c r="C1465" s="148" t="s">
        <v>1449</v>
      </c>
      <c r="D1465" s="126" t="s">
        <v>1450</v>
      </c>
      <c r="E1465" s="164" t="s">
        <v>1491</v>
      </c>
      <c r="F1465" s="164" t="s">
        <v>1491</v>
      </c>
      <c r="G1465" s="164" t="s">
        <v>1491</v>
      </c>
      <c r="H1465" s="164" t="s">
        <v>1491</v>
      </c>
      <c r="I1465" s="128">
        <v>0.9</v>
      </c>
      <c r="J1465" s="129">
        <v>0.48</v>
      </c>
      <c r="K1465" s="129">
        <v>0.464285714285714</v>
      </c>
      <c r="L1465" s="130">
        <v>0.555555555555556</v>
      </c>
      <c r="M1465" s="129">
        <v>0.535593220338983</v>
      </c>
      <c r="N1465" s="131">
        <v>0.9</v>
      </c>
      <c r="O1465" s="129">
        <v>0.757297081167533</v>
      </c>
      <c r="P1465" s="129">
        <v>0.756389776357827</v>
      </c>
      <c r="Q1465" s="129">
        <v>0.868146214099217</v>
      </c>
      <c r="R1465" s="129">
        <v>0.795842673731404</v>
      </c>
      <c r="S1465" s="131">
        <v>0.9</v>
      </c>
      <c r="T1465" s="129">
        <v>0.592163134746102</v>
      </c>
      <c r="U1465" s="129">
        <v>0.527955271565495</v>
      </c>
      <c r="V1465" s="129">
        <v>0.469538729329852</v>
      </c>
      <c r="W1465" s="129">
        <v>0.540574689219482</v>
      </c>
      <c r="X1465" s="131">
        <v>0.92</v>
      </c>
      <c r="Y1465" s="131" t="s">
        <v>33</v>
      </c>
      <c r="Z1465" s="131" t="s">
        <v>33</v>
      </c>
      <c r="AA1465" s="131" t="s">
        <v>33</v>
      </c>
      <c r="AB1465" s="131" t="s">
        <v>33</v>
      </c>
      <c r="AC1465" s="131">
        <v>0.92</v>
      </c>
      <c r="AD1465" s="129">
        <v>1</v>
      </c>
      <c r="AE1465" s="129">
        <v>1</v>
      </c>
      <c r="AF1465" s="129">
        <v>1</v>
      </c>
      <c r="AG1465" s="129">
        <v>0.988235294117647</v>
      </c>
      <c r="AH1465" s="131">
        <v>0.92</v>
      </c>
      <c r="AI1465" s="129">
        <v>0.825269892043183</v>
      </c>
      <c r="AJ1465" s="129">
        <v>0.839856230031949</v>
      </c>
      <c r="AK1465" s="129">
        <v>0.842036553524804</v>
      </c>
      <c r="AL1465" s="129">
        <v>0.840595068269819</v>
      </c>
      <c r="AM1465" s="128">
        <v>0.99</v>
      </c>
      <c r="AN1465" s="133">
        <v>1</v>
      </c>
      <c r="AO1465" s="133">
        <v>1</v>
      </c>
      <c r="AP1465" s="133">
        <v>1</v>
      </c>
      <c r="AQ1465" s="133">
        <v>1</v>
      </c>
      <c r="AR1465" s="153">
        <v>0.110069253262963</v>
      </c>
      <c r="AS1465" s="137">
        <v>0.434782608695652</v>
      </c>
      <c r="AT1465" s="137">
        <v>0.129032258064516</v>
      </c>
      <c r="AU1465" s="137">
        <v>0.175</v>
      </c>
      <c r="AV1465" s="137">
        <v>0.156739811912226</v>
      </c>
      <c r="AW1465" s="93"/>
      <c r="AX1465" s="91"/>
    </row>
    <row r="1466" ht="14.5" spans="1:50">
      <c r="A1466" s="89"/>
      <c r="B1466" s="93"/>
      <c r="C1466" s="148" t="s">
        <v>1449</v>
      </c>
      <c r="D1466" s="126" t="s">
        <v>1450</v>
      </c>
      <c r="E1466" s="164" t="s">
        <v>1492</v>
      </c>
      <c r="F1466" s="164" t="s">
        <v>1492</v>
      </c>
      <c r="G1466" s="164" t="s">
        <v>1492</v>
      </c>
      <c r="H1466" s="164" t="s">
        <v>1492</v>
      </c>
      <c r="I1466" s="128">
        <v>0.9</v>
      </c>
      <c r="J1466" s="129">
        <v>0.846153846153846</v>
      </c>
      <c r="K1466" s="129">
        <v>0.8</v>
      </c>
      <c r="L1466" s="130">
        <v>0.733333333333333</v>
      </c>
      <c r="M1466" s="129">
        <v>0.781818181818182</v>
      </c>
      <c r="N1466" s="131">
        <v>0.9</v>
      </c>
      <c r="O1466" s="129">
        <v>1</v>
      </c>
      <c r="P1466" s="129">
        <v>1</v>
      </c>
      <c r="Q1466" s="129">
        <v>0.9990234375</v>
      </c>
      <c r="R1466" s="129">
        <v>0.999607843137255</v>
      </c>
      <c r="S1466" s="131">
        <v>0.9</v>
      </c>
      <c r="T1466" s="129">
        <v>0.883388338833883</v>
      </c>
      <c r="U1466" s="129">
        <v>0.910355486862442</v>
      </c>
      <c r="V1466" s="129">
        <v>0.904296875</v>
      </c>
      <c r="W1466" s="129">
        <v>0.928529411764706</v>
      </c>
      <c r="X1466" s="131">
        <v>0.92</v>
      </c>
      <c r="Y1466" s="131" t="s">
        <v>33</v>
      </c>
      <c r="Z1466" s="131" t="s">
        <v>33</v>
      </c>
      <c r="AA1466" s="131" t="s">
        <v>33</v>
      </c>
      <c r="AB1466" s="131" t="s">
        <v>33</v>
      </c>
      <c r="AC1466" s="131">
        <v>0.92</v>
      </c>
      <c r="AD1466" s="129">
        <v>0</v>
      </c>
      <c r="AE1466" s="129">
        <v>0</v>
      </c>
      <c r="AF1466" s="129">
        <v>0.125</v>
      </c>
      <c r="AG1466" s="129">
        <v>0.338461538461538</v>
      </c>
      <c r="AH1466" s="131">
        <v>0.92</v>
      </c>
      <c r="AI1466" s="129">
        <v>0.897689768976898</v>
      </c>
      <c r="AJ1466" s="129">
        <v>0.938176197836167</v>
      </c>
      <c r="AK1466" s="129">
        <v>0.953261927945472</v>
      </c>
      <c r="AL1466" s="129">
        <v>0.954798943351923</v>
      </c>
      <c r="AM1466" s="128">
        <v>0.99</v>
      </c>
      <c r="AN1466" s="133">
        <v>1</v>
      </c>
      <c r="AO1466" s="133">
        <v>1</v>
      </c>
      <c r="AP1466" s="133">
        <v>1</v>
      </c>
      <c r="AQ1466" s="133">
        <v>1</v>
      </c>
      <c r="AR1466" s="153">
        <v>0.110069253262963</v>
      </c>
      <c r="AS1466" s="137">
        <v>0.12</v>
      </c>
      <c r="AT1466" s="137">
        <v>0.04</v>
      </c>
      <c r="AU1466" s="137">
        <v>0.178571428571429</v>
      </c>
      <c r="AV1466" s="137">
        <v>0.0980392156862745</v>
      </c>
      <c r="AW1466" s="93"/>
      <c r="AX1466" s="91"/>
    </row>
    <row r="1467" ht="14.5" spans="1:50">
      <c r="A1467" s="89"/>
      <c r="B1467" s="93"/>
      <c r="C1467" s="148" t="s">
        <v>1449</v>
      </c>
      <c r="D1467" s="126" t="s">
        <v>1450</v>
      </c>
      <c r="E1467" s="164" t="s">
        <v>1493</v>
      </c>
      <c r="F1467" s="164" t="s">
        <v>1493</v>
      </c>
      <c r="G1467" s="164" t="s">
        <v>1493</v>
      </c>
      <c r="H1467" s="164" t="s">
        <v>1493</v>
      </c>
      <c r="I1467" s="128">
        <v>0.9</v>
      </c>
      <c r="J1467" s="129">
        <v>1</v>
      </c>
      <c r="K1467" s="129">
        <v>0.875</v>
      </c>
      <c r="L1467" s="130">
        <v>1</v>
      </c>
      <c r="M1467" s="129">
        <v>0.968085106382979</v>
      </c>
      <c r="N1467" s="131">
        <v>0.9</v>
      </c>
      <c r="O1467" s="129">
        <v>0.977903682719547</v>
      </c>
      <c r="P1467" s="129">
        <v>0.985542168674699</v>
      </c>
      <c r="Q1467" s="129">
        <v>0.895449620801734</v>
      </c>
      <c r="R1467" s="129">
        <v>0.961063102893891</v>
      </c>
      <c r="S1467" s="131">
        <v>0.9</v>
      </c>
      <c r="T1467" s="129">
        <v>0.518413597733711</v>
      </c>
      <c r="U1467" s="129">
        <v>0.383614457831325</v>
      </c>
      <c r="V1467" s="129">
        <v>0.287107258938245</v>
      </c>
      <c r="W1467" s="129">
        <v>0.33028536977492</v>
      </c>
      <c r="X1467" s="131">
        <v>0.92</v>
      </c>
      <c r="Y1467" s="131" t="s">
        <v>33</v>
      </c>
      <c r="Z1467" s="131" t="s">
        <v>33</v>
      </c>
      <c r="AA1467" s="131" t="s">
        <v>33</v>
      </c>
      <c r="AB1467" s="131" t="s">
        <v>33</v>
      </c>
      <c r="AC1467" s="131">
        <v>0.92</v>
      </c>
      <c r="AD1467" s="129">
        <v>0.9375</v>
      </c>
      <c r="AE1467" s="129">
        <v>1</v>
      </c>
      <c r="AF1467" s="129">
        <v>0.888888888888889</v>
      </c>
      <c r="AG1467" s="129">
        <v>0.915492957746479</v>
      </c>
      <c r="AH1467" s="131">
        <v>0.92</v>
      </c>
      <c r="AI1467" s="129">
        <v>0.873654390934844</v>
      </c>
      <c r="AJ1467" s="129">
        <v>0.911807228915663</v>
      </c>
      <c r="AK1467" s="129">
        <v>0.90032502708559</v>
      </c>
      <c r="AL1467" s="129">
        <v>0.90504421221865</v>
      </c>
      <c r="AM1467" s="128">
        <v>0.99</v>
      </c>
      <c r="AN1467" s="133">
        <v>1</v>
      </c>
      <c r="AO1467" s="133">
        <v>1</v>
      </c>
      <c r="AP1467" s="133">
        <v>1</v>
      </c>
      <c r="AQ1467" s="133">
        <v>1</v>
      </c>
      <c r="AR1467" s="153">
        <v>0.110069253262963</v>
      </c>
      <c r="AS1467" s="137">
        <v>0</v>
      </c>
      <c r="AT1467" s="137">
        <v>0</v>
      </c>
      <c r="AU1467" s="137">
        <v>0.25</v>
      </c>
      <c r="AV1467" s="137">
        <v>0.0806451612903226</v>
      </c>
      <c r="AW1467" s="93"/>
      <c r="AX1467" s="91"/>
    </row>
    <row r="1468" ht="14.5" spans="1:50">
      <c r="A1468" s="89"/>
      <c r="B1468" s="93"/>
      <c r="C1468" s="148" t="s">
        <v>1449</v>
      </c>
      <c r="D1468" s="126" t="s">
        <v>1450</v>
      </c>
      <c r="E1468" s="164" t="s">
        <v>1494</v>
      </c>
      <c r="F1468" s="164" t="s">
        <v>1494</v>
      </c>
      <c r="G1468" s="164" t="s">
        <v>1494</v>
      </c>
      <c r="H1468" s="164" t="s">
        <v>1494</v>
      </c>
      <c r="I1468" s="128">
        <v>0.9</v>
      </c>
      <c r="J1468" s="129">
        <v>0.857142857142857</v>
      </c>
      <c r="K1468" s="129">
        <v>1</v>
      </c>
      <c r="L1468" s="130">
        <v>1</v>
      </c>
      <c r="M1468" s="129">
        <v>0.852459016393443</v>
      </c>
      <c r="N1468" s="131">
        <v>0.9</v>
      </c>
      <c r="O1468" s="129" t="s">
        <v>33</v>
      </c>
      <c r="P1468" s="129">
        <v>1</v>
      </c>
      <c r="Q1468" s="129" t="s">
        <v>33</v>
      </c>
      <c r="R1468" s="129">
        <v>1</v>
      </c>
      <c r="S1468" s="131">
        <v>0.9</v>
      </c>
      <c r="T1468" s="129" t="s">
        <v>33</v>
      </c>
      <c r="U1468" s="129">
        <v>0</v>
      </c>
      <c r="V1468" s="129" t="s">
        <v>33</v>
      </c>
      <c r="W1468" s="129">
        <v>0</v>
      </c>
      <c r="X1468" s="131">
        <v>0.92</v>
      </c>
      <c r="Y1468" s="131" t="s">
        <v>33</v>
      </c>
      <c r="Z1468" s="131" t="s">
        <v>33</v>
      </c>
      <c r="AA1468" s="131" t="s">
        <v>33</v>
      </c>
      <c r="AB1468" s="131" t="s">
        <v>33</v>
      </c>
      <c r="AC1468" s="131">
        <v>0.92</v>
      </c>
      <c r="AD1468" s="129">
        <v>0</v>
      </c>
      <c r="AE1468" s="129">
        <v>0</v>
      </c>
      <c r="AF1468" s="129">
        <v>0.2</v>
      </c>
      <c r="AG1468" s="129">
        <v>0.229885057471264</v>
      </c>
      <c r="AH1468" s="131">
        <v>0.92</v>
      </c>
      <c r="AI1468" s="129">
        <v>0.907849829351536</v>
      </c>
      <c r="AJ1468" s="129">
        <v>0.968992248062015</v>
      </c>
      <c r="AK1468" s="129">
        <v>0.944866920152091</v>
      </c>
      <c r="AL1468" s="129">
        <v>0.93598311642631</v>
      </c>
      <c r="AM1468" s="128">
        <v>0.99</v>
      </c>
      <c r="AN1468" s="133">
        <v>1</v>
      </c>
      <c r="AO1468" s="133">
        <v>1</v>
      </c>
      <c r="AP1468" s="133">
        <v>1</v>
      </c>
      <c r="AQ1468" s="133">
        <v>1</v>
      </c>
      <c r="AR1468" s="153">
        <v>0.110069253262963</v>
      </c>
      <c r="AS1468" s="137">
        <v>0</v>
      </c>
      <c r="AT1468" s="137">
        <v>0</v>
      </c>
      <c r="AU1468" s="137">
        <v>1</v>
      </c>
      <c r="AV1468" s="137">
        <v>0.0754716981132075</v>
      </c>
      <c r="AW1468" s="93"/>
      <c r="AX1468" s="91"/>
    </row>
    <row r="1469" ht="14.5" spans="1:50">
      <c r="A1469" s="89"/>
      <c r="B1469" s="93"/>
      <c r="C1469" s="148" t="s">
        <v>1449</v>
      </c>
      <c r="D1469" s="126" t="s">
        <v>1450</v>
      </c>
      <c r="E1469" s="164" t="s">
        <v>1495</v>
      </c>
      <c r="F1469" s="164" t="s">
        <v>1495</v>
      </c>
      <c r="G1469" s="164" t="s">
        <v>1495</v>
      </c>
      <c r="H1469" s="164" t="s">
        <v>1495</v>
      </c>
      <c r="I1469" s="128">
        <v>0.9</v>
      </c>
      <c r="J1469" s="129">
        <v>0.833333333333333</v>
      </c>
      <c r="K1469" s="129">
        <v>1</v>
      </c>
      <c r="L1469" s="130">
        <v>0.916666666666667</v>
      </c>
      <c r="M1469" s="129">
        <v>0.899280575539568</v>
      </c>
      <c r="N1469" s="131">
        <v>0.9</v>
      </c>
      <c r="O1469" s="129" t="s">
        <v>33</v>
      </c>
      <c r="P1469" s="129" t="s">
        <v>33</v>
      </c>
      <c r="Q1469" s="129" t="s">
        <v>33</v>
      </c>
      <c r="R1469" s="129">
        <v>1</v>
      </c>
      <c r="S1469" s="131">
        <v>0.9</v>
      </c>
      <c r="T1469" s="129" t="s">
        <v>33</v>
      </c>
      <c r="U1469" s="129" t="s">
        <v>33</v>
      </c>
      <c r="V1469" s="129" t="s">
        <v>33</v>
      </c>
      <c r="W1469" s="129">
        <v>0</v>
      </c>
      <c r="X1469" s="131">
        <v>0.92</v>
      </c>
      <c r="Y1469" s="131" t="s">
        <v>33</v>
      </c>
      <c r="Z1469" s="131" t="s">
        <v>33</v>
      </c>
      <c r="AA1469" s="131" t="s">
        <v>33</v>
      </c>
      <c r="AB1469" s="131" t="s">
        <v>33</v>
      </c>
      <c r="AC1469" s="131">
        <v>0.92</v>
      </c>
      <c r="AD1469" s="129">
        <v>0</v>
      </c>
      <c r="AE1469" s="129">
        <v>0.2</v>
      </c>
      <c r="AF1469" s="129">
        <v>0</v>
      </c>
      <c r="AG1469" s="129">
        <v>0.0864197530864197</v>
      </c>
      <c r="AH1469" s="131">
        <v>0.92</v>
      </c>
      <c r="AI1469" s="129">
        <v>0.912718204488778</v>
      </c>
      <c r="AJ1469" s="129">
        <v>0.939300411522634</v>
      </c>
      <c r="AK1469" s="129">
        <v>0.930602957906712</v>
      </c>
      <c r="AL1469" s="129">
        <v>0.946784922394678</v>
      </c>
      <c r="AM1469" s="128">
        <v>0.99</v>
      </c>
      <c r="AN1469" s="133" t="s">
        <v>33</v>
      </c>
      <c r="AO1469" s="133">
        <v>1</v>
      </c>
      <c r="AP1469" s="133" t="s">
        <v>33</v>
      </c>
      <c r="AQ1469" s="133">
        <v>1</v>
      </c>
      <c r="AR1469" s="153">
        <v>0.110069253262963</v>
      </c>
      <c r="AS1469" s="137">
        <v>0.142857142857143</v>
      </c>
      <c r="AT1469" s="137">
        <v>0.111111111111111</v>
      </c>
      <c r="AU1469" s="137">
        <v>0.4</v>
      </c>
      <c r="AV1469" s="137">
        <v>0.111111111111111</v>
      </c>
      <c r="AW1469" s="93"/>
      <c r="AX1469" s="91"/>
    </row>
    <row r="1470" ht="14.5" spans="1:50">
      <c r="A1470" s="89"/>
      <c r="B1470" s="93"/>
      <c r="C1470" s="148" t="s">
        <v>1449</v>
      </c>
      <c r="D1470" s="126" t="s">
        <v>1450</v>
      </c>
      <c r="E1470" s="164" t="s">
        <v>1496</v>
      </c>
      <c r="F1470" s="164" t="s">
        <v>1496</v>
      </c>
      <c r="G1470" s="164" t="s">
        <v>1496</v>
      </c>
      <c r="H1470" s="164" t="s">
        <v>1496</v>
      </c>
      <c r="I1470" s="128">
        <v>0.9</v>
      </c>
      <c r="J1470" s="129">
        <v>0.421052631578947</v>
      </c>
      <c r="K1470" s="129">
        <v>0.347826086956522</v>
      </c>
      <c r="L1470" s="130">
        <v>0.263157894736842</v>
      </c>
      <c r="M1470" s="129">
        <v>0.346774193548387</v>
      </c>
      <c r="N1470" s="131">
        <v>0.9</v>
      </c>
      <c r="O1470" s="129">
        <v>0.96398786959818</v>
      </c>
      <c r="P1470" s="129">
        <v>0.974141414141414</v>
      </c>
      <c r="Q1470" s="129">
        <v>0.93562545720556</v>
      </c>
      <c r="R1470" s="129">
        <v>0.97773565269105</v>
      </c>
      <c r="S1470" s="131">
        <v>0.9</v>
      </c>
      <c r="T1470" s="129">
        <v>0.774450341167551</v>
      </c>
      <c r="U1470" s="129">
        <v>0.670707070707071</v>
      </c>
      <c r="V1470" s="129">
        <v>0.585954645208486</v>
      </c>
      <c r="W1470" s="129">
        <v>0.734909307166221</v>
      </c>
      <c r="X1470" s="131">
        <v>0.92</v>
      </c>
      <c r="Y1470" s="131" t="s">
        <v>33</v>
      </c>
      <c r="Z1470" s="131" t="s">
        <v>33</v>
      </c>
      <c r="AA1470" s="131" t="s">
        <v>33</v>
      </c>
      <c r="AB1470" s="131" t="s">
        <v>33</v>
      </c>
      <c r="AC1470" s="131">
        <v>0.92</v>
      </c>
      <c r="AD1470" s="129">
        <v>1</v>
      </c>
      <c r="AE1470" s="129">
        <v>0.758620689655172</v>
      </c>
      <c r="AF1470" s="129">
        <v>0.875</v>
      </c>
      <c r="AG1470" s="129">
        <v>0.846975088967972</v>
      </c>
      <c r="AH1470" s="131">
        <v>0.92</v>
      </c>
      <c r="AI1470" s="129">
        <v>0.855951478392722</v>
      </c>
      <c r="AJ1470" s="129">
        <v>0.872323232323232</v>
      </c>
      <c r="AK1470" s="129">
        <v>0.809802487198244</v>
      </c>
      <c r="AL1470" s="129">
        <v>0.881095747844187</v>
      </c>
      <c r="AM1470" s="128">
        <v>0.99</v>
      </c>
      <c r="AN1470" s="133">
        <v>1</v>
      </c>
      <c r="AO1470" s="133">
        <v>1</v>
      </c>
      <c r="AP1470" s="133">
        <v>1</v>
      </c>
      <c r="AQ1470" s="133">
        <v>1</v>
      </c>
      <c r="AR1470" s="153">
        <v>0.110069253262963</v>
      </c>
      <c r="AS1470" s="137">
        <v>0.0769230769230769</v>
      </c>
      <c r="AT1470" s="137">
        <v>0.233333333333333</v>
      </c>
      <c r="AU1470" s="137">
        <v>0.0689655172413793</v>
      </c>
      <c r="AV1470" s="137">
        <v>0.0841750841750842</v>
      </c>
      <c r="AW1470" s="93"/>
      <c r="AX1470" s="91"/>
    </row>
    <row r="1471" ht="14.5" spans="1:50">
      <c r="A1471" s="89"/>
      <c r="B1471" s="93"/>
      <c r="C1471" s="148" t="s">
        <v>1449</v>
      </c>
      <c r="D1471" s="126" t="s">
        <v>1450</v>
      </c>
      <c r="E1471" s="164" t="s">
        <v>1497</v>
      </c>
      <c r="F1471" s="164" t="s">
        <v>1497</v>
      </c>
      <c r="G1471" s="164" t="s">
        <v>1497</v>
      </c>
      <c r="H1471" s="164" t="s">
        <v>1497</v>
      </c>
      <c r="I1471" s="128">
        <v>0.9</v>
      </c>
      <c r="J1471" s="129">
        <v>1</v>
      </c>
      <c r="K1471" s="129">
        <v>1</v>
      </c>
      <c r="L1471" s="130">
        <v>1</v>
      </c>
      <c r="M1471" s="129">
        <v>1</v>
      </c>
      <c r="N1471" s="131">
        <v>0.9</v>
      </c>
      <c r="O1471" s="129">
        <v>0.921119592875318</v>
      </c>
      <c r="P1471" s="129">
        <v>0.937595129375951</v>
      </c>
      <c r="Q1471" s="129">
        <v>0.98138495904691</v>
      </c>
      <c r="R1471" s="129">
        <v>0.965277777777778</v>
      </c>
      <c r="S1471" s="131">
        <v>0.9</v>
      </c>
      <c r="T1471" s="129">
        <v>0.83206106870229</v>
      </c>
      <c r="U1471" s="129">
        <v>0.794520547945205</v>
      </c>
      <c r="V1471" s="129">
        <v>0.798957557706627</v>
      </c>
      <c r="W1471" s="129">
        <v>0.783796296296296</v>
      </c>
      <c r="X1471" s="131">
        <v>0.92</v>
      </c>
      <c r="Y1471" s="131">
        <v>0.882430647291942</v>
      </c>
      <c r="Z1471" s="131">
        <v>0.883614088820827</v>
      </c>
      <c r="AA1471" s="131">
        <v>0.920801526717557</v>
      </c>
      <c r="AB1471" s="131">
        <v>0.897183214256385</v>
      </c>
      <c r="AC1471" s="131">
        <v>0.92</v>
      </c>
      <c r="AD1471" s="129">
        <v>1</v>
      </c>
      <c r="AE1471" s="129">
        <v>1</v>
      </c>
      <c r="AF1471" s="129">
        <v>0.96551724137931</v>
      </c>
      <c r="AG1471" s="129">
        <v>0.878048780487805</v>
      </c>
      <c r="AH1471" s="131">
        <v>0.92</v>
      </c>
      <c r="AI1471" s="129">
        <v>0.909090909090909</v>
      </c>
      <c r="AJ1471" s="129">
        <v>0.908396946564885</v>
      </c>
      <c r="AK1471" s="129">
        <v>0.944374738603095</v>
      </c>
      <c r="AL1471" s="129">
        <v>0.923068469062534</v>
      </c>
      <c r="AM1471" s="128">
        <v>0.99</v>
      </c>
      <c r="AN1471" s="133">
        <v>1</v>
      </c>
      <c r="AO1471" s="133">
        <v>1</v>
      </c>
      <c r="AP1471" s="133">
        <v>1</v>
      </c>
      <c r="AQ1471" s="133">
        <v>1</v>
      </c>
      <c r="AR1471" s="153">
        <v>0.110069253262963</v>
      </c>
      <c r="AS1471" s="137">
        <v>0</v>
      </c>
      <c r="AT1471" s="137">
        <v>0.125</v>
      </c>
      <c r="AU1471" s="137">
        <v>0</v>
      </c>
      <c r="AV1471" s="137">
        <v>0.115384615384615</v>
      </c>
      <c r="AW1471" s="93"/>
      <c r="AX1471" s="91"/>
    </row>
    <row r="1472" ht="14.5" spans="1:50">
      <c r="A1472" s="89"/>
      <c r="B1472" s="93"/>
      <c r="C1472" s="148" t="s">
        <v>1449</v>
      </c>
      <c r="D1472" s="126" t="s">
        <v>1450</v>
      </c>
      <c r="E1472" s="164" t="s">
        <v>1498</v>
      </c>
      <c r="F1472" s="164" t="s">
        <v>1498</v>
      </c>
      <c r="G1472" s="164" t="s">
        <v>1498</v>
      </c>
      <c r="H1472" s="164" t="s">
        <v>1498</v>
      </c>
      <c r="I1472" s="128">
        <v>0.9</v>
      </c>
      <c r="J1472" s="129">
        <v>0.72</v>
      </c>
      <c r="K1472" s="129">
        <v>0.730769230769231</v>
      </c>
      <c r="L1472" s="130">
        <v>0.714285714285714</v>
      </c>
      <c r="M1472" s="129">
        <v>0.771428571428571</v>
      </c>
      <c r="N1472" s="131">
        <v>0.9</v>
      </c>
      <c r="O1472" s="129">
        <v>0.893502686858818</v>
      </c>
      <c r="P1472" s="129">
        <v>0.899537037037037</v>
      </c>
      <c r="Q1472" s="129">
        <v>0.733354420370077</v>
      </c>
      <c r="R1472" s="129">
        <v>0.71161369193154</v>
      </c>
      <c r="S1472" s="131">
        <v>0.9</v>
      </c>
      <c r="T1472" s="129">
        <v>0.839276990718124</v>
      </c>
      <c r="U1472" s="129">
        <v>0.798611111111111</v>
      </c>
      <c r="V1472" s="129">
        <v>0.541040645263324</v>
      </c>
      <c r="W1472" s="129">
        <v>0.544437652811736</v>
      </c>
      <c r="X1472" s="131">
        <v>0.92</v>
      </c>
      <c r="Y1472" s="131" t="s">
        <v>33</v>
      </c>
      <c r="Z1472" s="131" t="s">
        <v>33</v>
      </c>
      <c r="AA1472" s="131" t="s">
        <v>33</v>
      </c>
      <c r="AB1472" s="131" t="s">
        <v>33</v>
      </c>
      <c r="AC1472" s="131">
        <v>0.92</v>
      </c>
      <c r="AD1472" s="129">
        <v>1</v>
      </c>
      <c r="AE1472" s="129">
        <v>1</v>
      </c>
      <c r="AF1472" s="129">
        <v>1</v>
      </c>
      <c r="AG1472" s="129">
        <v>0.956756756756757</v>
      </c>
      <c r="AH1472" s="131">
        <v>0.92</v>
      </c>
      <c r="AI1472" s="129">
        <v>0.903761602344895</v>
      </c>
      <c r="AJ1472" s="129">
        <v>0.889814814814815</v>
      </c>
      <c r="AK1472" s="129">
        <v>0.732247350941009</v>
      </c>
      <c r="AL1472" s="129">
        <v>0.733893643031785</v>
      </c>
      <c r="AM1472" s="128">
        <v>0.99</v>
      </c>
      <c r="AN1472" s="133" t="s">
        <v>33</v>
      </c>
      <c r="AO1472" s="133">
        <v>1</v>
      </c>
      <c r="AP1472" s="133">
        <v>1</v>
      </c>
      <c r="AQ1472" s="133">
        <v>1</v>
      </c>
      <c r="AR1472" s="153">
        <v>0.110069253262963</v>
      </c>
      <c r="AS1472" s="137">
        <v>0.0625</v>
      </c>
      <c r="AT1472" s="137">
        <v>0</v>
      </c>
      <c r="AU1472" s="137">
        <v>0.25</v>
      </c>
      <c r="AV1472" s="137">
        <v>0.138036809815951</v>
      </c>
      <c r="AW1472" s="93"/>
      <c r="AX1472" s="91"/>
    </row>
    <row r="1473" ht="14.5" spans="1:50">
      <c r="A1473" s="89"/>
      <c r="B1473" s="93"/>
      <c r="C1473" s="148" t="s">
        <v>1449</v>
      </c>
      <c r="D1473" s="126" t="s">
        <v>1450</v>
      </c>
      <c r="E1473" s="164" t="s">
        <v>1499</v>
      </c>
      <c r="F1473" s="164" t="s">
        <v>1499</v>
      </c>
      <c r="G1473" s="164" t="s">
        <v>1499</v>
      </c>
      <c r="H1473" s="164" t="s">
        <v>1499</v>
      </c>
      <c r="I1473" s="128">
        <v>0.9</v>
      </c>
      <c r="J1473" s="129">
        <v>0.80952380952381</v>
      </c>
      <c r="K1473" s="129">
        <v>0.9375</v>
      </c>
      <c r="L1473" s="130">
        <v>0.842105263157895</v>
      </c>
      <c r="M1473" s="129">
        <v>0.890547263681592</v>
      </c>
      <c r="N1473" s="131">
        <v>0.9</v>
      </c>
      <c r="O1473" s="129">
        <v>0.98533724340176</v>
      </c>
      <c r="P1473" s="129">
        <v>0.729297544260423</v>
      </c>
      <c r="Q1473" s="129">
        <v>0.181766704416761</v>
      </c>
      <c r="R1473" s="129">
        <v>0.392523364485981</v>
      </c>
      <c r="S1473" s="131">
        <v>0.9</v>
      </c>
      <c r="T1473" s="129">
        <v>0.788856304985337</v>
      </c>
      <c r="U1473" s="129">
        <v>0.481439177612793</v>
      </c>
      <c r="V1473" s="129">
        <v>0.118346545866365</v>
      </c>
      <c r="W1473" s="129">
        <v>0.289863407620417</v>
      </c>
      <c r="X1473" s="131">
        <v>0.92</v>
      </c>
      <c r="Y1473" s="131">
        <v>0</v>
      </c>
      <c r="Z1473" s="131" t="s">
        <v>33</v>
      </c>
      <c r="AA1473" s="131">
        <v>0</v>
      </c>
      <c r="AB1473" s="131">
        <v>0</v>
      </c>
      <c r="AC1473" s="131">
        <v>0.92</v>
      </c>
      <c r="AD1473" s="129">
        <v>0.428571428571429</v>
      </c>
      <c r="AE1473" s="129">
        <v>0.863636363636364</v>
      </c>
      <c r="AF1473" s="129">
        <v>0.909090909090909</v>
      </c>
      <c r="AG1473" s="129">
        <v>0.679389312977099</v>
      </c>
      <c r="AH1473" s="131">
        <v>0.92</v>
      </c>
      <c r="AI1473" s="129">
        <v>0.96231884057971</v>
      </c>
      <c r="AJ1473" s="129">
        <v>0.576242147344375</v>
      </c>
      <c r="AK1473" s="129">
        <v>0.159616469261139</v>
      </c>
      <c r="AL1473" s="129">
        <v>0.355152269680138</v>
      </c>
      <c r="AM1473" s="128">
        <v>0.99</v>
      </c>
      <c r="AN1473" s="133">
        <v>1</v>
      </c>
      <c r="AO1473" s="133">
        <v>1</v>
      </c>
      <c r="AP1473" s="133">
        <v>1</v>
      </c>
      <c r="AQ1473" s="133">
        <v>1</v>
      </c>
      <c r="AR1473" s="153">
        <v>0.110069253262963</v>
      </c>
      <c r="AS1473" s="137">
        <v>0.0105263157894737</v>
      </c>
      <c r="AT1473" s="137">
        <v>0</v>
      </c>
      <c r="AU1473" s="137">
        <v>0</v>
      </c>
      <c r="AV1473" s="137">
        <v>0.106598984771574</v>
      </c>
      <c r="AW1473" s="93"/>
      <c r="AX1473" s="91"/>
    </row>
    <row r="1474" ht="14.5" spans="1:50">
      <c r="A1474" s="89"/>
      <c r="B1474" s="93"/>
      <c r="C1474" s="148" t="s">
        <v>1449</v>
      </c>
      <c r="D1474" s="126" t="s">
        <v>1450</v>
      </c>
      <c r="E1474" s="164" t="s">
        <v>1500</v>
      </c>
      <c r="F1474" s="164" t="s">
        <v>1500</v>
      </c>
      <c r="G1474" s="164" t="s">
        <v>1500</v>
      </c>
      <c r="H1474" s="164" t="s">
        <v>1500</v>
      </c>
      <c r="I1474" s="128">
        <v>0.9</v>
      </c>
      <c r="J1474" s="129">
        <v>1</v>
      </c>
      <c r="K1474" s="129">
        <v>1</v>
      </c>
      <c r="L1474" s="130">
        <v>1</v>
      </c>
      <c r="M1474" s="129">
        <v>0.875</v>
      </c>
      <c r="N1474" s="131">
        <v>0.9</v>
      </c>
      <c r="O1474" s="129">
        <v>0.770833333333333</v>
      </c>
      <c r="P1474" s="129">
        <v>0.408163265306122</v>
      </c>
      <c r="Q1474" s="129">
        <v>0.312796208530806</v>
      </c>
      <c r="R1474" s="129">
        <v>0.643962848297214</v>
      </c>
      <c r="S1474" s="131">
        <v>0.9</v>
      </c>
      <c r="T1474" s="129">
        <v>0.494791666666667</v>
      </c>
      <c r="U1474" s="129">
        <v>0.418367346938776</v>
      </c>
      <c r="V1474" s="129">
        <v>0.293838862559242</v>
      </c>
      <c r="W1474" s="129">
        <v>0.398428197189807</v>
      </c>
      <c r="X1474" s="131">
        <v>0.92</v>
      </c>
      <c r="Y1474" s="131" t="s">
        <v>33</v>
      </c>
      <c r="Z1474" s="131" t="s">
        <v>33</v>
      </c>
      <c r="AA1474" s="131" t="s">
        <v>33</v>
      </c>
      <c r="AB1474" s="131" t="s">
        <v>33</v>
      </c>
      <c r="AC1474" s="131">
        <v>0.92</v>
      </c>
      <c r="AD1474" s="129">
        <v>0</v>
      </c>
      <c r="AE1474" s="129">
        <v>0</v>
      </c>
      <c r="AF1474" s="129">
        <v>0.125</v>
      </c>
      <c r="AG1474" s="129">
        <v>0.66</v>
      </c>
      <c r="AH1474" s="131">
        <v>0.92</v>
      </c>
      <c r="AI1474" s="129">
        <v>0.538860103626943</v>
      </c>
      <c r="AJ1474" s="129">
        <v>0.441624365482233</v>
      </c>
      <c r="AK1474" s="129">
        <v>0.264705882352941</v>
      </c>
      <c r="AL1474" s="129">
        <v>0.435393258426966</v>
      </c>
      <c r="AM1474" s="128">
        <v>0.99</v>
      </c>
      <c r="AN1474" s="133">
        <v>1</v>
      </c>
      <c r="AO1474" s="133" t="s">
        <v>33</v>
      </c>
      <c r="AP1474" s="133">
        <v>1</v>
      </c>
      <c r="AQ1474" s="133">
        <v>1</v>
      </c>
      <c r="AR1474" s="153">
        <v>0.110069253262963</v>
      </c>
      <c r="AS1474" s="137">
        <v>0.0645161290322581</v>
      </c>
      <c r="AT1474" s="137">
        <v>0.0652173913043478</v>
      </c>
      <c r="AU1474" s="137">
        <v>0.107142857142857</v>
      </c>
      <c r="AV1474" s="137">
        <v>0.114942528735632</v>
      </c>
      <c r="AW1474" s="93"/>
      <c r="AX1474" s="91"/>
    </row>
    <row r="1475" ht="14.5" spans="1:50">
      <c r="A1475" s="89"/>
      <c r="B1475" s="93"/>
      <c r="C1475" s="148" t="s">
        <v>1449</v>
      </c>
      <c r="D1475" s="126" t="s">
        <v>1450</v>
      </c>
      <c r="E1475" s="164" t="s">
        <v>1501</v>
      </c>
      <c r="F1475" s="164" t="s">
        <v>1501</v>
      </c>
      <c r="G1475" s="164" t="s">
        <v>1501</v>
      </c>
      <c r="H1475" s="164" t="s">
        <v>1501</v>
      </c>
      <c r="I1475" s="128">
        <v>0.9</v>
      </c>
      <c r="J1475" s="129">
        <v>0.952380952380952</v>
      </c>
      <c r="K1475" s="129">
        <v>0.789473684210526</v>
      </c>
      <c r="L1475" s="130">
        <v>0.714285714285714</v>
      </c>
      <c r="M1475" s="129">
        <v>0.818897637795276</v>
      </c>
      <c r="N1475" s="131">
        <v>0.9</v>
      </c>
      <c r="O1475" s="129">
        <v>0</v>
      </c>
      <c r="P1475" s="129">
        <v>0.5</v>
      </c>
      <c r="Q1475" s="129" t="s">
        <v>33</v>
      </c>
      <c r="R1475" s="129">
        <v>0.25</v>
      </c>
      <c r="S1475" s="131">
        <v>0.9</v>
      </c>
      <c r="T1475" s="129">
        <v>0</v>
      </c>
      <c r="U1475" s="129">
        <v>0</v>
      </c>
      <c r="V1475" s="129" t="s">
        <v>33</v>
      </c>
      <c r="W1475" s="129">
        <v>0.25</v>
      </c>
      <c r="X1475" s="131">
        <v>0.92</v>
      </c>
      <c r="Y1475" s="131" t="s">
        <v>33</v>
      </c>
      <c r="Z1475" s="131" t="s">
        <v>33</v>
      </c>
      <c r="AA1475" s="131" t="s">
        <v>33</v>
      </c>
      <c r="AB1475" s="131" t="s">
        <v>33</v>
      </c>
      <c r="AC1475" s="131">
        <v>0.92</v>
      </c>
      <c r="AD1475" s="129">
        <v>0</v>
      </c>
      <c r="AE1475" s="129">
        <v>0</v>
      </c>
      <c r="AF1475" s="129">
        <v>0</v>
      </c>
      <c r="AG1475" s="129">
        <v>0.197916666666667</v>
      </c>
      <c r="AH1475" s="131">
        <v>0.92</v>
      </c>
      <c r="AI1475" s="129">
        <v>0.866869918699187</v>
      </c>
      <c r="AJ1475" s="129">
        <v>0.894326548289303</v>
      </c>
      <c r="AK1475" s="129">
        <v>0.932757557063541</v>
      </c>
      <c r="AL1475" s="129">
        <v>0.93170403587444</v>
      </c>
      <c r="AM1475" s="128">
        <v>0.99</v>
      </c>
      <c r="AN1475" s="133">
        <v>1</v>
      </c>
      <c r="AO1475" s="133">
        <v>1</v>
      </c>
      <c r="AP1475" s="133">
        <v>1</v>
      </c>
      <c r="AQ1475" s="133">
        <v>1</v>
      </c>
      <c r="AR1475" s="153">
        <v>0.110069253262963</v>
      </c>
      <c r="AS1475" s="137">
        <v>0.0769230769230769</v>
      </c>
      <c r="AT1475" s="137">
        <v>0.16</v>
      </c>
      <c r="AU1475" s="137">
        <v>0.0416666666666667</v>
      </c>
      <c r="AV1475" s="137">
        <v>0.0984615384615385</v>
      </c>
      <c r="AW1475" s="93"/>
      <c r="AX1475" s="91"/>
    </row>
    <row r="1476" ht="14.5" spans="1:50">
      <c r="A1476" s="89"/>
      <c r="B1476" s="93"/>
      <c r="C1476" s="148" t="s">
        <v>1449</v>
      </c>
      <c r="D1476" s="126" t="s">
        <v>1450</v>
      </c>
      <c r="E1476" s="164" t="s">
        <v>1502</v>
      </c>
      <c r="F1476" s="164" t="s">
        <v>1502</v>
      </c>
      <c r="G1476" s="164" t="s">
        <v>1502</v>
      </c>
      <c r="H1476" s="164" t="s">
        <v>1502</v>
      </c>
      <c r="I1476" s="128">
        <v>0.9</v>
      </c>
      <c r="J1476" s="129">
        <v>0.933333333333333</v>
      </c>
      <c r="K1476" s="129">
        <v>0.923076923076923</v>
      </c>
      <c r="L1476" s="130">
        <v>0.9375</v>
      </c>
      <c r="M1476" s="129">
        <v>0.907514450867052</v>
      </c>
      <c r="N1476" s="131">
        <v>0.9</v>
      </c>
      <c r="O1476" s="129">
        <v>0.712316968130922</v>
      </c>
      <c r="P1476" s="129">
        <v>0.219596046411689</v>
      </c>
      <c r="Q1476" s="129">
        <v>0.0738522954091816</v>
      </c>
      <c r="R1476" s="129">
        <v>0.425447523615678</v>
      </c>
      <c r="S1476" s="131">
        <v>0.9</v>
      </c>
      <c r="T1476" s="129">
        <v>0.578811369509044</v>
      </c>
      <c r="U1476" s="129">
        <v>0.201117318435754</v>
      </c>
      <c r="V1476" s="129">
        <v>0.0585495675316035</v>
      </c>
      <c r="W1476" s="129">
        <v>0.346119722352696</v>
      </c>
      <c r="X1476" s="131">
        <v>0.92</v>
      </c>
      <c r="Y1476" s="131" t="s">
        <v>33</v>
      </c>
      <c r="Z1476" s="131" t="s">
        <v>33</v>
      </c>
      <c r="AA1476" s="131" t="s">
        <v>33</v>
      </c>
      <c r="AB1476" s="131" t="s">
        <v>33</v>
      </c>
      <c r="AC1476" s="131">
        <v>0.92</v>
      </c>
      <c r="AD1476" s="129">
        <v>0.428571428571429</v>
      </c>
      <c r="AE1476" s="129">
        <v>0.555555555555556</v>
      </c>
      <c r="AF1476" s="129">
        <v>0</v>
      </c>
      <c r="AG1476" s="129">
        <v>0.277777777777778</v>
      </c>
      <c r="AH1476" s="131">
        <v>0.92</v>
      </c>
      <c r="AI1476" s="129">
        <v>0.65848406546081</v>
      </c>
      <c r="AJ1476" s="129">
        <v>0.278470133218737</v>
      </c>
      <c r="AK1476" s="129">
        <v>0.0671989354624085</v>
      </c>
      <c r="AL1476" s="129">
        <v>0.430092375136997</v>
      </c>
      <c r="AM1476" s="128">
        <v>0.99</v>
      </c>
      <c r="AN1476" s="133" t="s">
        <v>33</v>
      </c>
      <c r="AO1476" s="133">
        <v>1</v>
      </c>
      <c r="AP1476" s="133">
        <v>1</v>
      </c>
      <c r="AQ1476" s="133">
        <v>1</v>
      </c>
      <c r="AR1476" s="153">
        <v>0.110069253262963</v>
      </c>
      <c r="AS1476" s="137">
        <v>0.102040816326531</v>
      </c>
      <c r="AT1476" s="137">
        <v>0.0384615384615385</v>
      </c>
      <c r="AU1476" s="137">
        <v>0.0277777777777778</v>
      </c>
      <c r="AV1476" s="137">
        <v>0.129554655870445</v>
      </c>
      <c r="AW1476" s="93"/>
      <c r="AX1476" s="91"/>
    </row>
    <row r="1477" ht="14.5" spans="1:50">
      <c r="A1477" s="89"/>
      <c r="B1477" s="93"/>
      <c r="C1477" s="148" t="s">
        <v>1449</v>
      </c>
      <c r="D1477" s="126" t="s">
        <v>1450</v>
      </c>
      <c r="E1477" s="164" t="s">
        <v>1503</v>
      </c>
      <c r="F1477" s="164" t="s">
        <v>1503</v>
      </c>
      <c r="G1477" s="164" t="s">
        <v>1503</v>
      </c>
      <c r="H1477" s="164" t="s">
        <v>1503</v>
      </c>
      <c r="I1477" s="128">
        <v>0.9</v>
      </c>
      <c r="J1477" s="129">
        <v>1</v>
      </c>
      <c r="K1477" s="129">
        <v>0.909090909090909</v>
      </c>
      <c r="L1477" s="130">
        <v>1</v>
      </c>
      <c r="M1477" s="129">
        <v>0.984962406015038</v>
      </c>
      <c r="N1477" s="131">
        <v>0.9</v>
      </c>
      <c r="O1477" s="129">
        <v>0.855817875210793</v>
      </c>
      <c r="P1477" s="129">
        <v>0.462109955423477</v>
      </c>
      <c r="Q1477" s="129">
        <v>0.114200595829196</v>
      </c>
      <c r="R1477" s="129">
        <v>0.489084108897973</v>
      </c>
      <c r="S1477" s="131">
        <v>0.9</v>
      </c>
      <c r="T1477" s="129">
        <v>0.660202360876897</v>
      </c>
      <c r="U1477" s="129">
        <v>0.287518573551263</v>
      </c>
      <c r="V1477" s="129">
        <v>0.112214498510427</v>
      </c>
      <c r="W1477" s="129">
        <v>0.39914760372271</v>
      </c>
      <c r="X1477" s="131">
        <v>0.92</v>
      </c>
      <c r="Y1477" s="131" t="s">
        <v>33</v>
      </c>
      <c r="Z1477" s="131" t="s">
        <v>33</v>
      </c>
      <c r="AA1477" s="131" t="s">
        <v>33</v>
      </c>
      <c r="AB1477" s="131" t="s">
        <v>33</v>
      </c>
      <c r="AC1477" s="131">
        <v>0.92</v>
      </c>
      <c r="AD1477" s="129">
        <v>0.375</v>
      </c>
      <c r="AE1477" s="129">
        <v>0</v>
      </c>
      <c r="AF1477" s="129">
        <v>0.4</v>
      </c>
      <c r="AG1477" s="129">
        <v>0.548387096774194</v>
      </c>
      <c r="AH1477" s="131">
        <v>0.92</v>
      </c>
      <c r="AI1477" s="129">
        <v>0.744519392917369</v>
      </c>
      <c r="AJ1477" s="129">
        <v>0.384101040118871</v>
      </c>
      <c r="AK1477" s="129">
        <v>0.205561072492552</v>
      </c>
      <c r="AL1477" s="129">
        <v>0.474123684439419</v>
      </c>
      <c r="AM1477" s="128">
        <v>0.99</v>
      </c>
      <c r="AN1477" s="133">
        <v>1</v>
      </c>
      <c r="AO1477" s="133">
        <v>1</v>
      </c>
      <c r="AP1477" s="133">
        <v>1</v>
      </c>
      <c r="AQ1477" s="133">
        <v>1</v>
      </c>
      <c r="AR1477" s="153">
        <v>0.110069253262963</v>
      </c>
      <c r="AS1477" s="137">
        <v>0</v>
      </c>
      <c r="AT1477" s="137">
        <v>0.0612244897959184</v>
      </c>
      <c r="AU1477" s="137">
        <v>0.025</v>
      </c>
      <c r="AV1477" s="137">
        <v>0.105169340463458</v>
      </c>
      <c r="AW1477" s="93"/>
      <c r="AX1477" s="91"/>
    </row>
    <row r="1478" ht="14.5" spans="1:50">
      <c r="A1478" s="89"/>
      <c r="B1478" s="93"/>
      <c r="C1478" s="148" t="s">
        <v>1449</v>
      </c>
      <c r="D1478" s="126" t="s">
        <v>1450</v>
      </c>
      <c r="E1478" s="164" t="s">
        <v>1504</v>
      </c>
      <c r="F1478" s="164" t="s">
        <v>1504</v>
      </c>
      <c r="G1478" s="164" t="s">
        <v>1504</v>
      </c>
      <c r="H1478" s="164" t="s">
        <v>1504</v>
      </c>
      <c r="I1478" s="128">
        <v>0.9</v>
      </c>
      <c r="J1478" s="129">
        <v>0.909090909090909</v>
      </c>
      <c r="K1478" s="129">
        <v>0.923076923076923</v>
      </c>
      <c r="L1478" s="130">
        <v>1</v>
      </c>
      <c r="M1478" s="129">
        <v>0.973509933774834</v>
      </c>
      <c r="N1478" s="131">
        <v>0.9</v>
      </c>
      <c r="O1478" s="129">
        <v>0.997319034852547</v>
      </c>
      <c r="P1478" s="129">
        <v>1</v>
      </c>
      <c r="Q1478" s="129">
        <v>1</v>
      </c>
      <c r="R1478" s="129">
        <v>0.997555012224939</v>
      </c>
      <c r="S1478" s="131">
        <v>0.9</v>
      </c>
      <c r="T1478" s="129">
        <v>0.798033958891868</v>
      </c>
      <c r="U1478" s="129">
        <v>0.99290780141844</v>
      </c>
      <c r="V1478" s="129">
        <v>0.908764736032804</v>
      </c>
      <c r="W1478" s="129">
        <v>0.859820700896496</v>
      </c>
      <c r="X1478" s="131">
        <v>0.92</v>
      </c>
      <c r="Y1478" s="131" t="s">
        <v>33</v>
      </c>
      <c r="Z1478" s="131" t="s">
        <v>33</v>
      </c>
      <c r="AA1478" s="131" t="s">
        <v>33</v>
      </c>
      <c r="AB1478" s="131" t="s">
        <v>33</v>
      </c>
      <c r="AC1478" s="131">
        <v>0.92</v>
      </c>
      <c r="AD1478" s="129">
        <v>0.8</v>
      </c>
      <c r="AE1478" s="129">
        <v>0.315789473684211</v>
      </c>
      <c r="AF1478" s="129">
        <v>0.852941176470588</v>
      </c>
      <c r="AG1478" s="129">
        <v>0.706586826347305</v>
      </c>
      <c r="AH1478" s="131">
        <v>0.92</v>
      </c>
      <c r="AI1478" s="129">
        <v>0.807142857142857</v>
      </c>
      <c r="AJ1478" s="129">
        <v>0.99290780141844</v>
      </c>
      <c r="AK1478" s="129">
        <v>0.923628908252178</v>
      </c>
      <c r="AL1478" s="129">
        <v>0.89070988772184</v>
      </c>
      <c r="AM1478" s="128">
        <v>0.99</v>
      </c>
      <c r="AN1478" s="133">
        <v>1</v>
      </c>
      <c r="AO1478" s="133">
        <v>1</v>
      </c>
      <c r="AP1478" s="133">
        <v>1</v>
      </c>
      <c r="AQ1478" s="133">
        <v>1</v>
      </c>
      <c r="AR1478" s="153">
        <v>0.110069253262963</v>
      </c>
      <c r="AS1478" s="137">
        <v>0.0168067226890756</v>
      </c>
      <c r="AT1478" s="137">
        <v>0.178294573643411</v>
      </c>
      <c r="AU1478" s="137">
        <v>0.064</v>
      </c>
      <c r="AV1478" s="137">
        <v>0.100671140939597</v>
      </c>
      <c r="AW1478" s="93"/>
      <c r="AX1478" s="91"/>
    </row>
    <row r="1479" ht="14.5" spans="1:50">
      <c r="A1479" s="89"/>
      <c r="B1479" s="93"/>
      <c r="C1479" s="148" t="s">
        <v>1449</v>
      </c>
      <c r="D1479" s="126" t="s">
        <v>1450</v>
      </c>
      <c r="E1479" s="164" t="s">
        <v>1505</v>
      </c>
      <c r="F1479" s="164" t="s">
        <v>1505</v>
      </c>
      <c r="G1479" s="164" t="s">
        <v>1505</v>
      </c>
      <c r="H1479" s="164" t="s">
        <v>1505</v>
      </c>
      <c r="I1479" s="128">
        <v>0.9</v>
      </c>
      <c r="J1479" s="129">
        <v>1</v>
      </c>
      <c r="K1479" s="129">
        <v>0.967741935483871</v>
      </c>
      <c r="L1479" s="130">
        <v>0.935483870967742</v>
      </c>
      <c r="M1479" s="129">
        <v>0.969613259668508</v>
      </c>
      <c r="N1479" s="131">
        <v>0.9</v>
      </c>
      <c r="O1479" s="129">
        <v>0.99790958975699</v>
      </c>
      <c r="P1479" s="129">
        <v>0.99756953821226</v>
      </c>
      <c r="Q1479" s="129">
        <v>0.990695396669931</v>
      </c>
      <c r="R1479" s="129">
        <v>0.995751763887509</v>
      </c>
      <c r="S1479" s="131">
        <v>0.9</v>
      </c>
      <c r="T1479" s="129">
        <v>0.929971256859159</v>
      </c>
      <c r="U1479" s="129">
        <v>0.922765325411828</v>
      </c>
      <c r="V1479" s="129">
        <v>0.85920666013712</v>
      </c>
      <c r="W1479" s="129">
        <v>0.918091026532843</v>
      </c>
      <c r="X1479" s="131">
        <v>0.92</v>
      </c>
      <c r="Y1479" s="131" t="s">
        <v>33</v>
      </c>
      <c r="Z1479" s="131" t="s">
        <v>33</v>
      </c>
      <c r="AA1479" s="131" t="s">
        <v>33</v>
      </c>
      <c r="AB1479" s="131">
        <v>0</v>
      </c>
      <c r="AC1479" s="131">
        <v>0.92</v>
      </c>
      <c r="AD1479" s="129">
        <v>0.932203389830508</v>
      </c>
      <c r="AE1479" s="129">
        <v>1</v>
      </c>
      <c r="AF1479" s="129">
        <v>0.918918918918919</v>
      </c>
      <c r="AG1479" s="129">
        <v>0.951086956521739</v>
      </c>
      <c r="AH1479" s="131">
        <v>0.92</v>
      </c>
      <c r="AI1479" s="129">
        <v>0.97125685915861</v>
      </c>
      <c r="AJ1479" s="129">
        <v>0.987037537132055</v>
      </c>
      <c r="AK1479" s="129">
        <v>0.979431929480901</v>
      </c>
      <c r="AL1479" s="129">
        <v>0.980920676719748</v>
      </c>
      <c r="AM1479" s="128">
        <v>0.99</v>
      </c>
      <c r="AN1479" s="133">
        <v>1</v>
      </c>
      <c r="AO1479" s="133">
        <v>1</v>
      </c>
      <c r="AP1479" s="133">
        <v>1</v>
      </c>
      <c r="AQ1479" s="133">
        <v>1</v>
      </c>
      <c r="AR1479" s="153">
        <v>0.110069253262963</v>
      </c>
      <c r="AS1479" s="137">
        <v>0.0666666666666667</v>
      </c>
      <c r="AT1479" s="137">
        <v>0</v>
      </c>
      <c r="AU1479" s="137">
        <v>0.0952380952380952</v>
      </c>
      <c r="AV1479" s="137">
        <v>0.0756756756756757</v>
      </c>
      <c r="AW1479" s="93"/>
      <c r="AX1479" s="91"/>
    </row>
    <row r="1480" ht="14.5" spans="1:50">
      <c r="A1480" s="89"/>
      <c r="B1480" s="93"/>
      <c r="C1480" s="148" t="s">
        <v>1449</v>
      </c>
      <c r="D1480" s="126" t="s">
        <v>1450</v>
      </c>
      <c r="E1480" s="164" t="s">
        <v>1506</v>
      </c>
      <c r="F1480" s="164" t="s">
        <v>1506</v>
      </c>
      <c r="G1480" s="164" t="s">
        <v>1506</v>
      </c>
      <c r="H1480" s="164" t="s">
        <v>1506</v>
      </c>
      <c r="I1480" s="128">
        <v>0.9</v>
      </c>
      <c r="J1480" s="129">
        <v>0.19047619047619</v>
      </c>
      <c r="K1480" s="129">
        <v>0.263157894736842</v>
      </c>
      <c r="L1480" s="130">
        <v>0.238095238095238</v>
      </c>
      <c r="M1480" s="129">
        <v>0.262886597938144</v>
      </c>
      <c r="N1480" s="131">
        <v>0.9</v>
      </c>
      <c r="O1480" s="129">
        <v>0.730621220450797</v>
      </c>
      <c r="P1480" s="129">
        <v>0.479823106688778</v>
      </c>
      <c r="Q1480" s="129">
        <v>0.7686230248307</v>
      </c>
      <c r="R1480" s="129">
        <v>0.715789030601507</v>
      </c>
      <c r="S1480" s="131">
        <v>0.9</v>
      </c>
      <c r="T1480" s="129">
        <v>0.656587868792377</v>
      </c>
      <c r="U1480" s="129">
        <v>0.362078496406855</v>
      </c>
      <c r="V1480" s="129">
        <v>0.68058690744921</v>
      </c>
      <c r="W1480" s="129">
        <v>0.661110409563497</v>
      </c>
      <c r="X1480" s="131">
        <v>0.92</v>
      </c>
      <c r="Y1480" s="131" t="s">
        <v>33</v>
      </c>
      <c r="Z1480" s="131" t="s">
        <v>33</v>
      </c>
      <c r="AA1480" s="131" t="s">
        <v>33</v>
      </c>
      <c r="AB1480" s="131" t="s">
        <v>33</v>
      </c>
      <c r="AC1480" s="131">
        <v>0.92</v>
      </c>
      <c r="AD1480" s="129">
        <v>0</v>
      </c>
      <c r="AE1480" s="129">
        <v>0.666666666666667</v>
      </c>
      <c r="AF1480" s="129">
        <v>0</v>
      </c>
      <c r="AG1480" s="129">
        <v>0.261904761904762</v>
      </c>
      <c r="AH1480" s="131">
        <v>0.92</v>
      </c>
      <c r="AI1480" s="129">
        <v>0.687007513285688</v>
      </c>
      <c r="AJ1480" s="129">
        <v>0.499723604201216</v>
      </c>
      <c r="AK1480" s="129">
        <v>0.733634311512415</v>
      </c>
      <c r="AL1480" s="129">
        <v>0.725776580520246</v>
      </c>
      <c r="AM1480" s="128">
        <v>0.99</v>
      </c>
      <c r="AN1480" s="133">
        <v>1</v>
      </c>
      <c r="AO1480" s="133" t="s">
        <v>33</v>
      </c>
      <c r="AP1480" s="133">
        <v>1</v>
      </c>
      <c r="AQ1480" s="133">
        <v>1</v>
      </c>
      <c r="AR1480" s="153">
        <v>0.110069253262963</v>
      </c>
      <c r="AS1480" s="137">
        <v>0.6</v>
      </c>
      <c r="AT1480" s="137">
        <v>0.181818181818182</v>
      </c>
      <c r="AU1480" s="137">
        <v>0.285714285714286</v>
      </c>
      <c r="AV1480" s="137">
        <v>0.256410256410256</v>
      </c>
      <c r="AW1480" s="93"/>
      <c r="AX1480" s="91"/>
    </row>
    <row r="1481" ht="14.5" spans="1:50">
      <c r="A1481" s="89"/>
      <c r="B1481" s="93"/>
      <c r="C1481" s="148" t="s">
        <v>1449</v>
      </c>
      <c r="D1481" s="126" t="s">
        <v>1450</v>
      </c>
      <c r="E1481" s="164" t="s">
        <v>1507</v>
      </c>
      <c r="F1481" s="164" t="s">
        <v>1507</v>
      </c>
      <c r="G1481" s="164" t="s">
        <v>1507</v>
      </c>
      <c r="H1481" s="164" t="s">
        <v>1507</v>
      </c>
      <c r="I1481" s="128">
        <v>0.9</v>
      </c>
      <c r="J1481" s="129">
        <v>0.678571428571429</v>
      </c>
      <c r="K1481" s="129">
        <v>0.692307692307692</v>
      </c>
      <c r="L1481" s="130">
        <v>0.575757575757576</v>
      </c>
      <c r="M1481" s="129">
        <v>0.525862068965517</v>
      </c>
      <c r="N1481" s="131">
        <v>0.9</v>
      </c>
      <c r="O1481" s="129">
        <v>0.808695652173913</v>
      </c>
      <c r="P1481" s="129">
        <v>0.785327424913836</v>
      </c>
      <c r="Q1481" s="129">
        <v>0.632851985559567</v>
      </c>
      <c r="R1481" s="129">
        <v>0.650967252497155</v>
      </c>
      <c r="S1481" s="131">
        <v>0.9</v>
      </c>
      <c r="T1481" s="129">
        <v>0.785953177257525</v>
      </c>
      <c r="U1481" s="129">
        <v>0.732151649433776</v>
      </c>
      <c r="V1481" s="129">
        <v>0.485379061371841</v>
      </c>
      <c r="W1481" s="129">
        <v>0.524718674927298</v>
      </c>
      <c r="X1481" s="131">
        <v>0.92</v>
      </c>
      <c r="Y1481" s="131" t="s">
        <v>33</v>
      </c>
      <c r="Z1481" s="131" t="s">
        <v>33</v>
      </c>
      <c r="AA1481" s="131" t="s">
        <v>33</v>
      </c>
      <c r="AB1481" s="131" t="s">
        <v>33</v>
      </c>
      <c r="AC1481" s="131">
        <v>0.92</v>
      </c>
      <c r="AD1481" s="129">
        <v>0.970588235294118</v>
      </c>
      <c r="AE1481" s="129">
        <v>0.75</v>
      </c>
      <c r="AF1481" s="129">
        <v>0.875</v>
      </c>
      <c r="AG1481" s="129">
        <v>0.851485148514851</v>
      </c>
      <c r="AH1481" s="131">
        <v>0.92</v>
      </c>
      <c r="AI1481" s="129">
        <v>0.861538461538462</v>
      </c>
      <c r="AJ1481" s="129">
        <v>0.771048744460857</v>
      </c>
      <c r="AK1481" s="129">
        <v>0.67942238267148</v>
      </c>
      <c r="AL1481" s="129">
        <v>0.675222050131176</v>
      </c>
      <c r="AM1481" s="128">
        <v>0.99</v>
      </c>
      <c r="AN1481" s="133">
        <v>1</v>
      </c>
      <c r="AO1481" s="133">
        <v>1</v>
      </c>
      <c r="AP1481" s="133" t="s">
        <v>33</v>
      </c>
      <c r="AQ1481" s="133">
        <v>1</v>
      </c>
      <c r="AR1481" s="153">
        <v>0.110069253262963</v>
      </c>
      <c r="AS1481" s="137">
        <v>0.692307692307692</v>
      </c>
      <c r="AT1481" s="137">
        <v>0.142857142857143</v>
      </c>
      <c r="AU1481" s="137">
        <v>0.1</v>
      </c>
      <c r="AV1481" s="137">
        <v>0.174061433447099</v>
      </c>
      <c r="AW1481" s="93"/>
      <c r="AX1481" s="91"/>
    </row>
    <row r="1482" ht="14.5" spans="1:50">
      <c r="A1482" s="89"/>
      <c r="B1482" s="93"/>
      <c r="C1482" s="148" t="s">
        <v>1449</v>
      </c>
      <c r="D1482" s="126" t="s">
        <v>1450</v>
      </c>
      <c r="E1482" s="164" t="s">
        <v>1508</v>
      </c>
      <c r="F1482" s="164" t="s">
        <v>1508</v>
      </c>
      <c r="G1482" s="164" t="s">
        <v>1508</v>
      </c>
      <c r="H1482" s="164" t="s">
        <v>1508</v>
      </c>
      <c r="I1482" s="128">
        <v>0.9</v>
      </c>
      <c r="J1482" s="129">
        <v>0.875</v>
      </c>
      <c r="K1482" s="129">
        <v>0.692307692307692</v>
      </c>
      <c r="L1482" s="130">
        <v>0.714285714285714</v>
      </c>
      <c r="M1482" s="129">
        <v>0.765822784810127</v>
      </c>
      <c r="N1482" s="131">
        <v>0.9</v>
      </c>
      <c r="O1482" s="129">
        <v>0.959575878064944</v>
      </c>
      <c r="P1482" s="129">
        <v>0.919129082426128</v>
      </c>
      <c r="Q1482" s="129">
        <v>0.799035965888024</v>
      </c>
      <c r="R1482" s="129">
        <v>0.838279436794058</v>
      </c>
      <c r="S1482" s="131">
        <v>0.9</v>
      </c>
      <c r="T1482" s="129">
        <v>0.84493041749503</v>
      </c>
      <c r="U1482" s="129">
        <v>0.815966822187662</v>
      </c>
      <c r="V1482" s="129">
        <v>0.656840934371524</v>
      </c>
      <c r="W1482" s="129">
        <v>0.675630512146062</v>
      </c>
      <c r="X1482" s="131">
        <v>0.92</v>
      </c>
      <c r="Y1482" s="131" t="s">
        <v>33</v>
      </c>
      <c r="Z1482" s="131" t="s">
        <v>33</v>
      </c>
      <c r="AA1482" s="131" t="s">
        <v>33</v>
      </c>
      <c r="AB1482" s="131" t="s">
        <v>33</v>
      </c>
      <c r="AC1482" s="131">
        <v>0.92</v>
      </c>
      <c r="AD1482" s="129">
        <v>0.944444444444444</v>
      </c>
      <c r="AE1482" s="129">
        <v>0.928571428571429</v>
      </c>
      <c r="AF1482" s="129">
        <v>0.90625</v>
      </c>
      <c r="AG1482" s="129">
        <v>0.875621890547264</v>
      </c>
      <c r="AH1482" s="131">
        <v>0.92</v>
      </c>
      <c r="AI1482" s="129">
        <v>0.920477137176938</v>
      </c>
      <c r="AJ1482" s="129">
        <v>0.897874546397097</v>
      </c>
      <c r="AK1482" s="129">
        <v>0.815535780496848</v>
      </c>
      <c r="AL1482" s="129">
        <v>0.833266285006963</v>
      </c>
      <c r="AM1482" s="128">
        <v>0.99</v>
      </c>
      <c r="AN1482" s="133">
        <v>1</v>
      </c>
      <c r="AO1482" s="133">
        <v>1</v>
      </c>
      <c r="AP1482" s="133">
        <v>1</v>
      </c>
      <c r="AQ1482" s="133">
        <v>1</v>
      </c>
      <c r="AR1482" s="153">
        <v>0.110069253262963</v>
      </c>
      <c r="AS1482" s="137">
        <v>0.176470588235294</v>
      </c>
      <c r="AT1482" s="137">
        <v>0.2</v>
      </c>
      <c r="AU1482" s="137">
        <v>0.0588235294117647</v>
      </c>
      <c r="AV1482" s="137">
        <v>0.092</v>
      </c>
      <c r="AW1482" s="93"/>
      <c r="AX1482" s="91"/>
    </row>
    <row r="1483" ht="14.5" spans="1:50">
      <c r="A1483" s="89"/>
      <c r="B1483" s="93"/>
      <c r="C1483" s="148" t="s">
        <v>1449</v>
      </c>
      <c r="D1483" s="126" t="s">
        <v>1450</v>
      </c>
      <c r="E1483" s="164" t="s">
        <v>1509</v>
      </c>
      <c r="F1483" s="164" t="s">
        <v>1509</v>
      </c>
      <c r="G1483" s="164" t="s">
        <v>1509</v>
      </c>
      <c r="H1483" s="164" t="s">
        <v>1509</v>
      </c>
      <c r="I1483" s="128">
        <v>0.9</v>
      </c>
      <c r="J1483" s="129" t="s">
        <v>33</v>
      </c>
      <c r="K1483" s="129" t="s">
        <v>33</v>
      </c>
      <c r="L1483" s="130" t="s">
        <v>33</v>
      </c>
      <c r="M1483" s="129" t="s">
        <v>33</v>
      </c>
      <c r="N1483" s="131">
        <v>0.9</v>
      </c>
      <c r="O1483" s="129" t="s">
        <v>33</v>
      </c>
      <c r="P1483" s="129" t="s">
        <v>33</v>
      </c>
      <c r="Q1483" s="129" t="s">
        <v>33</v>
      </c>
      <c r="R1483" s="129">
        <v>0</v>
      </c>
      <c r="S1483" s="131">
        <v>0.9</v>
      </c>
      <c r="T1483" s="129" t="s">
        <v>33</v>
      </c>
      <c r="U1483" s="129" t="s">
        <v>33</v>
      </c>
      <c r="V1483" s="129" t="s">
        <v>33</v>
      </c>
      <c r="W1483" s="129">
        <v>1</v>
      </c>
      <c r="X1483" s="131">
        <v>0.92</v>
      </c>
      <c r="Y1483" s="131" t="s">
        <v>33</v>
      </c>
      <c r="Z1483" s="131" t="s">
        <v>33</v>
      </c>
      <c r="AA1483" s="131" t="s">
        <v>33</v>
      </c>
      <c r="AB1483" s="131" t="s">
        <v>33</v>
      </c>
      <c r="AC1483" s="131">
        <v>0.92</v>
      </c>
      <c r="AD1483" s="129">
        <v>0.792184724689165</v>
      </c>
      <c r="AE1483" s="129">
        <v>0.71042471042471</v>
      </c>
      <c r="AF1483" s="129">
        <v>0.974248927038627</v>
      </c>
      <c r="AG1483" s="129">
        <v>0.808291723407475</v>
      </c>
      <c r="AH1483" s="131">
        <v>0.92</v>
      </c>
      <c r="AI1483" s="129">
        <v>1</v>
      </c>
      <c r="AJ1483" s="129" t="s">
        <v>33</v>
      </c>
      <c r="AK1483" s="129" t="s">
        <v>33</v>
      </c>
      <c r="AL1483" s="129">
        <v>1</v>
      </c>
      <c r="AM1483" s="128">
        <v>0.99</v>
      </c>
      <c r="AN1483" s="133">
        <v>1</v>
      </c>
      <c r="AO1483" s="133">
        <v>1</v>
      </c>
      <c r="AP1483" s="133">
        <v>1</v>
      </c>
      <c r="AQ1483" s="133">
        <v>1</v>
      </c>
      <c r="AR1483" s="153">
        <v>0.110069253262963</v>
      </c>
      <c r="AS1483" s="137" t="s">
        <v>33</v>
      </c>
      <c r="AT1483" s="137" t="s">
        <v>33</v>
      </c>
      <c r="AU1483" s="137" t="s">
        <v>33</v>
      </c>
      <c r="AV1483" s="137" t="s">
        <v>33</v>
      </c>
      <c r="AW1483" s="93"/>
      <c r="AX1483" s="91"/>
    </row>
    <row r="1484" ht="14.5" spans="1:50">
      <c r="A1484" s="89"/>
      <c r="B1484" s="93"/>
      <c r="C1484" s="148" t="s">
        <v>1449</v>
      </c>
      <c r="D1484" s="126" t="s">
        <v>1450</v>
      </c>
      <c r="E1484" s="164" t="s">
        <v>1510</v>
      </c>
      <c r="F1484" s="164" t="s">
        <v>1510</v>
      </c>
      <c r="G1484" s="164" t="s">
        <v>1510</v>
      </c>
      <c r="H1484" s="164" t="s">
        <v>1510</v>
      </c>
      <c r="I1484" s="128">
        <v>0.9</v>
      </c>
      <c r="J1484" s="129">
        <v>1</v>
      </c>
      <c r="K1484" s="129">
        <v>1</v>
      </c>
      <c r="L1484" s="130">
        <v>1</v>
      </c>
      <c r="M1484" s="129">
        <v>0.996428571428571</v>
      </c>
      <c r="N1484" s="131">
        <v>0.9</v>
      </c>
      <c r="O1484" s="129">
        <v>0.972380178716491</v>
      </c>
      <c r="P1484" s="129">
        <v>0.947190250507786</v>
      </c>
      <c r="Q1484" s="129">
        <v>0.964137931034483</v>
      </c>
      <c r="R1484" s="129">
        <v>0.95837023914969</v>
      </c>
      <c r="S1484" s="131">
        <v>0.9</v>
      </c>
      <c r="T1484" s="129">
        <v>0.835905767668562</v>
      </c>
      <c r="U1484" s="129">
        <v>0.834123222748815</v>
      </c>
      <c r="V1484" s="129">
        <v>0.796551724137931</v>
      </c>
      <c r="W1484" s="129">
        <v>0.791345058838416</v>
      </c>
      <c r="X1484" s="131">
        <v>0.92</v>
      </c>
      <c r="Y1484" s="131">
        <v>0.823809523809524</v>
      </c>
      <c r="Z1484" s="131">
        <v>0.846091205211726</v>
      </c>
      <c r="AA1484" s="131">
        <v>0.900826446280992</v>
      </c>
      <c r="AB1484" s="131">
        <v>0.84782079376674</v>
      </c>
      <c r="AC1484" s="131">
        <v>0.92</v>
      </c>
      <c r="AD1484" s="129">
        <v>0.962962962962963</v>
      </c>
      <c r="AE1484" s="129">
        <v>0.980769230769231</v>
      </c>
      <c r="AF1484" s="129">
        <v>0.962962962962963</v>
      </c>
      <c r="AG1484" s="129">
        <v>0.847457627118644</v>
      </c>
      <c r="AH1484" s="131">
        <v>0.92</v>
      </c>
      <c r="AI1484" s="129">
        <v>0.883631096088846</v>
      </c>
      <c r="AJ1484" s="129">
        <v>0.897227356746765</v>
      </c>
      <c r="AK1484" s="129">
        <v>0.920047262701851</v>
      </c>
      <c r="AL1484" s="129">
        <v>0.891428774574283</v>
      </c>
      <c r="AM1484" s="128">
        <v>0.99</v>
      </c>
      <c r="AN1484" s="133">
        <v>1</v>
      </c>
      <c r="AO1484" s="133">
        <v>1</v>
      </c>
      <c r="AP1484" s="133">
        <v>1</v>
      </c>
      <c r="AQ1484" s="133">
        <v>1</v>
      </c>
      <c r="AR1484" s="153">
        <v>0.110069253262963</v>
      </c>
      <c r="AS1484" s="137">
        <v>0</v>
      </c>
      <c r="AT1484" s="137">
        <v>0.0909090909090909</v>
      </c>
      <c r="AU1484" s="137">
        <v>0</v>
      </c>
      <c r="AV1484" s="137">
        <v>0.111111111111111</v>
      </c>
      <c r="AW1484" s="93"/>
      <c r="AX1484" s="91"/>
    </row>
    <row r="1485" ht="14.5" spans="1:50">
      <c r="A1485" s="89"/>
      <c r="B1485" s="93"/>
      <c r="C1485" s="148" t="s">
        <v>1449</v>
      </c>
      <c r="D1485" s="126" t="s">
        <v>1450</v>
      </c>
      <c r="E1485" s="164" t="s">
        <v>1511</v>
      </c>
      <c r="F1485" s="164" t="s">
        <v>1511</v>
      </c>
      <c r="G1485" s="164" t="s">
        <v>1511</v>
      </c>
      <c r="H1485" s="164" t="s">
        <v>1511</v>
      </c>
      <c r="I1485" s="128">
        <v>0.9</v>
      </c>
      <c r="J1485" s="129">
        <v>1</v>
      </c>
      <c r="K1485" s="129">
        <v>1</v>
      </c>
      <c r="L1485" s="130">
        <v>1</v>
      </c>
      <c r="M1485" s="129">
        <v>0.99290780141844</v>
      </c>
      <c r="N1485" s="131">
        <v>0.9</v>
      </c>
      <c r="O1485" s="129">
        <v>0.964996022275259</v>
      </c>
      <c r="P1485" s="129">
        <v>0.970531710442024</v>
      </c>
      <c r="Q1485" s="129">
        <v>0.925898203592814</v>
      </c>
      <c r="R1485" s="129">
        <v>0.969449333668594</v>
      </c>
      <c r="S1485" s="131">
        <v>0.9</v>
      </c>
      <c r="T1485" s="129">
        <v>0.815433571996818</v>
      </c>
      <c r="U1485" s="129">
        <v>0.838565022421525</v>
      </c>
      <c r="V1485" s="129">
        <v>0.770958083832335</v>
      </c>
      <c r="W1485" s="129">
        <v>0.790105607241639</v>
      </c>
      <c r="X1485" s="131">
        <v>0.92</v>
      </c>
      <c r="Y1485" s="131">
        <v>0.902106567534077</v>
      </c>
      <c r="Z1485" s="131">
        <v>0.924962852897474</v>
      </c>
      <c r="AA1485" s="131">
        <v>0.868185516680228</v>
      </c>
      <c r="AB1485" s="131">
        <v>0.91284046692607</v>
      </c>
      <c r="AC1485" s="131">
        <v>0.92</v>
      </c>
      <c r="AD1485" s="129">
        <v>1</v>
      </c>
      <c r="AE1485" s="129">
        <v>1</v>
      </c>
      <c r="AF1485" s="129">
        <v>1</v>
      </c>
      <c r="AG1485" s="129">
        <v>0.907488986784141</v>
      </c>
      <c r="AH1485" s="131">
        <v>0.92</v>
      </c>
      <c r="AI1485" s="129">
        <v>0.925872093023256</v>
      </c>
      <c r="AJ1485" s="129">
        <v>0.952872377020984</v>
      </c>
      <c r="AK1485" s="129">
        <v>0.913840155945419</v>
      </c>
      <c r="AL1485" s="129">
        <v>0.940994436717663</v>
      </c>
      <c r="AM1485" s="128">
        <v>0.99</v>
      </c>
      <c r="AN1485" s="133">
        <v>1</v>
      </c>
      <c r="AO1485" s="133">
        <v>1</v>
      </c>
      <c r="AP1485" s="133">
        <v>1</v>
      </c>
      <c r="AQ1485" s="133">
        <v>1</v>
      </c>
      <c r="AR1485" s="153">
        <v>0.110069253262963</v>
      </c>
      <c r="AS1485" s="137">
        <v>0.2</v>
      </c>
      <c r="AT1485" s="137">
        <v>0.2</v>
      </c>
      <c r="AU1485" s="137">
        <v>0.142857142857143</v>
      </c>
      <c r="AV1485" s="137">
        <v>0.102040816326531</v>
      </c>
      <c r="AW1485" s="93"/>
      <c r="AX1485" s="91"/>
    </row>
    <row r="1486" ht="14.5" spans="1:50">
      <c r="A1486" s="89"/>
      <c r="B1486" s="93"/>
      <c r="C1486" s="148" t="s">
        <v>1449</v>
      </c>
      <c r="D1486" s="126" t="s">
        <v>1450</v>
      </c>
      <c r="E1486" s="164" t="s">
        <v>1512</v>
      </c>
      <c r="F1486" s="164" t="s">
        <v>1512</v>
      </c>
      <c r="G1486" s="164" t="s">
        <v>1512</v>
      </c>
      <c r="H1486" s="164" t="s">
        <v>1512</v>
      </c>
      <c r="I1486" s="128">
        <v>0.9</v>
      </c>
      <c r="J1486" s="129">
        <v>0.25</v>
      </c>
      <c r="K1486" s="129">
        <v>0</v>
      </c>
      <c r="L1486" s="130">
        <v>0.3</v>
      </c>
      <c r="M1486" s="129">
        <v>0.233333333333333</v>
      </c>
      <c r="N1486" s="131">
        <v>0.9</v>
      </c>
      <c r="O1486" s="129">
        <v>1</v>
      </c>
      <c r="P1486" s="129">
        <v>1</v>
      </c>
      <c r="Q1486" s="129">
        <v>0.075</v>
      </c>
      <c r="R1486" s="129">
        <v>0.146853146853147</v>
      </c>
      <c r="S1486" s="131">
        <v>0.9</v>
      </c>
      <c r="T1486" s="129">
        <v>0.571428571428571</v>
      </c>
      <c r="U1486" s="129">
        <v>0.2</v>
      </c>
      <c r="V1486" s="129">
        <v>0.1</v>
      </c>
      <c r="W1486" s="129">
        <v>0.0649350649350649</v>
      </c>
      <c r="X1486" s="131">
        <v>0.92</v>
      </c>
      <c r="Y1486" s="131" t="s">
        <v>33</v>
      </c>
      <c r="Z1486" s="131" t="s">
        <v>33</v>
      </c>
      <c r="AA1486" s="131" t="s">
        <v>33</v>
      </c>
      <c r="AB1486" s="131" t="s">
        <v>33</v>
      </c>
      <c r="AC1486" s="131">
        <v>0.92</v>
      </c>
      <c r="AD1486" s="129">
        <v>0</v>
      </c>
      <c r="AE1486" s="129">
        <v>0</v>
      </c>
      <c r="AF1486" s="129">
        <v>1</v>
      </c>
      <c r="AG1486" s="129">
        <v>0.722222222222222</v>
      </c>
      <c r="AH1486" s="131">
        <v>0.92</v>
      </c>
      <c r="AI1486" s="129">
        <v>0.857142857142857</v>
      </c>
      <c r="AJ1486" s="129">
        <v>0.4</v>
      </c>
      <c r="AK1486" s="129">
        <v>0.225</v>
      </c>
      <c r="AL1486" s="129">
        <v>0.0799200799200799</v>
      </c>
      <c r="AM1486" s="128">
        <v>0.99</v>
      </c>
      <c r="AN1486" s="133" t="s">
        <v>33</v>
      </c>
      <c r="AO1486" s="133" t="s">
        <v>33</v>
      </c>
      <c r="AP1486" s="133" t="s">
        <v>33</v>
      </c>
      <c r="AQ1486" s="133" t="s">
        <v>33</v>
      </c>
      <c r="AR1486" s="153">
        <v>0.110069253262963</v>
      </c>
      <c r="AS1486" s="137">
        <v>0.0454545454545455</v>
      </c>
      <c r="AT1486" s="137">
        <v>0.25</v>
      </c>
      <c r="AU1486" s="137">
        <v>0.947368421052632</v>
      </c>
      <c r="AV1486" s="137">
        <v>0.104504504504505</v>
      </c>
      <c r="AW1486" s="93"/>
      <c r="AX1486" s="91"/>
    </row>
    <row r="1487" ht="14.5" spans="1:50">
      <c r="A1487" s="89"/>
      <c r="B1487" s="93"/>
      <c r="C1487" s="148" t="s">
        <v>1449</v>
      </c>
      <c r="D1487" s="126" t="s">
        <v>1450</v>
      </c>
      <c r="E1487" s="164" t="s">
        <v>1513</v>
      </c>
      <c r="F1487" s="164" t="s">
        <v>1513</v>
      </c>
      <c r="G1487" s="164" t="s">
        <v>1513</v>
      </c>
      <c r="H1487" s="164" t="s">
        <v>1513</v>
      </c>
      <c r="I1487" s="128">
        <v>0.9</v>
      </c>
      <c r="J1487" s="129" t="s">
        <v>33</v>
      </c>
      <c r="K1487" s="129" t="s">
        <v>33</v>
      </c>
      <c r="L1487" s="130" t="s">
        <v>33</v>
      </c>
      <c r="M1487" s="129" t="s">
        <v>33</v>
      </c>
      <c r="N1487" s="131">
        <v>0.9</v>
      </c>
      <c r="O1487" s="129" t="s">
        <v>33</v>
      </c>
      <c r="P1487" s="129" t="s">
        <v>33</v>
      </c>
      <c r="Q1487" s="129" t="s">
        <v>33</v>
      </c>
      <c r="R1487" s="129" t="s">
        <v>33</v>
      </c>
      <c r="S1487" s="131">
        <v>0.9</v>
      </c>
      <c r="T1487" s="129" t="s">
        <v>33</v>
      </c>
      <c r="U1487" s="129" t="s">
        <v>33</v>
      </c>
      <c r="V1487" s="129" t="s">
        <v>33</v>
      </c>
      <c r="W1487" s="129" t="s">
        <v>33</v>
      </c>
      <c r="X1487" s="131">
        <v>0.92</v>
      </c>
      <c r="Y1487" s="131" t="s">
        <v>33</v>
      </c>
      <c r="Z1487" s="131" t="s">
        <v>33</v>
      </c>
      <c r="AA1487" s="131" t="s">
        <v>33</v>
      </c>
      <c r="AB1487" s="131" t="s">
        <v>33</v>
      </c>
      <c r="AC1487" s="131">
        <v>0.92</v>
      </c>
      <c r="AD1487" s="129">
        <v>0.986013986013986</v>
      </c>
      <c r="AE1487" s="129">
        <v>0.91304347826087</v>
      </c>
      <c r="AF1487" s="129">
        <v>1</v>
      </c>
      <c r="AG1487" s="129">
        <v>0.94218009478673</v>
      </c>
      <c r="AH1487" s="131">
        <v>0.92</v>
      </c>
      <c r="AI1487" s="129" t="s">
        <v>33</v>
      </c>
      <c r="AJ1487" s="129" t="s">
        <v>33</v>
      </c>
      <c r="AK1487" s="129" t="s">
        <v>33</v>
      </c>
      <c r="AL1487" s="129" t="s">
        <v>33</v>
      </c>
      <c r="AM1487" s="128">
        <v>0.99</v>
      </c>
      <c r="AN1487" s="133">
        <v>1</v>
      </c>
      <c r="AO1487" s="133">
        <v>1</v>
      </c>
      <c r="AP1487" s="133">
        <v>1</v>
      </c>
      <c r="AQ1487" s="133">
        <v>1</v>
      </c>
      <c r="AR1487" s="153">
        <v>0.110069253262963</v>
      </c>
      <c r="AS1487" s="137" t="s">
        <v>33</v>
      </c>
      <c r="AT1487" s="137" t="s">
        <v>33</v>
      </c>
      <c r="AU1487" s="137" t="s">
        <v>33</v>
      </c>
      <c r="AV1487" s="137" t="s">
        <v>33</v>
      </c>
      <c r="AW1487" s="93"/>
      <c r="AX1487" s="91"/>
    </row>
    <row r="1488" ht="14.5" spans="1:50">
      <c r="A1488" s="89"/>
      <c r="B1488" s="93"/>
      <c r="C1488" s="148" t="s">
        <v>1449</v>
      </c>
      <c r="D1488" s="126" t="s">
        <v>1450</v>
      </c>
      <c r="E1488" s="164" t="s">
        <v>1514</v>
      </c>
      <c r="F1488" s="164" t="s">
        <v>1514</v>
      </c>
      <c r="G1488" s="164" t="s">
        <v>1514</v>
      </c>
      <c r="H1488" s="164" t="s">
        <v>1514</v>
      </c>
      <c r="I1488" s="128">
        <v>0.9</v>
      </c>
      <c r="J1488" s="129">
        <v>0.566666666666667</v>
      </c>
      <c r="K1488" s="129">
        <v>0.576923076923077</v>
      </c>
      <c r="L1488" s="130">
        <v>0.896551724137931</v>
      </c>
      <c r="M1488" s="129">
        <v>0.697058823529412</v>
      </c>
      <c r="N1488" s="131">
        <v>0.9</v>
      </c>
      <c r="O1488" s="129">
        <v>0.933975240715268</v>
      </c>
      <c r="P1488" s="129">
        <v>0.91877133105802</v>
      </c>
      <c r="Q1488" s="129">
        <v>0.797794117647059</v>
      </c>
      <c r="R1488" s="129">
        <v>0.866754306131392</v>
      </c>
      <c r="S1488" s="131">
        <v>0.9</v>
      </c>
      <c r="T1488" s="129">
        <v>0.878954607977992</v>
      </c>
      <c r="U1488" s="129">
        <v>0.88259385665529</v>
      </c>
      <c r="V1488" s="129">
        <v>0.69546568627451</v>
      </c>
      <c r="W1488" s="129">
        <v>0.72299187649577</v>
      </c>
      <c r="X1488" s="131">
        <v>0.92</v>
      </c>
      <c r="Y1488" s="131" t="s">
        <v>33</v>
      </c>
      <c r="Z1488" s="131" t="s">
        <v>33</v>
      </c>
      <c r="AA1488" s="131" t="s">
        <v>33</v>
      </c>
      <c r="AB1488" s="131" t="s">
        <v>33</v>
      </c>
      <c r="AC1488" s="131">
        <v>0.92</v>
      </c>
      <c r="AD1488" s="129">
        <v>1</v>
      </c>
      <c r="AE1488" s="129">
        <v>0.98</v>
      </c>
      <c r="AF1488" s="129">
        <v>0.904761904761905</v>
      </c>
      <c r="AG1488" s="129">
        <v>0.831908831908832</v>
      </c>
      <c r="AH1488" s="131">
        <v>0.92</v>
      </c>
      <c r="AI1488" s="129">
        <v>0.929848693259972</v>
      </c>
      <c r="AJ1488" s="129">
        <v>0.944027303754266</v>
      </c>
      <c r="AK1488" s="129">
        <v>0.845383986928105</v>
      </c>
      <c r="AL1488" s="129">
        <v>0.864428489567533</v>
      </c>
      <c r="AM1488" s="128">
        <v>0.99</v>
      </c>
      <c r="AN1488" s="133" t="s">
        <v>33</v>
      </c>
      <c r="AO1488" s="133">
        <v>1</v>
      </c>
      <c r="AP1488" s="133">
        <v>1</v>
      </c>
      <c r="AQ1488" s="133">
        <v>1</v>
      </c>
      <c r="AR1488" s="153">
        <v>0.110069253262963</v>
      </c>
      <c r="AS1488" s="137">
        <v>0.111111111111111</v>
      </c>
      <c r="AT1488" s="137">
        <v>0.105263157894737</v>
      </c>
      <c r="AU1488" s="137">
        <v>0.217391304347826</v>
      </c>
      <c r="AV1488" s="137">
        <v>0.0927835051546392</v>
      </c>
      <c r="AW1488" s="93"/>
      <c r="AX1488" s="91"/>
    </row>
    <row r="1489" ht="14.5" spans="1:50">
      <c r="A1489" s="89"/>
      <c r="B1489" s="93"/>
      <c r="C1489" s="148" t="s">
        <v>1449</v>
      </c>
      <c r="D1489" s="126" t="s">
        <v>1450</v>
      </c>
      <c r="E1489" s="164" t="s">
        <v>1515</v>
      </c>
      <c r="F1489" s="164" t="s">
        <v>1515</v>
      </c>
      <c r="G1489" s="164" t="s">
        <v>1515</v>
      </c>
      <c r="H1489" s="164" t="s">
        <v>1515</v>
      </c>
      <c r="I1489" s="128">
        <v>0.9</v>
      </c>
      <c r="J1489" s="129">
        <v>1</v>
      </c>
      <c r="K1489" s="129">
        <v>0.958333333333333</v>
      </c>
      <c r="L1489" s="130">
        <v>1</v>
      </c>
      <c r="M1489" s="129">
        <v>0.993355481727575</v>
      </c>
      <c r="N1489" s="131">
        <v>0.9</v>
      </c>
      <c r="O1489" s="129">
        <v>0.973661852166525</v>
      </c>
      <c r="P1489" s="129">
        <v>0.962741184298071</v>
      </c>
      <c r="Q1489" s="129">
        <v>0.970788043478261</v>
      </c>
      <c r="R1489" s="129">
        <v>0.957386010684557</v>
      </c>
      <c r="S1489" s="131">
        <v>0.9</v>
      </c>
      <c r="T1489" s="129">
        <v>0.792693288020391</v>
      </c>
      <c r="U1489" s="129">
        <v>0.826347305389222</v>
      </c>
      <c r="V1489" s="129">
        <v>0.713994565217391</v>
      </c>
      <c r="W1489" s="129">
        <v>0.723878742700957</v>
      </c>
      <c r="X1489" s="131">
        <v>0.92</v>
      </c>
      <c r="Y1489" s="131">
        <v>0.861313868613139</v>
      </c>
      <c r="Z1489" s="131">
        <v>0.870211102423769</v>
      </c>
      <c r="AA1489" s="131">
        <v>0.902946273830156</v>
      </c>
      <c r="AB1489" s="131">
        <v>0.86445235270858</v>
      </c>
      <c r="AC1489" s="131">
        <v>0.92</v>
      </c>
      <c r="AD1489" s="129">
        <v>0.96551724137931</v>
      </c>
      <c r="AE1489" s="129">
        <v>0.224</v>
      </c>
      <c r="AF1489" s="129">
        <v>0.149425287356322</v>
      </c>
      <c r="AG1489" s="129">
        <v>0.278422273781903</v>
      </c>
      <c r="AH1489" s="131">
        <v>0.92</v>
      </c>
      <c r="AI1489" s="129">
        <v>0.899449724862431</v>
      </c>
      <c r="AJ1489" s="129">
        <v>0.91588785046729</v>
      </c>
      <c r="AK1489" s="129">
        <v>0.931073876618431</v>
      </c>
      <c r="AL1489" s="129">
        <v>0.898695425291355</v>
      </c>
      <c r="AM1489" s="128">
        <v>0.99</v>
      </c>
      <c r="AN1489" s="133">
        <v>1</v>
      </c>
      <c r="AO1489" s="133">
        <v>1</v>
      </c>
      <c r="AP1489" s="133">
        <v>1</v>
      </c>
      <c r="AQ1489" s="133">
        <v>1</v>
      </c>
      <c r="AR1489" s="153">
        <v>0.110069253262963</v>
      </c>
      <c r="AS1489" s="137">
        <v>0</v>
      </c>
      <c r="AT1489" s="137">
        <v>0</v>
      </c>
      <c r="AU1489" s="137">
        <v>0.181818181818182</v>
      </c>
      <c r="AV1489" s="137">
        <v>0.0763358778625954</v>
      </c>
      <c r="AW1489" s="93"/>
      <c r="AX1489" s="91"/>
    </row>
    <row r="1490" ht="14.5" spans="1:50">
      <c r="A1490" s="89"/>
      <c r="B1490" s="93"/>
      <c r="C1490" s="148" t="s">
        <v>1449</v>
      </c>
      <c r="D1490" s="126" t="s">
        <v>1450</v>
      </c>
      <c r="E1490" s="164" t="s">
        <v>1516</v>
      </c>
      <c r="F1490" s="164" t="s">
        <v>1516</v>
      </c>
      <c r="G1490" s="164" t="s">
        <v>1516</v>
      </c>
      <c r="H1490" s="164" t="s">
        <v>1516</v>
      </c>
      <c r="I1490" s="128">
        <v>0.9</v>
      </c>
      <c r="J1490" s="129">
        <v>1</v>
      </c>
      <c r="K1490" s="129">
        <v>1</v>
      </c>
      <c r="L1490" s="130">
        <v>1</v>
      </c>
      <c r="M1490" s="129">
        <v>0.897959183673469</v>
      </c>
      <c r="N1490" s="131">
        <v>0.9</v>
      </c>
      <c r="O1490" s="129">
        <v>0</v>
      </c>
      <c r="P1490" s="129">
        <v>0</v>
      </c>
      <c r="Q1490" s="129" t="s">
        <v>33</v>
      </c>
      <c r="R1490" s="129">
        <v>0.122448979591837</v>
      </c>
      <c r="S1490" s="131">
        <v>0.9</v>
      </c>
      <c r="T1490" s="129">
        <v>0</v>
      </c>
      <c r="U1490" s="129">
        <v>0</v>
      </c>
      <c r="V1490" s="129" t="s">
        <v>33</v>
      </c>
      <c r="W1490" s="129">
        <v>0.0612244897959184</v>
      </c>
      <c r="X1490" s="131">
        <v>0.92</v>
      </c>
      <c r="Y1490" s="131">
        <v>0</v>
      </c>
      <c r="Z1490" s="131" t="s">
        <v>33</v>
      </c>
      <c r="AA1490" s="131" t="s">
        <v>33</v>
      </c>
      <c r="AB1490" s="131">
        <v>0</v>
      </c>
      <c r="AC1490" s="131">
        <v>0.92</v>
      </c>
      <c r="AD1490" s="129">
        <v>0.961538461538462</v>
      </c>
      <c r="AE1490" s="129" t="s">
        <v>33</v>
      </c>
      <c r="AF1490" s="129" t="s">
        <v>33</v>
      </c>
      <c r="AG1490" s="129">
        <v>0.96969696969697</v>
      </c>
      <c r="AH1490" s="131">
        <v>0.92</v>
      </c>
      <c r="AI1490" s="129">
        <v>0.0625</v>
      </c>
      <c r="AJ1490" s="129">
        <v>0.536873156342183</v>
      </c>
      <c r="AK1490" s="129">
        <v>1</v>
      </c>
      <c r="AL1490" s="129">
        <v>0.788429445577601</v>
      </c>
      <c r="AM1490" s="128">
        <v>0.99</v>
      </c>
      <c r="AN1490" s="133">
        <v>1</v>
      </c>
      <c r="AO1490" s="133">
        <v>1</v>
      </c>
      <c r="AP1490" s="133" t="s">
        <v>33</v>
      </c>
      <c r="AQ1490" s="133">
        <v>1</v>
      </c>
      <c r="AR1490" s="153">
        <v>0.110069253262963</v>
      </c>
      <c r="AS1490" s="137">
        <v>0</v>
      </c>
      <c r="AT1490" s="137">
        <v>1</v>
      </c>
      <c r="AU1490" s="137">
        <v>0.272727272727273</v>
      </c>
      <c r="AV1490" s="137">
        <v>0.111111111111111</v>
      </c>
      <c r="AW1490" s="93"/>
      <c r="AX1490" s="91"/>
    </row>
    <row r="1491" ht="14.5" spans="1:50">
      <c r="A1491" s="89"/>
      <c r="B1491" s="93"/>
      <c r="C1491" s="148" t="s">
        <v>1449</v>
      </c>
      <c r="D1491" s="126" t="s">
        <v>1450</v>
      </c>
      <c r="E1491" s="164" t="s">
        <v>1517</v>
      </c>
      <c r="F1491" s="164" t="s">
        <v>1517</v>
      </c>
      <c r="G1491" s="164" t="s">
        <v>1517</v>
      </c>
      <c r="H1491" s="164" t="s">
        <v>1517</v>
      </c>
      <c r="I1491" s="128">
        <v>0.9</v>
      </c>
      <c r="J1491" s="129">
        <v>0.8</v>
      </c>
      <c r="K1491" s="129">
        <v>0.95</v>
      </c>
      <c r="L1491" s="130">
        <v>1</v>
      </c>
      <c r="M1491" s="129">
        <v>0.912621359223301</v>
      </c>
      <c r="N1491" s="131">
        <v>0.9</v>
      </c>
      <c r="O1491" s="129">
        <v>0</v>
      </c>
      <c r="P1491" s="129" t="s">
        <v>33</v>
      </c>
      <c r="Q1491" s="129" t="s">
        <v>33</v>
      </c>
      <c r="R1491" s="129">
        <v>0</v>
      </c>
      <c r="S1491" s="131">
        <v>0.9</v>
      </c>
      <c r="T1491" s="129">
        <v>0</v>
      </c>
      <c r="U1491" s="129" t="s">
        <v>33</v>
      </c>
      <c r="V1491" s="129" t="s">
        <v>33</v>
      </c>
      <c r="W1491" s="129">
        <v>0</v>
      </c>
      <c r="X1491" s="131">
        <v>0.92</v>
      </c>
      <c r="Y1491" s="131" t="s">
        <v>33</v>
      </c>
      <c r="Z1491" s="131" t="s">
        <v>33</v>
      </c>
      <c r="AA1491" s="131" t="s">
        <v>33</v>
      </c>
      <c r="AB1491" s="131" t="s">
        <v>33</v>
      </c>
      <c r="AC1491" s="131">
        <v>0.92</v>
      </c>
      <c r="AD1491" s="129" t="s">
        <v>33</v>
      </c>
      <c r="AE1491" s="129">
        <v>1</v>
      </c>
      <c r="AF1491" s="129">
        <v>1</v>
      </c>
      <c r="AG1491" s="129">
        <v>0.798387096774194</v>
      </c>
      <c r="AH1491" s="131">
        <v>0.92</v>
      </c>
      <c r="AI1491" s="129">
        <v>0.928025477707006</v>
      </c>
      <c r="AJ1491" s="129">
        <v>0.908700741318767</v>
      </c>
      <c r="AK1491" s="129">
        <v>0.798913043478261</v>
      </c>
      <c r="AL1491" s="129">
        <v>0.885477916039929</v>
      </c>
      <c r="AM1491" s="128">
        <v>0.99</v>
      </c>
      <c r="AN1491" s="133">
        <v>1</v>
      </c>
      <c r="AO1491" s="133">
        <v>1</v>
      </c>
      <c r="AP1491" s="133">
        <v>1</v>
      </c>
      <c r="AQ1491" s="133">
        <v>1</v>
      </c>
      <c r="AR1491" s="153">
        <v>0.110069253262963</v>
      </c>
      <c r="AS1491" s="137">
        <v>0.0308641975308642</v>
      </c>
      <c r="AT1491" s="137">
        <v>0.0335195530726257</v>
      </c>
      <c r="AU1491" s="137">
        <v>0.112582781456954</v>
      </c>
      <c r="AV1491" s="137">
        <v>0.0885805763073639</v>
      </c>
      <c r="AW1491" s="93"/>
      <c r="AX1491" s="91"/>
    </row>
    <row r="1492" ht="14.5" spans="1:50">
      <c r="A1492" s="89"/>
      <c r="B1492" s="93"/>
      <c r="C1492" s="148" t="s">
        <v>1449</v>
      </c>
      <c r="D1492" s="126" t="s">
        <v>1450</v>
      </c>
      <c r="E1492" s="164" t="s">
        <v>1518</v>
      </c>
      <c r="F1492" s="164" t="s">
        <v>1518</v>
      </c>
      <c r="G1492" s="164" t="s">
        <v>1518</v>
      </c>
      <c r="H1492" s="164" t="s">
        <v>1518</v>
      </c>
      <c r="I1492" s="128">
        <v>0.9</v>
      </c>
      <c r="J1492" s="129">
        <v>0.923076923076923</v>
      </c>
      <c r="K1492" s="129">
        <v>0.769230769230769</v>
      </c>
      <c r="L1492" s="130">
        <v>0.846153846153846</v>
      </c>
      <c r="M1492" s="129">
        <v>0.832214765100671</v>
      </c>
      <c r="N1492" s="131">
        <v>0.9</v>
      </c>
      <c r="O1492" s="129">
        <v>0.914159941305943</v>
      </c>
      <c r="P1492" s="129">
        <v>0.425298804780877</v>
      </c>
      <c r="Q1492" s="129">
        <v>0.53014553014553</v>
      </c>
      <c r="R1492" s="129">
        <v>0.44697921026929</v>
      </c>
      <c r="S1492" s="131">
        <v>0.9</v>
      </c>
      <c r="T1492" s="129">
        <v>0.759354365370506</v>
      </c>
      <c r="U1492" s="129">
        <v>0.340969455511288</v>
      </c>
      <c r="V1492" s="129">
        <v>0.27027027027027</v>
      </c>
      <c r="W1492" s="129">
        <v>0.361448304730013</v>
      </c>
      <c r="X1492" s="131">
        <v>0.92</v>
      </c>
      <c r="Y1492" s="131" t="s">
        <v>33</v>
      </c>
      <c r="Z1492" s="131" t="s">
        <v>33</v>
      </c>
      <c r="AA1492" s="131" t="s">
        <v>33</v>
      </c>
      <c r="AB1492" s="131" t="s">
        <v>33</v>
      </c>
      <c r="AC1492" s="131">
        <v>0.92</v>
      </c>
      <c r="AD1492" s="129">
        <v>0.909090909090909</v>
      </c>
      <c r="AE1492" s="129">
        <v>0.666666666666667</v>
      </c>
      <c r="AF1492" s="129">
        <v>0.363636363636364</v>
      </c>
      <c r="AG1492" s="129">
        <v>0.397959183673469</v>
      </c>
      <c r="AH1492" s="131">
        <v>0.92</v>
      </c>
      <c r="AI1492" s="129">
        <v>0.859134262655906</v>
      </c>
      <c r="AJ1492" s="129">
        <v>0.50066401062417</v>
      </c>
      <c r="AK1492" s="129">
        <v>0.567567567567568</v>
      </c>
      <c r="AL1492" s="129">
        <v>0.527138272638482</v>
      </c>
      <c r="AM1492" s="128">
        <v>0.99</v>
      </c>
      <c r="AN1492" s="133">
        <v>1</v>
      </c>
      <c r="AO1492" s="133">
        <v>1</v>
      </c>
      <c r="AP1492" s="133">
        <v>1</v>
      </c>
      <c r="AQ1492" s="133">
        <v>1</v>
      </c>
      <c r="AR1492" s="153">
        <v>0.110069253262963</v>
      </c>
      <c r="AS1492" s="137">
        <v>0.46</v>
      </c>
      <c r="AT1492" s="137">
        <v>0.0448717948717949</v>
      </c>
      <c r="AU1492" s="137">
        <v>0.0657894736842105</v>
      </c>
      <c r="AV1492" s="137">
        <v>0.130368098159509</v>
      </c>
      <c r="AW1492" s="93"/>
      <c r="AX1492" s="91"/>
    </row>
    <row r="1493" ht="14.5" spans="1:50">
      <c r="A1493" s="89"/>
      <c r="B1493" s="93"/>
      <c r="C1493" s="148" t="s">
        <v>1449</v>
      </c>
      <c r="D1493" s="126" t="s">
        <v>1450</v>
      </c>
      <c r="E1493" s="164" t="s">
        <v>1519</v>
      </c>
      <c r="F1493" s="164" t="s">
        <v>1519</v>
      </c>
      <c r="G1493" s="164" t="s">
        <v>1519</v>
      </c>
      <c r="H1493" s="164" t="s">
        <v>1519</v>
      </c>
      <c r="I1493" s="128">
        <v>0.9</v>
      </c>
      <c r="J1493" s="129" t="s">
        <v>33</v>
      </c>
      <c r="K1493" s="129" t="s">
        <v>33</v>
      </c>
      <c r="L1493" s="130" t="s">
        <v>33</v>
      </c>
      <c r="M1493" s="129" t="s">
        <v>33</v>
      </c>
      <c r="N1493" s="131">
        <v>0.9</v>
      </c>
      <c r="O1493" s="129" t="s">
        <v>33</v>
      </c>
      <c r="P1493" s="129" t="s">
        <v>33</v>
      </c>
      <c r="Q1493" s="129" t="s">
        <v>33</v>
      </c>
      <c r="R1493" s="129" t="s">
        <v>33</v>
      </c>
      <c r="S1493" s="131">
        <v>0.9</v>
      </c>
      <c r="T1493" s="129" t="s">
        <v>33</v>
      </c>
      <c r="U1493" s="129" t="s">
        <v>33</v>
      </c>
      <c r="V1493" s="129" t="s">
        <v>33</v>
      </c>
      <c r="W1493" s="129" t="s">
        <v>33</v>
      </c>
      <c r="X1493" s="131">
        <v>0.92</v>
      </c>
      <c r="Y1493" s="131" t="s">
        <v>33</v>
      </c>
      <c r="Z1493" s="131" t="s">
        <v>33</v>
      </c>
      <c r="AA1493" s="131" t="s">
        <v>33</v>
      </c>
      <c r="AB1493" s="131" t="s">
        <v>33</v>
      </c>
      <c r="AC1493" s="131">
        <v>0.92</v>
      </c>
      <c r="AD1493" s="129">
        <v>0.269592476489028</v>
      </c>
      <c r="AE1493" s="129">
        <v>0.32760736196319</v>
      </c>
      <c r="AF1493" s="129">
        <v>0.193548387096774</v>
      </c>
      <c r="AG1493" s="129">
        <v>0.744313011828935</v>
      </c>
      <c r="AH1493" s="131">
        <v>0.92</v>
      </c>
      <c r="AI1493" s="129" t="s">
        <v>33</v>
      </c>
      <c r="AJ1493" s="129" t="s">
        <v>33</v>
      </c>
      <c r="AK1493" s="129" t="s">
        <v>33</v>
      </c>
      <c r="AL1493" s="129">
        <v>1</v>
      </c>
      <c r="AM1493" s="128">
        <v>0.99</v>
      </c>
      <c r="AN1493" s="133">
        <v>1</v>
      </c>
      <c r="AO1493" s="133">
        <v>1</v>
      </c>
      <c r="AP1493" s="133">
        <v>1</v>
      </c>
      <c r="AQ1493" s="133">
        <v>1</v>
      </c>
      <c r="AR1493" s="153">
        <v>0.110069253262963</v>
      </c>
      <c r="AS1493" s="137" t="s">
        <v>33</v>
      </c>
      <c r="AT1493" s="137" t="s">
        <v>33</v>
      </c>
      <c r="AU1493" s="137" t="s">
        <v>33</v>
      </c>
      <c r="AV1493" s="137" t="s">
        <v>33</v>
      </c>
      <c r="AW1493" s="93"/>
      <c r="AX1493" s="91"/>
    </row>
    <row r="1494" ht="14.5" spans="1:50">
      <c r="A1494" s="89"/>
      <c r="B1494" s="93"/>
      <c r="C1494" s="148" t="s">
        <v>1449</v>
      </c>
      <c r="D1494" s="126" t="s">
        <v>1450</v>
      </c>
      <c r="E1494" s="164" t="s">
        <v>1520</v>
      </c>
      <c r="F1494" s="164" t="s">
        <v>1520</v>
      </c>
      <c r="G1494" s="164" t="s">
        <v>1520</v>
      </c>
      <c r="H1494" s="164" t="s">
        <v>1520</v>
      </c>
      <c r="I1494" s="128">
        <v>0.9</v>
      </c>
      <c r="J1494" s="129">
        <v>0.481481481481481</v>
      </c>
      <c r="K1494" s="129">
        <v>0.483870967741935</v>
      </c>
      <c r="L1494" s="130">
        <v>0.516129032258065</v>
      </c>
      <c r="M1494" s="129">
        <v>0.454277286135693</v>
      </c>
      <c r="N1494" s="131">
        <v>0.9</v>
      </c>
      <c r="O1494" s="129">
        <v>0.977535301668806</v>
      </c>
      <c r="P1494" s="129">
        <v>0.982674607471576</v>
      </c>
      <c r="Q1494" s="129">
        <v>0.972740851381628</v>
      </c>
      <c r="R1494" s="129">
        <v>0.904042750929368</v>
      </c>
      <c r="S1494" s="131">
        <v>0.9</v>
      </c>
      <c r="T1494" s="129">
        <v>0.878048780487805</v>
      </c>
      <c r="U1494" s="129">
        <v>0.859772604223064</v>
      </c>
      <c r="V1494" s="129">
        <v>0.568521284540702</v>
      </c>
      <c r="W1494" s="129">
        <v>0.571594530005311</v>
      </c>
      <c r="X1494" s="131">
        <v>0.92</v>
      </c>
      <c r="Y1494" s="131" t="s">
        <v>33</v>
      </c>
      <c r="Z1494" s="131" t="s">
        <v>33</v>
      </c>
      <c r="AA1494" s="131" t="s">
        <v>33</v>
      </c>
      <c r="AB1494" s="131">
        <v>1</v>
      </c>
      <c r="AC1494" s="131">
        <v>0.92</v>
      </c>
      <c r="AD1494" s="129">
        <v>1</v>
      </c>
      <c r="AE1494" s="129">
        <v>1</v>
      </c>
      <c r="AF1494" s="129">
        <v>1</v>
      </c>
      <c r="AG1494" s="129">
        <v>0.923976608187134</v>
      </c>
      <c r="AH1494" s="131">
        <v>0.92</v>
      </c>
      <c r="AI1494" s="129">
        <v>0.913350449293967</v>
      </c>
      <c r="AJ1494" s="129">
        <v>0.901461829994586</v>
      </c>
      <c r="AK1494" s="129">
        <v>0.760455563853622</v>
      </c>
      <c r="AL1494" s="129">
        <v>0.77513359222012</v>
      </c>
      <c r="AM1494" s="128">
        <v>0.99</v>
      </c>
      <c r="AN1494" s="133">
        <v>1</v>
      </c>
      <c r="AO1494" s="133">
        <v>1</v>
      </c>
      <c r="AP1494" s="133">
        <v>1</v>
      </c>
      <c r="AQ1494" s="133">
        <v>1</v>
      </c>
      <c r="AR1494" s="153">
        <v>0.110069253262963</v>
      </c>
      <c r="AS1494" s="137">
        <v>0</v>
      </c>
      <c r="AT1494" s="137">
        <v>0.162162162162162</v>
      </c>
      <c r="AU1494" s="137">
        <v>0.227272727272727</v>
      </c>
      <c r="AV1494" s="137">
        <v>0.136263736263736</v>
      </c>
      <c r="AW1494" s="93"/>
      <c r="AX1494" s="91"/>
    </row>
    <row r="1495" ht="14.5" spans="1:50">
      <c r="A1495" s="89"/>
      <c r="B1495" s="93"/>
      <c r="C1495" s="148" t="s">
        <v>1449</v>
      </c>
      <c r="D1495" s="126" t="s">
        <v>1450</v>
      </c>
      <c r="E1495" s="164" t="s">
        <v>1521</v>
      </c>
      <c r="F1495" s="164" t="s">
        <v>1521</v>
      </c>
      <c r="G1495" s="164" t="s">
        <v>1521</v>
      </c>
      <c r="H1495" s="164" t="s">
        <v>1521</v>
      </c>
      <c r="I1495" s="128">
        <v>0.9</v>
      </c>
      <c r="J1495" s="129">
        <v>0.956521739130435</v>
      </c>
      <c r="K1495" s="129">
        <v>0.814814814814815</v>
      </c>
      <c r="L1495" s="130">
        <v>0.925925925925926</v>
      </c>
      <c r="M1495" s="129">
        <v>0.858934169278997</v>
      </c>
      <c r="N1495" s="131">
        <v>0.9</v>
      </c>
      <c r="O1495" s="129">
        <v>1</v>
      </c>
      <c r="P1495" s="129" t="s">
        <v>33</v>
      </c>
      <c r="Q1495" s="129" t="s">
        <v>33</v>
      </c>
      <c r="R1495" s="129">
        <v>1</v>
      </c>
      <c r="S1495" s="131">
        <v>0.9</v>
      </c>
      <c r="T1495" s="129">
        <v>0</v>
      </c>
      <c r="U1495" s="129" t="s">
        <v>33</v>
      </c>
      <c r="V1495" s="129" t="s">
        <v>33</v>
      </c>
      <c r="W1495" s="129">
        <v>0.5</v>
      </c>
      <c r="X1495" s="131">
        <v>0.92</v>
      </c>
      <c r="Y1495" s="131" t="s">
        <v>33</v>
      </c>
      <c r="Z1495" s="131" t="s">
        <v>33</v>
      </c>
      <c r="AA1495" s="131">
        <v>0</v>
      </c>
      <c r="AB1495" s="131">
        <v>0</v>
      </c>
      <c r="AC1495" s="131">
        <v>0.92</v>
      </c>
      <c r="AD1495" s="129">
        <v>0</v>
      </c>
      <c r="AE1495" s="129">
        <v>0</v>
      </c>
      <c r="AF1495" s="129">
        <v>0</v>
      </c>
      <c r="AG1495" s="129">
        <v>0.166666666666667</v>
      </c>
      <c r="AH1495" s="131">
        <v>0.92</v>
      </c>
      <c r="AI1495" s="129">
        <v>0.6875</v>
      </c>
      <c r="AJ1495" s="129">
        <v>0.67363184079602</v>
      </c>
      <c r="AK1495" s="129">
        <v>0.735582581404472</v>
      </c>
      <c r="AL1495" s="129">
        <v>0.767933271547729</v>
      </c>
      <c r="AM1495" s="128">
        <v>0.99</v>
      </c>
      <c r="AN1495" s="133" t="s">
        <v>33</v>
      </c>
      <c r="AO1495" s="133" t="s">
        <v>33</v>
      </c>
      <c r="AP1495" s="133" t="s">
        <v>33</v>
      </c>
      <c r="AQ1495" s="133" t="s">
        <v>33</v>
      </c>
      <c r="AR1495" s="153">
        <v>0.110069253262963</v>
      </c>
      <c r="AS1495" s="137">
        <v>0.0535714285714286</v>
      </c>
      <c r="AT1495" s="137">
        <v>0.25</v>
      </c>
      <c r="AU1495" s="137">
        <v>0.352941176470588</v>
      </c>
      <c r="AV1495" s="137">
        <v>0.207720588235294</v>
      </c>
      <c r="AW1495" s="93"/>
      <c r="AX1495" s="91"/>
    </row>
    <row r="1496" ht="14.5" spans="1:50">
      <c r="A1496" s="89"/>
      <c r="B1496" s="93"/>
      <c r="C1496" s="148" t="s">
        <v>1449</v>
      </c>
      <c r="D1496" s="126" t="s">
        <v>1450</v>
      </c>
      <c r="E1496" s="164" t="s">
        <v>1522</v>
      </c>
      <c r="F1496" s="164" t="s">
        <v>1522</v>
      </c>
      <c r="G1496" s="164" t="s">
        <v>1522</v>
      </c>
      <c r="H1496" s="164" t="s">
        <v>1522</v>
      </c>
      <c r="I1496" s="128">
        <v>0.9</v>
      </c>
      <c r="J1496" s="129">
        <v>1</v>
      </c>
      <c r="K1496" s="129">
        <v>0.923076923076923</v>
      </c>
      <c r="L1496" s="130">
        <v>1</v>
      </c>
      <c r="M1496" s="129">
        <v>0.950354609929078</v>
      </c>
      <c r="N1496" s="131">
        <v>0.9</v>
      </c>
      <c r="O1496" s="129">
        <v>0.984968864075585</v>
      </c>
      <c r="P1496" s="129">
        <v>0</v>
      </c>
      <c r="Q1496" s="129">
        <v>0.979591836734694</v>
      </c>
      <c r="R1496" s="129">
        <v>0.991230094622663</v>
      </c>
      <c r="S1496" s="131">
        <v>0.9</v>
      </c>
      <c r="T1496" s="129">
        <v>0.664161477345931</v>
      </c>
      <c r="U1496" s="129">
        <v>1</v>
      </c>
      <c r="V1496" s="129">
        <v>0.806122448979592</v>
      </c>
      <c r="W1496" s="129">
        <v>0.754211862450958</v>
      </c>
      <c r="X1496" s="131">
        <v>0.92</v>
      </c>
      <c r="Y1496" s="131" t="s">
        <v>33</v>
      </c>
      <c r="Z1496" s="131" t="s">
        <v>33</v>
      </c>
      <c r="AA1496" s="131" t="s">
        <v>33</v>
      </c>
      <c r="AB1496" s="131" t="s">
        <v>33</v>
      </c>
      <c r="AC1496" s="131">
        <v>0.92</v>
      </c>
      <c r="AD1496" s="129">
        <v>0.818181818181818</v>
      </c>
      <c r="AE1496" s="129" t="s">
        <v>33</v>
      </c>
      <c r="AF1496" s="129" t="s">
        <v>33</v>
      </c>
      <c r="AG1496" s="129">
        <v>0.875</v>
      </c>
      <c r="AH1496" s="131">
        <v>0.92</v>
      </c>
      <c r="AI1496" s="129">
        <v>0.687606837606838</v>
      </c>
      <c r="AJ1496" s="129">
        <v>0.1875</v>
      </c>
      <c r="AK1496" s="129">
        <v>0.640625</v>
      </c>
      <c r="AL1496" s="129">
        <v>0.779860739153723</v>
      </c>
      <c r="AM1496" s="128">
        <v>0.99</v>
      </c>
      <c r="AN1496" s="133" t="s">
        <v>33</v>
      </c>
      <c r="AO1496" s="133">
        <v>1</v>
      </c>
      <c r="AP1496" s="133" t="s">
        <v>33</v>
      </c>
      <c r="AQ1496" s="133">
        <v>1</v>
      </c>
      <c r="AR1496" s="153">
        <v>0.110069253262963</v>
      </c>
      <c r="AS1496" s="137">
        <v>0.13</v>
      </c>
      <c r="AT1496" s="137">
        <v>0.037037037037037</v>
      </c>
      <c r="AU1496" s="137">
        <v>0</v>
      </c>
      <c r="AV1496" s="137">
        <v>0.0806317539484622</v>
      </c>
      <c r="AW1496" s="93"/>
      <c r="AX1496" s="91"/>
    </row>
    <row r="1497" ht="14.5" spans="1:50">
      <c r="A1497" s="89"/>
      <c r="B1497" s="93"/>
      <c r="C1497" s="148" t="s">
        <v>1449</v>
      </c>
      <c r="D1497" s="126" t="s">
        <v>1450</v>
      </c>
      <c r="E1497" s="164" t="s">
        <v>1523</v>
      </c>
      <c r="F1497" s="164" t="s">
        <v>1523</v>
      </c>
      <c r="G1497" s="164" t="s">
        <v>1523</v>
      </c>
      <c r="H1497" s="164" t="s">
        <v>1523</v>
      </c>
      <c r="I1497" s="128">
        <v>0.9</v>
      </c>
      <c r="J1497" s="129">
        <v>0.607142857142857</v>
      </c>
      <c r="K1497" s="129">
        <v>0.68</v>
      </c>
      <c r="L1497" s="130">
        <v>0.517241379310345</v>
      </c>
      <c r="M1497" s="129">
        <v>0.603174603174603</v>
      </c>
      <c r="N1497" s="131">
        <v>0.9</v>
      </c>
      <c r="O1497" s="129">
        <v>0.963041933191187</v>
      </c>
      <c r="P1497" s="129">
        <v>0.968677494199536</v>
      </c>
      <c r="Q1497" s="129">
        <v>0.804941002949852</v>
      </c>
      <c r="R1497" s="129">
        <v>0.818813570029692</v>
      </c>
      <c r="S1497" s="131">
        <v>0.9</v>
      </c>
      <c r="T1497" s="129">
        <v>0.88770433546553</v>
      </c>
      <c r="U1497" s="129">
        <v>0.88631090487239</v>
      </c>
      <c r="V1497" s="129">
        <v>0.619837758112094</v>
      </c>
      <c r="W1497" s="129">
        <v>0.635131720260282</v>
      </c>
      <c r="X1497" s="131">
        <v>0.92</v>
      </c>
      <c r="Y1497" s="131" t="s">
        <v>33</v>
      </c>
      <c r="Z1497" s="131" t="s">
        <v>33</v>
      </c>
      <c r="AA1497" s="131" t="s">
        <v>33</v>
      </c>
      <c r="AB1497" s="131" t="s">
        <v>33</v>
      </c>
      <c r="AC1497" s="131">
        <v>0.92</v>
      </c>
      <c r="AD1497" s="129">
        <v>1</v>
      </c>
      <c r="AE1497" s="129">
        <v>0.947368421052632</v>
      </c>
      <c r="AF1497" s="129">
        <v>0.958333333333333</v>
      </c>
      <c r="AG1497" s="129">
        <v>0.92948717948718</v>
      </c>
      <c r="AH1497" s="131">
        <v>0.92</v>
      </c>
      <c r="AI1497" s="129">
        <v>0.942430703624733</v>
      </c>
      <c r="AJ1497" s="129">
        <v>0.943155452436195</v>
      </c>
      <c r="AK1497" s="129">
        <v>0.862094395280236</v>
      </c>
      <c r="AL1497" s="129">
        <v>0.83268052309053</v>
      </c>
      <c r="AM1497" s="128">
        <v>0.99</v>
      </c>
      <c r="AN1497" s="133">
        <v>1</v>
      </c>
      <c r="AO1497" s="133">
        <v>1</v>
      </c>
      <c r="AP1497" s="133">
        <v>1</v>
      </c>
      <c r="AQ1497" s="133">
        <v>1</v>
      </c>
      <c r="AR1497" s="153">
        <v>0.110069253262963</v>
      </c>
      <c r="AS1497" s="137">
        <v>0.176470588235294</v>
      </c>
      <c r="AT1497" s="137">
        <v>0.142857142857143</v>
      </c>
      <c r="AU1497" s="137">
        <v>0.222222222222222</v>
      </c>
      <c r="AV1497" s="137">
        <v>0.102167182662539</v>
      </c>
      <c r="AW1497" s="93"/>
      <c r="AX1497" s="91"/>
    </row>
    <row r="1498" ht="14.5" spans="1:50">
      <c r="A1498" s="89"/>
      <c r="B1498" s="93"/>
      <c r="C1498" s="148" t="s">
        <v>1449</v>
      </c>
      <c r="D1498" s="126" t="s">
        <v>1450</v>
      </c>
      <c r="E1498" s="164" t="s">
        <v>1524</v>
      </c>
      <c r="F1498" s="164" t="s">
        <v>1524</v>
      </c>
      <c r="G1498" s="164" t="s">
        <v>1524</v>
      </c>
      <c r="H1498" s="164" t="s">
        <v>1524</v>
      </c>
      <c r="I1498" s="128">
        <v>0.9</v>
      </c>
      <c r="J1498" s="129">
        <v>1</v>
      </c>
      <c r="K1498" s="129">
        <v>0.75</v>
      </c>
      <c r="L1498" s="130">
        <v>0.9375</v>
      </c>
      <c r="M1498" s="129">
        <v>0.790322580645161</v>
      </c>
      <c r="N1498" s="131">
        <v>0.9</v>
      </c>
      <c r="O1498" s="129" t="s">
        <v>33</v>
      </c>
      <c r="P1498" s="129" t="s">
        <v>33</v>
      </c>
      <c r="Q1498" s="129" t="s">
        <v>33</v>
      </c>
      <c r="R1498" s="129">
        <v>0.111111111111111</v>
      </c>
      <c r="S1498" s="131">
        <v>0.9</v>
      </c>
      <c r="T1498" s="129" t="s">
        <v>33</v>
      </c>
      <c r="U1498" s="129" t="s">
        <v>33</v>
      </c>
      <c r="V1498" s="129" t="s">
        <v>33</v>
      </c>
      <c r="W1498" s="129">
        <v>0.111111111111111</v>
      </c>
      <c r="X1498" s="131">
        <v>0.92</v>
      </c>
      <c r="Y1498" s="131" t="s">
        <v>33</v>
      </c>
      <c r="Z1498" s="131" t="s">
        <v>33</v>
      </c>
      <c r="AA1498" s="131" t="s">
        <v>33</v>
      </c>
      <c r="AB1498" s="131" t="s">
        <v>33</v>
      </c>
      <c r="AC1498" s="131">
        <v>0.92</v>
      </c>
      <c r="AD1498" s="129">
        <v>0</v>
      </c>
      <c r="AE1498" s="129">
        <v>0</v>
      </c>
      <c r="AF1498" s="129">
        <v>1</v>
      </c>
      <c r="AG1498" s="129">
        <v>0.617647058823529</v>
      </c>
      <c r="AH1498" s="131">
        <v>0.92</v>
      </c>
      <c r="AI1498" s="129">
        <v>0.878504672897196</v>
      </c>
      <c r="AJ1498" s="129">
        <v>0.471502590673575</v>
      </c>
      <c r="AK1498" s="129">
        <v>0.363021420518602</v>
      </c>
      <c r="AL1498" s="129">
        <v>0.410766530134582</v>
      </c>
      <c r="AM1498" s="128">
        <v>0.99</v>
      </c>
      <c r="AN1498" s="133">
        <v>1</v>
      </c>
      <c r="AO1498" s="133">
        <v>1</v>
      </c>
      <c r="AP1498" s="133" t="s">
        <v>33</v>
      </c>
      <c r="AQ1498" s="133">
        <v>1</v>
      </c>
      <c r="AR1498" s="153">
        <v>0.110069253262963</v>
      </c>
      <c r="AS1498" s="137">
        <v>1</v>
      </c>
      <c r="AT1498" s="137">
        <v>0.221153846153846</v>
      </c>
      <c r="AU1498" s="137">
        <v>0.0263157894736842</v>
      </c>
      <c r="AV1498" s="137">
        <v>0.111904761904762</v>
      </c>
      <c r="AW1498" s="93"/>
      <c r="AX1498" s="91"/>
    </row>
    <row r="1499" ht="14.5" spans="1:50">
      <c r="A1499" s="89"/>
      <c r="B1499" s="93"/>
      <c r="C1499" s="148" t="s">
        <v>1449</v>
      </c>
      <c r="D1499" s="126" t="s">
        <v>1450</v>
      </c>
      <c r="E1499" s="164" t="s">
        <v>1525</v>
      </c>
      <c r="F1499" s="164" t="s">
        <v>1525</v>
      </c>
      <c r="G1499" s="164" t="s">
        <v>1525</v>
      </c>
      <c r="H1499" s="164" t="s">
        <v>1525</v>
      </c>
      <c r="I1499" s="128">
        <v>0.9</v>
      </c>
      <c r="J1499" s="129">
        <v>1</v>
      </c>
      <c r="K1499" s="129">
        <v>1</v>
      </c>
      <c r="L1499" s="130">
        <v>1</v>
      </c>
      <c r="M1499" s="129">
        <v>0.985074626865672</v>
      </c>
      <c r="N1499" s="131">
        <v>0.9</v>
      </c>
      <c r="O1499" s="129">
        <v>1</v>
      </c>
      <c r="P1499" s="129" t="s">
        <v>33</v>
      </c>
      <c r="Q1499" s="129">
        <v>1</v>
      </c>
      <c r="R1499" s="129">
        <v>0.777777777777778</v>
      </c>
      <c r="S1499" s="131">
        <v>0.9</v>
      </c>
      <c r="T1499" s="129">
        <v>0</v>
      </c>
      <c r="U1499" s="129" t="s">
        <v>33</v>
      </c>
      <c r="V1499" s="129">
        <v>1</v>
      </c>
      <c r="W1499" s="129">
        <v>0.555555555555556</v>
      </c>
      <c r="X1499" s="131">
        <v>0.92</v>
      </c>
      <c r="Y1499" s="131" t="s">
        <v>33</v>
      </c>
      <c r="Z1499" s="131" t="s">
        <v>33</v>
      </c>
      <c r="AA1499" s="131" t="s">
        <v>33</v>
      </c>
      <c r="AB1499" s="131">
        <v>1</v>
      </c>
      <c r="AC1499" s="131">
        <v>0.92</v>
      </c>
      <c r="AD1499" s="129">
        <v>0.833333333333333</v>
      </c>
      <c r="AE1499" s="129">
        <v>0.818181818181818</v>
      </c>
      <c r="AF1499" s="129">
        <v>1</v>
      </c>
      <c r="AG1499" s="129">
        <v>0.953125</v>
      </c>
      <c r="AH1499" s="131">
        <v>0.92</v>
      </c>
      <c r="AI1499" s="129">
        <v>0.718562874251497</v>
      </c>
      <c r="AJ1499" s="129">
        <v>0.865615615615616</v>
      </c>
      <c r="AK1499" s="129">
        <v>0.741935483870968</v>
      </c>
      <c r="AL1499" s="129">
        <v>0.828104049342987</v>
      </c>
      <c r="AM1499" s="128">
        <v>0.99</v>
      </c>
      <c r="AN1499" s="133">
        <v>1</v>
      </c>
      <c r="AO1499" s="133">
        <v>1</v>
      </c>
      <c r="AP1499" s="133" t="s">
        <v>33</v>
      </c>
      <c r="AQ1499" s="133">
        <v>1</v>
      </c>
      <c r="AR1499" s="153">
        <v>0.110069253262963</v>
      </c>
      <c r="AS1499" s="137">
        <v>0.169491525423729</v>
      </c>
      <c r="AT1499" s="137">
        <v>0.185185185185185</v>
      </c>
      <c r="AU1499" s="137">
        <v>0.06</v>
      </c>
      <c r="AV1499" s="137">
        <v>0.113323124042879</v>
      </c>
      <c r="AW1499" s="93"/>
      <c r="AX1499" s="91"/>
    </row>
    <row r="1500" ht="14.5" spans="1:50">
      <c r="A1500" s="89"/>
      <c r="B1500" s="93"/>
      <c r="C1500" s="148" t="s">
        <v>1449</v>
      </c>
      <c r="D1500" s="126" t="s">
        <v>1450</v>
      </c>
      <c r="E1500" s="164" t="s">
        <v>1526</v>
      </c>
      <c r="F1500" s="164" t="s">
        <v>1526</v>
      </c>
      <c r="G1500" s="164" t="s">
        <v>1526</v>
      </c>
      <c r="H1500" s="164" t="s">
        <v>1526</v>
      </c>
      <c r="I1500" s="128">
        <v>0.9</v>
      </c>
      <c r="J1500" s="129">
        <v>0.615384615384615</v>
      </c>
      <c r="K1500" s="129">
        <v>1</v>
      </c>
      <c r="L1500" s="130">
        <v>0.6</v>
      </c>
      <c r="M1500" s="129">
        <v>0.696</v>
      </c>
      <c r="N1500" s="131">
        <v>0.9</v>
      </c>
      <c r="O1500" s="129">
        <v>0.611111111111111</v>
      </c>
      <c r="P1500" s="129">
        <v>0.573529411764706</v>
      </c>
      <c r="Q1500" s="129">
        <v>0.986717267552182</v>
      </c>
      <c r="R1500" s="129">
        <v>0.852428964252979</v>
      </c>
      <c r="S1500" s="131">
        <v>0.9</v>
      </c>
      <c r="T1500" s="129">
        <v>0.611111111111111</v>
      </c>
      <c r="U1500" s="129">
        <v>0.5</v>
      </c>
      <c r="V1500" s="129">
        <v>0.742884250474383</v>
      </c>
      <c r="W1500" s="129">
        <v>0.620714940421632</v>
      </c>
      <c r="X1500" s="131">
        <v>0.92</v>
      </c>
      <c r="Y1500" s="131" t="s">
        <v>33</v>
      </c>
      <c r="Z1500" s="131" t="s">
        <v>33</v>
      </c>
      <c r="AA1500" s="131" t="s">
        <v>33</v>
      </c>
      <c r="AB1500" s="131" t="s">
        <v>33</v>
      </c>
      <c r="AC1500" s="131">
        <v>0.92</v>
      </c>
      <c r="AD1500" s="129">
        <v>0</v>
      </c>
      <c r="AE1500" s="129">
        <v>0</v>
      </c>
      <c r="AF1500" s="129" t="s">
        <v>33</v>
      </c>
      <c r="AG1500" s="129">
        <v>0.285714285714286</v>
      </c>
      <c r="AH1500" s="131">
        <v>0.92</v>
      </c>
      <c r="AI1500" s="129">
        <v>0.666666666666667</v>
      </c>
      <c r="AJ1500" s="129">
        <v>0.551470588235294</v>
      </c>
      <c r="AK1500" s="129">
        <v>0.878083491461101</v>
      </c>
      <c r="AL1500" s="129">
        <v>0.73717008797654</v>
      </c>
      <c r="AM1500" s="128">
        <v>0.99</v>
      </c>
      <c r="AN1500" s="133">
        <v>1</v>
      </c>
      <c r="AO1500" s="133" t="s">
        <v>33</v>
      </c>
      <c r="AP1500" s="133" t="s">
        <v>33</v>
      </c>
      <c r="AQ1500" s="133">
        <v>1</v>
      </c>
      <c r="AR1500" s="153">
        <v>0.110069253262963</v>
      </c>
      <c r="AS1500" s="137">
        <v>0.0945945945945946</v>
      </c>
      <c r="AT1500" s="137">
        <v>4.66666666666667</v>
      </c>
      <c r="AU1500" s="137">
        <v>0</v>
      </c>
      <c r="AV1500" s="137">
        <v>0.172147001934236</v>
      </c>
      <c r="AW1500" s="93"/>
      <c r="AX1500" s="91"/>
    </row>
    <row r="1501" ht="14.5" spans="1:50">
      <c r="A1501" s="89"/>
      <c r="B1501" s="93"/>
      <c r="C1501" s="148" t="s">
        <v>1449</v>
      </c>
      <c r="D1501" s="126" t="s">
        <v>1450</v>
      </c>
      <c r="E1501" s="164" t="s">
        <v>1527</v>
      </c>
      <c r="F1501" s="164" t="s">
        <v>1527</v>
      </c>
      <c r="G1501" s="164" t="s">
        <v>1527</v>
      </c>
      <c r="H1501" s="164" t="s">
        <v>1527</v>
      </c>
      <c r="I1501" s="128">
        <v>0.9</v>
      </c>
      <c r="J1501" s="129">
        <v>1</v>
      </c>
      <c r="K1501" s="129">
        <v>0.8</v>
      </c>
      <c r="L1501" s="130">
        <v>1</v>
      </c>
      <c r="M1501" s="129">
        <v>0.973333333333333</v>
      </c>
      <c r="N1501" s="131">
        <v>0.9</v>
      </c>
      <c r="O1501" s="129">
        <v>0.862068965517241</v>
      </c>
      <c r="P1501" s="129">
        <v>0.977064220183486</v>
      </c>
      <c r="Q1501" s="129">
        <v>0.969387755102041</v>
      </c>
      <c r="R1501" s="129">
        <v>0.987328405491024</v>
      </c>
      <c r="S1501" s="131">
        <v>0.9</v>
      </c>
      <c r="T1501" s="129">
        <v>0.206896551724138</v>
      </c>
      <c r="U1501" s="129">
        <v>0.339449541284404</v>
      </c>
      <c r="V1501" s="129">
        <v>0.670068027210884</v>
      </c>
      <c r="W1501" s="129">
        <v>0.390355508623724</v>
      </c>
      <c r="X1501" s="131">
        <v>0.92</v>
      </c>
      <c r="Y1501" s="131" t="s">
        <v>33</v>
      </c>
      <c r="Z1501" s="131" t="s">
        <v>33</v>
      </c>
      <c r="AA1501" s="131" t="s">
        <v>33</v>
      </c>
      <c r="AB1501" s="131" t="s">
        <v>33</v>
      </c>
      <c r="AC1501" s="131">
        <v>0.92</v>
      </c>
      <c r="AD1501" s="129">
        <v>1</v>
      </c>
      <c r="AE1501" s="129" t="s">
        <v>33</v>
      </c>
      <c r="AF1501" s="129">
        <v>1</v>
      </c>
      <c r="AG1501" s="129">
        <v>0.967391304347826</v>
      </c>
      <c r="AH1501" s="131">
        <v>0.92</v>
      </c>
      <c r="AI1501" s="129">
        <v>0.275862068965517</v>
      </c>
      <c r="AJ1501" s="129">
        <v>0.36697247706422</v>
      </c>
      <c r="AK1501" s="129">
        <v>0.691525423728814</v>
      </c>
      <c r="AL1501" s="129">
        <v>0.430579964850615</v>
      </c>
      <c r="AM1501" s="128">
        <v>0.99</v>
      </c>
      <c r="AN1501" s="133">
        <v>1</v>
      </c>
      <c r="AO1501" s="133">
        <v>1</v>
      </c>
      <c r="AP1501" s="133" t="s">
        <v>33</v>
      </c>
      <c r="AQ1501" s="133">
        <v>1</v>
      </c>
      <c r="AR1501" s="153">
        <v>0.110069253262963</v>
      </c>
      <c r="AS1501" s="137">
        <v>0.0418604651162791</v>
      </c>
      <c r="AT1501" s="137">
        <v>0.192982456140351</v>
      </c>
      <c r="AU1501" s="137">
        <v>0.247933884297521</v>
      </c>
      <c r="AV1501" s="137">
        <v>0.0713162034609334</v>
      </c>
      <c r="AW1501" s="93"/>
      <c r="AX1501" s="91"/>
    </row>
    <row r="1502" ht="14.5" spans="1:50">
      <c r="A1502" s="89"/>
      <c r="B1502" s="93"/>
      <c r="C1502" s="148" t="s">
        <v>1449</v>
      </c>
      <c r="D1502" s="126" t="s">
        <v>1450</v>
      </c>
      <c r="E1502" s="164" t="s">
        <v>1528</v>
      </c>
      <c r="F1502" s="164" t="s">
        <v>1528</v>
      </c>
      <c r="G1502" s="164" t="s">
        <v>1528</v>
      </c>
      <c r="H1502" s="164" t="s">
        <v>1528</v>
      </c>
      <c r="I1502" s="128">
        <v>0.9</v>
      </c>
      <c r="J1502" s="129">
        <v>0.8</v>
      </c>
      <c r="K1502" s="129">
        <v>0.714285714285714</v>
      </c>
      <c r="L1502" s="130">
        <v>0.5</v>
      </c>
      <c r="M1502" s="129">
        <v>0.741935483870968</v>
      </c>
      <c r="N1502" s="131">
        <v>0.9</v>
      </c>
      <c r="O1502" s="129" t="s">
        <v>33</v>
      </c>
      <c r="P1502" s="129" t="s">
        <v>33</v>
      </c>
      <c r="Q1502" s="129" t="s">
        <v>33</v>
      </c>
      <c r="R1502" s="129">
        <v>0</v>
      </c>
      <c r="S1502" s="131">
        <v>0.9</v>
      </c>
      <c r="T1502" s="129" t="s">
        <v>33</v>
      </c>
      <c r="U1502" s="129" t="s">
        <v>33</v>
      </c>
      <c r="V1502" s="129" t="s">
        <v>33</v>
      </c>
      <c r="W1502" s="129">
        <v>0</v>
      </c>
      <c r="X1502" s="131">
        <v>0.92</v>
      </c>
      <c r="Y1502" s="131" t="s">
        <v>33</v>
      </c>
      <c r="Z1502" s="131" t="s">
        <v>33</v>
      </c>
      <c r="AA1502" s="131" t="s">
        <v>33</v>
      </c>
      <c r="AB1502" s="131">
        <v>1</v>
      </c>
      <c r="AC1502" s="131">
        <v>0.92</v>
      </c>
      <c r="AD1502" s="129">
        <v>0</v>
      </c>
      <c r="AE1502" s="129">
        <v>0</v>
      </c>
      <c r="AF1502" s="129">
        <v>0.666666666666667</v>
      </c>
      <c r="AG1502" s="129">
        <v>0.727272727272727</v>
      </c>
      <c r="AH1502" s="131">
        <v>0.92</v>
      </c>
      <c r="AI1502" s="129">
        <v>0.284653465346535</v>
      </c>
      <c r="AJ1502" s="129">
        <v>0.654269972451791</v>
      </c>
      <c r="AK1502" s="129">
        <v>0.653584905660377</v>
      </c>
      <c r="AL1502" s="129">
        <v>0.66233148295004</v>
      </c>
      <c r="AM1502" s="128">
        <v>0.99</v>
      </c>
      <c r="AN1502" s="133" t="s">
        <v>33</v>
      </c>
      <c r="AO1502" s="133" t="s">
        <v>33</v>
      </c>
      <c r="AP1502" s="133" t="s">
        <v>33</v>
      </c>
      <c r="AQ1502" s="133" t="s">
        <v>33</v>
      </c>
      <c r="AR1502" s="153">
        <v>0.110069253262963</v>
      </c>
      <c r="AS1502" s="137">
        <v>0.0192307692307692</v>
      </c>
      <c r="AT1502" s="137">
        <v>0.183333333333333</v>
      </c>
      <c r="AU1502" s="137">
        <v>0.103896103896104</v>
      </c>
      <c r="AV1502" s="137">
        <v>0.0948571428571429</v>
      </c>
      <c r="AW1502" s="93"/>
      <c r="AX1502" s="91"/>
    </row>
    <row r="1503" ht="14.5" spans="1:50">
      <c r="A1503" s="89"/>
      <c r="B1503" s="93"/>
      <c r="C1503" s="148" t="s">
        <v>1449</v>
      </c>
      <c r="D1503" s="126" t="s">
        <v>1450</v>
      </c>
      <c r="E1503" s="164" t="s">
        <v>1529</v>
      </c>
      <c r="F1503" s="164" t="s">
        <v>1529</v>
      </c>
      <c r="G1503" s="164" t="s">
        <v>1529</v>
      </c>
      <c r="H1503" s="164" t="s">
        <v>1529</v>
      </c>
      <c r="I1503" s="128">
        <v>0.9</v>
      </c>
      <c r="J1503" s="129">
        <v>0.928571428571429</v>
      </c>
      <c r="K1503" s="129">
        <v>0.769230769230769</v>
      </c>
      <c r="L1503" s="130">
        <v>1</v>
      </c>
      <c r="M1503" s="129">
        <v>0.877906976744186</v>
      </c>
      <c r="N1503" s="131">
        <v>0.9</v>
      </c>
      <c r="O1503" s="129" t="s">
        <v>33</v>
      </c>
      <c r="P1503" s="129" t="s">
        <v>33</v>
      </c>
      <c r="Q1503" s="129" t="s">
        <v>33</v>
      </c>
      <c r="R1503" s="129">
        <v>0</v>
      </c>
      <c r="S1503" s="131">
        <v>0.9</v>
      </c>
      <c r="T1503" s="129" t="s">
        <v>33</v>
      </c>
      <c r="U1503" s="129" t="s">
        <v>33</v>
      </c>
      <c r="V1503" s="129" t="s">
        <v>33</v>
      </c>
      <c r="W1503" s="129">
        <v>0</v>
      </c>
      <c r="X1503" s="131">
        <v>0.92</v>
      </c>
      <c r="Y1503" s="131" t="s">
        <v>33</v>
      </c>
      <c r="Z1503" s="131" t="s">
        <v>33</v>
      </c>
      <c r="AA1503" s="131" t="s">
        <v>33</v>
      </c>
      <c r="AB1503" s="131" t="s">
        <v>33</v>
      </c>
      <c r="AC1503" s="131">
        <v>0.92</v>
      </c>
      <c r="AD1503" s="129">
        <v>0</v>
      </c>
      <c r="AE1503" s="129">
        <v>0.666666666666667</v>
      </c>
      <c r="AF1503" s="129">
        <v>0</v>
      </c>
      <c r="AG1503" s="129">
        <v>0.543859649122807</v>
      </c>
      <c r="AH1503" s="131">
        <v>0.92</v>
      </c>
      <c r="AI1503" s="129" t="s">
        <v>33</v>
      </c>
      <c r="AJ1503" s="129">
        <v>0.353535353535354</v>
      </c>
      <c r="AK1503" s="129">
        <v>0.98019801980198</v>
      </c>
      <c r="AL1503" s="129">
        <v>0.84741810105497</v>
      </c>
      <c r="AM1503" s="128">
        <v>0.99</v>
      </c>
      <c r="AN1503" s="133" t="s">
        <v>33</v>
      </c>
      <c r="AO1503" s="133">
        <v>1</v>
      </c>
      <c r="AP1503" s="133" t="s">
        <v>33</v>
      </c>
      <c r="AQ1503" s="133">
        <v>1</v>
      </c>
      <c r="AR1503" s="153">
        <v>0.110069253262963</v>
      </c>
      <c r="AS1503" s="137">
        <v>0.173913043478261</v>
      </c>
      <c r="AT1503" s="137">
        <v>0.25</v>
      </c>
      <c r="AU1503" s="137">
        <v>0.150943396226415</v>
      </c>
      <c r="AV1503" s="137">
        <v>0.121387283236994</v>
      </c>
      <c r="AW1503" s="93"/>
      <c r="AX1503" s="91"/>
    </row>
    <row r="1504" ht="14.5" spans="1:50">
      <c r="A1504" s="89"/>
      <c r="B1504" s="93"/>
      <c r="C1504" s="148" t="s">
        <v>1449</v>
      </c>
      <c r="D1504" s="126" t="s">
        <v>1450</v>
      </c>
      <c r="E1504" s="164" t="s">
        <v>1530</v>
      </c>
      <c r="F1504" s="164" t="s">
        <v>1530</v>
      </c>
      <c r="G1504" s="164" t="s">
        <v>1530</v>
      </c>
      <c r="H1504" s="164" t="s">
        <v>1530</v>
      </c>
      <c r="I1504" s="128">
        <v>0.9</v>
      </c>
      <c r="J1504" s="129">
        <v>1</v>
      </c>
      <c r="K1504" s="129">
        <v>1</v>
      </c>
      <c r="L1504" s="130">
        <v>1</v>
      </c>
      <c r="M1504" s="129">
        <v>0.961538461538462</v>
      </c>
      <c r="N1504" s="131">
        <v>0.9</v>
      </c>
      <c r="O1504" s="129">
        <v>1</v>
      </c>
      <c r="P1504" s="129">
        <v>0.775757575757576</v>
      </c>
      <c r="Q1504" s="129">
        <v>0.983870967741935</v>
      </c>
      <c r="R1504" s="129">
        <v>0.759302873292511</v>
      </c>
      <c r="S1504" s="131">
        <v>0.9</v>
      </c>
      <c r="T1504" s="129">
        <v>1</v>
      </c>
      <c r="U1504" s="129">
        <v>0.739393939393939</v>
      </c>
      <c r="V1504" s="129">
        <v>0.758064516129032</v>
      </c>
      <c r="W1504" s="129">
        <v>0.753179463024023</v>
      </c>
      <c r="X1504" s="131">
        <v>0.92</v>
      </c>
      <c r="Y1504" s="131" t="s">
        <v>33</v>
      </c>
      <c r="Z1504" s="131" t="s">
        <v>33</v>
      </c>
      <c r="AA1504" s="131" t="s">
        <v>33</v>
      </c>
      <c r="AB1504" s="131" t="s">
        <v>33</v>
      </c>
      <c r="AC1504" s="131">
        <v>0.92</v>
      </c>
      <c r="AD1504" s="129">
        <v>0.636363636363636</v>
      </c>
      <c r="AE1504" s="129">
        <v>0.125</v>
      </c>
      <c r="AF1504" s="129">
        <v>1</v>
      </c>
      <c r="AG1504" s="129">
        <v>0.784313725490196</v>
      </c>
      <c r="AH1504" s="131">
        <v>0.92</v>
      </c>
      <c r="AI1504" s="129">
        <v>1</v>
      </c>
      <c r="AJ1504" s="129">
        <v>0.751515151515151</v>
      </c>
      <c r="AK1504" s="129">
        <v>0.790322580645161</v>
      </c>
      <c r="AL1504" s="129">
        <v>0.781912388130005</v>
      </c>
      <c r="AM1504" s="128">
        <v>0.99</v>
      </c>
      <c r="AN1504" s="133">
        <v>1</v>
      </c>
      <c r="AO1504" s="133">
        <v>1</v>
      </c>
      <c r="AP1504" s="133" t="s">
        <v>33</v>
      </c>
      <c r="AQ1504" s="133">
        <v>1</v>
      </c>
      <c r="AR1504" s="153">
        <v>0.110069253262963</v>
      </c>
      <c r="AS1504" s="137">
        <v>0</v>
      </c>
      <c r="AT1504" s="137">
        <v>0.4</v>
      </c>
      <c r="AU1504" s="137">
        <v>0</v>
      </c>
      <c r="AV1504" s="137">
        <v>0.0301204819277108</v>
      </c>
      <c r="AW1504" s="93"/>
      <c r="AX1504" s="91"/>
    </row>
    <row r="1505" ht="14.5" spans="1:50">
      <c r="A1505" s="89"/>
      <c r="B1505" s="93"/>
      <c r="C1505" s="148" t="s">
        <v>1449</v>
      </c>
      <c r="D1505" s="126" t="s">
        <v>1450</v>
      </c>
      <c r="E1505" s="164" t="s">
        <v>1531</v>
      </c>
      <c r="F1505" s="164" t="s">
        <v>1531</v>
      </c>
      <c r="G1505" s="164" t="s">
        <v>1531</v>
      </c>
      <c r="H1505" s="164" t="s">
        <v>1531</v>
      </c>
      <c r="I1505" s="128">
        <v>0.9</v>
      </c>
      <c r="J1505" s="129">
        <v>0.5625</v>
      </c>
      <c r="K1505" s="129">
        <v>0.6875</v>
      </c>
      <c r="L1505" s="130">
        <v>0.466666666666667</v>
      </c>
      <c r="M1505" s="129">
        <v>0.543010752688172</v>
      </c>
      <c r="N1505" s="131">
        <v>0.9</v>
      </c>
      <c r="O1505" s="129" t="s">
        <v>33</v>
      </c>
      <c r="P1505" s="129" t="s">
        <v>33</v>
      </c>
      <c r="Q1505" s="129">
        <v>1</v>
      </c>
      <c r="R1505" s="129">
        <v>0.2</v>
      </c>
      <c r="S1505" s="131">
        <v>0.9</v>
      </c>
      <c r="T1505" s="129" t="s">
        <v>33</v>
      </c>
      <c r="U1505" s="129" t="s">
        <v>33</v>
      </c>
      <c r="V1505" s="129">
        <v>0</v>
      </c>
      <c r="W1505" s="129">
        <v>0</v>
      </c>
      <c r="X1505" s="131">
        <v>0.92</v>
      </c>
      <c r="Y1505" s="131" t="s">
        <v>33</v>
      </c>
      <c r="Z1505" s="131" t="s">
        <v>33</v>
      </c>
      <c r="AA1505" s="131" t="s">
        <v>33</v>
      </c>
      <c r="AB1505" s="131" t="s">
        <v>33</v>
      </c>
      <c r="AC1505" s="131">
        <v>0.92</v>
      </c>
      <c r="AD1505" s="129">
        <v>0</v>
      </c>
      <c r="AE1505" s="129">
        <v>0</v>
      </c>
      <c r="AF1505" s="129">
        <v>0.714285714285714</v>
      </c>
      <c r="AG1505" s="129">
        <v>0.140625</v>
      </c>
      <c r="AH1505" s="131">
        <v>0.92</v>
      </c>
      <c r="AI1505" s="129">
        <v>0.664507772020725</v>
      </c>
      <c r="AJ1505" s="129">
        <v>0.765822784810127</v>
      </c>
      <c r="AK1505" s="129">
        <v>0.691331923890063</v>
      </c>
      <c r="AL1505" s="129">
        <v>0.733036060488561</v>
      </c>
      <c r="AM1505" s="128">
        <v>0.99</v>
      </c>
      <c r="AN1505" s="133">
        <v>1</v>
      </c>
      <c r="AO1505" s="133" t="s">
        <v>33</v>
      </c>
      <c r="AP1505" s="133">
        <v>1</v>
      </c>
      <c r="AQ1505" s="133">
        <v>1</v>
      </c>
      <c r="AR1505" s="153">
        <v>0.110069253262963</v>
      </c>
      <c r="AS1505" s="137">
        <v>0</v>
      </c>
      <c r="AT1505" s="137">
        <v>0.222222222222222</v>
      </c>
      <c r="AU1505" s="137">
        <v>0.125</v>
      </c>
      <c r="AV1505" s="137">
        <v>0.111842105263158</v>
      </c>
      <c r="AW1505" s="93"/>
      <c r="AX1505" s="91"/>
    </row>
    <row r="1506" ht="14.5" spans="1:50">
      <c r="A1506" s="89"/>
      <c r="B1506" s="93"/>
      <c r="C1506" s="148" t="s">
        <v>1449</v>
      </c>
      <c r="D1506" s="126" t="s">
        <v>1450</v>
      </c>
      <c r="E1506" s="164" t="s">
        <v>1532</v>
      </c>
      <c r="F1506" s="164" t="s">
        <v>1532</v>
      </c>
      <c r="G1506" s="164" t="s">
        <v>1532</v>
      </c>
      <c r="H1506" s="164" t="s">
        <v>1532</v>
      </c>
      <c r="I1506" s="128">
        <v>0.9</v>
      </c>
      <c r="J1506" s="129">
        <v>1</v>
      </c>
      <c r="K1506" s="129">
        <v>1</v>
      </c>
      <c r="L1506" s="130">
        <v>0.95</v>
      </c>
      <c r="M1506" s="129">
        <v>0.966666666666667</v>
      </c>
      <c r="N1506" s="131">
        <v>0.9</v>
      </c>
      <c r="O1506" s="129">
        <v>1</v>
      </c>
      <c r="P1506" s="129">
        <v>0.999221183800623</v>
      </c>
      <c r="Q1506" s="129">
        <v>0.696041822255414</v>
      </c>
      <c r="R1506" s="129">
        <v>0.57251963922025</v>
      </c>
      <c r="S1506" s="131">
        <v>0.9</v>
      </c>
      <c r="T1506" s="129">
        <v>0.897058823529412</v>
      </c>
      <c r="U1506" s="129">
        <v>0.727414330218069</v>
      </c>
      <c r="V1506" s="129">
        <v>0.691560866318148</v>
      </c>
      <c r="W1506" s="129">
        <v>0.500581902822229</v>
      </c>
      <c r="X1506" s="131">
        <v>0.92</v>
      </c>
      <c r="Y1506" s="131" t="s">
        <v>33</v>
      </c>
      <c r="Z1506" s="131" t="s">
        <v>33</v>
      </c>
      <c r="AA1506" s="131" t="s">
        <v>33</v>
      </c>
      <c r="AB1506" s="131" t="s">
        <v>33</v>
      </c>
      <c r="AC1506" s="131">
        <v>0.92</v>
      </c>
      <c r="AD1506" s="129">
        <v>1</v>
      </c>
      <c r="AE1506" s="129">
        <v>1</v>
      </c>
      <c r="AF1506" s="129">
        <v>1</v>
      </c>
      <c r="AG1506" s="129">
        <v>0.990476190476191</v>
      </c>
      <c r="AH1506" s="131">
        <v>0.92</v>
      </c>
      <c r="AI1506" s="129">
        <v>0.911764705882353</v>
      </c>
      <c r="AJ1506" s="129">
        <v>0.778816199376947</v>
      </c>
      <c r="AK1506" s="129">
        <v>0.770724421209858</v>
      </c>
      <c r="AL1506" s="129">
        <v>0.544227559683622</v>
      </c>
      <c r="AM1506" s="128">
        <v>0.99</v>
      </c>
      <c r="AN1506" s="133" t="s">
        <v>33</v>
      </c>
      <c r="AO1506" s="133" t="s">
        <v>33</v>
      </c>
      <c r="AP1506" s="133">
        <v>1</v>
      </c>
      <c r="AQ1506" s="133">
        <v>1</v>
      </c>
      <c r="AR1506" s="153">
        <v>0.110069253262963</v>
      </c>
      <c r="AS1506" s="137">
        <v>0.303370786516854</v>
      </c>
      <c r="AT1506" s="137">
        <v>0.0408163265306122</v>
      </c>
      <c r="AU1506" s="137">
        <v>0.0347826086956522</v>
      </c>
      <c r="AV1506" s="137">
        <v>0.143448275862069</v>
      </c>
      <c r="AW1506" s="93"/>
      <c r="AX1506" s="91"/>
    </row>
    <row r="1507" ht="14.5" spans="1:50">
      <c r="A1507" s="89"/>
      <c r="B1507" s="93"/>
      <c r="C1507" s="148" t="s">
        <v>1449</v>
      </c>
      <c r="D1507" s="126" t="s">
        <v>1450</v>
      </c>
      <c r="E1507" s="164" t="s">
        <v>1533</v>
      </c>
      <c r="F1507" s="164" t="s">
        <v>1533</v>
      </c>
      <c r="G1507" s="164" t="s">
        <v>1533</v>
      </c>
      <c r="H1507" s="164" t="s">
        <v>1533</v>
      </c>
      <c r="I1507" s="128">
        <v>0.9</v>
      </c>
      <c r="J1507" s="129">
        <v>0.909090909090909</v>
      </c>
      <c r="K1507" s="129">
        <v>0.75</v>
      </c>
      <c r="L1507" s="130">
        <v>0.692307692307692</v>
      </c>
      <c r="M1507" s="129">
        <v>0.705357142857143</v>
      </c>
      <c r="N1507" s="131">
        <v>0.9</v>
      </c>
      <c r="O1507" s="129">
        <v>0</v>
      </c>
      <c r="P1507" s="129" t="s">
        <v>33</v>
      </c>
      <c r="Q1507" s="129">
        <v>0</v>
      </c>
      <c r="R1507" s="129">
        <v>0</v>
      </c>
      <c r="S1507" s="131">
        <v>0.9</v>
      </c>
      <c r="T1507" s="129">
        <v>1</v>
      </c>
      <c r="U1507" s="129" t="s">
        <v>33</v>
      </c>
      <c r="V1507" s="129">
        <v>0</v>
      </c>
      <c r="W1507" s="129">
        <v>0.25</v>
      </c>
      <c r="X1507" s="131">
        <v>0.92</v>
      </c>
      <c r="Y1507" s="131">
        <v>1</v>
      </c>
      <c r="Z1507" s="131" t="s">
        <v>33</v>
      </c>
      <c r="AA1507" s="131" t="s">
        <v>33</v>
      </c>
      <c r="AB1507" s="131">
        <v>1</v>
      </c>
      <c r="AC1507" s="131">
        <v>0.92</v>
      </c>
      <c r="AD1507" s="129" t="s">
        <v>33</v>
      </c>
      <c r="AE1507" s="129">
        <v>0</v>
      </c>
      <c r="AF1507" s="129">
        <v>0</v>
      </c>
      <c r="AG1507" s="129">
        <v>0.238095238095238</v>
      </c>
      <c r="AH1507" s="131">
        <v>0.92</v>
      </c>
      <c r="AI1507" s="129">
        <v>0.403422982885086</v>
      </c>
      <c r="AJ1507" s="129">
        <v>0.348936170212766</v>
      </c>
      <c r="AK1507" s="129">
        <v>0.198095238095238</v>
      </c>
      <c r="AL1507" s="129">
        <v>0.248149518874907</v>
      </c>
      <c r="AM1507" s="128">
        <v>0.99</v>
      </c>
      <c r="AN1507" s="133">
        <v>1</v>
      </c>
      <c r="AO1507" s="133" t="s">
        <v>33</v>
      </c>
      <c r="AP1507" s="133" t="s">
        <v>33</v>
      </c>
      <c r="AQ1507" s="133">
        <v>1</v>
      </c>
      <c r="AR1507" s="153">
        <v>0.110069253262963</v>
      </c>
      <c r="AS1507" s="137">
        <v>0.0266666666666667</v>
      </c>
      <c r="AT1507" s="137">
        <v>0.0192307692307692</v>
      </c>
      <c r="AU1507" s="137">
        <v>0.0588235294117647</v>
      </c>
      <c r="AV1507" s="137">
        <v>0.0390104662226451</v>
      </c>
      <c r="AW1507" s="93"/>
      <c r="AX1507" s="91"/>
    </row>
    <row r="1508" ht="14.5" spans="1:50">
      <c r="A1508" s="89"/>
      <c r="B1508" s="93"/>
      <c r="C1508" s="148" t="s">
        <v>1449</v>
      </c>
      <c r="D1508" s="126" t="s">
        <v>1450</v>
      </c>
      <c r="E1508" s="164" t="s">
        <v>1534</v>
      </c>
      <c r="F1508" s="164" t="s">
        <v>1534</v>
      </c>
      <c r="G1508" s="164" t="s">
        <v>1534</v>
      </c>
      <c r="H1508" s="164" t="s">
        <v>1534</v>
      </c>
      <c r="I1508" s="128">
        <v>0.9</v>
      </c>
      <c r="J1508" s="129">
        <v>1</v>
      </c>
      <c r="K1508" s="129">
        <v>1</v>
      </c>
      <c r="L1508" s="130">
        <v>0.964285714285714</v>
      </c>
      <c r="M1508" s="129">
        <v>0.993788819875776</v>
      </c>
      <c r="N1508" s="131">
        <v>0.9</v>
      </c>
      <c r="O1508" s="129">
        <v>0.972353870458136</v>
      </c>
      <c r="P1508" s="129">
        <v>0.971793149764943</v>
      </c>
      <c r="Q1508" s="129">
        <v>0.96652719665272</v>
      </c>
      <c r="R1508" s="129">
        <v>0.96411331300813</v>
      </c>
      <c r="S1508" s="131">
        <v>0.9</v>
      </c>
      <c r="T1508" s="129">
        <v>0.796998420221169</v>
      </c>
      <c r="U1508" s="129">
        <v>0.77770315648086</v>
      </c>
      <c r="V1508" s="129">
        <v>0.640167364016736</v>
      </c>
      <c r="W1508" s="129">
        <v>0.685213414634146</v>
      </c>
      <c r="X1508" s="131">
        <v>0.92</v>
      </c>
      <c r="Y1508" s="131">
        <v>0.780735107731305</v>
      </c>
      <c r="Z1508" s="131">
        <v>0.88659793814433</v>
      </c>
      <c r="AA1508" s="131">
        <v>0.864273204903678</v>
      </c>
      <c r="AB1508" s="131">
        <v>0.8145106091718</v>
      </c>
      <c r="AC1508" s="131">
        <v>0.92</v>
      </c>
      <c r="AD1508" s="129">
        <v>0.979591836734694</v>
      </c>
      <c r="AE1508" s="129">
        <v>0.963636363636364</v>
      </c>
      <c r="AF1508" s="129">
        <v>1</v>
      </c>
      <c r="AG1508" s="129">
        <v>0.905730129390019</v>
      </c>
      <c r="AH1508" s="131">
        <v>0.92</v>
      </c>
      <c r="AI1508" s="129">
        <v>0.853041362530414</v>
      </c>
      <c r="AJ1508" s="129">
        <v>0.908363636363636</v>
      </c>
      <c r="AK1508" s="129">
        <v>0.908385093167702</v>
      </c>
      <c r="AL1508" s="129">
        <v>0.863070108658039</v>
      </c>
      <c r="AM1508" s="128">
        <v>0.99</v>
      </c>
      <c r="AN1508" s="133">
        <v>1</v>
      </c>
      <c r="AO1508" s="133">
        <v>1</v>
      </c>
      <c r="AP1508" s="133">
        <v>1</v>
      </c>
      <c r="AQ1508" s="133">
        <v>1</v>
      </c>
      <c r="AR1508" s="153">
        <v>0.110069253262963</v>
      </c>
      <c r="AS1508" s="137">
        <v>0.25</v>
      </c>
      <c r="AT1508" s="137">
        <v>0.153846153846154</v>
      </c>
      <c r="AU1508" s="137">
        <v>0.166666666666667</v>
      </c>
      <c r="AV1508" s="137">
        <v>0.117647058823529</v>
      </c>
      <c r="AW1508" s="93"/>
      <c r="AX1508" s="91"/>
    </row>
    <row r="1509" ht="14.5" spans="1:50">
      <c r="A1509" s="89"/>
      <c r="B1509" s="93"/>
      <c r="C1509" s="148" t="s">
        <v>1449</v>
      </c>
      <c r="D1509" s="126" t="s">
        <v>1450</v>
      </c>
      <c r="E1509" s="164" t="s">
        <v>1535</v>
      </c>
      <c r="F1509" s="164" t="s">
        <v>1535</v>
      </c>
      <c r="G1509" s="164" t="s">
        <v>1535</v>
      </c>
      <c r="H1509" s="164" t="s">
        <v>1535</v>
      </c>
      <c r="I1509" s="128">
        <v>0.9</v>
      </c>
      <c r="J1509" s="129">
        <v>1</v>
      </c>
      <c r="K1509" s="129">
        <v>1</v>
      </c>
      <c r="L1509" s="130">
        <v>1</v>
      </c>
      <c r="M1509" s="129">
        <v>0.990654205607477</v>
      </c>
      <c r="N1509" s="131">
        <v>0.9</v>
      </c>
      <c r="O1509" s="129">
        <v>0.974530271398747</v>
      </c>
      <c r="P1509" s="129">
        <v>0.992066490366453</v>
      </c>
      <c r="Q1509" s="129">
        <v>0.957010582010582</v>
      </c>
      <c r="R1509" s="129">
        <v>0.959996506245087</v>
      </c>
      <c r="S1509" s="131">
        <v>0.9</v>
      </c>
      <c r="T1509" s="129">
        <v>0.855949895615866</v>
      </c>
      <c r="U1509" s="129">
        <v>0.84435209671326</v>
      </c>
      <c r="V1509" s="129">
        <v>0.845899470899471</v>
      </c>
      <c r="W1509" s="129">
        <v>0.836637843188634</v>
      </c>
      <c r="X1509" s="131">
        <v>0.92</v>
      </c>
      <c r="Y1509" s="131" t="s">
        <v>33</v>
      </c>
      <c r="Z1509" s="131" t="s">
        <v>33</v>
      </c>
      <c r="AA1509" s="131" t="s">
        <v>33</v>
      </c>
      <c r="AB1509" s="131" t="s">
        <v>33</v>
      </c>
      <c r="AC1509" s="131">
        <v>0.92</v>
      </c>
      <c r="AD1509" s="129">
        <v>1</v>
      </c>
      <c r="AE1509" s="129">
        <v>0.928571428571429</v>
      </c>
      <c r="AF1509" s="129">
        <v>1</v>
      </c>
      <c r="AG1509" s="129">
        <v>0.989130434782609</v>
      </c>
      <c r="AH1509" s="131">
        <v>0.92</v>
      </c>
      <c r="AI1509" s="129">
        <v>0.94070981210856</v>
      </c>
      <c r="AJ1509" s="129">
        <v>0.947487721949377</v>
      </c>
      <c r="AK1509" s="129">
        <v>0.962301587301587</v>
      </c>
      <c r="AL1509" s="129">
        <v>0.939558040003494</v>
      </c>
      <c r="AM1509" s="128">
        <v>0.99</v>
      </c>
      <c r="AN1509" s="133">
        <v>1</v>
      </c>
      <c r="AO1509" s="133">
        <v>1</v>
      </c>
      <c r="AP1509" s="133">
        <v>1</v>
      </c>
      <c r="AQ1509" s="133">
        <v>1</v>
      </c>
      <c r="AR1509" s="153">
        <v>0.110069253262963</v>
      </c>
      <c r="AS1509" s="137">
        <v>0.0555555555555556</v>
      </c>
      <c r="AT1509" s="137">
        <v>0.111111111111111</v>
      </c>
      <c r="AU1509" s="137">
        <v>0.0476190476190476</v>
      </c>
      <c r="AV1509" s="137">
        <v>0.0580912863070539</v>
      </c>
      <c r="AW1509" s="93"/>
      <c r="AX1509" s="91"/>
    </row>
    <row r="1510" ht="14.5" spans="1:50">
      <c r="A1510" s="89"/>
      <c r="B1510" s="93"/>
      <c r="C1510" s="148" t="s">
        <v>1449</v>
      </c>
      <c r="D1510" s="126" t="s">
        <v>1450</v>
      </c>
      <c r="E1510" s="164" t="s">
        <v>1536</v>
      </c>
      <c r="F1510" s="164" t="s">
        <v>1536</v>
      </c>
      <c r="G1510" s="164" t="s">
        <v>1536</v>
      </c>
      <c r="H1510" s="164" t="s">
        <v>1536</v>
      </c>
      <c r="I1510" s="128">
        <v>0.9</v>
      </c>
      <c r="J1510" s="129">
        <v>1</v>
      </c>
      <c r="K1510" s="129">
        <v>1</v>
      </c>
      <c r="L1510" s="130">
        <v>0.96551724137931</v>
      </c>
      <c r="M1510" s="129">
        <v>0.983870967741935</v>
      </c>
      <c r="N1510" s="131">
        <v>0.9</v>
      </c>
      <c r="O1510" s="129">
        <v>0.968253968253968</v>
      </c>
      <c r="P1510" s="129">
        <v>0.960252365930599</v>
      </c>
      <c r="Q1510" s="129">
        <v>0.951098511693834</v>
      </c>
      <c r="R1510" s="129">
        <v>0.958798754806812</v>
      </c>
      <c r="S1510" s="131">
        <v>0.9</v>
      </c>
      <c r="T1510" s="129">
        <v>0.746031746031746</v>
      </c>
      <c r="U1510" s="129">
        <v>0.707255520504732</v>
      </c>
      <c r="V1510" s="129">
        <v>0.716513111268604</v>
      </c>
      <c r="W1510" s="129">
        <v>0.675761460050052</v>
      </c>
      <c r="X1510" s="131">
        <v>0.92</v>
      </c>
      <c r="Y1510" s="131">
        <v>0.86392811296534</v>
      </c>
      <c r="Z1510" s="131">
        <v>0.842443729903537</v>
      </c>
      <c r="AA1510" s="131">
        <v>0.902777777777778</v>
      </c>
      <c r="AB1510" s="131">
        <v>0.841904018728053</v>
      </c>
      <c r="AC1510" s="131">
        <v>0.92</v>
      </c>
      <c r="AD1510" s="129">
        <v>1</v>
      </c>
      <c r="AE1510" s="129">
        <v>1</v>
      </c>
      <c r="AF1510" s="129">
        <v>1</v>
      </c>
      <c r="AG1510" s="129">
        <v>0.998214285714286</v>
      </c>
      <c r="AH1510" s="131">
        <v>0.92</v>
      </c>
      <c r="AI1510" s="129">
        <v>0.904352226720648</v>
      </c>
      <c r="AJ1510" s="129">
        <v>0.901378579003181</v>
      </c>
      <c r="AK1510" s="129">
        <v>0.938899430740038</v>
      </c>
      <c r="AL1510" s="129">
        <v>0.891472602739726</v>
      </c>
      <c r="AM1510" s="128">
        <v>0.99</v>
      </c>
      <c r="AN1510" s="133">
        <v>1</v>
      </c>
      <c r="AO1510" s="133">
        <v>1</v>
      </c>
      <c r="AP1510" s="133">
        <v>1</v>
      </c>
      <c r="AQ1510" s="133">
        <v>1</v>
      </c>
      <c r="AR1510" s="153">
        <v>0.110069253262963</v>
      </c>
      <c r="AS1510" s="137">
        <v>0</v>
      </c>
      <c r="AT1510" s="137">
        <v>0.111111111111111</v>
      </c>
      <c r="AU1510" s="137">
        <v>0.0833333333333333</v>
      </c>
      <c r="AV1510" s="137">
        <v>0.0581395348837209</v>
      </c>
      <c r="AW1510" s="93"/>
      <c r="AX1510" s="91"/>
    </row>
    <row r="1511" ht="14.5" spans="1:50">
      <c r="A1511" s="89"/>
      <c r="B1511" s="93"/>
      <c r="C1511" s="148" t="s">
        <v>1449</v>
      </c>
      <c r="D1511" s="126" t="s">
        <v>1450</v>
      </c>
      <c r="E1511" s="164" t="s">
        <v>1537</v>
      </c>
      <c r="F1511" s="164" t="s">
        <v>1537</v>
      </c>
      <c r="G1511" s="164" t="s">
        <v>1537</v>
      </c>
      <c r="H1511" s="164" t="s">
        <v>1537</v>
      </c>
      <c r="I1511" s="128">
        <v>0.9</v>
      </c>
      <c r="J1511" s="129">
        <v>0.958333333333333</v>
      </c>
      <c r="K1511" s="129">
        <v>1</v>
      </c>
      <c r="L1511" s="130">
        <v>0.956521739130435</v>
      </c>
      <c r="M1511" s="129">
        <v>0.972222222222222</v>
      </c>
      <c r="N1511" s="131">
        <v>0.9</v>
      </c>
      <c r="O1511" s="129">
        <v>0.949854227405248</v>
      </c>
      <c r="P1511" s="129">
        <v>0.941983122362869</v>
      </c>
      <c r="Q1511" s="129">
        <v>0.780730897009967</v>
      </c>
      <c r="R1511" s="129">
        <v>0.917705936957662</v>
      </c>
      <c r="S1511" s="131">
        <v>0.9</v>
      </c>
      <c r="T1511" s="129">
        <v>0.871137026239067</v>
      </c>
      <c r="U1511" s="129">
        <v>0.873417721518987</v>
      </c>
      <c r="V1511" s="129">
        <v>0.725201708590413</v>
      </c>
      <c r="W1511" s="129">
        <v>0.85676231989345</v>
      </c>
      <c r="X1511" s="131">
        <v>0.92</v>
      </c>
      <c r="Y1511" s="131" t="s">
        <v>33</v>
      </c>
      <c r="Z1511" s="131" t="s">
        <v>33</v>
      </c>
      <c r="AA1511" s="131" t="s">
        <v>33</v>
      </c>
      <c r="AB1511" s="131" t="s">
        <v>33</v>
      </c>
      <c r="AC1511" s="131">
        <v>0.92</v>
      </c>
      <c r="AD1511" s="129">
        <v>0.9</v>
      </c>
      <c r="AE1511" s="129">
        <v>0.829545454545455</v>
      </c>
      <c r="AF1511" s="129">
        <v>1</v>
      </c>
      <c r="AG1511" s="129">
        <v>0.869814020028612</v>
      </c>
      <c r="AH1511" s="131">
        <v>0.92</v>
      </c>
      <c r="AI1511" s="129">
        <v>0.935276967930029</v>
      </c>
      <c r="AJ1511" s="129">
        <v>0.937236286919831</v>
      </c>
      <c r="AK1511" s="129">
        <v>0.927859515899383</v>
      </c>
      <c r="AL1511" s="129">
        <v>0.938370262743674</v>
      </c>
      <c r="AM1511" s="128">
        <v>0.99</v>
      </c>
      <c r="AN1511" s="133" t="s">
        <v>33</v>
      </c>
      <c r="AO1511" s="133">
        <v>1</v>
      </c>
      <c r="AP1511" s="133" t="s">
        <v>33</v>
      </c>
      <c r="AQ1511" s="133">
        <v>1</v>
      </c>
      <c r="AR1511" s="153">
        <v>0.110069253262963</v>
      </c>
      <c r="AS1511" s="137">
        <v>0</v>
      </c>
      <c r="AT1511" s="137">
        <v>0.2</v>
      </c>
      <c r="AU1511" s="137">
        <v>0</v>
      </c>
      <c r="AV1511" s="137">
        <v>0.0727272727272727</v>
      </c>
      <c r="AW1511" s="93"/>
      <c r="AX1511" s="91"/>
    </row>
    <row r="1512" ht="14.5" spans="1:50">
      <c r="A1512" s="89"/>
      <c r="B1512" s="93"/>
      <c r="C1512" s="148" t="s">
        <v>1449</v>
      </c>
      <c r="D1512" s="126" t="s">
        <v>1450</v>
      </c>
      <c r="E1512" s="164" t="s">
        <v>1538</v>
      </c>
      <c r="F1512" s="164" t="s">
        <v>1538</v>
      </c>
      <c r="G1512" s="164" t="s">
        <v>1538</v>
      </c>
      <c r="H1512" s="164" t="s">
        <v>1538</v>
      </c>
      <c r="I1512" s="128">
        <v>0.9</v>
      </c>
      <c r="J1512" s="129">
        <v>1</v>
      </c>
      <c r="K1512" s="129">
        <v>1</v>
      </c>
      <c r="L1512" s="130">
        <v>1</v>
      </c>
      <c r="M1512" s="129">
        <v>0.994845360824742</v>
      </c>
      <c r="N1512" s="131">
        <v>0.9</v>
      </c>
      <c r="O1512" s="129">
        <v>0.730994152046784</v>
      </c>
      <c r="P1512" s="129">
        <v>0.998080614203455</v>
      </c>
      <c r="Q1512" s="129">
        <v>0.995910020449898</v>
      </c>
      <c r="R1512" s="129">
        <v>0.955999752459929</v>
      </c>
      <c r="S1512" s="131">
        <v>0.9</v>
      </c>
      <c r="T1512" s="129">
        <v>0.841269841269841</v>
      </c>
      <c r="U1512" s="129">
        <v>0.646193218170185</v>
      </c>
      <c r="V1512" s="129">
        <v>0.612133605998637</v>
      </c>
      <c r="W1512" s="129">
        <v>0.663345504053469</v>
      </c>
      <c r="X1512" s="131">
        <v>0.92</v>
      </c>
      <c r="Y1512" s="131" t="s">
        <v>33</v>
      </c>
      <c r="Z1512" s="131" t="s">
        <v>33</v>
      </c>
      <c r="AA1512" s="131" t="s">
        <v>33</v>
      </c>
      <c r="AB1512" s="131" t="s">
        <v>33</v>
      </c>
      <c r="AC1512" s="131">
        <v>0.92</v>
      </c>
      <c r="AD1512" s="129">
        <v>1</v>
      </c>
      <c r="AE1512" s="129">
        <v>1</v>
      </c>
      <c r="AF1512" s="129">
        <v>1</v>
      </c>
      <c r="AG1512" s="129">
        <v>1</v>
      </c>
      <c r="AH1512" s="131">
        <v>0.92</v>
      </c>
      <c r="AI1512" s="129">
        <v>0.924812030075188</v>
      </c>
      <c r="AJ1512" s="129">
        <v>0.940499040307102</v>
      </c>
      <c r="AK1512" s="129">
        <v>0.892978868438991</v>
      </c>
      <c r="AL1512" s="129">
        <v>0.912742125131506</v>
      </c>
      <c r="AM1512" s="128">
        <v>0.99</v>
      </c>
      <c r="AN1512" s="133">
        <v>1</v>
      </c>
      <c r="AO1512" s="133">
        <v>1</v>
      </c>
      <c r="AP1512" s="133">
        <v>1</v>
      </c>
      <c r="AQ1512" s="133">
        <v>1</v>
      </c>
      <c r="AR1512" s="153">
        <v>0.110069253262963</v>
      </c>
      <c r="AS1512" s="137">
        <v>0.333333333333333</v>
      </c>
      <c r="AT1512" s="137">
        <v>0.0666666666666667</v>
      </c>
      <c r="AU1512" s="137">
        <v>0.0769230769230769</v>
      </c>
      <c r="AV1512" s="137">
        <v>0.0666666666666667</v>
      </c>
      <c r="AW1512" s="93"/>
      <c r="AX1512" s="91"/>
    </row>
    <row r="1513" ht="14.5" spans="1:50">
      <c r="A1513" s="89"/>
      <c r="B1513" s="93"/>
      <c r="C1513" s="148" t="s">
        <v>1449</v>
      </c>
      <c r="D1513" s="126" t="s">
        <v>1450</v>
      </c>
      <c r="E1513" s="164" t="s">
        <v>1539</v>
      </c>
      <c r="F1513" s="164" t="s">
        <v>1539</v>
      </c>
      <c r="G1513" s="164" t="s">
        <v>1539</v>
      </c>
      <c r="H1513" s="164" t="s">
        <v>1539</v>
      </c>
      <c r="I1513" s="128">
        <v>0.9</v>
      </c>
      <c r="J1513" s="129">
        <v>1</v>
      </c>
      <c r="K1513" s="129">
        <v>0.958333333333333</v>
      </c>
      <c r="L1513" s="130">
        <v>1</v>
      </c>
      <c r="M1513" s="129">
        <v>0.978947368421053</v>
      </c>
      <c r="N1513" s="131">
        <v>0.9</v>
      </c>
      <c r="O1513" s="129">
        <v>0.99017199017199</v>
      </c>
      <c r="P1513" s="129">
        <v>0.932448036951501</v>
      </c>
      <c r="Q1513" s="129">
        <v>0.987100737100737</v>
      </c>
      <c r="R1513" s="129">
        <v>0.962369337979094</v>
      </c>
      <c r="S1513" s="131">
        <v>0.9</v>
      </c>
      <c r="T1513" s="129">
        <v>0.738738738738739</v>
      </c>
      <c r="U1513" s="129">
        <v>0.669168591224019</v>
      </c>
      <c r="V1513" s="129">
        <v>0.651719901719902</v>
      </c>
      <c r="W1513" s="129">
        <v>0.696806039488966</v>
      </c>
      <c r="X1513" s="131">
        <v>0.92</v>
      </c>
      <c r="Y1513" s="131" t="s">
        <v>33</v>
      </c>
      <c r="Z1513" s="131" t="s">
        <v>33</v>
      </c>
      <c r="AA1513" s="131" t="s">
        <v>33</v>
      </c>
      <c r="AB1513" s="131" t="s">
        <v>33</v>
      </c>
      <c r="AC1513" s="131">
        <v>0.92</v>
      </c>
      <c r="AD1513" s="129">
        <v>1</v>
      </c>
      <c r="AE1513" s="129">
        <v>1</v>
      </c>
      <c r="AF1513" s="129">
        <v>1</v>
      </c>
      <c r="AG1513" s="129">
        <v>0.985611510791367</v>
      </c>
      <c r="AH1513" s="131">
        <v>0.92</v>
      </c>
      <c r="AI1513" s="129">
        <v>0.909090909090909</v>
      </c>
      <c r="AJ1513" s="129">
        <v>0.914549653579677</v>
      </c>
      <c r="AK1513" s="129">
        <v>0.963759213759214</v>
      </c>
      <c r="AL1513" s="129">
        <v>0.948780487804878</v>
      </c>
      <c r="AM1513" s="128">
        <v>0.99</v>
      </c>
      <c r="AN1513" s="133">
        <v>1</v>
      </c>
      <c r="AO1513" s="133">
        <v>1</v>
      </c>
      <c r="AP1513" s="133">
        <v>1</v>
      </c>
      <c r="AQ1513" s="133">
        <v>1</v>
      </c>
      <c r="AR1513" s="153">
        <v>0.110069253262963</v>
      </c>
      <c r="AS1513" s="137">
        <v>1</v>
      </c>
      <c r="AT1513" s="137">
        <v>0.111111111111111</v>
      </c>
      <c r="AU1513" s="137">
        <v>0</v>
      </c>
      <c r="AV1513" s="137">
        <v>0.092436974789916</v>
      </c>
      <c r="AW1513" s="93"/>
      <c r="AX1513" s="91"/>
    </row>
    <row r="1514" ht="14.5" spans="1:50">
      <c r="A1514" s="89"/>
      <c r="B1514" s="93"/>
      <c r="C1514" s="148" t="s">
        <v>1449</v>
      </c>
      <c r="D1514" s="126" t="s">
        <v>1450</v>
      </c>
      <c r="E1514" s="164" t="s">
        <v>1540</v>
      </c>
      <c r="F1514" s="164" t="s">
        <v>1540</v>
      </c>
      <c r="G1514" s="164" t="s">
        <v>1540</v>
      </c>
      <c r="H1514" s="164" t="s">
        <v>1540</v>
      </c>
      <c r="I1514" s="128">
        <v>0.9</v>
      </c>
      <c r="J1514" s="129">
        <v>0.947368421052632</v>
      </c>
      <c r="K1514" s="129">
        <v>0.975</v>
      </c>
      <c r="L1514" s="130">
        <v>0.953488372093023</v>
      </c>
      <c r="M1514" s="129">
        <v>0.927505330490405</v>
      </c>
      <c r="N1514" s="131">
        <v>0.9</v>
      </c>
      <c r="O1514" s="129">
        <v>0.756729304215338</v>
      </c>
      <c r="P1514" s="129">
        <v>0.767828843106181</v>
      </c>
      <c r="Q1514" s="129">
        <v>0.67109634551495</v>
      </c>
      <c r="R1514" s="129">
        <v>0.720463335102753</v>
      </c>
      <c r="S1514" s="131">
        <v>0.9</v>
      </c>
      <c r="T1514" s="129">
        <v>0.782122905027933</v>
      </c>
      <c r="U1514" s="129">
        <v>0.846804014791336</v>
      </c>
      <c r="V1514" s="129">
        <v>0.73687707641196</v>
      </c>
      <c r="W1514" s="129">
        <v>0.771422613179647</v>
      </c>
      <c r="X1514" s="131">
        <v>0.92</v>
      </c>
      <c r="Y1514" s="131" t="s">
        <v>33</v>
      </c>
      <c r="Z1514" s="131" t="s">
        <v>33</v>
      </c>
      <c r="AA1514" s="131" t="s">
        <v>33</v>
      </c>
      <c r="AB1514" s="131">
        <v>0</v>
      </c>
      <c r="AC1514" s="131">
        <v>0.92</v>
      </c>
      <c r="AD1514" s="129">
        <v>0.912060301507538</v>
      </c>
      <c r="AE1514" s="129">
        <v>0.820869565217391</v>
      </c>
      <c r="AF1514" s="129">
        <v>0.356617647058824</v>
      </c>
      <c r="AG1514" s="129">
        <v>0.802954719877206</v>
      </c>
      <c r="AH1514" s="131">
        <v>0.92</v>
      </c>
      <c r="AI1514" s="129">
        <v>0.911122397155917</v>
      </c>
      <c r="AJ1514" s="129">
        <v>0.970417326994189</v>
      </c>
      <c r="AK1514" s="129">
        <v>0.952380952380952</v>
      </c>
      <c r="AL1514" s="129">
        <v>0.924093347741189</v>
      </c>
      <c r="AM1514" s="128">
        <v>0.99</v>
      </c>
      <c r="AN1514" s="133">
        <v>1</v>
      </c>
      <c r="AO1514" s="133">
        <v>1</v>
      </c>
      <c r="AP1514" s="133">
        <v>1</v>
      </c>
      <c r="AQ1514" s="133">
        <v>1</v>
      </c>
      <c r="AR1514" s="153">
        <v>0.110069253262963</v>
      </c>
      <c r="AS1514" s="137">
        <v>0.08</v>
      </c>
      <c r="AT1514" s="137">
        <v>0.0606060606060606</v>
      </c>
      <c r="AU1514" s="137">
        <v>0.186046511627907</v>
      </c>
      <c r="AV1514" s="137">
        <v>0.0777479892761394</v>
      </c>
      <c r="AW1514" s="93"/>
      <c r="AX1514" s="91"/>
    </row>
    <row r="1515" ht="14.5" spans="1:50">
      <c r="A1515" s="89"/>
      <c r="B1515" s="93"/>
      <c r="C1515" s="148" t="s">
        <v>1449</v>
      </c>
      <c r="D1515" s="126" t="s">
        <v>1450</v>
      </c>
      <c r="E1515" s="164" t="s">
        <v>1541</v>
      </c>
      <c r="F1515" s="164" t="s">
        <v>1541</v>
      </c>
      <c r="G1515" s="164" t="s">
        <v>1541</v>
      </c>
      <c r="H1515" s="164" t="s">
        <v>1541</v>
      </c>
      <c r="I1515" s="128">
        <v>0.9</v>
      </c>
      <c r="J1515" s="129">
        <v>0.958333333333333</v>
      </c>
      <c r="K1515" s="129">
        <v>0.956521739130435</v>
      </c>
      <c r="L1515" s="130">
        <v>1</v>
      </c>
      <c r="M1515" s="129">
        <v>0.981617647058823</v>
      </c>
      <c r="N1515" s="131">
        <v>0.9</v>
      </c>
      <c r="O1515" s="129">
        <v>0</v>
      </c>
      <c r="P1515" s="129" t="s">
        <v>33</v>
      </c>
      <c r="Q1515" s="129" t="s">
        <v>33</v>
      </c>
      <c r="R1515" s="129">
        <v>0.333333333333333</v>
      </c>
      <c r="S1515" s="131">
        <v>0.9</v>
      </c>
      <c r="T1515" s="129">
        <v>0</v>
      </c>
      <c r="U1515" s="129" t="s">
        <v>33</v>
      </c>
      <c r="V1515" s="129" t="s">
        <v>33</v>
      </c>
      <c r="W1515" s="129">
        <v>0.333333333333333</v>
      </c>
      <c r="X1515" s="131">
        <v>0.92</v>
      </c>
      <c r="Y1515" s="131" t="s">
        <v>33</v>
      </c>
      <c r="Z1515" s="131" t="s">
        <v>33</v>
      </c>
      <c r="AA1515" s="131" t="s">
        <v>33</v>
      </c>
      <c r="AB1515" s="131" t="s">
        <v>33</v>
      </c>
      <c r="AC1515" s="131">
        <v>0.92</v>
      </c>
      <c r="AD1515" s="129">
        <v>0.333333333333333</v>
      </c>
      <c r="AE1515" s="129">
        <v>0</v>
      </c>
      <c r="AF1515" s="129">
        <v>1</v>
      </c>
      <c r="AG1515" s="129">
        <v>0.724137931034483</v>
      </c>
      <c r="AH1515" s="131">
        <v>0.92</v>
      </c>
      <c r="AI1515" s="129">
        <v>0.667079207920792</v>
      </c>
      <c r="AJ1515" s="129">
        <v>0.725467952353942</v>
      </c>
      <c r="AK1515" s="129">
        <v>0.85865504358655</v>
      </c>
      <c r="AL1515" s="129">
        <v>0.778416104833349</v>
      </c>
      <c r="AM1515" s="128">
        <v>0.99</v>
      </c>
      <c r="AN1515" s="133">
        <v>1</v>
      </c>
      <c r="AO1515" s="133">
        <v>1</v>
      </c>
      <c r="AP1515" s="133">
        <v>1</v>
      </c>
      <c r="AQ1515" s="133">
        <v>1</v>
      </c>
      <c r="AR1515" s="153">
        <v>0.110069253262963</v>
      </c>
      <c r="AS1515" s="137">
        <v>0</v>
      </c>
      <c r="AT1515" s="137">
        <v>0.1</v>
      </c>
      <c r="AU1515" s="137">
        <v>0.105263157894737</v>
      </c>
      <c r="AV1515" s="137">
        <v>0.0428571428571429</v>
      </c>
      <c r="AW1515" s="93"/>
      <c r="AX1515" s="91"/>
    </row>
    <row r="1516" ht="14.5" spans="1:50">
      <c r="A1516" s="89"/>
      <c r="B1516" s="93"/>
      <c r="C1516" s="148" t="s">
        <v>1449</v>
      </c>
      <c r="D1516" s="126" t="s">
        <v>1450</v>
      </c>
      <c r="E1516" s="164" t="s">
        <v>1542</v>
      </c>
      <c r="F1516" s="164" t="s">
        <v>1542</v>
      </c>
      <c r="G1516" s="164" t="s">
        <v>1542</v>
      </c>
      <c r="H1516" s="164" t="s">
        <v>1542</v>
      </c>
      <c r="I1516" s="128">
        <v>0.9</v>
      </c>
      <c r="J1516" s="129">
        <v>1</v>
      </c>
      <c r="K1516" s="129">
        <v>1</v>
      </c>
      <c r="L1516" s="130">
        <v>1</v>
      </c>
      <c r="M1516" s="129">
        <v>0.976958525345622</v>
      </c>
      <c r="N1516" s="131">
        <v>0.9</v>
      </c>
      <c r="O1516" s="129">
        <v>0.992450240219629</v>
      </c>
      <c r="P1516" s="129">
        <v>0.998028909329829</v>
      </c>
      <c r="Q1516" s="129">
        <v>0.985958485958486</v>
      </c>
      <c r="R1516" s="129">
        <v>0.979186082634358</v>
      </c>
      <c r="S1516" s="131">
        <v>0.9</v>
      </c>
      <c r="T1516" s="129">
        <v>0.956074124914207</v>
      </c>
      <c r="U1516" s="129">
        <v>0.961235216819974</v>
      </c>
      <c r="V1516" s="129">
        <v>0.961538461538462</v>
      </c>
      <c r="W1516" s="129">
        <v>0.95076110593352</v>
      </c>
      <c r="X1516" s="131">
        <v>0.92</v>
      </c>
      <c r="Y1516" s="131" t="s">
        <v>33</v>
      </c>
      <c r="Z1516" s="131" t="s">
        <v>33</v>
      </c>
      <c r="AA1516" s="131" t="s">
        <v>33</v>
      </c>
      <c r="AB1516" s="131" t="s">
        <v>33</v>
      </c>
      <c r="AC1516" s="131">
        <v>0.92</v>
      </c>
      <c r="AD1516" s="129">
        <v>0.352941176470588</v>
      </c>
      <c r="AE1516" s="129">
        <v>1</v>
      </c>
      <c r="AF1516" s="129">
        <v>0.985714285714286</v>
      </c>
      <c r="AG1516" s="129">
        <v>0.910233393177738</v>
      </c>
      <c r="AH1516" s="131">
        <v>0.92</v>
      </c>
      <c r="AI1516" s="129">
        <v>0.971859986273164</v>
      </c>
      <c r="AJ1516" s="129">
        <v>0.986202365308804</v>
      </c>
      <c r="AK1516" s="129">
        <v>0.986568986568987</v>
      </c>
      <c r="AL1516" s="129">
        <v>0.984881433157295</v>
      </c>
      <c r="AM1516" s="128">
        <v>0.99</v>
      </c>
      <c r="AN1516" s="133">
        <v>1</v>
      </c>
      <c r="AO1516" s="133">
        <v>1</v>
      </c>
      <c r="AP1516" s="133">
        <v>1</v>
      </c>
      <c r="AQ1516" s="133">
        <v>1</v>
      </c>
      <c r="AR1516" s="153">
        <v>0.110069253262963</v>
      </c>
      <c r="AS1516" s="137">
        <v>0.166666666666667</v>
      </c>
      <c r="AT1516" s="137">
        <v>0.117647058823529</v>
      </c>
      <c r="AU1516" s="137">
        <v>0</v>
      </c>
      <c r="AV1516" s="137">
        <v>0.0748299319727891</v>
      </c>
      <c r="AW1516" s="93"/>
      <c r="AX1516" s="91"/>
    </row>
    <row r="1517" ht="14.5" spans="1:50">
      <c r="A1517" s="89"/>
      <c r="B1517" s="93"/>
      <c r="C1517" s="148" t="s">
        <v>1449</v>
      </c>
      <c r="D1517" s="126" t="s">
        <v>1450</v>
      </c>
      <c r="E1517" s="164" t="s">
        <v>1543</v>
      </c>
      <c r="F1517" s="164" t="s">
        <v>1543</v>
      </c>
      <c r="G1517" s="164" t="s">
        <v>1543</v>
      </c>
      <c r="H1517" s="164" t="s">
        <v>1543</v>
      </c>
      <c r="I1517" s="128">
        <v>0.9</v>
      </c>
      <c r="J1517" s="129">
        <v>1</v>
      </c>
      <c r="K1517" s="129">
        <v>1</v>
      </c>
      <c r="L1517" s="130">
        <v>1</v>
      </c>
      <c r="M1517" s="129">
        <v>0.989189189189189</v>
      </c>
      <c r="N1517" s="131">
        <v>0.9</v>
      </c>
      <c r="O1517" s="129">
        <v>0.995502248875562</v>
      </c>
      <c r="P1517" s="129">
        <v>0.961277173913043</v>
      </c>
      <c r="Q1517" s="129">
        <v>0.932068543451652</v>
      </c>
      <c r="R1517" s="129">
        <v>0.970265710670603</v>
      </c>
      <c r="S1517" s="131">
        <v>0.9</v>
      </c>
      <c r="T1517" s="129">
        <v>0.907796101949025</v>
      </c>
      <c r="U1517" s="129">
        <v>0.904211956521739</v>
      </c>
      <c r="V1517" s="129">
        <v>0.831701346389229</v>
      </c>
      <c r="W1517" s="129">
        <v>0.866301138760017</v>
      </c>
      <c r="X1517" s="131">
        <v>0.92</v>
      </c>
      <c r="Y1517" s="131" t="s">
        <v>33</v>
      </c>
      <c r="Z1517" s="131" t="s">
        <v>33</v>
      </c>
      <c r="AA1517" s="131" t="s">
        <v>33</v>
      </c>
      <c r="AB1517" s="131" t="s">
        <v>33</v>
      </c>
      <c r="AC1517" s="131">
        <v>0.92</v>
      </c>
      <c r="AD1517" s="129">
        <v>0.957142857142857</v>
      </c>
      <c r="AE1517" s="129">
        <v>1</v>
      </c>
      <c r="AF1517" s="129">
        <v>1</v>
      </c>
      <c r="AG1517" s="129">
        <v>0.981732070365359</v>
      </c>
      <c r="AH1517" s="131">
        <v>0.92</v>
      </c>
      <c r="AI1517" s="129">
        <v>0.933333333333333</v>
      </c>
      <c r="AJ1517" s="129">
        <v>0.949048913043478</v>
      </c>
      <c r="AK1517" s="129">
        <v>0.948044009779951</v>
      </c>
      <c r="AL1517" s="129">
        <v>0.938507745810939</v>
      </c>
      <c r="AM1517" s="128">
        <v>0.99</v>
      </c>
      <c r="AN1517" s="133">
        <v>1</v>
      </c>
      <c r="AO1517" s="133">
        <v>1</v>
      </c>
      <c r="AP1517" s="133">
        <v>1</v>
      </c>
      <c r="AQ1517" s="133">
        <v>1</v>
      </c>
      <c r="AR1517" s="153">
        <v>0.110069253262963</v>
      </c>
      <c r="AS1517" s="137">
        <v>0</v>
      </c>
      <c r="AT1517" s="137">
        <v>0.0769230769230769</v>
      </c>
      <c r="AU1517" s="137">
        <v>0</v>
      </c>
      <c r="AV1517" s="137">
        <v>0.047244094488189</v>
      </c>
      <c r="AW1517" s="93"/>
      <c r="AX1517" s="91"/>
    </row>
    <row r="1518" ht="14.5" spans="1:50">
      <c r="A1518" s="89"/>
      <c r="B1518" s="93"/>
      <c r="C1518" s="148" t="s">
        <v>1449</v>
      </c>
      <c r="D1518" s="126" t="s">
        <v>1450</v>
      </c>
      <c r="E1518" s="164" t="s">
        <v>1544</v>
      </c>
      <c r="F1518" s="164" t="s">
        <v>1544</v>
      </c>
      <c r="G1518" s="164" t="s">
        <v>1544</v>
      </c>
      <c r="H1518" s="164" t="s">
        <v>1544</v>
      </c>
      <c r="I1518" s="128">
        <v>0.9</v>
      </c>
      <c r="J1518" s="129">
        <v>1</v>
      </c>
      <c r="K1518" s="129">
        <v>1</v>
      </c>
      <c r="L1518" s="130">
        <v>1</v>
      </c>
      <c r="M1518" s="129">
        <v>1</v>
      </c>
      <c r="N1518" s="131">
        <v>0.9</v>
      </c>
      <c r="O1518" s="129">
        <v>0.999557913351017</v>
      </c>
      <c r="P1518" s="129">
        <v>0.999221789883268</v>
      </c>
      <c r="Q1518" s="129">
        <v>0.997515527950311</v>
      </c>
      <c r="R1518" s="129">
        <v>0.990336205440108</v>
      </c>
      <c r="S1518" s="131">
        <v>0.9</v>
      </c>
      <c r="T1518" s="129">
        <v>0.985411140583554</v>
      </c>
      <c r="U1518" s="129">
        <v>0.986381322957198</v>
      </c>
      <c r="V1518" s="129">
        <v>0.988405797101449</v>
      </c>
      <c r="W1518" s="129">
        <v>0.981956411556006</v>
      </c>
      <c r="X1518" s="131">
        <v>0.92</v>
      </c>
      <c r="Y1518" s="131" t="s">
        <v>33</v>
      </c>
      <c r="Z1518" s="131" t="s">
        <v>33</v>
      </c>
      <c r="AA1518" s="131" t="s">
        <v>33</v>
      </c>
      <c r="AB1518" s="131" t="s">
        <v>33</v>
      </c>
      <c r="AC1518" s="131">
        <v>0.92</v>
      </c>
      <c r="AD1518" s="129">
        <v>0.925925925925926</v>
      </c>
      <c r="AE1518" s="129">
        <v>1</v>
      </c>
      <c r="AF1518" s="129">
        <v>1</v>
      </c>
      <c r="AG1518" s="129">
        <v>0.959183673469388</v>
      </c>
      <c r="AH1518" s="131">
        <v>0.92</v>
      </c>
      <c r="AI1518" s="129">
        <v>0.99027409372237</v>
      </c>
      <c r="AJ1518" s="129">
        <v>0.995719844357977</v>
      </c>
      <c r="AK1518" s="129">
        <v>0.995031055900621</v>
      </c>
      <c r="AL1518" s="129">
        <v>0.993174522723433</v>
      </c>
      <c r="AM1518" s="128">
        <v>0.99</v>
      </c>
      <c r="AN1518" s="133">
        <v>1</v>
      </c>
      <c r="AO1518" s="133">
        <v>1</v>
      </c>
      <c r="AP1518" s="133">
        <v>1</v>
      </c>
      <c r="AQ1518" s="133">
        <v>1</v>
      </c>
      <c r="AR1518" s="153">
        <v>0.110069253262963</v>
      </c>
      <c r="AS1518" s="137">
        <v>0</v>
      </c>
      <c r="AT1518" s="137">
        <v>0</v>
      </c>
      <c r="AU1518" s="137">
        <v>0</v>
      </c>
      <c r="AV1518" s="137">
        <v>0.0529411764705882</v>
      </c>
      <c r="AW1518" s="93"/>
      <c r="AX1518" s="91"/>
    </row>
    <row r="1519" ht="14.5" spans="1:50">
      <c r="A1519" s="89"/>
      <c r="B1519" s="93"/>
      <c r="C1519" s="148" t="s">
        <v>1449</v>
      </c>
      <c r="D1519" s="126" t="s">
        <v>1450</v>
      </c>
      <c r="E1519" s="164" t="s">
        <v>1545</v>
      </c>
      <c r="F1519" s="164" t="s">
        <v>1545</v>
      </c>
      <c r="G1519" s="164" t="s">
        <v>1545</v>
      </c>
      <c r="H1519" s="164" t="s">
        <v>1545</v>
      </c>
      <c r="I1519" s="128">
        <v>0.9</v>
      </c>
      <c r="J1519" s="129">
        <v>1</v>
      </c>
      <c r="K1519" s="129">
        <v>0.98</v>
      </c>
      <c r="L1519" s="130">
        <v>1</v>
      </c>
      <c r="M1519" s="129">
        <v>0.985480943738657</v>
      </c>
      <c r="N1519" s="131">
        <v>0.9</v>
      </c>
      <c r="O1519" s="129">
        <v>0.957780784844384</v>
      </c>
      <c r="P1519" s="129">
        <v>0.966777408637874</v>
      </c>
      <c r="Q1519" s="129">
        <v>0.990200255645505</v>
      </c>
      <c r="R1519" s="129">
        <v>0.959986480650431</v>
      </c>
      <c r="S1519" s="131">
        <v>0.9</v>
      </c>
      <c r="T1519" s="129">
        <v>0.955615696887686</v>
      </c>
      <c r="U1519" s="129">
        <v>0.963199591106568</v>
      </c>
      <c r="V1519" s="129">
        <v>0.92074989348104</v>
      </c>
      <c r="W1519" s="129">
        <v>0.941397374992959</v>
      </c>
      <c r="X1519" s="131">
        <v>0.92</v>
      </c>
      <c r="Y1519" s="131" t="s">
        <v>33</v>
      </c>
      <c r="Z1519" s="131" t="s">
        <v>33</v>
      </c>
      <c r="AA1519" s="131" t="s">
        <v>33</v>
      </c>
      <c r="AB1519" s="131">
        <v>0</v>
      </c>
      <c r="AC1519" s="131">
        <v>0.92</v>
      </c>
      <c r="AD1519" s="129">
        <v>0.784688995215311</v>
      </c>
      <c r="AE1519" s="129">
        <v>0.745967741935484</v>
      </c>
      <c r="AF1519" s="129">
        <v>0.872641509433962</v>
      </c>
      <c r="AG1519" s="129">
        <v>0.862828111769687</v>
      </c>
      <c r="AH1519" s="131">
        <v>0.92</v>
      </c>
      <c r="AI1519" s="129">
        <v>0.979972936400541</v>
      </c>
      <c r="AJ1519" s="129">
        <v>0.985688729874776</v>
      </c>
      <c r="AK1519" s="129">
        <v>0.983170004260758</v>
      </c>
      <c r="AL1519" s="129">
        <v>0.983946073829284</v>
      </c>
      <c r="AM1519" s="128">
        <v>0.99</v>
      </c>
      <c r="AN1519" s="133">
        <v>1</v>
      </c>
      <c r="AO1519" s="133">
        <v>1</v>
      </c>
      <c r="AP1519" s="133">
        <v>1</v>
      </c>
      <c r="AQ1519" s="133">
        <v>1</v>
      </c>
      <c r="AR1519" s="153">
        <v>0.110069253262963</v>
      </c>
      <c r="AS1519" s="137">
        <v>0</v>
      </c>
      <c r="AT1519" s="137">
        <v>0.0689655172413793</v>
      </c>
      <c r="AU1519" s="137">
        <v>0</v>
      </c>
      <c r="AV1519" s="137">
        <v>0.0594405594405594</v>
      </c>
      <c r="AW1519" s="93"/>
      <c r="AX1519" s="91"/>
    </row>
    <row r="1520" ht="14.5" spans="1:50">
      <c r="A1520" s="89"/>
      <c r="B1520" s="93"/>
      <c r="C1520" s="148" t="s">
        <v>1449</v>
      </c>
      <c r="D1520" s="126" t="s">
        <v>1450</v>
      </c>
      <c r="E1520" s="164" t="s">
        <v>1546</v>
      </c>
      <c r="F1520" s="164" t="s">
        <v>1546</v>
      </c>
      <c r="G1520" s="164" t="s">
        <v>1546</v>
      </c>
      <c r="H1520" s="164" t="s">
        <v>1546</v>
      </c>
      <c r="I1520" s="128">
        <v>0.9</v>
      </c>
      <c r="J1520" s="129">
        <v>1</v>
      </c>
      <c r="K1520" s="129">
        <v>1</v>
      </c>
      <c r="L1520" s="130">
        <v>1</v>
      </c>
      <c r="M1520" s="129">
        <v>0.991228070175439</v>
      </c>
      <c r="N1520" s="131">
        <v>0.9</v>
      </c>
      <c r="O1520" s="129">
        <v>0.972067039106145</v>
      </c>
      <c r="P1520" s="129">
        <v>0.997614503816794</v>
      </c>
      <c r="Q1520" s="129">
        <v>0.92578125</v>
      </c>
      <c r="R1520" s="129">
        <v>0.965154655000384</v>
      </c>
      <c r="S1520" s="131">
        <v>0.9</v>
      </c>
      <c r="T1520" s="129">
        <v>0.94804469273743</v>
      </c>
      <c r="U1520" s="129">
        <v>0.957538167938931</v>
      </c>
      <c r="V1520" s="129">
        <v>0.905815972222222</v>
      </c>
      <c r="W1520" s="129">
        <v>0.939749788932382</v>
      </c>
      <c r="X1520" s="131">
        <v>0.92</v>
      </c>
      <c r="Y1520" s="131" t="s">
        <v>33</v>
      </c>
      <c r="Z1520" s="131" t="s">
        <v>33</v>
      </c>
      <c r="AA1520" s="131" t="s">
        <v>33</v>
      </c>
      <c r="AB1520" s="131" t="s">
        <v>33</v>
      </c>
      <c r="AC1520" s="131">
        <v>0.92</v>
      </c>
      <c r="AD1520" s="129">
        <v>0.953125</v>
      </c>
      <c r="AE1520" s="129">
        <v>0.986111111111111</v>
      </c>
      <c r="AF1520" s="129">
        <v>1</v>
      </c>
      <c r="AG1520" s="129">
        <v>0.918918918918919</v>
      </c>
      <c r="AH1520" s="131">
        <v>0.92</v>
      </c>
      <c r="AI1520" s="129">
        <v>0.972625698324022</v>
      </c>
      <c r="AJ1520" s="129">
        <v>0.978530534351145</v>
      </c>
      <c r="AK1520" s="129">
        <v>0.979166666666667</v>
      </c>
      <c r="AL1520" s="129">
        <v>0.97916186967534</v>
      </c>
      <c r="AM1520" s="128">
        <v>0.99</v>
      </c>
      <c r="AN1520" s="133">
        <v>1</v>
      </c>
      <c r="AO1520" s="133">
        <v>1</v>
      </c>
      <c r="AP1520" s="133">
        <v>1</v>
      </c>
      <c r="AQ1520" s="133">
        <v>1</v>
      </c>
      <c r="AR1520" s="153">
        <v>0.110069253262963</v>
      </c>
      <c r="AS1520" s="137">
        <v>0.0769230769230769</v>
      </c>
      <c r="AT1520" s="137">
        <v>0.0555555555555556</v>
      </c>
      <c r="AU1520" s="137">
        <v>0</v>
      </c>
      <c r="AV1520" s="137">
        <v>0.0617977528089888</v>
      </c>
      <c r="AW1520" s="93"/>
      <c r="AX1520" s="91"/>
    </row>
    <row r="1521" ht="14.5" spans="1:50">
      <c r="A1521" s="89"/>
      <c r="B1521" s="93"/>
      <c r="C1521" s="148" t="s">
        <v>1449</v>
      </c>
      <c r="D1521" s="126" t="s">
        <v>1450</v>
      </c>
      <c r="E1521" s="164" t="s">
        <v>1547</v>
      </c>
      <c r="F1521" s="164" t="s">
        <v>1547</v>
      </c>
      <c r="G1521" s="164" t="s">
        <v>1547</v>
      </c>
      <c r="H1521" s="164" t="s">
        <v>1547</v>
      </c>
      <c r="I1521" s="128">
        <v>0.9</v>
      </c>
      <c r="J1521" s="129">
        <v>0.869565217391304</v>
      </c>
      <c r="K1521" s="129">
        <v>0.909090909090909</v>
      </c>
      <c r="L1521" s="130">
        <v>1</v>
      </c>
      <c r="M1521" s="129">
        <v>0.949612403100775</v>
      </c>
      <c r="N1521" s="131">
        <v>0.9</v>
      </c>
      <c r="O1521" s="129">
        <v>0.951706374758532</v>
      </c>
      <c r="P1521" s="129">
        <v>0.975363941769317</v>
      </c>
      <c r="Q1521" s="129">
        <v>0.929643527204503</v>
      </c>
      <c r="R1521" s="129">
        <v>0.923011047358054</v>
      </c>
      <c r="S1521" s="131">
        <v>0.9</v>
      </c>
      <c r="T1521" s="129">
        <v>0.752736638763683</v>
      </c>
      <c r="U1521" s="129">
        <v>0.796752519596865</v>
      </c>
      <c r="V1521" s="129">
        <v>0.628517823639775</v>
      </c>
      <c r="W1521" s="129">
        <v>0.717478804487454</v>
      </c>
      <c r="X1521" s="131">
        <v>0.92</v>
      </c>
      <c r="Y1521" s="131" t="s">
        <v>33</v>
      </c>
      <c r="Z1521" s="131" t="s">
        <v>33</v>
      </c>
      <c r="AA1521" s="131" t="s">
        <v>33</v>
      </c>
      <c r="AB1521" s="131" t="s">
        <v>33</v>
      </c>
      <c r="AC1521" s="131">
        <v>0.92</v>
      </c>
      <c r="AD1521" s="129">
        <v>1</v>
      </c>
      <c r="AE1521" s="129">
        <v>1</v>
      </c>
      <c r="AF1521" s="129">
        <v>1</v>
      </c>
      <c r="AG1521" s="129">
        <v>0.986013986013986</v>
      </c>
      <c r="AH1521" s="131">
        <v>0.92</v>
      </c>
      <c r="AI1521" s="129">
        <v>0.965228589826143</v>
      </c>
      <c r="AJ1521" s="129">
        <v>0.958006718924972</v>
      </c>
      <c r="AK1521" s="129">
        <v>0.962007504690432</v>
      </c>
      <c r="AL1521" s="129">
        <v>0.963004196283292</v>
      </c>
      <c r="AM1521" s="128">
        <v>0.99</v>
      </c>
      <c r="AN1521" s="133" t="s">
        <v>33</v>
      </c>
      <c r="AO1521" s="133" t="s">
        <v>33</v>
      </c>
      <c r="AP1521" s="133" t="s">
        <v>33</v>
      </c>
      <c r="AQ1521" s="133">
        <v>1</v>
      </c>
      <c r="AR1521" s="153">
        <v>0.110069253262963</v>
      </c>
      <c r="AS1521" s="137">
        <v>0.0666666666666667</v>
      </c>
      <c r="AT1521" s="137">
        <v>0.117647058823529</v>
      </c>
      <c r="AU1521" s="137">
        <v>0.0769230769230769</v>
      </c>
      <c r="AV1521" s="137">
        <v>0.0826771653543307</v>
      </c>
      <c r="AW1521" s="93"/>
      <c r="AX1521" s="91"/>
    </row>
    <row r="1522" ht="14.5" spans="1:50">
      <c r="A1522" s="89"/>
      <c r="B1522" s="93"/>
      <c r="C1522" s="148" t="s">
        <v>1449</v>
      </c>
      <c r="D1522" s="126" t="s">
        <v>1450</v>
      </c>
      <c r="E1522" s="164" t="s">
        <v>1548</v>
      </c>
      <c r="F1522" s="164" t="s">
        <v>1548</v>
      </c>
      <c r="G1522" s="164" t="s">
        <v>1548</v>
      </c>
      <c r="H1522" s="164" t="s">
        <v>1548</v>
      </c>
      <c r="I1522" s="128">
        <v>0.9</v>
      </c>
      <c r="J1522" s="129">
        <v>0.954545454545455</v>
      </c>
      <c r="K1522" s="129">
        <v>1</v>
      </c>
      <c r="L1522" s="130">
        <v>1</v>
      </c>
      <c r="M1522" s="129">
        <v>0.991596638655462</v>
      </c>
      <c r="N1522" s="131">
        <v>0.9</v>
      </c>
      <c r="O1522" s="129">
        <v>0.9644128113879</v>
      </c>
      <c r="P1522" s="129">
        <v>0.969475779694758</v>
      </c>
      <c r="Q1522" s="129">
        <v>0.936085972850679</v>
      </c>
      <c r="R1522" s="129">
        <v>0.965454186023525</v>
      </c>
      <c r="S1522" s="131">
        <v>0.9</v>
      </c>
      <c r="T1522" s="129">
        <v>0.861209964412811</v>
      </c>
      <c r="U1522" s="129">
        <v>0.908427339084273</v>
      </c>
      <c r="V1522" s="129">
        <v>0.93552036199095</v>
      </c>
      <c r="W1522" s="129">
        <v>0.888059701492537</v>
      </c>
      <c r="X1522" s="131">
        <v>0.92</v>
      </c>
      <c r="Y1522" s="131" t="s">
        <v>33</v>
      </c>
      <c r="Z1522" s="131" t="s">
        <v>33</v>
      </c>
      <c r="AA1522" s="131" t="s">
        <v>33</v>
      </c>
      <c r="AB1522" s="131" t="s">
        <v>33</v>
      </c>
      <c r="AC1522" s="131">
        <v>0.92</v>
      </c>
      <c r="AD1522" s="129">
        <v>0.894736842105263</v>
      </c>
      <c r="AE1522" s="129">
        <v>0.906976744186046</v>
      </c>
      <c r="AF1522" s="129">
        <v>0.8</v>
      </c>
      <c r="AG1522" s="129">
        <v>0.869688385269122</v>
      </c>
      <c r="AH1522" s="131">
        <v>0.92</v>
      </c>
      <c r="AI1522" s="129">
        <v>0.967306325515281</v>
      </c>
      <c r="AJ1522" s="129">
        <v>0.981444665341286</v>
      </c>
      <c r="AK1522" s="129">
        <v>0.97909604519774</v>
      </c>
      <c r="AL1522" s="129">
        <v>0.983901234567901</v>
      </c>
      <c r="AM1522" s="128">
        <v>0.99</v>
      </c>
      <c r="AN1522" s="133">
        <v>1</v>
      </c>
      <c r="AO1522" s="133">
        <v>1</v>
      </c>
      <c r="AP1522" s="133">
        <v>1</v>
      </c>
      <c r="AQ1522" s="133">
        <v>1</v>
      </c>
      <c r="AR1522" s="153">
        <v>0.110069253262963</v>
      </c>
      <c r="AS1522" s="137">
        <v>0.0909090909090909</v>
      </c>
      <c r="AT1522" s="137">
        <v>0</v>
      </c>
      <c r="AU1522" s="137">
        <v>0.3</v>
      </c>
      <c r="AV1522" s="137">
        <v>0.0532544378698225</v>
      </c>
      <c r="AW1522" s="93"/>
      <c r="AX1522" s="91"/>
    </row>
    <row r="1523" ht="14.5" spans="1:50">
      <c r="A1523" s="89"/>
      <c r="B1523" s="93"/>
      <c r="C1523" s="148" t="s">
        <v>1449</v>
      </c>
      <c r="D1523" s="126" t="s">
        <v>1450</v>
      </c>
      <c r="E1523" s="164" t="s">
        <v>1549</v>
      </c>
      <c r="F1523" s="164" t="s">
        <v>1549</v>
      </c>
      <c r="G1523" s="164" t="s">
        <v>1549</v>
      </c>
      <c r="H1523" s="164" t="s">
        <v>1549</v>
      </c>
      <c r="I1523" s="128">
        <v>0.9</v>
      </c>
      <c r="J1523" s="129" t="s">
        <v>33</v>
      </c>
      <c r="K1523" s="129" t="s">
        <v>33</v>
      </c>
      <c r="L1523" s="130" t="s">
        <v>33</v>
      </c>
      <c r="M1523" s="129" t="s">
        <v>33</v>
      </c>
      <c r="N1523" s="131">
        <v>0.9</v>
      </c>
      <c r="O1523" s="129" t="s">
        <v>33</v>
      </c>
      <c r="P1523" s="129" t="s">
        <v>33</v>
      </c>
      <c r="Q1523" s="129" t="s">
        <v>33</v>
      </c>
      <c r="R1523" s="129" t="s">
        <v>33</v>
      </c>
      <c r="S1523" s="131">
        <v>0.9</v>
      </c>
      <c r="T1523" s="129" t="s">
        <v>33</v>
      </c>
      <c r="U1523" s="129" t="s">
        <v>33</v>
      </c>
      <c r="V1523" s="129" t="s">
        <v>33</v>
      </c>
      <c r="W1523" s="129" t="s">
        <v>33</v>
      </c>
      <c r="X1523" s="131">
        <v>0.92</v>
      </c>
      <c r="Y1523" s="131" t="s">
        <v>33</v>
      </c>
      <c r="Z1523" s="131" t="s">
        <v>33</v>
      </c>
      <c r="AA1523" s="131" t="s">
        <v>33</v>
      </c>
      <c r="AB1523" s="131" t="s">
        <v>33</v>
      </c>
      <c r="AC1523" s="131">
        <v>0.92</v>
      </c>
      <c r="AD1523" s="129">
        <v>1</v>
      </c>
      <c r="AE1523" s="129">
        <v>1</v>
      </c>
      <c r="AF1523" s="129">
        <v>1</v>
      </c>
      <c r="AG1523" s="129">
        <v>0.99685534591195</v>
      </c>
      <c r="AH1523" s="131">
        <v>0.92</v>
      </c>
      <c r="AI1523" s="129" t="s">
        <v>33</v>
      </c>
      <c r="AJ1523" s="129" t="s">
        <v>33</v>
      </c>
      <c r="AK1523" s="129" t="s">
        <v>33</v>
      </c>
      <c r="AL1523" s="129" t="s">
        <v>33</v>
      </c>
      <c r="AM1523" s="128">
        <v>0.99</v>
      </c>
      <c r="AN1523" s="133" t="s">
        <v>33</v>
      </c>
      <c r="AO1523" s="133" t="s">
        <v>33</v>
      </c>
      <c r="AP1523" s="133" t="s">
        <v>33</v>
      </c>
      <c r="AQ1523" s="133">
        <v>1</v>
      </c>
      <c r="AR1523" s="153">
        <v>0.110069253262963</v>
      </c>
      <c r="AS1523" s="137" t="s">
        <v>33</v>
      </c>
      <c r="AT1523" s="137" t="s">
        <v>33</v>
      </c>
      <c r="AU1523" s="137" t="s">
        <v>33</v>
      </c>
      <c r="AV1523" s="137" t="s">
        <v>33</v>
      </c>
      <c r="AW1523" s="93"/>
      <c r="AX1523" s="91"/>
    </row>
    <row r="1524" ht="14.5" spans="1:50">
      <c r="A1524" s="89"/>
      <c r="B1524" s="93"/>
      <c r="C1524" s="148" t="s">
        <v>1449</v>
      </c>
      <c r="D1524" s="126" t="s">
        <v>1450</v>
      </c>
      <c r="E1524" s="164" t="s">
        <v>1550</v>
      </c>
      <c r="F1524" s="164" t="s">
        <v>1550</v>
      </c>
      <c r="G1524" s="164" t="s">
        <v>1550</v>
      </c>
      <c r="H1524" s="164" t="s">
        <v>1550</v>
      </c>
      <c r="I1524" s="128">
        <v>0.9</v>
      </c>
      <c r="J1524" s="129">
        <v>0.978260869565217</v>
      </c>
      <c r="K1524" s="129">
        <v>1</v>
      </c>
      <c r="L1524" s="130">
        <v>1</v>
      </c>
      <c r="M1524" s="129">
        <v>0.992606284658041</v>
      </c>
      <c r="N1524" s="131">
        <v>0.9</v>
      </c>
      <c r="O1524" s="129">
        <v>0.994735582675281</v>
      </c>
      <c r="P1524" s="129">
        <v>0.998349834983498</v>
      </c>
      <c r="Q1524" s="129">
        <v>0.996243963512788</v>
      </c>
      <c r="R1524" s="129">
        <v>0.993077802282715</v>
      </c>
      <c r="S1524" s="131">
        <v>0.9</v>
      </c>
      <c r="T1524" s="129">
        <v>0.948073701842546</v>
      </c>
      <c r="U1524" s="129">
        <v>0.965965346534653</v>
      </c>
      <c r="V1524" s="129">
        <v>0.934179932033625</v>
      </c>
      <c r="W1524" s="129">
        <v>0.94386580595309</v>
      </c>
      <c r="X1524" s="131">
        <v>0.92</v>
      </c>
      <c r="Y1524" s="131" t="s">
        <v>33</v>
      </c>
      <c r="Z1524" s="131" t="s">
        <v>33</v>
      </c>
      <c r="AA1524" s="131" t="s">
        <v>33</v>
      </c>
      <c r="AB1524" s="131" t="s">
        <v>33</v>
      </c>
      <c r="AC1524" s="131">
        <v>0.92</v>
      </c>
      <c r="AD1524" s="129">
        <v>0.931818181818182</v>
      </c>
      <c r="AE1524" s="129">
        <v>0.961783439490446</v>
      </c>
      <c r="AF1524" s="129">
        <v>1</v>
      </c>
      <c r="AG1524" s="129">
        <v>0.979452054794521</v>
      </c>
      <c r="AH1524" s="131">
        <v>0.92</v>
      </c>
      <c r="AI1524" s="129">
        <v>0.977267288825078</v>
      </c>
      <c r="AJ1524" s="129">
        <v>0.985770261909672</v>
      </c>
      <c r="AK1524" s="129">
        <v>0.986049007333214</v>
      </c>
      <c r="AL1524" s="129">
        <v>0.981455844950259</v>
      </c>
      <c r="AM1524" s="128">
        <v>0.99</v>
      </c>
      <c r="AN1524" s="133">
        <v>1</v>
      </c>
      <c r="AO1524" s="133">
        <v>1</v>
      </c>
      <c r="AP1524" s="133">
        <v>1</v>
      </c>
      <c r="AQ1524" s="133">
        <v>1</v>
      </c>
      <c r="AR1524" s="153">
        <v>0.110069253262963</v>
      </c>
      <c r="AS1524" s="137">
        <v>0.210526315789474</v>
      </c>
      <c r="AT1524" s="137">
        <v>0.0789473684210526</v>
      </c>
      <c r="AU1524" s="137">
        <v>0.209302325581395</v>
      </c>
      <c r="AV1524" s="137">
        <v>0.109227871939736</v>
      </c>
      <c r="AW1524" s="93"/>
      <c r="AX1524" s="91"/>
    </row>
    <row r="1525" ht="14.5" spans="1:50">
      <c r="A1525" s="89"/>
      <c r="B1525" s="93"/>
      <c r="C1525" s="148" t="s">
        <v>1449</v>
      </c>
      <c r="D1525" s="126" t="s">
        <v>1450</v>
      </c>
      <c r="E1525" s="164" t="s">
        <v>1551</v>
      </c>
      <c r="F1525" s="164" t="s">
        <v>1551</v>
      </c>
      <c r="G1525" s="164" t="s">
        <v>1551</v>
      </c>
      <c r="H1525" s="164" t="s">
        <v>1551</v>
      </c>
      <c r="I1525" s="128">
        <v>0.9</v>
      </c>
      <c r="J1525" s="129">
        <v>0.916666666666667</v>
      </c>
      <c r="K1525" s="129">
        <v>0.96</v>
      </c>
      <c r="L1525" s="130">
        <v>1</v>
      </c>
      <c r="M1525" s="129">
        <v>0.945255474452555</v>
      </c>
      <c r="N1525" s="131">
        <v>0.9</v>
      </c>
      <c r="O1525" s="129">
        <v>0.988118811881188</v>
      </c>
      <c r="P1525" s="129">
        <v>0.970121381886088</v>
      </c>
      <c r="Q1525" s="129">
        <v>0.944744495222268</v>
      </c>
      <c r="R1525" s="129">
        <v>0.886026068505608</v>
      </c>
      <c r="S1525" s="131">
        <v>0.9</v>
      </c>
      <c r="T1525" s="129">
        <v>0.897029702970297</v>
      </c>
      <c r="U1525" s="129">
        <v>0.849206349206349</v>
      </c>
      <c r="V1525" s="129">
        <v>0.863315330286664</v>
      </c>
      <c r="W1525" s="129">
        <v>0.793460139436193</v>
      </c>
      <c r="X1525" s="131">
        <v>0.92</v>
      </c>
      <c r="Y1525" s="131" t="s">
        <v>33</v>
      </c>
      <c r="Z1525" s="131" t="s">
        <v>33</v>
      </c>
      <c r="AA1525" s="131" t="s">
        <v>33</v>
      </c>
      <c r="AB1525" s="131" t="s">
        <v>33</v>
      </c>
      <c r="AC1525" s="131">
        <v>0.92</v>
      </c>
      <c r="AD1525" s="129">
        <v>0.992805755395683</v>
      </c>
      <c r="AE1525" s="129">
        <v>0.995024875621891</v>
      </c>
      <c r="AF1525" s="129">
        <v>1</v>
      </c>
      <c r="AG1525" s="129">
        <v>0.994038748137109</v>
      </c>
      <c r="AH1525" s="131">
        <v>0.92</v>
      </c>
      <c r="AI1525" s="129">
        <v>0.948019801980198</v>
      </c>
      <c r="AJ1525" s="129">
        <v>0.936041083099907</v>
      </c>
      <c r="AK1525" s="129">
        <v>0.943082675529705</v>
      </c>
      <c r="AL1525" s="129">
        <v>0.892959987875114</v>
      </c>
      <c r="AM1525" s="128">
        <v>0.99</v>
      </c>
      <c r="AN1525" s="133">
        <v>1</v>
      </c>
      <c r="AO1525" s="133">
        <v>1</v>
      </c>
      <c r="AP1525" s="133">
        <v>1</v>
      </c>
      <c r="AQ1525" s="133">
        <v>1</v>
      </c>
      <c r="AR1525" s="153">
        <v>0.110069253262963</v>
      </c>
      <c r="AS1525" s="137">
        <v>0.0625</v>
      </c>
      <c r="AT1525" s="137">
        <v>0</v>
      </c>
      <c r="AU1525" s="137">
        <v>0.0714285714285714</v>
      </c>
      <c r="AV1525" s="137">
        <v>0.0602409638554217</v>
      </c>
      <c r="AW1525" s="93"/>
      <c r="AX1525" s="91"/>
    </row>
    <row r="1526" ht="14.5" spans="1:50">
      <c r="A1526" s="89"/>
      <c r="B1526" s="93"/>
      <c r="C1526" s="148" t="s">
        <v>1449</v>
      </c>
      <c r="D1526" s="126" t="s">
        <v>1450</v>
      </c>
      <c r="E1526" s="164" t="s">
        <v>1552</v>
      </c>
      <c r="F1526" s="164" t="s">
        <v>1552</v>
      </c>
      <c r="G1526" s="164" t="s">
        <v>1552</v>
      </c>
      <c r="H1526" s="164" t="s">
        <v>1552</v>
      </c>
      <c r="I1526" s="128">
        <v>0.9</v>
      </c>
      <c r="J1526" s="129">
        <v>0.975609756097561</v>
      </c>
      <c r="K1526" s="129">
        <v>0.972972972972973</v>
      </c>
      <c r="L1526" s="130">
        <v>1</v>
      </c>
      <c r="M1526" s="129">
        <v>0.987124463519313</v>
      </c>
      <c r="N1526" s="131">
        <v>0.9</v>
      </c>
      <c r="O1526" s="129">
        <v>0.994487960545402</v>
      </c>
      <c r="P1526" s="129">
        <v>0.990894483128013</v>
      </c>
      <c r="Q1526" s="129">
        <v>0.998683517640864</v>
      </c>
      <c r="R1526" s="129">
        <v>0.980326336364409</v>
      </c>
      <c r="S1526" s="131">
        <v>0.9</v>
      </c>
      <c r="T1526" s="129">
        <v>0.956774006382361</v>
      </c>
      <c r="U1526" s="129">
        <v>0.969201928227102</v>
      </c>
      <c r="V1526" s="129">
        <v>0.957609268035808</v>
      </c>
      <c r="W1526" s="129">
        <v>0.954576357610266</v>
      </c>
      <c r="X1526" s="131">
        <v>0.92</v>
      </c>
      <c r="Y1526" s="131" t="s">
        <v>33</v>
      </c>
      <c r="Z1526" s="131" t="s">
        <v>33</v>
      </c>
      <c r="AA1526" s="131" t="s">
        <v>33</v>
      </c>
      <c r="AB1526" s="131" t="s">
        <v>33</v>
      </c>
      <c r="AC1526" s="131">
        <v>0.92</v>
      </c>
      <c r="AD1526" s="129">
        <v>0.973856209150327</v>
      </c>
      <c r="AE1526" s="129">
        <v>0.980295566502463</v>
      </c>
      <c r="AF1526" s="129">
        <v>0.991666666666667</v>
      </c>
      <c r="AG1526" s="129">
        <v>0.97198275862069</v>
      </c>
      <c r="AH1526" s="131">
        <v>0.92</v>
      </c>
      <c r="AI1526" s="129">
        <v>0.977951842181607</v>
      </c>
      <c r="AJ1526" s="129">
        <v>0.989287627209427</v>
      </c>
      <c r="AK1526" s="129">
        <v>0.989468141126909</v>
      </c>
      <c r="AL1526" s="129">
        <v>0.986658452125513</v>
      </c>
      <c r="AM1526" s="128">
        <v>0.99</v>
      </c>
      <c r="AN1526" s="133">
        <v>1</v>
      </c>
      <c r="AO1526" s="133">
        <v>1</v>
      </c>
      <c r="AP1526" s="133">
        <v>1</v>
      </c>
      <c r="AQ1526" s="133">
        <v>1</v>
      </c>
      <c r="AR1526" s="153">
        <v>0.110069253262963</v>
      </c>
      <c r="AS1526" s="137">
        <v>0.333333333333333</v>
      </c>
      <c r="AT1526" s="137">
        <v>0.105263157894737</v>
      </c>
      <c r="AU1526" s="137">
        <v>0.0454545454545455</v>
      </c>
      <c r="AV1526" s="137">
        <v>0.0916334661354582</v>
      </c>
      <c r="AW1526" s="93"/>
      <c r="AX1526" s="91"/>
    </row>
    <row r="1527" ht="14.5" spans="1:50">
      <c r="A1527" s="89"/>
      <c r="B1527" s="93"/>
      <c r="C1527" s="148" t="s">
        <v>1449</v>
      </c>
      <c r="D1527" s="126" t="s">
        <v>1450</v>
      </c>
      <c r="E1527" s="164" t="s">
        <v>1553</v>
      </c>
      <c r="F1527" s="164" t="s">
        <v>1553</v>
      </c>
      <c r="G1527" s="164" t="s">
        <v>1553</v>
      </c>
      <c r="H1527" s="164" t="s">
        <v>1553</v>
      </c>
      <c r="I1527" s="128">
        <v>0.9</v>
      </c>
      <c r="J1527" s="129">
        <v>0.952380952380952</v>
      </c>
      <c r="K1527" s="129">
        <v>0.926829268292683</v>
      </c>
      <c r="L1527" s="130">
        <v>0.975609756097561</v>
      </c>
      <c r="M1527" s="129">
        <v>0.951020408163265</v>
      </c>
      <c r="N1527" s="131">
        <v>0.9</v>
      </c>
      <c r="O1527" s="129">
        <v>0.943207405554166</v>
      </c>
      <c r="P1527" s="129">
        <v>0.909188492915414</v>
      </c>
      <c r="Q1527" s="129">
        <v>0.87005863438623</v>
      </c>
      <c r="R1527" s="129">
        <v>0.926575720365355</v>
      </c>
      <c r="S1527" s="131">
        <v>0.9</v>
      </c>
      <c r="T1527" s="129">
        <v>0.863397548161121</v>
      </c>
      <c r="U1527" s="129">
        <v>0.868613138686131</v>
      </c>
      <c r="V1527" s="129">
        <v>0.815017968602232</v>
      </c>
      <c r="W1527" s="129">
        <v>0.873807801645108</v>
      </c>
      <c r="X1527" s="131">
        <v>0.92</v>
      </c>
      <c r="Y1527" s="131" t="s">
        <v>33</v>
      </c>
      <c r="Z1527" s="131" t="s">
        <v>33</v>
      </c>
      <c r="AA1527" s="131" t="s">
        <v>33</v>
      </c>
      <c r="AB1527" s="131" t="s">
        <v>33</v>
      </c>
      <c r="AC1527" s="131">
        <v>0.92</v>
      </c>
      <c r="AD1527" s="129">
        <v>1</v>
      </c>
      <c r="AE1527" s="129">
        <v>0.993333333333333</v>
      </c>
      <c r="AF1527" s="129">
        <v>1</v>
      </c>
      <c r="AG1527" s="129">
        <v>0.98907249466951</v>
      </c>
      <c r="AH1527" s="131">
        <v>0.92</v>
      </c>
      <c r="AI1527" s="129">
        <v>0.966975231423568</v>
      </c>
      <c r="AJ1527" s="129">
        <v>0.947617003005582</v>
      </c>
      <c r="AK1527" s="129">
        <v>0.936258747872139</v>
      </c>
      <c r="AL1527" s="129">
        <v>0.960218671152229</v>
      </c>
      <c r="AM1527" s="128">
        <v>0.99</v>
      </c>
      <c r="AN1527" s="133">
        <v>1</v>
      </c>
      <c r="AO1527" s="133">
        <v>1</v>
      </c>
      <c r="AP1527" s="133">
        <v>1</v>
      </c>
      <c r="AQ1527" s="133">
        <v>1</v>
      </c>
      <c r="AR1527" s="153">
        <v>0.110069253262963</v>
      </c>
      <c r="AS1527" s="137">
        <v>0.09375</v>
      </c>
      <c r="AT1527" s="137">
        <v>0</v>
      </c>
      <c r="AU1527" s="137">
        <v>0.0588235294117647</v>
      </c>
      <c r="AV1527" s="137">
        <v>0.0807291666666667</v>
      </c>
      <c r="AW1527" s="93"/>
      <c r="AX1527" s="91"/>
    </row>
    <row r="1528" ht="14.5" spans="1:50">
      <c r="A1528" s="89"/>
      <c r="B1528" s="93"/>
      <c r="C1528" s="148" t="s">
        <v>1449</v>
      </c>
      <c r="D1528" s="126" t="s">
        <v>1450</v>
      </c>
      <c r="E1528" s="164" t="s">
        <v>1554</v>
      </c>
      <c r="F1528" s="164" t="s">
        <v>1554</v>
      </c>
      <c r="G1528" s="164" t="s">
        <v>1554</v>
      </c>
      <c r="H1528" s="164" t="s">
        <v>1554</v>
      </c>
      <c r="I1528" s="128">
        <v>0.9</v>
      </c>
      <c r="J1528" s="129">
        <v>1</v>
      </c>
      <c r="K1528" s="129">
        <v>0.944444444444444</v>
      </c>
      <c r="L1528" s="130">
        <v>0.944444444444444</v>
      </c>
      <c r="M1528" s="129">
        <v>0.955357142857143</v>
      </c>
      <c r="N1528" s="131">
        <v>0.9</v>
      </c>
      <c r="O1528" s="129">
        <v>0.997969543147208</v>
      </c>
      <c r="P1528" s="129">
        <v>0.996565260058881</v>
      </c>
      <c r="Q1528" s="129">
        <v>0.998453209590101</v>
      </c>
      <c r="R1528" s="129">
        <v>0.986769322768725</v>
      </c>
      <c r="S1528" s="131">
        <v>0.9</v>
      </c>
      <c r="T1528" s="129">
        <v>0.945177664974619</v>
      </c>
      <c r="U1528" s="129">
        <v>0.960255152109912</v>
      </c>
      <c r="V1528" s="129">
        <v>0.948182521268368</v>
      </c>
      <c r="W1528" s="129">
        <v>0.931678875766183</v>
      </c>
      <c r="X1528" s="131">
        <v>0.92</v>
      </c>
      <c r="Y1528" s="131" t="s">
        <v>33</v>
      </c>
      <c r="Z1528" s="131" t="s">
        <v>33</v>
      </c>
      <c r="AA1528" s="131" t="s">
        <v>33</v>
      </c>
      <c r="AB1528" s="131" t="s">
        <v>33</v>
      </c>
      <c r="AC1528" s="131">
        <v>0.92</v>
      </c>
      <c r="AD1528" s="129">
        <v>1</v>
      </c>
      <c r="AE1528" s="129">
        <v>0.992307692307692</v>
      </c>
      <c r="AF1528" s="129">
        <v>1</v>
      </c>
      <c r="AG1528" s="129">
        <v>0.992851469420175</v>
      </c>
      <c r="AH1528" s="131">
        <v>0.92</v>
      </c>
      <c r="AI1528" s="129">
        <v>0.966497461928934</v>
      </c>
      <c r="AJ1528" s="129">
        <v>0.984789008832188</v>
      </c>
      <c r="AK1528" s="129">
        <v>0.983758700696056</v>
      </c>
      <c r="AL1528" s="129">
        <v>0.980153984153087</v>
      </c>
      <c r="AM1528" s="128">
        <v>0.99</v>
      </c>
      <c r="AN1528" s="133">
        <v>1</v>
      </c>
      <c r="AO1528" s="133">
        <v>1</v>
      </c>
      <c r="AP1528" s="133">
        <v>1</v>
      </c>
      <c r="AQ1528" s="133">
        <v>1</v>
      </c>
      <c r="AR1528" s="153">
        <v>0.110069253262963</v>
      </c>
      <c r="AS1528" s="137">
        <v>0.133333333333333</v>
      </c>
      <c r="AT1528" s="137">
        <v>0.0666666666666667</v>
      </c>
      <c r="AU1528" s="137">
        <v>0.105263157894737</v>
      </c>
      <c r="AV1528" s="137">
        <v>0.135135135135135</v>
      </c>
      <c r="AW1528" s="93"/>
      <c r="AX1528" s="91"/>
    </row>
    <row r="1529" ht="14.5" spans="1:50">
      <c r="A1529" s="89"/>
      <c r="B1529" s="93"/>
      <c r="C1529" s="148" t="s">
        <v>1449</v>
      </c>
      <c r="D1529" s="126" t="s">
        <v>1450</v>
      </c>
      <c r="E1529" s="164" t="s">
        <v>1555</v>
      </c>
      <c r="F1529" s="164" t="s">
        <v>1555</v>
      </c>
      <c r="G1529" s="164" t="s">
        <v>1555</v>
      </c>
      <c r="H1529" s="164" t="s">
        <v>1555</v>
      </c>
      <c r="I1529" s="128">
        <v>0.9</v>
      </c>
      <c r="J1529" s="129">
        <v>0.869565217391304</v>
      </c>
      <c r="K1529" s="129">
        <v>0.85</v>
      </c>
      <c r="L1529" s="130">
        <v>0.958333333333333</v>
      </c>
      <c r="M1529" s="129">
        <v>0.90188679245283</v>
      </c>
      <c r="N1529" s="131">
        <v>0.9</v>
      </c>
      <c r="O1529" s="129">
        <v>0.927385892116183</v>
      </c>
      <c r="P1529" s="129">
        <v>0.935483870967742</v>
      </c>
      <c r="Q1529" s="129">
        <v>0.891016200294551</v>
      </c>
      <c r="R1529" s="129">
        <v>0.931982177358937</v>
      </c>
      <c r="S1529" s="131">
        <v>0.9</v>
      </c>
      <c r="T1529" s="129">
        <v>0.894709543568465</v>
      </c>
      <c r="U1529" s="129">
        <v>0.90178141550313</v>
      </c>
      <c r="V1529" s="129">
        <v>0.869415807560137</v>
      </c>
      <c r="W1529" s="129">
        <v>0.920152990812665</v>
      </c>
      <c r="X1529" s="131">
        <v>0.92</v>
      </c>
      <c r="Y1529" s="131" t="s">
        <v>33</v>
      </c>
      <c r="Z1529" s="131" t="s">
        <v>33</v>
      </c>
      <c r="AA1529" s="131" t="s">
        <v>33</v>
      </c>
      <c r="AB1529" s="131" t="s">
        <v>33</v>
      </c>
      <c r="AC1529" s="131">
        <v>0.92</v>
      </c>
      <c r="AD1529" s="129">
        <v>0.98134328358209</v>
      </c>
      <c r="AE1529" s="129">
        <v>0.985111662531017</v>
      </c>
      <c r="AF1529" s="129">
        <v>0.925287356321839</v>
      </c>
      <c r="AG1529" s="129">
        <v>0.980149597238205</v>
      </c>
      <c r="AH1529" s="131">
        <v>0.92</v>
      </c>
      <c r="AI1529" s="129">
        <v>0.938278008298755</v>
      </c>
      <c r="AJ1529" s="129">
        <v>0.934520943668753</v>
      </c>
      <c r="AK1529" s="129">
        <v>0.953362788414335</v>
      </c>
      <c r="AL1529" s="129">
        <v>0.96258033989196</v>
      </c>
      <c r="AM1529" s="128">
        <v>0.99</v>
      </c>
      <c r="AN1529" s="133">
        <v>1</v>
      </c>
      <c r="AO1529" s="133">
        <v>1</v>
      </c>
      <c r="AP1529" s="133">
        <v>1</v>
      </c>
      <c r="AQ1529" s="133">
        <v>1</v>
      </c>
      <c r="AR1529" s="153">
        <v>0.110069253262963</v>
      </c>
      <c r="AS1529" s="137">
        <v>0.111111111111111</v>
      </c>
      <c r="AT1529" s="137">
        <v>0.2</v>
      </c>
      <c r="AU1529" s="137">
        <v>0.153846153846154</v>
      </c>
      <c r="AV1529" s="137">
        <v>0.150753768844221</v>
      </c>
      <c r="AW1529" s="93"/>
      <c r="AX1529" s="91"/>
    </row>
    <row r="1530" ht="14.5" spans="1:50">
      <c r="A1530" s="89"/>
      <c r="B1530" s="93"/>
      <c r="C1530" s="148" t="s">
        <v>1449</v>
      </c>
      <c r="D1530" s="126" t="s">
        <v>1450</v>
      </c>
      <c r="E1530" s="164" t="s">
        <v>1556</v>
      </c>
      <c r="F1530" s="164" t="s">
        <v>1556</v>
      </c>
      <c r="G1530" s="164" t="s">
        <v>1556</v>
      </c>
      <c r="H1530" s="164" t="s">
        <v>1556</v>
      </c>
      <c r="I1530" s="128">
        <v>0.9</v>
      </c>
      <c r="J1530" s="129">
        <v>0.923076923076923</v>
      </c>
      <c r="K1530" s="129">
        <v>0.923076923076923</v>
      </c>
      <c r="L1530" s="130">
        <v>0.958333333333333</v>
      </c>
      <c r="M1530" s="129">
        <v>0.952380952380952</v>
      </c>
      <c r="N1530" s="131">
        <v>0.9</v>
      </c>
      <c r="O1530" s="129">
        <v>0.984034060670569</v>
      </c>
      <c r="P1530" s="129">
        <v>0.982428940568475</v>
      </c>
      <c r="Q1530" s="129">
        <v>0.981676591846083</v>
      </c>
      <c r="R1530" s="129">
        <v>0.978477014855539</v>
      </c>
      <c r="S1530" s="131">
        <v>0.9</v>
      </c>
      <c r="T1530" s="129">
        <v>0.893560404470463</v>
      </c>
      <c r="U1530" s="129">
        <v>0.913695090439276</v>
      </c>
      <c r="V1530" s="129">
        <v>0.89234997709574</v>
      </c>
      <c r="W1530" s="129">
        <v>0.917729169103599</v>
      </c>
      <c r="X1530" s="131">
        <v>0.92</v>
      </c>
      <c r="Y1530" s="131" t="s">
        <v>33</v>
      </c>
      <c r="Z1530" s="131" t="s">
        <v>33</v>
      </c>
      <c r="AA1530" s="131" t="s">
        <v>33</v>
      </c>
      <c r="AB1530" s="131" t="s">
        <v>33</v>
      </c>
      <c r="AC1530" s="131">
        <v>0.92</v>
      </c>
      <c r="AD1530" s="129">
        <v>0.897959183673469</v>
      </c>
      <c r="AE1530" s="129">
        <v>0.857142857142857</v>
      </c>
      <c r="AF1530" s="129">
        <v>0.970588235294118</v>
      </c>
      <c r="AG1530" s="129">
        <v>0.814988290398126</v>
      </c>
      <c r="AH1530" s="131">
        <v>0.92</v>
      </c>
      <c r="AI1530" s="129">
        <v>0.949973390101118</v>
      </c>
      <c r="AJ1530" s="129">
        <v>0.975710594315245</v>
      </c>
      <c r="AK1530" s="129">
        <v>0.979386165826844</v>
      </c>
      <c r="AL1530" s="129">
        <v>0.974382968768277</v>
      </c>
      <c r="AM1530" s="128">
        <v>0.99</v>
      </c>
      <c r="AN1530" s="133">
        <v>1</v>
      </c>
      <c r="AO1530" s="133">
        <v>1</v>
      </c>
      <c r="AP1530" s="133">
        <v>1</v>
      </c>
      <c r="AQ1530" s="133">
        <v>1</v>
      </c>
      <c r="AR1530" s="153">
        <v>0.110069253262963</v>
      </c>
      <c r="AS1530" s="137">
        <v>0</v>
      </c>
      <c r="AT1530" s="137">
        <v>0.125</v>
      </c>
      <c r="AU1530" s="137">
        <v>0.181818181818182</v>
      </c>
      <c r="AV1530" s="137">
        <v>0.0860927152317881</v>
      </c>
      <c r="AW1530" s="93"/>
      <c r="AX1530" s="91"/>
    </row>
    <row r="1531" ht="14.5" spans="1:50">
      <c r="A1531" s="89"/>
      <c r="B1531" s="93"/>
      <c r="C1531" s="148" t="s">
        <v>1449</v>
      </c>
      <c r="D1531" s="126" t="s">
        <v>1450</v>
      </c>
      <c r="E1531" s="164" t="s">
        <v>1557</v>
      </c>
      <c r="F1531" s="164" t="s">
        <v>1557</v>
      </c>
      <c r="G1531" s="164" t="s">
        <v>1557</v>
      </c>
      <c r="H1531" s="164" t="s">
        <v>1557</v>
      </c>
      <c r="I1531" s="128">
        <v>0.9</v>
      </c>
      <c r="J1531" s="129">
        <v>0.96551724137931</v>
      </c>
      <c r="K1531" s="129">
        <v>1</v>
      </c>
      <c r="L1531" s="130">
        <v>0.971428571428571</v>
      </c>
      <c r="M1531" s="129">
        <v>0.987244897959184</v>
      </c>
      <c r="N1531" s="131">
        <v>0.9</v>
      </c>
      <c r="O1531" s="129">
        <v>0.985865724381625</v>
      </c>
      <c r="P1531" s="129">
        <v>0.981944444444444</v>
      </c>
      <c r="Q1531" s="129">
        <v>0.983668341708543</v>
      </c>
      <c r="R1531" s="129">
        <v>0.970400913006663</v>
      </c>
      <c r="S1531" s="131">
        <v>0.9</v>
      </c>
      <c r="T1531" s="129">
        <v>0.930843008581524</v>
      </c>
      <c r="U1531" s="129">
        <v>0.953703703703704</v>
      </c>
      <c r="V1531" s="129">
        <v>0.93676716917923</v>
      </c>
      <c r="W1531" s="129">
        <v>0.923756580642786</v>
      </c>
      <c r="X1531" s="131">
        <v>0.92</v>
      </c>
      <c r="Y1531" s="131" t="s">
        <v>33</v>
      </c>
      <c r="Z1531" s="131" t="s">
        <v>33</v>
      </c>
      <c r="AA1531" s="131" t="s">
        <v>33</v>
      </c>
      <c r="AB1531" s="131" t="s">
        <v>33</v>
      </c>
      <c r="AC1531" s="131">
        <v>0.92</v>
      </c>
      <c r="AD1531" s="129">
        <v>0.968992248062015</v>
      </c>
      <c r="AE1531" s="129">
        <v>0.926829268292683</v>
      </c>
      <c r="AF1531" s="129">
        <v>0.857142857142857</v>
      </c>
      <c r="AG1531" s="129">
        <v>0.950395617772368</v>
      </c>
      <c r="AH1531" s="131">
        <v>0.92</v>
      </c>
      <c r="AI1531" s="129">
        <v>0.95557799091368</v>
      </c>
      <c r="AJ1531" s="129">
        <v>0.97037037037037</v>
      </c>
      <c r="AK1531" s="129">
        <v>0.972780569514238</v>
      </c>
      <c r="AL1531" s="129">
        <v>0.961528549865626</v>
      </c>
      <c r="AM1531" s="128">
        <v>0.99</v>
      </c>
      <c r="AN1531" s="133">
        <v>1</v>
      </c>
      <c r="AO1531" s="133">
        <v>1</v>
      </c>
      <c r="AP1531" s="133">
        <v>1</v>
      </c>
      <c r="AQ1531" s="133">
        <v>1</v>
      </c>
      <c r="AR1531" s="153">
        <v>0.110069253262963</v>
      </c>
      <c r="AS1531" s="137">
        <v>0</v>
      </c>
      <c r="AT1531" s="137">
        <v>0</v>
      </c>
      <c r="AU1531" s="137">
        <v>0.0666666666666667</v>
      </c>
      <c r="AV1531" s="137">
        <v>0.0591715976331361</v>
      </c>
      <c r="AW1531" s="93"/>
      <c r="AX1531" s="91"/>
    </row>
    <row r="1532" ht="14.5" spans="1:50">
      <c r="A1532" s="89"/>
      <c r="B1532" s="93"/>
      <c r="C1532" s="148" t="s">
        <v>1449</v>
      </c>
      <c r="D1532" s="126" t="s">
        <v>1450</v>
      </c>
      <c r="E1532" s="164" t="s">
        <v>1558</v>
      </c>
      <c r="F1532" s="164" t="s">
        <v>1558</v>
      </c>
      <c r="G1532" s="164" t="s">
        <v>1558</v>
      </c>
      <c r="H1532" s="164" t="s">
        <v>1558</v>
      </c>
      <c r="I1532" s="128">
        <v>0.9</v>
      </c>
      <c r="J1532" s="129" t="s">
        <v>33</v>
      </c>
      <c r="K1532" s="129" t="s">
        <v>33</v>
      </c>
      <c r="L1532" s="130" t="s">
        <v>33</v>
      </c>
      <c r="M1532" s="129" t="s">
        <v>33</v>
      </c>
      <c r="N1532" s="131">
        <v>0.9</v>
      </c>
      <c r="O1532" s="129" t="s">
        <v>33</v>
      </c>
      <c r="P1532" s="129" t="s">
        <v>33</v>
      </c>
      <c r="Q1532" s="129" t="s">
        <v>33</v>
      </c>
      <c r="R1532" s="129" t="s">
        <v>33</v>
      </c>
      <c r="S1532" s="131">
        <v>0.9</v>
      </c>
      <c r="T1532" s="129" t="s">
        <v>33</v>
      </c>
      <c r="U1532" s="129" t="s">
        <v>33</v>
      </c>
      <c r="V1532" s="129" t="s">
        <v>33</v>
      </c>
      <c r="W1532" s="129" t="s">
        <v>33</v>
      </c>
      <c r="X1532" s="131">
        <v>0.92</v>
      </c>
      <c r="Y1532" s="131" t="s">
        <v>33</v>
      </c>
      <c r="Z1532" s="131" t="s">
        <v>33</v>
      </c>
      <c r="AA1532" s="131" t="s">
        <v>33</v>
      </c>
      <c r="AB1532" s="131" t="s">
        <v>33</v>
      </c>
      <c r="AC1532" s="131">
        <v>0.92</v>
      </c>
      <c r="AD1532" s="129">
        <v>0.983783783783784</v>
      </c>
      <c r="AE1532" s="129">
        <v>0.99</v>
      </c>
      <c r="AF1532" s="129">
        <v>1</v>
      </c>
      <c r="AG1532" s="129">
        <v>0.987479586281982</v>
      </c>
      <c r="AH1532" s="131">
        <v>0.92</v>
      </c>
      <c r="AI1532" s="129" t="s">
        <v>33</v>
      </c>
      <c r="AJ1532" s="129" t="s">
        <v>33</v>
      </c>
      <c r="AK1532" s="129" t="s">
        <v>33</v>
      </c>
      <c r="AL1532" s="129" t="s">
        <v>33</v>
      </c>
      <c r="AM1532" s="128">
        <v>0.99</v>
      </c>
      <c r="AN1532" s="133" t="s">
        <v>33</v>
      </c>
      <c r="AO1532" s="133">
        <v>1</v>
      </c>
      <c r="AP1532" s="133" t="s">
        <v>33</v>
      </c>
      <c r="AQ1532" s="133">
        <v>1</v>
      </c>
      <c r="AR1532" s="153">
        <v>0.110069253262963</v>
      </c>
      <c r="AS1532" s="137" t="s">
        <v>33</v>
      </c>
      <c r="AT1532" s="137" t="s">
        <v>33</v>
      </c>
      <c r="AU1532" s="137" t="s">
        <v>33</v>
      </c>
      <c r="AV1532" s="137" t="s">
        <v>33</v>
      </c>
      <c r="AW1532" s="93"/>
      <c r="AX1532" s="91"/>
    </row>
    <row r="1533" ht="14.5" spans="1:50">
      <c r="A1533" s="89"/>
      <c r="B1533" s="93"/>
      <c r="C1533" s="148" t="s">
        <v>1449</v>
      </c>
      <c r="D1533" s="126" t="s">
        <v>1450</v>
      </c>
      <c r="E1533" s="164" t="s">
        <v>1559</v>
      </c>
      <c r="F1533" s="164" t="s">
        <v>1559</v>
      </c>
      <c r="G1533" s="164" t="s">
        <v>1559</v>
      </c>
      <c r="H1533" s="164" t="s">
        <v>1559</v>
      </c>
      <c r="I1533" s="128">
        <v>0.9</v>
      </c>
      <c r="J1533" s="129">
        <v>0.985507246376812</v>
      </c>
      <c r="K1533" s="129">
        <v>0.970149253731343</v>
      </c>
      <c r="L1533" s="130">
        <v>0.971428571428571</v>
      </c>
      <c r="M1533" s="129">
        <v>0.959948320413437</v>
      </c>
      <c r="N1533" s="131">
        <v>0.9</v>
      </c>
      <c r="O1533" s="129">
        <v>0.986515028432169</v>
      </c>
      <c r="P1533" s="129">
        <v>0.972420063646007</v>
      </c>
      <c r="Q1533" s="129">
        <v>0.864840877393179</v>
      </c>
      <c r="R1533" s="129">
        <v>0.957840521108871</v>
      </c>
      <c r="S1533" s="131">
        <v>0.9</v>
      </c>
      <c r="T1533" s="129">
        <v>0.918602761982128</v>
      </c>
      <c r="U1533" s="129">
        <v>0.904379451432035</v>
      </c>
      <c r="V1533" s="129">
        <v>0.802713325725878</v>
      </c>
      <c r="W1533" s="129">
        <v>0.899751797429414</v>
      </c>
      <c r="X1533" s="131">
        <v>0.92</v>
      </c>
      <c r="Y1533" s="131" t="s">
        <v>33</v>
      </c>
      <c r="Z1533" s="131" t="s">
        <v>33</v>
      </c>
      <c r="AA1533" s="131" t="s">
        <v>33</v>
      </c>
      <c r="AB1533" s="131" t="s">
        <v>33</v>
      </c>
      <c r="AC1533" s="131">
        <v>0.92</v>
      </c>
      <c r="AD1533" s="129">
        <v>0.975460122699387</v>
      </c>
      <c r="AE1533" s="129">
        <v>1</v>
      </c>
      <c r="AF1533" s="129">
        <v>0.965217391304348</v>
      </c>
      <c r="AG1533" s="129">
        <v>0.979614949037373</v>
      </c>
      <c r="AH1533" s="131">
        <v>0.92</v>
      </c>
      <c r="AI1533" s="129">
        <v>0.960032493907392</v>
      </c>
      <c r="AJ1533" s="129">
        <v>0.966207001060767</v>
      </c>
      <c r="AK1533" s="129">
        <v>0.952453404336249</v>
      </c>
      <c r="AL1533" s="129">
        <v>0.965543359202032</v>
      </c>
      <c r="AM1533" s="128">
        <v>0.99</v>
      </c>
      <c r="AN1533" s="133">
        <v>1</v>
      </c>
      <c r="AO1533" s="133">
        <v>1</v>
      </c>
      <c r="AP1533" s="133">
        <v>1</v>
      </c>
      <c r="AQ1533" s="133">
        <v>1</v>
      </c>
      <c r="AR1533" s="153">
        <v>0.110069253262963</v>
      </c>
      <c r="AS1533" s="137">
        <v>0.111111111111111</v>
      </c>
      <c r="AT1533" s="137">
        <v>0.0338983050847458</v>
      </c>
      <c r="AU1533" s="137">
        <v>0.0843373493975904</v>
      </c>
      <c r="AV1533" s="137">
        <v>0.0717948717948718</v>
      </c>
      <c r="AW1533" s="93"/>
      <c r="AX1533" s="91"/>
    </row>
    <row r="1534" ht="14.5" spans="1:50">
      <c r="A1534" s="89"/>
      <c r="B1534" s="93"/>
      <c r="C1534" s="148" t="s">
        <v>1449</v>
      </c>
      <c r="D1534" s="126" t="s">
        <v>1450</v>
      </c>
      <c r="E1534" s="164" t="s">
        <v>1560</v>
      </c>
      <c r="F1534" s="164" t="s">
        <v>1560</v>
      </c>
      <c r="G1534" s="164" t="s">
        <v>1560</v>
      </c>
      <c r="H1534" s="164" t="s">
        <v>1560</v>
      </c>
      <c r="I1534" s="128">
        <v>0.9</v>
      </c>
      <c r="J1534" s="129">
        <v>0.933333333333333</v>
      </c>
      <c r="K1534" s="129">
        <v>1</v>
      </c>
      <c r="L1534" s="130">
        <v>1</v>
      </c>
      <c r="M1534" s="129">
        <v>0.967567567567568</v>
      </c>
      <c r="N1534" s="131">
        <v>0.9</v>
      </c>
      <c r="O1534" s="129">
        <v>0.995210727969349</v>
      </c>
      <c r="P1534" s="129">
        <v>0.994276369582993</v>
      </c>
      <c r="Q1534" s="129">
        <v>0.998574483250178</v>
      </c>
      <c r="R1534" s="129">
        <v>0.995200877553819</v>
      </c>
      <c r="S1534" s="131">
        <v>0.9</v>
      </c>
      <c r="T1534" s="129">
        <v>0.948275862068966</v>
      </c>
      <c r="U1534" s="129">
        <v>0.945216680294358</v>
      </c>
      <c r="V1534" s="129">
        <v>0.956521739130435</v>
      </c>
      <c r="W1534" s="129">
        <v>0.946798299739476</v>
      </c>
      <c r="X1534" s="131">
        <v>0.92</v>
      </c>
      <c r="Y1534" s="131" t="s">
        <v>33</v>
      </c>
      <c r="Z1534" s="131" t="s">
        <v>33</v>
      </c>
      <c r="AA1534" s="131" t="s">
        <v>33</v>
      </c>
      <c r="AB1534" s="131" t="s">
        <v>33</v>
      </c>
      <c r="AC1534" s="131">
        <v>0.92</v>
      </c>
      <c r="AD1534" s="129">
        <v>0.888888888888889</v>
      </c>
      <c r="AE1534" s="129">
        <v>0.972222222222222</v>
      </c>
      <c r="AF1534" s="129">
        <v>1</v>
      </c>
      <c r="AG1534" s="129">
        <v>0.989130434782609</v>
      </c>
      <c r="AH1534" s="131">
        <v>0.92</v>
      </c>
      <c r="AI1534" s="129">
        <v>0.977011494252874</v>
      </c>
      <c r="AJ1534" s="129">
        <v>0.984464431725266</v>
      </c>
      <c r="AK1534" s="129">
        <v>0.982893799002138</v>
      </c>
      <c r="AL1534" s="129">
        <v>0.985328397093103</v>
      </c>
      <c r="AM1534" s="128">
        <v>0.99</v>
      </c>
      <c r="AN1534" s="133">
        <v>1</v>
      </c>
      <c r="AO1534" s="133">
        <v>1</v>
      </c>
      <c r="AP1534" s="133">
        <v>1</v>
      </c>
      <c r="AQ1534" s="133">
        <v>1</v>
      </c>
      <c r="AR1534" s="153">
        <v>0.110069253262963</v>
      </c>
      <c r="AS1534" s="137">
        <v>0</v>
      </c>
      <c r="AT1534" s="137">
        <v>0.153846153846154</v>
      </c>
      <c r="AU1534" s="137">
        <v>0.114285714285714</v>
      </c>
      <c r="AV1534" s="137">
        <v>0.0350877192982456</v>
      </c>
      <c r="AW1534" s="93"/>
      <c r="AX1534" s="91"/>
    </row>
    <row r="1535" ht="14.5" spans="1:50">
      <c r="A1535" s="89"/>
      <c r="B1535" s="93"/>
      <c r="C1535" s="148" t="s">
        <v>1449</v>
      </c>
      <c r="D1535" s="126" t="s">
        <v>1450</v>
      </c>
      <c r="E1535" s="164" t="s">
        <v>1561</v>
      </c>
      <c r="F1535" s="164" t="s">
        <v>1561</v>
      </c>
      <c r="G1535" s="164" t="s">
        <v>1561</v>
      </c>
      <c r="H1535" s="164" t="s">
        <v>1561</v>
      </c>
      <c r="I1535" s="128">
        <v>0.9</v>
      </c>
      <c r="J1535" s="129">
        <v>1</v>
      </c>
      <c r="K1535" s="129">
        <v>1</v>
      </c>
      <c r="L1535" s="130">
        <v>1</v>
      </c>
      <c r="M1535" s="129">
        <v>0.949152542372881</v>
      </c>
      <c r="N1535" s="131">
        <v>0.9</v>
      </c>
      <c r="O1535" s="129">
        <v>0.985294117647059</v>
      </c>
      <c r="P1535" s="129">
        <v>0.996557659208262</v>
      </c>
      <c r="Q1535" s="129">
        <v>0.997202014549524</v>
      </c>
      <c r="R1535" s="129">
        <v>0.976755836088568</v>
      </c>
      <c r="S1535" s="131">
        <v>0.9</v>
      </c>
      <c r="T1535" s="129">
        <v>0.631558028616852</v>
      </c>
      <c r="U1535" s="129">
        <v>0.736087205966724</v>
      </c>
      <c r="V1535" s="129">
        <v>0.68158925573587</v>
      </c>
      <c r="W1535" s="129">
        <v>0.753281234345256</v>
      </c>
      <c r="X1535" s="131">
        <v>0.92</v>
      </c>
      <c r="Y1535" s="131" t="s">
        <v>33</v>
      </c>
      <c r="Z1535" s="131" t="s">
        <v>33</v>
      </c>
      <c r="AA1535" s="131" t="s">
        <v>33</v>
      </c>
      <c r="AB1535" s="131" t="s">
        <v>33</v>
      </c>
      <c r="AC1535" s="131">
        <v>0.92</v>
      </c>
      <c r="AD1535" s="129">
        <v>1</v>
      </c>
      <c r="AE1535" s="129">
        <v>1</v>
      </c>
      <c r="AF1535" s="129">
        <v>1</v>
      </c>
      <c r="AG1535" s="129">
        <v>0.998089780324737</v>
      </c>
      <c r="AH1535" s="131">
        <v>0.92</v>
      </c>
      <c r="AI1535" s="129">
        <v>0.800079491255962</v>
      </c>
      <c r="AJ1535" s="129">
        <v>0.803786574870912</v>
      </c>
      <c r="AK1535" s="129">
        <v>0.846110800223839</v>
      </c>
      <c r="AL1535" s="129">
        <v>0.872307384029656</v>
      </c>
      <c r="AM1535" s="128">
        <v>0.99</v>
      </c>
      <c r="AN1535" s="133" t="s">
        <v>33</v>
      </c>
      <c r="AO1535" s="133" t="s">
        <v>33</v>
      </c>
      <c r="AP1535" s="133">
        <v>1</v>
      </c>
      <c r="AQ1535" s="133">
        <v>1</v>
      </c>
      <c r="AR1535" s="153">
        <v>0.110069253262963</v>
      </c>
      <c r="AS1535" s="137">
        <v>0.0588235294117647</v>
      </c>
      <c r="AT1535" s="137">
        <v>0.0434782608695652</v>
      </c>
      <c r="AU1535" s="137">
        <v>0.103448275862069</v>
      </c>
      <c r="AV1535" s="137">
        <v>0.064327485380117</v>
      </c>
      <c r="AW1535" s="93"/>
      <c r="AX1535" s="91"/>
    </row>
    <row r="1536" ht="14.5" spans="1:50">
      <c r="A1536" s="89"/>
      <c r="B1536" s="93"/>
      <c r="C1536" s="148" t="s">
        <v>1449</v>
      </c>
      <c r="D1536" s="126" t="s">
        <v>1450</v>
      </c>
      <c r="E1536" s="164" t="s">
        <v>1562</v>
      </c>
      <c r="F1536" s="164" t="s">
        <v>1562</v>
      </c>
      <c r="G1536" s="164" t="s">
        <v>1562</v>
      </c>
      <c r="H1536" s="164" t="s">
        <v>1562</v>
      </c>
      <c r="I1536" s="128">
        <v>0.9</v>
      </c>
      <c r="J1536" s="129">
        <v>1</v>
      </c>
      <c r="K1536" s="129">
        <v>1</v>
      </c>
      <c r="L1536" s="130">
        <v>1</v>
      </c>
      <c r="M1536" s="129">
        <v>0.997435897435897</v>
      </c>
      <c r="N1536" s="131">
        <v>0.9</v>
      </c>
      <c r="O1536" s="129">
        <v>0.997882477501323</v>
      </c>
      <c r="P1536" s="129">
        <v>0.996993987975952</v>
      </c>
      <c r="Q1536" s="129">
        <v>0.988455414012739</v>
      </c>
      <c r="R1536" s="129">
        <v>0.972551848512173</v>
      </c>
      <c r="S1536" s="131">
        <v>0.9</v>
      </c>
      <c r="T1536" s="129">
        <v>0.949179460031763</v>
      </c>
      <c r="U1536" s="129">
        <v>0.957915831663327</v>
      </c>
      <c r="V1536" s="129">
        <v>0.836783439490446</v>
      </c>
      <c r="W1536" s="129">
        <v>0.931109107303877</v>
      </c>
      <c r="X1536" s="131">
        <v>0.92</v>
      </c>
      <c r="Y1536" s="131" t="s">
        <v>33</v>
      </c>
      <c r="Z1536" s="131" t="s">
        <v>33</v>
      </c>
      <c r="AA1536" s="131" t="s">
        <v>33</v>
      </c>
      <c r="AB1536" s="131" t="s">
        <v>33</v>
      </c>
      <c r="AC1536" s="131">
        <v>0.92</v>
      </c>
      <c r="AD1536" s="129">
        <v>1</v>
      </c>
      <c r="AE1536" s="129">
        <v>1</v>
      </c>
      <c r="AF1536" s="129">
        <v>1</v>
      </c>
      <c r="AG1536" s="129">
        <v>0.99656652360515</v>
      </c>
      <c r="AH1536" s="131">
        <v>0.92</v>
      </c>
      <c r="AI1536" s="129">
        <v>0.959259259259259</v>
      </c>
      <c r="AJ1536" s="129">
        <v>0.982464929859719</v>
      </c>
      <c r="AK1536" s="129">
        <v>0.955015923566879</v>
      </c>
      <c r="AL1536" s="129">
        <v>0.974356199956719</v>
      </c>
      <c r="AM1536" s="128">
        <v>0.99</v>
      </c>
      <c r="AN1536" s="133">
        <v>1</v>
      </c>
      <c r="AO1536" s="133">
        <v>1</v>
      </c>
      <c r="AP1536" s="133">
        <v>1</v>
      </c>
      <c r="AQ1536" s="133">
        <v>1</v>
      </c>
      <c r="AR1536" s="153">
        <v>0.110069253262963</v>
      </c>
      <c r="AS1536" s="137">
        <v>0</v>
      </c>
      <c r="AT1536" s="137">
        <v>0.0476190476190476</v>
      </c>
      <c r="AU1536" s="137">
        <v>0.0357142857142857</v>
      </c>
      <c r="AV1536" s="137">
        <v>0.0522648083623693</v>
      </c>
      <c r="AW1536" s="93"/>
      <c r="AX1536" s="91"/>
    </row>
    <row r="1537" ht="14.5" spans="1:50">
      <c r="A1537" s="89"/>
      <c r="B1537" s="93"/>
      <c r="C1537" s="148" t="s">
        <v>1449</v>
      </c>
      <c r="D1537" s="126" t="s">
        <v>1450</v>
      </c>
      <c r="E1537" s="164" t="s">
        <v>1563</v>
      </c>
      <c r="F1537" s="164" t="s">
        <v>1563</v>
      </c>
      <c r="G1537" s="164" t="s">
        <v>1563</v>
      </c>
      <c r="H1537" s="164" t="s">
        <v>1563</v>
      </c>
      <c r="I1537" s="128">
        <v>0.9</v>
      </c>
      <c r="J1537" s="129">
        <v>0.972222222222222</v>
      </c>
      <c r="K1537" s="129">
        <v>0.916666666666667</v>
      </c>
      <c r="L1537" s="130">
        <v>0.972972972972973</v>
      </c>
      <c r="M1537" s="129">
        <v>0.959183673469388</v>
      </c>
      <c r="N1537" s="131">
        <v>0.9</v>
      </c>
      <c r="O1537" s="129">
        <v>0.984823399558499</v>
      </c>
      <c r="P1537" s="129">
        <v>0.994409333981527</v>
      </c>
      <c r="Q1537" s="129">
        <v>0.997955010224949</v>
      </c>
      <c r="R1537" s="129">
        <v>0.988819120923638</v>
      </c>
      <c r="S1537" s="131">
        <v>0.9</v>
      </c>
      <c r="T1537" s="129">
        <v>0.943432671081678</v>
      </c>
      <c r="U1537" s="129">
        <v>0.97569275644142</v>
      </c>
      <c r="V1537" s="129">
        <v>0.937741422403999</v>
      </c>
      <c r="W1537" s="129">
        <v>0.951569779218149</v>
      </c>
      <c r="X1537" s="131">
        <v>0.92</v>
      </c>
      <c r="Y1537" s="131" t="s">
        <v>33</v>
      </c>
      <c r="Z1537" s="131" t="s">
        <v>33</v>
      </c>
      <c r="AA1537" s="131" t="s">
        <v>33</v>
      </c>
      <c r="AB1537" s="131" t="s">
        <v>33</v>
      </c>
      <c r="AC1537" s="131">
        <v>0.92</v>
      </c>
      <c r="AD1537" s="129">
        <v>0.976525821596244</v>
      </c>
      <c r="AE1537" s="129">
        <v>0.959409594095941</v>
      </c>
      <c r="AF1537" s="129">
        <v>0.957055214723926</v>
      </c>
      <c r="AG1537" s="129">
        <v>0.971301535974131</v>
      </c>
      <c r="AH1537" s="131">
        <v>0.92</v>
      </c>
      <c r="AI1537" s="129">
        <v>0.975993377483444</v>
      </c>
      <c r="AJ1537" s="129">
        <v>0.991978609625668</v>
      </c>
      <c r="AK1537" s="129">
        <v>0.985457850488525</v>
      </c>
      <c r="AL1537" s="129">
        <v>0.987523292554484</v>
      </c>
      <c r="AM1537" s="128">
        <v>0.99</v>
      </c>
      <c r="AN1537" s="133">
        <v>1</v>
      </c>
      <c r="AO1537" s="133">
        <v>1</v>
      </c>
      <c r="AP1537" s="133">
        <v>1</v>
      </c>
      <c r="AQ1537" s="133">
        <v>1</v>
      </c>
      <c r="AR1537" s="153">
        <v>0.110069253262963</v>
      </c>
      <c r="AS1537" s="137">
        <v>0.137931034482759</v>
      </c>
      <c r="AT1537" s="137">
        <v>0.157894736842105</v>
      </c>
      <c r="AU1537" s="137">
        <v>0.0909090909090909</v>
      </c>
      <c r="AV1537" s="137">
        <v>0.0823798627002288</v>
      </c>
      <c r="AW1537" s="93"/>
      <c r="AX1537" s="91"/>
    </row>
    <row r="1538" ht="14.5" spans="1:50">
      <c r="A1538" s="89"/>
      <c r="B1538" s="93"/>
      <c r="C1538" s="148" t="s">
        <v>1449</v>
      </c>
      <c r="D1538" s="126" t="s">
        <v>1450</v>
      </c>
      <c r="E1538" s="164" t="s">
        <v>1564</v>
      </c>
      <c r="F1538" s="164" t="s">
        <v>1564</v>
      </c>
      <c r="G1538" s="164" t="s">
        <v>1564</v>
      </c>
      <c r="H1538" s="164" t="s">
        <v>1564</v>
      </c>
      <c r="I1538" s="128">
        <v>0.9</v>
      </c>
      <c r="J1538" s="129">
        <v>0.942857142857143</v>
      </c>
      <c r="K1538" s="129">
        <v>0.885714285714286</v>
      </c>
      <c r="L1538" s="130">
        <v>0.970588235294118</v>
      </c>
      <c r="M1538" s="129">
        <v>0.937947494033413</v>
      </c>
      <c r="N1538" s="131">
        <v>0.9</v>
      </c>
      <c r="O1538" s="129">
        <v>0.91390205371248</v>
      </c>
      <c r="P1538" s="129">
        <v>0.964601769911504</v>
      </c>
      <c r="Q1538" s="129">
        <v>0.848572345203721</v>
      </c>
      <c r="R1538" s="129">
        <v>0.893319920480947</v>
      </c>
      <c r="S1538" s="131">
        <v>0.9</v>
      </c>
      <c r="T1538" s="129">
        <v>0.328067403896788</v>
      </c>
      <c r="U1538" s="129">
        <v>0.396919042936742</v>
      </c>
      <c r="V1538" s="129">
        <v>0.264035931985884</v>
      </c>
      <c r="W1538" s="129">
        <v>0.327369404325645</v>
      </c>
      <c r="X1538" s="131">
        <v>0.92</v>
      </c>
      <c r="Y1538" s="131" t="s">
        <v>33</v>
      </c>
      <c r="Z1538" s="131" t="s">
        <v>33</v>
      </c>
      <c r="AA1538" s="131" t="s">
        <v>33</v>
      </c>
      <c r="AB1538" s="131" t="s">
        <v>33</v>
      </c>
      <c r="AC1538" s="131">
        <v>0.92</v>
      </c>
      <c r="AD1538" s="129">
        <v>1</v>
      </c>
      <c r="AE1538" s="129">
        <v>1</v>
      </c>
      <c r="AF1538" s="129">
        <v>1</v>
      </c>
      <c r="AG1538" s="129">
        <v>0.984660336011687</v>
      </c>
      <c r="AH1538" s="131">
        <v>0.92</v>
      </c>
      <c r="AI1538" s="129">
        <v>0.850974196945761</v>
      </c>
      <c r="AJ1538" s="129">
        <v>0.843985578498853</v>
      </c>
      <c r="AK1538" s="129">
        <v>0.873275585498877</v>
      </c>
      <c r="AL1538" s="129">
        <v>0.863141002610716</v>
      </c>
      <c r="AM1538" s="128">
        <v>0.99</v>
      </c>
      <c r="AN1538" s="133">
        <v>1</v>
      </c>
      <c r="AO1538" s="133">
        <v>1</v>
      </c>
      <c r="AP1538" s="133">
        <v>1</v>
      </c>
      <c r="AQ1538" s="133">
        <v>1</v>
      </c>
      <c r="AR1538" s="153">
        <v>0.110069253262963</v>
      </c>
      <c r="AS1538" s="137">
        <v>0.142857142857143</v>
      </c>
      <c r="AT1538" s="137">
        <v>0.147058823529412</v>
      </c>
      <c r="AU1538" s="137">
        <v>0.157894736842105</v>
      </c>
      <c r="AV1538" s="137">
        <v>0.118055555555556</v>
      </c>
      <c r="AW1538" s="93"/>
      <c r="AX1538" s="91"/>
    </row>
    <row r="1539" ht="14.5" spans="1:50">
      <c r="A1539" s="89"/>
      <c r="B1539" s="93"/>
      <c r="C1539" s="148" t="s">
        <v>1449</v>
      </c>
      <c r="D1539" s="126" t="s">
        <v>1450</v>
      </c>
      <c r="E1539" s="164" t="s">
        <v>1565</v>
      </c>
      <c r="F1539" s="164" t="s">
        <v>1565</v>
      </c>
      <c r="G1539" s="164" t="s">
        <v>1565</v>
      </c>
      <c r="H1539" s="164" t="s">
        <v>1565</v>
      </c>
      <c r="I1539" s="128">
        <v>0.9</v>
      </c>
      <c r="J1539" s="129">
        <v>0.944444444444444</v>
      </c>
      <c r="K1539" s="129">
        <v>1</v>
      </c>
      <c r="L1539" s="130">
        <v>1</v>
      </c>
      <c r="M1539" s="129">
        <v>0.982978723404255</v>
      </c>
      <c r="N1539" s="131">
        <v>0.9</v>
      </c>
      <c r="O1539" s="129">
        <v>0.98265093684941</v>
      </c>
      <c r="P1539" s="129">
        <v>0.934379457917261</v>
      </c>
      <c r="Q1539" s="129">
        <v>0.914500683994528</v>
      </c>
      <c r="R1539" s="129">
        <v>0.938597904915391</v>
      </c>
      <c r="S1539" s="131">
        <v>0.9</v>
      </c>
      <c r="T1539" s="129">
        <v>0.791117279666898</v>
      </c>
      <c r="U1539" s="129">
        <v>0.815263908701855</v>
      </c>
      <c r="V1539" s="129">
        <v>0.562243502051984</v>
      </c>
      <c r="W1539" s="129">
        <v>0.69293580445877</v>
      </c>
      <c r="X1539" s="131">
        <v>0.92</v>
      </c>
      <c r="Y1539" s="131" t="s">
        <v>33</v>
      </c>
      <c r="Z1539" s="131" t="s">
        <v>33</v>
      </c>
      <c r="AA1539" s="131" t="s">
        <v>33</v>
      </c>
      <c r="AB1539" s="131" t="s">
        <v>33</v>
      </c>
      <c r="AC1539" s="131">
        <v>0.92</v>
      </c>
      <c r="AD1539" s="129">
        <v>0.75</v>
      </c>
      <c r="AE1539" s="129">
        <v>0.925373134328358</v>
      </c>
      <c r="AF1539" s="129">
        <v>1</v>
      </c>
      <c r="AG1539" s="129">
        <v>0.941304347826087</v>
      </c>
      <c r="AH1539" s="131">
        <v>0.92</v>
      </c>
      <c r="AI1539" s="129">
        <v>0.938931297709924</v>
      </c>
      <c r="AJ1539" s="129">
        <v>0.904422253922967</v>
      </c>
      <c r="AK1539" s="129">
        <v>0.936388508891929</v>
      </c>
      <c r="AL1539" s="129">
        <v>0.934730056406124</v>
      </c>
      <c r="AM1539" s="128">
        <v>0.99</v>
      </c>
      <c r="AN1539" s="133">
        <v>1</v>
      </c>
      <c r="AO1539" s="133">
        <v>1</v>
      </c>
      <c r="AP1539" s="133">
        <v>1</v>
      </c>
      <c r="AQ1539" s="133">
        <v>1</v>
      </c>
      <c r="AR1539" s="153">
        <v>0.110069253262963</v>
      </c>
      <c r="AS1539" s="137">
        <v>0</v>
      </c>
      <c r="AT1539" s="137">
        <v>0.0714285714285714</v>
      </c>
      <c r="AU1539" s="137">
        <v>0</v>
      </c>
      <c r="AV1539" s="137">
        <v>0.0588235294117647</v>
      </c>
      <c r="AW1539" s="93"/>
      <c r="AX1539" s="91"/>
    </row>
    <row r="1540" ht="14.5" spans="1:50">
      <c r="A1540" s="89"/>
      <c r="B1540" s="93"/>
      <c r="C1540" s="148" t="s">
        <v>1449</v>
      </c>
      <c r="D1540" s="126" t="s">
        <v>1450</v>
      </c>
      <c r="E1540" s="164" t="s">
        <v>1566</v>
      </c>
      <c r="F1540" s="164" t="s">
        <v>1566</v>
      </c>
      <c r="G1540" s="164" t="s">
        <v>1566</v>
      </c>
      <c r="H1540" s="164" t="s">
        <v>1566</v>
      </c>
      <c r="I1540" s="128">
        <v>0.9</v>
      </c>
      <c r="J1540" s="129">
        <v>0.870967741935484</v>
      </c>
      <c r="K1540" s="129">
        <v>0.885714285714286</v>
      </c>
      <c r="L1540" s="130">
        <v>0.838709677419355</v>
      </c>
      <c r="M1540" s="129">
        <v>0.839901477832512</v>
      </c>
      <c r="N1540" s="131">
        <v>0.9</v>
      </c>
      <c r="O1540" s="129">
        <v>0.912842860804922</v>
      </c>
      <c r="P1540" s="129">
        <v>0.752980819077242</v>
      </c>
      <c r="Q1540" s="129">
        <v>0.766001376462491</v>
      </c>
      <c r="R1540" s="129">
        <v>0.842854631745474</v>
      </c>
      <c r="S1540" s="131">
        <v>0.9</v>
      </c>
      <c r="T1540" s="129">
        <v>0.790566521404768</v>
      </c>
      <c r="U1540" s="129">
        <v>0.680922757905651</v>
      </c>
      <c r="V1540" s="129">
        <v>0.679054829089241</v>
      </c>
      <c r="W1540" s="129">
        <v>0.751508759594539</v>
      </c>
      <c r="X1540" s="131">
        <v>0.92</v>
      </c>
      <c r="Y1540" s="131">
        <v>0.8</v>
      </c>
      <c r="Z1540" s="131">
        <v>0.142857142857143</v>
      </c>
      <c r="AA1540" s="131">
        <v>0</v>
      </c>
      <c r="AB1540" s="131">
        <v>0.148936170212766</v>
      </c>
      <c r="AC1540" s="131">
        <v>0.92</v>
      </c>
      <c r="AD1540" s="129">
        <v>0.658536585365854</v>
      </c>
      <c r="AE1540" s="129">
        <v>0.787878787878788</v>
      </c>
      <c r="AF1540" s="129">
        <v>0</v>
      </c>
      <c r="AG1540" s="129">
        <v>0.685224839400428</v>
      </c>
      <c r="AH1540" s="131">
        <v>0.92</v>
      </c>
      <c r="AI1540" s="129">
        <v>0.863031233998976</v>
      </c>
      <c r="AJ1540" s="129">
        <v>0.860284605433376</v>
      </c>
      <c r="AK1540" s="129">
        <v>0.842768737107495</v>
      </c>
      <c r="AL1540" s="129">
        <v>0.865497190134249</v>
      </c>
      <c r="AM1540" s="128">
        <v>0.99</v>
      </c>
      <c r="AN1540" s="133" t="s">
        <v>33</v>
      </c>
      <c r="AO1540" s="133">
        <v>1</v>
      </c>
      <c r="AP1540" s="133">
        <v>1</v>
      </c>
      <c r="AQ1540" s="133">
        <v>1</v>
      </c>
      <c r="AR1540" s="153">
        <v>0.110069253262963</v>
      </c>
      <c r="AS1540" s="137">
        <v>0.0740740740740741</v>
      </c>
      <c r="AT1540" s="137">
        <v>0.0454545454545455</v>
      </c>
      <c r="AU1540" s="137">
        <v>0.0769230769230769</v>
      </c>
      <c r="AV1540" s="137">
        <v>0.109154929577465</v>
      </c>
      <c r="AW1540" s="93"/>
      <c r="AX1540" s="91"/>
    </row>
    <row r="1541" ht="14.5" spans="1:50">
      <c r="A1541" s="89"/>
      <c r="B1541" s="93"/>
      <c r="C1541" s="148" t="s">
        <v>1449</v>
      </c>
      <c r="D1541" s="126" t="s">
        <v>1450</v>
      </c>
      <c r="E1541" s="164" t="s">
        <v>1567</v>
      </c>
      <c r="F1541" s="164" t="s">
        <v>1567</v>
      </c>
      <c r="G1541" s="164" t="s">
        <v>1567</v>
      </c>
      <c r="H1541" s="164" t="s">
        <v>1567</v>
      </c>
      <c r="I1541" s="128">
        <v>0.9</v>
      </c>
      <c r="J1541" s="129" t="s">
        <v>33</v>
      </c>
      <c r="K1541" s="129" t="s">
        <v>33</v>
      </c>
      <c r="L1541" s="130" t="s">
        <v>33</v>
      </c>
      <c r="M1541" s="129" t="s">
        <v>33</v>
      </c>
      <c r="N1541" s="131">
        <v>0.9</v>
      </c>
      <c r="O1541" s="129" t="s">
        <v>33</v>
      </c>
      <c r="P1541" s="129">
        <v>0</v>
      </c>
      <c r="Q1541" s="129">
        <v>0</v>
      </c>
      <c r="R1541" s="129">
        <v>0</v>
      </c>
      <c r="S1541" s="131">
        <v>0.9</v>
      </c>
      <c r="T1541" s="129" t="s">
        <v>33</v>
      </c>
      <c r="U1541" s="129">
        <v>1</v>
      </c>
      <c r="V1541" s="129">
        <v>1</v>
      </c>
      <c r="W1541" s="129">
        <v>0.714285714285714</v>
      </c>
      <c r="X1541" s="131">
        <v>0.92</v>
      </c>
      <c r="Y1541" s="131" t="s">
        <v>33</v>
      </c>
      <c r="Z1541" s="131" t="s">
        <v>33</v>
      </c>
      <c r="AA1541" s="131" t="s">
        <v>33</v>
      </c>
      <c r="AB1541" s="131">
        <v>1</v>
      </c>
      <c r="AC1541" s="131">
        <v>0.92</v>
      </c>
      <c r="AD1541" s="129">
        <v>0.99003984063745</v>
      </c>
      <c r="AE1541" s="129">
        <v>0.974178403755869</v>
      </c>
      <c r="AF1541" s="129">
        <v>0.542857142857143</v>
      </c>
      <c r="AG1541" s="129">
        <v>0.940640611225389</v>
      </c>
      <c r="AH1541" s="131">
        <v>0.92</v>
      </c>
      <c r="AI1541" s="129">
        <v>1</v>
      </c>
      <c r="AJ1541" s="129">
        <v>1</v>
      </c>
      <c r="AK1541" s="129">
        <v>1</v>
      </c>
      <c r="AL1541" s="129">
        <v>0.846153846153846</v>
      </c>
      <c r="AM1541" s="128">
        <v>0.99</v>
      </c>
      <c r="AN1541" s="133">
        <v>1</v>
      </c>
      <c r="AO1541" s="133">
        <v>1</v>
      </c>
      <c r="AP1541" s="133">
        <v>1</v>
      </c>
      <c r="AQ1541" s="133">
        <v>1</v>
      </c>
      <c r="AR1541" s="153">
        <v>0.110069253262963</v>
      </c>
      <c r="AS1541" s="137" t="s">
        <v>33</v>
      </c>
      <c r="AT1541" s="137" t="s">
        <v>33</v>
      </c>
      <c r="AU1541" s="137" t="s">
        <v>33</v>
      </c>
      <c r="AV1541" s="137" t="s">
        <v>33</v>
      </c>
      <c r="AW1541" s="93"/>
      <c r="AX1541" s="91"/>
    </row>
    <row r="1542" ht="14.5" spans="1:50">
      <c r="A1542" s="89"/>
      <c r="B1542" s="93"/>
      <c r="C1542" s="148" t="s">
        <v>1449</v>
      </c>
      <c r="D1542" s="126" t="s">
        <v>1450</v>
      </c>
      <c r="E1542" s="164" t="s">
        <v>1568</v>
      </c>
      <c r="F1542" s="164" t="s">
        <v>1568</v>
      </c>
      <c r="G1542" s="164" t="s">
        <v>1568</v>
      </c>
      <c r="H1542" s="164" t="s">
        <v>1568</v>
      </c>
      <c r="I1542" s="128">
        <v>0.9</v>
      </c>
      <c r="J1542" s="129" t="s">
        <v>33</v>
      </c>
      <c r="K1542" s="129" t="s">
        <v>33</v>
      </c>
      <c r="L1542" s="130" t="s">
        <v>33</v>
      </c>
      <c r="M1542" s="129" t="s">
        <v>33</v>
      </c>
      <c r="N1542" s="131">
        <v>0.9</v>
      </c>
      <c r="O1542" s="129" t="s">
        <v>33</v>
      </c>
      <c r="P1542" s="129" t="s">
        <v>33</v>
      </c>
      <c r="Q1542" s="129">
        <v>0</v>
      </c>
      <c r="R1542" s="129">
        <v>0</v>
      </c>
      <c r="S1542" s="131">
        <v>0.9</v>
      </c>
      <c r="T1542" s="129" t="s">
        <v>33</v>
      </c>
      <c r="U1542" s="129" t="s">
        <v>33</v>
      </c>
      <c r="V1542" s="129">
        <v>0</v>
      </c>
      <c r="W1542" s="129">
        <v>0.5</v>
      </c>
      <c r="X1542" s="131">
        <v>0.92</v>
      </c>
      <c r="Y1542" s="131" t="s">
        <v>33</v>
      </c>
      <c r="Z1542" s="131" t="s">
        <v>33</v>
      </c>
      <c r="AA1542" s="131" t="s">
        <v>33</v>
      </c>
      <c r="AB1542" s="131" t="s">
        <v>33</v>
      </c>
      <c r="AC1542" s="131">
        <v>0.92</v>
      </c>
      <c r="AD1542" s="129">
        <v>0.994318181818182</v>
      </c>
      <c r="AE1542" s="129">
        <v>0.986824769433465</v>
      </c>
      <c r="AF1542" s="129">
        <v>0.924698795180723</v>
      </c>
      <c r="AG1542" s="129">
        <v>0.981572481572482</v>
      </c>
      <c r="AH1542" s="131">
        <v>0.92</v>
      </c>
      <c r="AI1542" s="129">
        <v>0</v>
      </c>
      <c r="AJ1542" s="129" t="s">
        <v>33</v>
      </c>
      <c r="AK1542" s="129">
        <v>0</v>
      </c>
      <c r="AL1542" s="129">
        <v>0.333333333333333</v>
      </c>
      <c r="AM1542" s="128">
        <v>0.99</v>
      </c>
      <c r="AN1542" s="133">
        <v>1</v>
      </c>
      <c r="AO1542" s="133">
        <v>1</v>
      </c>
      <c r="AP1542" s="133">
        <v>1</v>
      </c>
      <c r="AQ1542" s="133">
        <v>1</v>
      </c>
      <c r="AR1542" s="153">
        <v>0.110069253262963</v>
      </c>
      <c r="AS1542" s="137" t="s">
        <v>33</v>
      </c>
      <c r="AT1542" s="137" t="s">
        <v>33</v>
      </c>
      <c r="AU1542" s="137" t="s">
        <v>33</v>
      </c>
      <c r="AV1542" s="137" t="s">
        <v>33</v>
      </c>
      <c r="AW1542" s="93"/>
      <c r="AX1542" s="91"/>
    </row>
    <row r="1543" ht="14.5" spans="1:50">
      <c r="A1543" s="89"/>
      <c r="B1543" s="93"/>
      <c r="C1543" s="148" t="s">
        <v>1449</v>
      </c>
      <c r="D1543" s="126" t="s">
        <v>1450</v>
      </c>
      <c r="E1543" s="164" t="s">
        <v>1569</v>
      </c>
      <c r="F1543" s="164" t="s">
        <v>1569</v>
      </c>
      <c r="G1543" s="164" t="s">
        <v>1569</v>
      </c>
      <c r="H1543" s="164" t="s">
        <v>1569</v>
      </c>
      <c r="I1543" s="128">
        <v>0.9</v>
      </c>
      <c r="J1543" s="129" t="s">
        <v>33</v>
      </c>
      <c r="K1543" s="129" t="s">
        <v>33</v>
      </c>
      <c r="L1543" s="130" t="s">
        <v>33</v>
      </c>
      <c r="M1543" s="129" t="s">
        <v>33</v>
      </c>
      <c r="N1543" s="131">
        <v>0.9</v>
      </c>
      <c r="O1543" s="129" t="s">
        <v>33</v>
      </c>
      <c r="P1543" s="129" t="s">
        <v>33</v>
      </c>
      <c r="Q1543" s="129" t="s">
        <v>33</v>
      </c>
      <c r="R1543" s="129" t="s">
        <v>33</v>
      </c>
      <c r="S1543" s="131">
        <v>0.9</v>
      </c>
      <c r="T1543" s="129" t="s">
        <v>33</v>
      </c>
      <c r="U1543" s="129" t="s">
        <v>33</v>
      </c>
      <c r="V1543" s="129" t="s">
        <v>33</v>
      </c>
      <c r="W1543" s="129" t="s">
        <v>33</v>
      </c>
      <c r="X1543" s="131">
        <v>0.92</v>
      </c>
      <c r="Y1543" s="131" t="s">
        <v>33</v>
      </c>
      <c r="Z1543" s="131" t="s">
        <v>33</v>
      </c>
      <c r="AA1543" s="131" t="s">
        <v>33</v>
      </c>
      <c r="AB1543" s="131" t="s">
        <v>33</v>
      </c>
      <c r="AC1543" s="131">
        <v>0.92</v>
      </c>
      <c r="AD1543" s="129">
        <v>0.994791666666667</v>
      </c>
      <c r="AE1543" s="129">
        <v>1</v>
      </c>
      <c r="AF1543" s="129">
        <v>1</v>
      </c>
      <c r="AG1543" s="129">
        <v>0.98159509202454</v>
      </c>
      <c r="AH1543" s="131">
        <v>0.92</v>
      </c>
      <c r="AI1543" s="129" t="s">
        <v>33</v>
      </c>
      <c r="AJ1543" s="129" t="s">
        <v>33</v>
      </c>
      <c r="AK1543" s="129" t="s">
        <v>33</v>
      </c>
      <c r="AL1543" s="129" t="s">
        <v>33</v>
      </c>
      <c r="AM1543" s="128">
        <v>0.99</v>
      </c>
      <c r="AN1543" s="133">
        <v>1</v>
      </c>
      <c r="AO1543" s="133">
        <v>1</v>
      </c>
      <c r="AP1543" s="133">
        <v>1</v>
      </c>
      <c r="AQ1543" s="133">
        <v>1</v>
      </c>
      <c r="AR1543" s="153">
        <v>0.110069253262963</v>
      </c>
      <c r="AS1543" s="137" t="s">
        <v>33</v>
      </c>
      <c r="AT1543" s="137" t="s">
        <v>33</v>
      </c>
      <c r="AU1543" s="137" t="s">
        <v>33</v>
      </c>
      <c r="AV1543" s="137" t="s">
        <v>33</v>
      </c>
      <c r="AW1543" s="93"/>
      <c r="AX1543" s="91"/>
    </row>
    <row r="1544" ht="14.5" spans="1:50">
      <c r="A1544" s="89"/>
      <c r="B1544" s="93"/>
      <c r="C1544" s="148" t="s">
        <v>1449</v>
      </c>
      <c r="D1544" s="126" t="s">
        <v>1450</v>
      </c>
      <c r="E1544" s="164" t="s">
        <v>1570</v>
      </c>
      <c r="F1544" s="164" t="s">
        <v>1570</v>
      </c>
      <c r="G1544" s="164" t="s">
        <v>1570</v>
      </c>
      <c r="H1544" s="164" t="s">
        <v>1570</v>
      </c>
      <c r="I1544" s="128">
        <v>0.9</v>
      </c>
      <c r="J1544" s="129">
        <v>0.939393939393939</v>
      </c>
      <c r="K1544" s="129">
        <v>0.90625</v>
      </c>
      <c r="L1544" s="130">
        <v>0.909090909090909</v>
      </c>
      <c r="M1544" s="129">
        <v>0.922879177377892</v>
      </c>
      <c r="N1544" s="131">
        <v>0.9</v>
      </c>
      <c r="O1544" s="129">
        <v>0.95949876929962</v>
      </c>
      <c r="P1544" s="129">
        <v>0.963070238957277</v>
      </c>
      <c r="Q1544" s="129">
        <v>0.961585615038823</v>
      </c>
      <c r="R1544" s="129">
        <v>0.955713977100886</v>
      </c>
      <c r="S1544" s="131">
        <v>0.9</v>
      </c>
      <c r="T1544" s="129">
        <v>0.841127769075856</v>
      </c>
      <c r="U1544" s="129">
        <v>0.845763939174511</v>
      </c>
      <c r="V1544" s="129">
        <v>0.830813240702902</v>
      </c>
      <c r="W1544" s="129">
        <v>0.863973500396054</v>
      </c>
      <c r="X1544" s="131">
        <v>0.92</v>
      </c>
      <c r="Y1544" s="131" t="s">
        <v>33</v>
      </c>
      <c r="Z1544" s="131" t="s">
        <v>33</v>
      </c>
      <c r="AA1544" s="131" t="s">
        <v>33</v>
      </c>
      <c r="AB1544" s="131">
        <v>0.5</v>
      </c>
      <c r="AC1544" s="131">
        <v>0.92</v>
      </c>
      <c r="AD1544" s="129">
        <v>1</v>
      </c>
      <c r="AE1544" s="129">
        <v>0.921875</v>
      </c>
      <c r="AF1544" s="129">
        <v>0.958333333333333</v>
      </c>
      <c r="AG1544" s="129">
        <v>0.886824324324324</v>
      </c>
      <c r="AH1544" s="131">
        <v>0.92</v>
      </c>
      <c r="AI1544" s="129">
        <v>0.918326247482658</v>
      </c>
      <c r="AJ1544" s="129">
        <v>0.899589669321748</v>
      </c>
      <c r="AK1544" s="129">
        <v>0.902942378422558</v>
      </c>
      <c r="AL1544" s="129">
        <v>0.92450180914835</v>
      </c>
      <c r="AM1544" s="128">
        <v>0.99</v>
      </c>
      <c r="AN1544" s="133" t="s">
        <v>33</v>
      </c>
      <c r="AO1544" s="133" t="s">
        <v>33</v>
      </c>
      <c r="AP1544" s="133" t="s">
        <v>33</v>
      </c>
      <c r="AQ1544" s="133">
        <v>1</v>
      </c>
      <c r="AR1544" s="153">
        <v>0.110069253262963</v>
      </c>
      <c r="AS1544" s="137">
        <v>0.0487804878048781</v>
      </c>
      <c r="AT1544" s="137">
        <v>0.0487804878048781</v>
      </c>
      <c r="AU1544" s="137">
        <v>0</v>
      </c>
      <c r="AV1544" s="137">
        <v>0.0645833333333333</v>
      </c>
      <c r="AW1544" s="93"/>
      <c r="AX1544" s="91"/>
    </row>
    <row r="1545" ht="14.5" spans="1:50">
      <c r="A1545" s="89"/>
      <c r="B1545" s="93"/>
      <c r="C1545" s="148" t="s">
        <v>1449</v>
      </c>
      <c r="D1545" s="126" t="s">
        <v>1450</v>
      </c>
      <c r="E1545" s="164" t="s">
        <v>1571</v>
      </c>
      <c r="F1545" s="164" t="s">
        <v>1571</v>
      </c>
      <c r="G1545" s="164" t="s">
        <v>1571</v>
      </c>
      <c r="H1545" s="164" t="s">
        <v>1571</v>
      </c>
      <c r="I1545" s="128">
        <v>0.9</v>
      </c>
      <c r="J1545" s="129">
        <v>0.642857142857143</v>
      </c>
      <c r="K1545" s="129">
        <v>0.857142857142857</v>
      </c>
      <c r="L1545" s="130">
        <v>0.903225806451613</v>
      </c>
      <c r="M1545" s="129">
        <v>0.861189801699717</v>
      </c>
      <c r="N1545" s="131">
        <v>0.9</v>
      </c>
      <c r="O1545" s="129">
        <v>0.891915641476274</v>
      </c>
      <c r="P1545" s="129">
        <v>0.934071729957806</v>
      </c>
      <c r="Q1545" s="129">
        <v>0.858171994597028</v>
      </c>
      <c r="R1545" s="129">
        <v>0.901670435480341</v>
      </c>
      <c r="S1545" s="131">
        <v>0.9</v>
      </c>
      <c r="T1545" s="129">
        <v>0.867311072056239</v>
      </c>
      <c r="U1545" s="129">
        <v>0.906645569620253</v>
      </c>
      <c r="V1545" s="129">
        <v>0.882935614588023</v>
      </c>
      <c r="W1545" s="129">
        <v>0.899518564446714</v>
      </c>
      <c r="X1545" s="131">
        <v>0.92</v>
      </c>
      <c r="Y1545" s="131">
        <v>0.910144927536232</v>
      </c>
      <c r="Z1545" s="131">
        <v>0.961465571699305</v>
      </c>
      <c r="AA1545" s="131">
        <v>0.940231362467866</v>
      </c>
      <c r="AB1545" s="131">
        <v>0.91372437357631</v>
      </c>
      <c r="AC1545" s="131">
        <v>0.92</v>
      </c>
      <c r="AD1545" s="129">
        <v>0.850340136054422</v>
      </c>
      <c r="AE1545" s="129">
        <v>0.914529914529915</v>
      </c>
      <c r="AF1545" s="129">
        <v>0.727272727272727</v>
      </c>
      <c r="AG1545" s="129">
        <v>0.913265306122449</v>
      </c>
      <c r="AH1545" s="131">
        <v>0.92</v>
      </c>
      <c r="AI1545" s="129">
        <v>0.930526800092017</v>
      </c>
      <c r="AJ1545" s="129">
        <v>0.958033917792469</v>
      </c>
      <c r="AK1545" s="129">
        <v>0.962933545141647</v>
      </c>
      <c r="AL1545" s="129">
        <v>0.948570957231822</v>
      </c>
      <c r="AM1545" s="128">
        <v>0.99</v>
      </c>
      <c r="AN1545" s="133">
        <v>1</v>
      </c>
      <c r="AO1545" s="133">
        <v>1</v>
      </c>
      <c r="AP1545" s="133">
        <v>1</v>
      </c>
      <c r="AQ1545" s="133">
        <v>1</v>
      </c>
      <c r="AR1545" s="153">
        <v>0.110069253262963</v>
      </c>
      <c r="AS1545" s="137">
        <v>0.105263157894737</v>
      </c>
      <c r="AT1545" s="137">
        <v>0</v>
      </c>
      <c r="AU1545" s="137">
        <v>0.1</v>
      </c>
      <c r="AV1545" s="137">
        <v>0.0837004405286344</v>
      </c>
      <c r="AW1545" s="93"/>
      <c r="AX1545" s="91"/>
    </row>
    <row r="1546" ht="14.5" spans="1:50">
      <c r="A1546" s="89"/>
      <c r="B1546" s="93"/>
      <c r="C1546" s="148" t="s">
        <v>1449</v>
      </c>
      <c r="D1546" s="126" t="s">
        <v>1450</v>
      </c>
      <c r="E1546" s="164" t="s">
        <v>1572</v>
      </c>
      <c r="F1546" s="164" t="s">
        <v>1572</v>
      </c>
      <c r="G1546" s="164" t="s">
        <v>1572</v>
      </c>
      <c r="H1546" s="164" t="s">
        <v>1572</v>
      </c>
      <c r="I1546" s="128">
        <v>0.9</v>
      </c>
      <c r="J1546" s="129">
        <v>1</v>
      </c>
      <c r="K1546" s="129">
        <v>1</v>
      </c>
      <c r="L1546" s="130">
        <v>1</v>
      </c>
      <c r="M1546" s="129">
        <v>1</v>
      </c>
      <c r="N1546" s="131">
        <v>0.9</v>
      </c>
      <c r="O1546" s="129">
        <v>0.998723675813657</v>
      </c>
      <c r="P1546" s="129">
        <v>0.997282608695652</v>
      </c>
      <c r="Q1546" s="129">
        <v>0.99615137908916</v>
      </c>
      <c r="R1546" s="129">
        <v>0.989748183537374</v>
      </c>
      <c r="S1546" s="131">
        <v>0.9</v>
      </c>
      <c r="T1546" s="129">
        <v>0.967453733248245</v>
      </c>
      <c r="U1546" s="129">
        <v>0.964673913043478</v>
      </c>
      <c r="V1546" s="129">
        <v>0.955099422706863</v>
      </c>
      <c r="W1546" s="129">
        <v>0.965313028764805</v>
      </c>
      <c r="X1546" s="131">
        <v>0.92</v>
      </c>
      <c r="Y1546" s="131" t="s">
        <v>33</v>
      </c>
      <c r="Z1546" s="131" t="s">
        <v>33</v>
      </c>
      <c r="AA1546" s="131" t="s">
        <v>33</v>
      </c>
      <c r="AB1546" s="131" t="s">
        <v>33</v>
      </c>
      <c r="AC1546" s="131">
        <v>0.92</v>
      </c>
      <c r="AD1546" s="129">
        <v>0.988235294117647</v>
      </c>
      <c r="AE1546" s="129">
        <v>1</v>
      </c>
      <c r="AF1546" s="129">
        <v>1</v>
      </c>
      <c r="AG1546" s="129">
        <v>0.995652173913044</v>
      </c>
      <c r="AH1546" s="131">
        <v>0.92</v>
      </c>
      <c r="AI1546" s="129">
        <v>0.98085513720485</v>
      </c>
      <c r="AJ1546" s="129">
        <v>0.979891304347826</v>
      </c>
      <c r="AK1546" s="129">
        <v>0.986529826812059</v>
      </c>
      <c r="AL1546" s="129">
        <v>0.984373444809396</v>
      </c>
      <c r="AM1546" s="128">
        <v>0.99</v>
      </c>
      <c r="AN1546" s="133">
        <v>1</v>
      </c>
      <c r="AO1546" s="133">
        <v>1</v>
      </c>
      <c r="AP1546" s="133">
        <v>1</v>
      </c>
      <c r="AQ1546" s="133">
        <v>1</v>
      </c>
      <c r="AR1546" s="153">
        <v>0.110069253262963</v>
      </c>
      <c r="AS1546" s="137">
        <v>0</v>
      </c>
      <c r="AT1546" s="137">
        <v>0.266666666666667</v>
      </c>
      <c r="AU1546" s="137">
        <v>0.0714285714285714</v>
      </c>
      <c r="AV1546" s="137">
        <v>0.0973451327433628</v>
      </c>
      <c r="AW1546" s="93"/>
      <c r="AX1546" s="91"/>
    </row>
    <row r="1547" ht="14.5" spans="1:50">
      <c r="A1547" s="89"/>
      <c r="B1547" s="93"/>
      <c r="C1547" s="148" t="s">
        <v>1449</v>
      </c>
      <c r="D1547" s="126" t="s">
        <v>1450</v>
      </c>
      <c r="E1547" s="164" t="s">
        <v>1573</v>
      </c>
      <c r="F1547" s="164" t="s">
        <v>1573</v>
      </c>
      <c r="G1547" s="164" t="s">
        <v>1573</v>
      </c>
      <c r="H1547" s="164" t="s">
        <v>1573</v>
      </c>
      <c r="I1547" s="128">
        <v>0.9</v>
      </c>
      <c r="J1547" s="129">
        <v>0.869565217391304</v>
      </c>
      <c r="K1547" s="129">
        <v>0.96</v>
      </c>
      <c r="L1547" s="130">
        <v>0.958333333333333</v>
      </c>
      <c r="M1547" s="129">
        <v>0.927835051546392</v>
      </c>
      <c r="N1547" s="131">
        <v>0.9</v>
      </c>
      <c r="O1547" s="129">
        <v>0.98376037531577</v>
      </c>
      <c r="P1547" s="129">
        <v>0.974348855564325</v>
      </c>
      <c r="Q1547" s="129">
        <v>0.995357142857143</v>
      </c>
      <c r="R1547" s="129">
        <v>0.991517367458867</v>
      </c>
      <c r="S1547" s="131">
        <v>0.9</v>
      </c>
      <c r="T1547" s="129">
        <v>0.808011548177553</v>
      </c>
      <c r="U1547" s="129">
        <v>0.815706393054459</v>
      </c>
      <c r="V1547" s="129">
        <v>0.781071428571429</v>
      </c>
      <c r="W1547" s="129">
        <v>0.842961608775137</v>
      </c>
      <c r="X1547" s="131">
        <v>0.92</v>
      </c>
      <c r="Y1547" s="131" t="s">
        <v>33</v>
      </c>
      <c r="Z1547" s="131" t="s">
        <v>33</v>
      </c>
      <c r="AA1547" s="131" t="s">
        <v>33</v>
      </c>
      <c r="AB1547" s="131" t="s">
        <v>33</v>
      </c>
      <c r="AC1547" s="131">
        <v>0.92</v>
      </c>
      <c r="AD1547" s="129">
        <v>1</v>
      </c>
      <c r="AE1547" s="129">
        <v>1</v>
      </c>
      <c r="AF1547" s="129">
        <v>1</v>
      </c>
      <c r="AG1547" s="129">
        <v>0.946308724832215</v>
      </c>
      <c r="AH1547" s="131">
        <v>0.92</v>
      </c>
      <c r="AI1547" s="129">
        <v>0.895705521472393</v>
      </c>
      <c r="AJ1547" s="129">
        <v>0.939226519337017</v>
      </c>
      <c r="AK1547" s="129">
        <v>0.930714285714286</v>
      </c>
      <c r="AL1547" s="129">
        <v>0.942815356489945</v>
      </c>
      <c r="AM1547" s="128">
        <v>0.99</v>
      </c>
      <c r="AN1547" s="133">
        <v>1</v>
      </c>
      <c r="AO1547" s="133">
        <v>1</v>
      </c>
      <c r="AP1547" s="133">
        <v>1</v>
      </c>
      <c r="AQ1547" s="133">
        <v>1</v>
      </c>
      <c r="AR1547" s="153">
        <v>0.110069253262963</v>
      </c>
      <c r="AS1547" s="137">
        <v>0.230769230769231</v>
      </c>
      <c r="AT1547" s="137">
        <v>0.0416666666666667</v>
      </c>
      <c r="AU1547" s="137">
        <v>0.0588235294117647</v>
      </c>
      <c r="AV1547" s="137">
        <v>0.087962962962963</v>
      </c>
      <c r="AW1547" s="93"/>
      <c r="AX1547" s="91"/>
    </row>
    <row r="1548" ht="14.5" spans="1:50">
      <c r="A1548" s="89"/>
      <c r="B1548" s="93"/>
      <c r="C1548" s="148" t="s">
        <v>1449</v>
      </c>
      <c r="D1548" s="126" t="s">
        <v>1450</v>
      </c>
      <c r="E1548" s="164" t="s">
        <v>1574</v>
      </c>
      <c r="F1548" s="164" t="s">
        <v>1574</v>
      </c>
      <c r="G1548" s="164" t="s">
        <v>1574</v>
      </c>
      <c r="H1548" s="164" t="s">
        <v>1574</v>
      </c>
      <c r="I1548" s="128">
        <v>0.9</v>
      </c>
      <c r="J1548" s="129">
        <v>0.966666666666667</v>
      </c>
      <c r="K1548" s="129">
        <v>1</v>
      </c>
      <c r="L1548" s="130">
        <v>0.888888888888889</v>
      </c>
      <c r="M1548" s="129">
        <v>0.979591836734694</v>
      </c>
      <c r="N1548" s="131">
        <v>0.9</v>
      </c>
      <c r="O1548" s="129">
        <v>0.975915704967386</v>
      </c>
      <c r="P1548" s="129">
        <v>0.95025569502557</v>
      </c>
      <c r="Q1548" s="129">
        <v>0.968823070927514</v>
      </c>
      <c r="R1548" s="129">
        <v>0.949360967184801</v>
      </c>
      <c r="S1548" s="131">
        <v>0.9</v>
      </c>
      <c r="T1548" s="129">
        <v>0.939287506271952</v>
      </c>
      <c r="U1548" s="129">
        <v>0.916317991631799</v>
      </c>
      <c r="V1548" s="129">
        <v>0.936477007014809</v>
      </c>
      <c r="W1548" s="129">
        <v>0.936476683937824</v>
      </c>
      <c r="X1548" s="131">
        <v>0.92</v>
      </c>
      <c r="Y1548" s="131" t="s">
        <v>33</v>
      </c>
      <c r="Z1548" s="131" t="s">
        <v>33</v>
      </c>
      <c r="AA1548" s="131" t="s">
        <v>33</v>
      </c>
      <c r="AB1548" s="131" t="s">
        <v>33</v>
      </c>
      <c r="AC1548" s="131">
        <v>0.92</v>
      </c>
      <c r="AD1548" s="129">
        <v>0.96875</v>
      </c>
      <c r="AE1548" s="129">
        <v>1</v>
      </c>
      <c r="AF1548" s="129">
        <v>0.985294117647059</v>
      </c>
      <c r="AG1548" s="129">
        <v>0.983903420523139</v>
      </c>
      <c r="AH1548" s="131">
        <v>0.92</v>
      </c>
      <c r="AI1548" s="129">
        <v>0.961866532865028</v>
      </c>
      <c r="AJ1548" s="129">
        <v>0.96606229660623</v>
      </c>
      <c r="AK1548" s="129">
        <v>0.967653936087295</v>
      </c>
      <c r="AL1548" s="129">
        <v>0.976718480138169</v>
      </c>
      <c r="AM1548" s="128">
        <v>0.99</v>
      </c>
      <c r="AN1548" s="133">
        <v>1</v>
      </c>
      <c r="AO1548" s="133">
        <v>1</v>
      </c>
      <c r="AP1548" s="133">
        <v>1</v>
      </c>
      <c r="AQ1548" s="133">
        <v>1</v>
      </c>
      <c r="AR1548" s="153">
        <v>0.110069253262963</v>
      </c>
      <c r="AS1548" s="137">
        <v>0.0833333333333333</v>
      </c>
      <c r="AT1548" s="137">
        <v>0</v>
      </c>
      <c r="AU1548" s="137">
        <v>0</v>
      </c>
      <c r="AV1548" s="137">
        <v>0.0681818181818182</v>
      </c>
      <c r="AW1548" s="93"/>
      <c r="AX1548" s="91"/>
    </row>
    <row r="1549" ht="14.5" spans="1:50">
      <c r="A1549" s="89"/>
      <c r="B1549" s="93"/>
      <c r="C1549" s="148" t="s">
        <v>1449</v>
      </c>
      <c r="D1549" s="126" t="s">
        <v>1450</v>
      </c>
      <c r="E1549" s="164" t="s">
        <v>1575</v>
      </c>
      <c r="F1549" s="164" t="s">
        <v>1575</v>
      </c>
      <c r="G1549" s="164" t="s">
        <v>1575</v>
      </c>
      <c r="H1549" s="164" t="s">
        <v>1575</v>
      </c>
      <c r="I1549" s="128">
        <v>0.9</v>
      </c>
      <c r="J1549" s="129">
        <v>1</v>
      </c>
      <c r="K1549" s="129">
        <v>1</v>
      </c>
      <c r="L1549" s="130">
        <v>1</v>
      </c>
      <c r="M1549" s="129">
        <v>1</v>
      </c>
      <c r="N1549" s="131">
        <v>0.9</v>
      </c>
      <c r="O1549" s="129">
        <v>0.961622013034033</v>
      </c>
      <c r="P1549" s="129">
        <v>0.974590163934426</v>
      </c>
      <c r="Q1549" s="129">
        <v>0.959302325581395</v>
      </c>
      <c r="R1549" s="129">
        <v>0.935822099320198</v>
      </c>
      <c r="S1549" s="131">
        <v>0.9</v>
      </c>
      <c r="T1549" s="129">
        <v>0.819695872556119</v>
      </c>
      <c r="U1549" s="129">
        <v>0.854098360655738</v>
      </c>
      <c r="V1549" s="129">
        <v>0.679505813953488</v>
      </c>
      <c r="W1549" s="129">
        <v>0.662230671736375</v>
      </c>
      <c r="X1549" s="131">
        <v>0.92</v>
      </c>
      <c r="Y1549" s="131" t="s">
        <v>33</v>
      </c>
      <c r="Z1549" s="131" t="s">
        <v>33</v>
      </c>
      <c r="AA1549" s="131" t="s">
        <v>33</v>
      </c>
      <c r="AB1549" s="131" t="s">
        <v>33</v>
      </c>
      <c r="AC1549" s="131">
        <v>0.92</v>
      </c>
      <c r="AD1549" s="129">
        <v>0.413223140495868</v>
      </c>
      <c r="AE1549" s="129">
        <v>0.991735537190083</v>
      </c>
      <c r="AF1549" s="129">
        <v>1</v>
      </c>
      <c r="AG1549" s="129">
        <v>0.923566878980892</v>
      </c>
      <c r="AH1549" s="131">
        <v>0.92</v>
      </c>
      <c r="AI1549" s="129">
        <v>0.931209268645909</v>
      </c>
      <c r="AJ1549" s="129">
        <v>0.94672131147541</v>
      </c>
      <c r="AK1549" s="129">
        <v>0.958575581395349</v>
      </c>
      <c r="AL1549" s="129">
        <v>0.931155663094827</v>
      </c>
      <c r="AM1549" s="128">
        <v>0.99</v>
      </c>
      <c r="AN1549" s="133">
        <v>1</v>
      </c>
      <c r="AO1549" s="133">
        <v>1</v>
      </c>
      <c r="AP1549" s="133">
        <v>1</v>
      </c>
      <c r="AQ1549" s="133">
        <v>1</v>
      </c>
      <c r="AR1549" s="153">
        <v>0.110069253262963</v>
      </c>
      <c r="AS1549" s="137">
        <v>0.2</v>
      </c>
      <c r="AT1549" s="137">
        <v>0.125</v>
      </c>
      <c r="AU1549" s="137">
        <v>0</v>
      </c>
      <c r="AV1549" s="137">
        <v>0.0804597701149425</v>
      </c>
      <c r="AW1549" s="93"/>
      <c r="AX1549" s="91"/>
    </row>
    <row r="1550" ht="14.5" spans="1:50">
      <c r="A1550" s="89"/>
      <c r="B1550" s="93"/>
      <c r="C1550" s="148" t="s">
        <v>1449</v>
      </c>
      <c r="D1550" s="126" t="s">
        <v>1450</v>
      </c>
      <c r="E1550" s="164" t="s">
        <v>1576</v>
      </c>
      <c r="F1550" s="164" t="s">
        <v>1576</v>
      </c>
      <c r="G1550" s="164" t="s">
        <v>1576</v>
      </c>
      <c r="H1550" s="164" t="s">
        <v>1576</v>
      </c>
      <c r="I1550" s="128">
        <v>0.9</v>
      </c>
      <c r="J1550" s="129">
        <v>0.892857142857143</v>
      </c>
      <c r="K1550" s="129">
        <v>0.92</v>
      </c>
      <c r="L1550" s="130">
        <v>0.884615384615385</v>
      </c>
      <c r="M1550" s="129">
        <v>0.889589905362776</v>
      </c>
      <c r="N1550" s="131">
        <v>0.9</v>
      </c>
      <c r="O1550" s="129">
        <v>0.889779559118236</v>
      </c>
      <c r="P1550" s="129">
        <v>0.94408201304753</v>
      </c>
      <c r="Q1550" s="129">
        <v>0.701592002961866</v>
      </c>
      <c r="R1550" s="129">
        <v>0.837622091702632</v>
      </c>
      <c r="S1550" s="131">
        <v>0.9</v>
      </c>
      <c r="T1550" s="129">
        <v>0.61002004008016</v>
      </c>
      <c r="U1550" s="129">
        <v>0.600186393289842</v>
      </c>
      <c r="V1550" s="129">
        <v>0.448722695298038</v>
      </c>
      <c r="W1550" s="129">
        <v>0.516273485413895</v>
      </c>
      <c r="X1550" s="131">
        <v>0.92</v>
      </c>
      <c r="Y1550" s="131" t="s">
        <v>33</v>
      </c>
      <c r="Z1550" s="131" t="s">
        <v>33</v>
      </c>
      <c r="AA1550" s="131" t="s">
        <v>33</v>
      </c>
      <c r="AB1550" s="131" t="s">
        <v>33</v>
      </c>
      <c r="AC1550" s="131">
        <v>0.92</v>
      </c>
      <c r="AD1550" s="129">
        <v>0.105633802816901</v>
      </c>
      <c r="AE1550" s="129">
        <v>0.983660130718954</v>
      </c>
      <c r="AF1550" s="129">
        <v>0.931034482758621</v>
      </c>
      <c r="AG1550" s="129">
        <v>0.921336206896552</v>
      </c>
      <c r="AH1550" s="131">
        <v>0.92</v>
      </c>
      <c r="AI1550" s="129">
        <v>0.886573146292585</v>
      </c>
      <c r="AJ1550" s="129">
        <v>0.852749301025163</v>
      </c>
      <c r="AK1550" s="129">
        <v>0.865605331358756</v>
      </c>
      <c r="AL1550" s="129">
        <v>0.86536651848006</v>
      </c>
      <c r="AM1550" s="128">
        <v>0.99</v>
      </c>
      <c r="AN1550" s="133">
        <v>1</v>
      </c>
      <c r="AO1550" s="133">
        <v>1</v>
      </c>
      <c r="AP1550" s="133">
        <v>1</v>
      </c>
      <c r="AQ1550" s="133">
        <v>1</v>
      </c>
      <c r="AR1550" s="153">
        <v>0.110069253262963</v>
      </c>
      <c r="AS1550" s="137">
        <v>0.0485436893203883</v>
      </c>
      <c r="AT1550" s="137">
        <v>0.0588235294117647</v>
      </c>
      <c r="AU1550" s="137">
        <v>0.016260162601626</v>
      </c>
      <c r="AV1550" s="137">
        <v>0.0502958579881657</v>
      </c>
      <c r="AW1550" s="93"/>
      <c r="AX1550" s="91"/>
    </row>
    <row r="1551" ht="14.5" spans="1:50">
      <c r="A1551" s="89"/>
      <c r="B1551" s="93"/>
      <c r="C1551" s="148" t="s">
        <v>1449</v>
      </c>
      <c r="D1551" s="126" t="s">
        <v>1450</v>
      </c>
      <c r="E1551" s="164" t="s">
        <v>1577</v>
      </c>
      <c r="F1551" s="164" t="s">
        <v>1577</v>
      </c>
      <c r="G1551" s="164" t="s">
        <v>1577</v>
      </c>
      <c r="H1551" s="164" t="s">
        <v>1577</v>
      </c>
      <c r="I1551" s="128">
        <v>0.9</v>
      </c>
      <c r="J1551" s="129">
        <v>1</v>
      </c>
      <c r="K1551" s="129">
        <v>0.944444444444444</v>
      </c>
      <c r="L1551" s="130">
        <v>0.933333333333333</v>
      </c>
      <c r="M1551" s="129">
        <v>0.937219730941704</v>
      </c>
      <c r="N1551" s="131">
        <v>0.9</v>
      </c>
      <c r="O1551" s="129">
        <v>1</v>
      </c>
      <c r="P1551" s="129">
        <v>1</v>
      </c>
      <c r="Q1551" s="129" t="s">
        <v>33</v>
      </c>
      <c r="R1551" s="129">
        <v>0.75</v>
      </c>
      <c r="S1551" s="131">
        <v>0.9</v>
      </c>
      <c r="T1551" s="129">
        <v>0</v>
      </c>
      <c r="U1551" s="129">
        <v>0</v>
      </c>
      <c r="V1551" s="129" t="s">
        <v>33</v>
      </c>
      <c r="W1551" s="129">
        <v>0</v>
      </c>
      <c r="X1551" s="131">
        <v>0.92</v>
      </c>
      <c r="Y1551" s="131" t="s">
        <v>33</v>
      </c>
      <c r="Z1551" s="131" t="s">
        <v>33</v>
      </c>
      <c r="AA1551" s="131" t="s">
        <v>33</v>
      </c>
      <c r="AB1551" s="131" t="s">
        <v>33</v>
      </c>
      <c r="AC1551" s="131">
        <v>0.92</v>
      </c>
      <c r="AD1551" s="129">
        <v>0.758620689655172</v>
      </c>
      <c r="AE1551" s="129">
        <v>0.565217391304348</v>
      </c>
      <c r="AF1551" s="129">
        <v>0.769230769230769</v>
      </c>
      <c r="AG1551" s="129">
        <v>0.779467680608365</v>
      </c>
      <c r="AH1551" s="131">
        <v>0.92</v>
      </c>
      <c r="AI1551" s="129">
        <v>0.910289115646258</v>
      </c>
      <c r="AJ1551" s="129">
        <v>0.963165075034106</v>
      </c>
      <c r="AK1551" s="129">
        <v>0.965317919075145</v>
      </c>
      <c r="AL1551" s="129">
        <v>0.968719267720705</v>
      </c>
      <c r="AM1551" s="128">
        <v>0.99</v>
      </c>
      <c r="AN1551" s="133">
        <v>1</v>
      </c>
      <c r="AO1551" s="133">
        <v>1</v>
      </c>
      <c r="AP1551" s="133">
        <v>1</v>
      </c>
      <c r="AQ1551" s="133">
        <v>1</v>
      </c>
      <c r="AR1551" s="153">
        <v>0.110069253262963</v>
      </c>
      <c r="AS1551" s="137">
        <v>0</v>
      </c>
      <c r="AT1551" s="137">
        <v>0.1875</v>
      </c>
      <c r="AU1551" s="137">
        <v>0.125</v>
      </c>
      <c r="AV1551" s="137">
        <v>0.0811965811965812</v>
      </c>
      <c r="AW1551" s="93"/>
      <c r="AX1551" s="91"/>
    </row>
    <row r="1552" ht="14.5" spans="1:50">
      <c r="A1552" s="89"/>
      <c r="B1552" s="93"/>
      <c r="C1552" s="148" t="s">
        <v>1449</v>
      </c>
      <c r="D1552" s="126" t="s">
        <v>1450</v>
      </c>
      <c r="E1552" s="164" t="s">
        <v>1578</v>
      </c>
      <c r="F1552" s="164" t="s">
        <v>1578</v>
      </c>
      <c r="G1552" s="164" t="s">
        <v>1578</v>
      </c>
      <c r="H1552" s="164" t="s">
        <v>1578</v>
      </c>
      <c r="I1552" s="128">
        <v>0.9</v>
      </c>
      <c r="J1552" s="129">
        <v>0.970588235294118</v>
      </c>
      <c r="K1552" s="129">
        <v>1</v>
      </c>
      <c r="L1552" s="130">
        <v>1</v>
      </c>
      <c r="M1552" s="129">
        <v>0.967058823529412</v>
      </c>
      <c r="N1552" s="131">
        <v>0.9</v>
      </c>
      <c r="O1552" s="129">
        <v>0.981846635367762</v>
      </c>
      <c r="P1552" s="129">
        <v>0.990005711022273</v>
      </c>
      <c r="Q1552" s="129">
        <v>0.92947043457611</v>
      </c>
      <c r="R1552" s="129">
        <v>0.969717886486607</v>
      </c>
      <c r="S1552" s="131">
        <v>0.9</v>
      </c>
      <c r="T1552" s="129">
        <v>0.879499217527387</v>
      </c>
      <c r="U1552" s="129">
        <v>0.892347230154198</v>
      </c>
      <c r="V1552" s="129">
        <v>0.803847067204939</v>
      </c>
      <c r="W1552" s="129">
        <v>0.871390082607824</v>
      </c>
      <c r="X1552" s="131">
        <v>0.92</v>
      </c>
      <c r="Y1552" s="131" t="s">
        <v>33</v>
      </c>
      <c r="Z1552" s="131" t="s">
        <v>33</v>
      </c>
      <c r="AA1552" s="131" t="s">
        <v>33</v>
      </c>
      <c r="AB1552" s="131" t="s">
        <v>33</v>
      </c>
      <c r="AC1552" s="131">
        <v>0.92</v>
      </c>
      <c r="AD1552" s="129">
        <v>0.0135135135135135</v>
      </c>
      <c r="AE1552" s="129">
        <v>1</v>
      </c>
      <c r="AF1552" s="129">
        <v>1</v>
      </c>
      <c r="AG1552" s="129">
        <v>0.939370078740157</v>
      </c>
      <c r="AH1552" s="131">
        <v>0.92</v>
      </c>
      <c r="AI1552" s="129">
        <v>0.949608763693271</v>
      </c>
      <c r="AJ1552" s="129">
        <v>0.963735008566533</v>
      </c>
      <c r="AK1552" s="129">
        <v>0.945856091189741</v>
      </c>
      <c r="AL1552" s="129">
        <v>0.963862664766655</v>
      </c>
      <c r="AM1552" s="128">
        <v>0.99</v>
      </c>
      <c r="AN1552" s="133">
        <v>1</v>
      </c>
      <c r="AO1552" s="133">
        <v>1</v>
      </c>
      <c r="AP1552" s="133">
        <v>1</v>
      </c>
      <c r="AQ1552" s="133">
        <v>1</v>
      </c>
      <c r="AR1552" s="153">
        <v>0.110069253262963</v>
      </c>
      <c r="AS1552" s="137">
        <v>0.079646017699115</v>
      </c>
      <c r="AT1552" s="137">
        <v>0.0864197530864197</v>
      </c>
      <c r="AU1552" s="137">
        <v>0.0205479452054795</v>
      </c>
      <c r="AV1552" s="137">
        <v>0.0520661157024793</v>
      </c>
      <c r="AW1552" s="93"/>
      <c r="AX1552" s="91"/>
    </row>
    <row r="1553" ht="14.5" spans="1:50">
      <c r="A1553" s="89"/>
      <c r="B1553" s="93"/>
      <c r="C1553" s="148" t="s">
        <v>1449</v>
      </c>
      <c r="D1553" s="126" t="s">
        <v>1450</v>
      </c>
      <c r="E1553" s="164" t="s">
        <v>1579</v>
      </c>
      <c r="F1553" s="164" t="s">
        <v>1579</v>
      </c>
      <c r="G1553" s="164" t="s">
        <v>1579</v>
      </c>
      <c r="H1553" s="164" t="s">
        <v>1579</v>
      </c>
      <c r="I1553" s="128">
        <v>0.9</v>
      </c>
      <c r="J1553" s="129" t="s">
        <v>33</v>
      </c>
      <c r="K1553" s="129" t="s">
        <v>33</v>
      </c>
      <c r="L1553" s="130" t="s">
        <v>33</v>
      </c>
      <c r="M1553" s="129" t="s">
        <v>33</v>
      </c>
      <c r="N1553" s="131">
        <v>0.9</v>
      </c>
      <c r="O1553" s="129" t="s">
        <v>33</v>
      </c>
      <c r="P1553" s="129" t="s">
        <v>33</v>
      </c>
      <c r="Q1553" s="129" t="s">
        <v>33</v>
      </c>
      <c r="R1553" s="129" t="s">
        <v>33</v>
      </c>
      <c r="S1553" s="131">
        <v>0.9</v>
      </c>
      <c r="T1553" s="129" t="s">
        <v>33</v>
      </c>
      <c r="U1553" s="129" t="s">
        <v>33</v>
      </c>
      <c r="V1553" s="129" t="s">
        <v>33</v>
      </c>
      <c r="W1553" s="129" t="s">
        <v>33</v>
      </c>
      <c r="X1553" s="131">
        <v>0.92</v>
      </c>
      <c r="Y1553" s="131" t="s">
        <v>33</v>
      </c>
      <c r="Z1553" s="131" t="s">
        <v>33</v>
      </c>
      <c r="AA1553" s="131" t="s">
        <v>33</v>
      </c>
      <c r="AB1553" s="131" t="s">
        <v>33</v>
      </c>
      <c r="AC1553" s="131">
        <v>0.92</v>
      </c>
      <c r="AD1553" s="129" t="s">
        <v>33</v>
      </c>
      <c r="AE1553" s="129" t="s">
        <v>33</v>
      </c>
      <c r="AF1553" s="129" t="s">
        <v>33</v>
      </c>
      <c r="AG1553" s="129" t="s">
        <v>33</v>
      </c>
      <c r="AH1553" s="131">
        <v>0.92</v>
      </c>
      <c r="AI1553" s="129" t="s">
        <v>33</v>
      </c>
      <c r="AJ1553" s="129" t="s">
        <v>33</v>
      </c>
      <c r="AK1553" s="129" t="s">
        <v>33</v>
      </c>
      <c r="AL1553" s="129" t="s">
        <v>33</v>
      </c>
      <c r="AM1553" s="128">
        <v>0.99</v>
      </c>
      <c r="AN1553" s="133" t="s">
        <v>33</v>
      </c>
      <c r="AO1553" s="133" t="s">
        <v>33</v>
      </c>
      <c r="AP1553" s="133" t="s">
        <v>33</v>
      </c>
      <c r="AQ1553" s="133" t="s">
        <v>33</v>
      </c>
      <c r="AR1553" s="153">
        <v>0.110069253262963</v>
      </c>
      <c r="AS1553" s="137" t="s">
        <v>33</v>
      </c>
      <c r="AT1553" s="137" t="s">
        <v>33</v>
      </c>
      <c r="AU1553" s="137" t="s">
        <v>33</v>
      </c>
      <c r="AV1553" s="137" t="s">
        <v>33</v>
      </c>
      <c r="AW1553" s="93"/>
      <c r="AX1553" s="91"/>
    </row>
    <row r="1554" ht="14.5" spans="1:50">
      <c r="A1554" s="89"/>
      <c r="B1554" s="93"/>
      <c r="C1554" s="148" t="s">
        <v>1449</v>
      </c>
      <c r="D1554" s="126" t="s">
        <v>1450</v>
      </c>
      <c r="E1554" s="164" t="s">
        <v>1580</v>
      </c>
      <c r="F1554" s="164" t="s">
        <v>1580</v>
      </c>
      <c r="G1554" s="164" t="s">
        <v>1580</v>
      </c>
      <c r="H1554" s="164" t="s">
        <v>1580</v>
      </c>
      <c r="I1554" s="128">
        <v>0.9</v>
      </c>
      <c r="J1554" s="129">
        <v>1</v>
      </c>
      <c r="K1554" s="129">
        <v>0.882352941176471</v>
      </c>
      <c r="L1554" s="130">
        <v>1</v>
      </c>
      <c r="M1554" s="129">
        <v>0.967441860465116</v>
      </c>
      <c r="N1554" s="131">
        <v>0.9</v>
      </c>
      <c r="O1554" s="129">
        <v>0.96056685150955</v>
      </c>
      <c r="P1554" s="129">
        <v>0.956648806624452</v>
      </c>
      <c r="Q1554" s="129">
        <v>0.975024975024975</v>
      </c>
      <c r="R1554" s="129">
        <v>0.967437224094555</v>
      </c>
      <c r="S1554" s="131">
        <v>0.9</v>
      </c>
      <c r="T1554" s="129">
        <v>0.463339494762785</v>
      </c>
      <c r="U1554" s="129">
        <v>0.396005845104725</v>
      </c>
      <c r="V1554" s="129">
        <v>0.366633366633367</v>
      </c>
      <c r="W1554" s="129">
        <v>0.483267669815351</v>
      </c>
      <c r="X1554" s="131">
        <v>0.92</v>
      </c>
      <c r="Y1554" s="131" t="s">
        <v>33</v>
      </c>
      <c r="Z1554" s="131" t="s">
        <v>33</v>
      </c>
      <c r="AA1554" s="131" t="s">
        <v>33</v>
      </c>
      <c r="AB1554" s="131">
        <v>0</v>
      </c>
      <c r="AC1554" s="131">
        <v>0.92</v>
      </c>
      <c r="AD1554" s="129">
        <v>1</v>
      </c>
      <c r="AE1554" s="129">
        <v>1</v>
      </c>
      <c r="AF1554" s="129">
        <v>1</v>
      </c>
      <c r="AG1554" s="129">
        <v>0.985294117647059</v>
      </c>
      <c r="AH1554" s="131">
        <v>0.92</v>
      </c>
      <c r="AI1554" s="129">
        <v>0.878619839802834</v>
      </c>
      <c r="AJ1554" s="129">
        <v>0.89965903555772</v>
      </c>
      <c r="AK1554" s="129">
        <v>0.905594405594406</v>
      </c>
      <c r="AL1554" s="129">
        <v>0.905876210366433</v>
      </c>
      <c r="AM1554" s="128">
        <v>0.99</v>
      </c>
      <c r="AN1554" s="133">
        <v>1</v>
      </c>
      <c r="AO1554" s="133">
        <v>1</v>
      </c>
      <c r="AP1554" s="133">
        <v>1</v>
      </c>
      <c r="AQ1554" s="133">
        <v>1</v>
      </c>
      <c r="AR1554" s="153">
        <v>0.110069253262963</v>
      </c>
      <c r="AS1554" s="137">
        <v>0.3</v>
      </c>
      <c r="AT1554" s="137">
        <v>0</v>
      </c>
      <c r="AU1554" s="137">
        <v>0</v>
      </c>
      <c r="AV1554" s="137">
        <v>0.0703125</v>
      </c>
      <c r="AW1554" s="93"/>
      <c r="AX1554" s="91"/>
    </row>
    <row r="1555" ht="14.5" spans="1:50">
      <c r="A1555" s="89"/>
      <c r="B1555" s="93"/>
      <c r="C1555" s="148" t="s">
        <v>1449</v>
      </c>
      <c r="D1555" s="126" t="s">
        <v>1450</v>
      </c>
      <c r="E1555" s="164" t="s">
        <v>1581</v>
      </c>
      <c r="F1555" s="164" t="s">
        <v>1581</v>
      </c>
      <c r="G1555" s="164" t="s">
        <v>1581</v>
      </c>
      <c r="H1555" s="164" t="s">
        <v>1581</v>
      </c>
      <c r="I1555" s="128">
        <v>0.9</v>
      </c>
      <c r="J1555" s="129">
        <v>0.944444444444444</v>
      </c>
      <c r="K1555" s="129">
        <v>1</v>
      </c>
      <c r="L1555" s="130">
        <v>1</v>
      </c>
      <c r="M1555" s="129">
        <v>0.959459459459459</v>
      </c>
      <c r="N1555" s="131">
        <v>0.9</v>
      </c>
      <c r="O1555" s="129" t="s">
        <v>33</v>
      </c>
      <c r="P1555" s="129" t="s">
        <v>33</v>
      </c>
      <c r="Q1555" s="129" t="s">
        <v>33</v>
      </c>
      <c r="R1555" s="129" t="s">
        <v>33</v>
      </c>
      <c r="S1555" s="131">
        <v>0.9</v>
      </c>
      <c r="T1555" s="129" t="s">
        <v>33</v>
      </c>
      <c r="U1555" s="129" t="s">
        <v>33</v>
      </c>
      <c r="V1555" s="129" t="s">
        <v>33</v>
      </c>
      <c r="W1555" s="129" t="s">
        <v>33</v>
      </c>
      <c r="X1555" s="131">
        <v>0.92</v>
      </c>
      <c r="Y1555" s="131" t="s">
        <v>33</v>
      </c>
      <c r="Z1555" s="131" t="s">
        <v>33</v>
      </c>
      <c r="AA1555" s="131" t="s">
        <v>33</v>
      </c>
      <c r="AB1555" s="131" t="s">
        <v>33</v>
      </c>
      <c r="AC1555" s="131">
        <v>0.92</v>
      </c>
      <c r="AD1555" s="129">
        <v>0</v>
      </c>
      <c r="AE1555" s="129">
        <v>0</v>
      </c>
      <c r="AF1555" s="129">
        <v>0</v>
      </c>
      <c r="AG1555" s="129">
        <v>0.272727272727273</v>
      </c>
      <c r="AH1555" s="131">
        <v>0.92</v>
      </c>
      <c r="AI1555" s="129">
        <v>0.976303317535545</v>
      </c>
      <c r="AJ1555" s="129">
        <v>0.834302325581395</v>
      </c>
      <c r="AK1555" s="129">
        <v>0.881454545454545</v>
      </c>
      <c r="AL1555" s="129">
        <v>0.876859504132231</v>
      </c>
      <c r="AM1555" s="128">
        <v>0.99</v>
      </c>
      <c r="AN1555" s="133" t="s">
        <v>33</v>
      </c>
      <c r="AO1555" s="133" t="s">
        <v>33</v>
      </c>
      <c r="AP1555" s="133" t="s">
        <v>33</v>
      </c>
      <c r="AQ1555" s="133">
        <v>1</v>
      </c>
      <c r="AR1555" s="153">
        <v>0.110069253262963</v>
      </c>
      <c r="AS1555" s="137">
        <v>0.0666666666666667</v>
      </c>
      <c r="AT1555" s="137">
        <v>0.0714285714285714</v>
      </c>
      <c r="AU1555" s="137">
        <v>0.380952380952381</v>
      </c>
      <c r="AV1555" s="137">
        <v>0.16751269035533</v>
      </c>
      <c r="AW1555" s="93"/>
      <c r="AX1555" s="91"/>
    </row>
    <row r="1556" ht="14.5" spans="1:50">
      <c r="A1556" s="89"/>
      <c r="B1556" s="93"/>
      <c r="C1556" s="148" t="s">
        <v>1449</v>
      </c>
      <c r="D1556" s="126" t="s">
        <v>1450</v>
      </c>
      <c r="E1556" s="164" t="s">
        <v>1582</v>
      </c>
      <c r="F1556" s="164" t="s">
        <v>1582</v>
      </c>
      <c r="G1556" s="164" t="s">
        <v>1582</v>
      </c>
      <c r="H1556" s="164" t="s">
        <v>1582</v>
      </c>
      <c r="I1556" s="128">
        <v>0.9</v>
      </c>
      <c r="J1556" s="129">
        <v>0.861111111111111</v>
      </c>
      <c r="K1556" s="129">
        <v>0.918918918918919</v>
      </c>
      <c r="L1556" s="130">
        <v>0.914285714285714</v>
      </c>
      <c r="M1556" s="129">
        <v>0.914081145584726</v>
      </c>
      <c r="N1556" s="131">
        <v>0.9</v>
      </c>
      <c r="O1556" s="129">
        <v>0.984321411073003</v>
      </c>
      <c r="P1556" s="129">
        <v>0.990213299874529</v>
      </c>
      <c r="Q1556" s="129">
        <v>0.988696655132641</v>
      </c>
      <c r="R1556" s="129">
        <v>0.988083780191576</v>
      </c>
      <c r="S1556" s="131">
        <v>0.9</v>
      </c>
      <c r="T1556" s="129">
        <v>0.865262126408623</v>
      </c>
      <c r="U1556" s="129">
        <v>0.867503136762861</v>
      </c>
      <c r="V1556" s="129">
        <v>0.841522491349481</v>
      </c>
      <c r="W1556" s="129">
        <v>0.883221045877446</v>
      </c>
      <c r="X1556" s="131">
        <v>0.92</v>
      </c>
      <c r="Y1556" s="131" t="s">
        <v>33</v>
      </c>
      <c r="Z1556" s="131" t="s">
        <v>33</v>
      </c>
      <c r="AA1556" s="131" t="s">
        <v>33</v>
      </c>
      <c r="AB1556" s="131" t="s">
        <v>33</v>
      </c>
      <c r="AC1556" s="131">
        <v>0.92</v>
      </c>
      <c r="AD1556" s="129">
        <v>0.888888888888889</v>
      </c>
      <c r="AE1556" s="129">
        <v>0.814814814814815</v>
      </c>
      <c r="AF1556" s="129">
        <v>0.294117647058824</v>
      </c>
      <c r="AG1556" s="129">
        <v>0.74468085106383</v>
      </c>
      <c r="AH1556" s="131">
        <v>0.92</v>
      </c>
      <c r="AI1556" s="129">
        <v>0.939980401763841</v>
      </c>
      <c r="AJ1556" s="129">
        <v>0.958845671267252</v>
      </c>
      <c r="AK1556" s="129">
        <v>0.972087658592849</v>
      </c>
      <c r="AL1556" s="129">
        <v>0.970005270273367</v>
      </c>
      <c r="AM1556" s="128">
        <v>0.99</v>
      </c>
      <c r="AN1556" s="133">
        <v>1</v>
      </c>
      <c r="AO1556" s="133">
        <v>1</v>
      </c>
      <c r="AP1556" s="133">
        <v>1</v>
      </c>
      <c r="AQ1556" s="133">
        <v>1</v>
      </c>
      <c r="AR1556" s="153">
        <v>0.110069253262963</v>
      </c>
      <c r="AS1556" s="137">
        <v>0.230769230769231</v>
      </c>
      <c r="AT1556" s="137">
        <v>0.05</v>
      </c>
      <c r="AU1556" s="137">
        <v>0.15625</v>
      </c>
      <c r="AV1556" s="137">
        <v>0.146443514644351</v>
      </c>
      <c r="AW1556" s="93"/>
      <c r="AX1556" s="91"/>
    </row>
    <row r="1557" ht="14.5" spans="1:50">
      <c r="A1557" s="89"/>
      <c r="B1557" s="93"/>
      <c r="C1557" s="148" t="s">
        <v>1449</v>
      </c>
      <c r="D1557" s="126" t="s">
        <v>1450</v>
      </c>
      <c r="E1557" s="164" t="s">
        <v>1583</v>
      </c>
      <c r="F1557" s="164" t="s">
        <v>1583</v>
      </c>
      <c r="G1557" s="164" t="s">
        <v>1583</v>
      </c>
      <c r="H1557" s="164" t="s">
        <v>1583</v>
      </c>
      <c r="I1557" s="128">
        <v>0.9</v>
      </c>
      <c r="J1557" s="129">
        <v>0.807692307692308</v>
      </c>
      <c r="K1557" s="129">
        <v>0.875</v>
      </c>
      <c r="L1557" s="130">
        <v>0.785714285714286</v>
      </c>
      <c r="M1557" s="129">
        <v>0.855799373040752</v>
      </c>
      <c r="N1557" s="131">
        <v>0.9</v>
      </c>
      <c r="O1557" s="129">
        <v>0.838952796509322</v>
      </c>
      <c r="P1557" s="129">
        <v>0.98086319218241</v>
      </c>
      <c r="Q1557" s="129">
        <v>0.900605012964564</v>
      </c>
      <c r="R1557" s="129">
        <v>0.955546391752577</v>
      </c>
      <c r="S1557" s="131">
        <v>0.9</v>
      </c>
      <c r="T1557" s="129">
        <v>0.815946053153511</v>
      </c>
      <c r="U1557" s="129">
        <v>0.906758957654723</v>
      </c>
      <c r="V1557" s="129">
        <v>0.832324978392394</v>
      </c>
      <c r="W1557" s="129">
        <v>0.902268041237113</v>
      </c>
      <c r="X1557" s="131">
        <v>0.92</v>
      </c>
      <c r="Y1557" s="131" t="s">
        <v>33</v>
      </c>
      <c r="Z1557" s="131" t="s">
        <v>33</v>
      </c>
      <c r="AA1557" s="131" t="s">
        <v>33</v>
      </c>
      <c r="AB1557" s="131" t="s">
        <v>33</v>
      </c>
      <c r="AC1557" s="131">
        <v>0.92</v>
      </c>
      <c r="AD1557" s="129">
        <v>0.533333333333333</v>
      </c>
      <c r="AE1557" s="129">
        <v>0.409090909090909</v>
      </c>
      <c r="AF1557" s="129">
        <v>0.5</v>
      </c>
      <c r="AG1557" s="129">
        <v>0.585714285714286</v>
      </c>
      <c r="AH1557" s="131">
        <v>0.92</v>
      </c>
      <c r="AI1557" s="129">
        <v>0.928599761999207</v>
      </c>
      <c r="AJ1557" s="129">
        <v>0.973534201954397</v>
      </c>
      <c r="AK1557" s="129">
        <v>0.958081244598099</v>
      </c>
      <c r="AL1557" s="129">
        <v>0.966105888174171</v>
      </c>
      <c r="AM1557" s="128">
        <v>0.99</v>
      </c>
      <c r="AN1557" s="133">
        <v>1</v>
      </c>
      <c r="AO1557" s="133">
        <v>1</v>
      </c>
      <c r="AP1557" s="133">
        <v>1</v>
      </c>
      <c r="AQ1557" s="133">
        <v>1</v>
      </c>
      <c r="AR1557" s="153">
        <v>0.110069253262963</v>
      </c>
      <c r="AS1557" s="137">
        <v>0.153846153846154</v>
      </c>
      <c r="AT1557" s="137">
        <v>0.277777777777778</v>
      </c>
      <c r="AU1557" s="137">
        <v>0.153846153846154</v>
      </c>
      <c r="AV1557" s="137">
        <v>0.196850393700787</v>
      </c>
      <c r="AW1557" s="93"/>
      <c r="AX1557" s="91"/>
    </row>
    <row r="1558" ht="14.5" spans="1:50">
      <c r="A1558" s="89"/>
      <c r="B1558" s="93"/>
      <c r="C1558" s="148" t="s">
        <v>1449</v>
      </c>
      <c r="D1558" s="126" t="s">
        <v>1450</v>
      </c>
      <c r="E1558" s="164" t="s">
        <v>1584</v>
      </c>
      <c r="F1558" s="164" t="s">
        <v>1584</v>
      </c>
      <c r="G1558" s="164" t="s">
        <v>1584</v>
      </c>
      <c r="H1558" s="164" t="s">
        <v>1584</v>
      </c>
      <c r="I1558" s="128">
        <v>0.9</v>
      </c>
      <c r="J1558" s="129">
        <v>0.928571428571429</v>
      </c>
      <c r="K1558" s="129">
        <v>1</v>
      </c>
      <c r="L1558" s="130">
        <v>0.9375</v>
      </c>
      <c r="M1558" s="129">
        <v>0.982857142857143</v>
      </c>
      <c r="N1558" s="131">
        <v>0.9</v>
      </c>
      <c r="O1558" s="129">
        <v>0.974043715846995</v>
      </c>
      <c r="P1558" s="129">
        <v>0.93415956622773</v>
      </c>
      <c r="Q1558" s="129">
        <v>0.986049926578561</v>
      </c>
      <c r="R1558" s="129">
        <v>0.893780770754343</v>
      </c>
      <c r="S1558" s="131">
        <v>0.9</v>
      </c>
      <c r="T1558" s="129">
        <v>0.497950819672131</v>
      </c>
      <c r="U1558" s="129">
        <v>0.712625871417506</v>
      </c>
      <c r="V1558" s="129">
        <v>0.581497797356828</v>
      </c>
      <c r="W1558" s="129">
        <v>0.462226246392394</v>
      </c>
      <c r="X1558" s="131">
        <v>0.92</v>
      </c>
      <c r="Y1558" s="131" t="s">
        <v>33</v>
      </c>
      <c r="Z1558" s="131" t="s">
        <v>33</v>
      </c>
      <c r="AA1558" s="131" t="s">
        <v>33</v>
      </c>
      <c r="AB1558" s="131" t="s">
        <v>33</v>
      </c>
      <c r="AC1558" s="131">
        <v>0.92</v>
      </c>
      <c r="AD1558" s="129">
        <v>1</v>
      </c>
      <c r="AE1558" s="129">
        <v>0.996212121212121</v>
      </c>
      <c r="AF1558" s="129">
        <v>0.991150442477876</v>
      </c>
      <c r="AG1558" s="129">
        <v>0.998276852383688</v>
      </c>
      <c r="AH1558" s="131">
        <v>0.92</v>
      </c>
      <c r="AI1558" s="129">
        <v>0.882513661202186</v>
      </c>
      <c r="AJ1558" s="129">
        <v>0.91711851278079</v>
      </c>
      <c r="AK1558" s="129">
        <v>0.920704845814978</v>
      </c>
      <c r="AL1558" s="129">
        <v>0.875841774659046</v>
      </c>
      <c r="AM1558" s="128">
        <v>0.99</v>
      </c>
      <c r="AN1558" s="133" t="s">
        <v>33</v>
      </c>
      <c r="AO1558" s="133" t="s">
        <v>33</v>
      </c>
      <c r="AP1558" s="133">
        <v>1</v>
      </c>
      <c r="AQ1558" s="133">
        <v>1</v>
      </c>
      <c r="AR1558" s="153">
        <v>0.110069253262963</v>
      </c>
      <c r="AS1558" s="137">
        <v>0.1</v>
      </c>
      <c r="AT1558" s="137">
        <v>0.111111111111111</v>
      </c>
      <c r="AU1558" s="137">
        <v>0.181818181818182</v>
      </c>
      <c r="AV1558" s="137">
        <v>0.0647482014388489</v>
      </c>
      <c r="AW1558" s="93"/>
      <c r="AX1558" s="91"/>
    </row>
    <row r="1559" ht="14.5" spans="1:50">
      <c r="A1559" s="89"/>
      <c r="B1559" s="93"/>
      <c r="C1559" s="148" t="s">
        <v>1449</v>
      </c>
      <c r="D1559" s="126" t="s">
        <v>1450</v>
      </c>
      <c r="E1559" s="164" t="s">
        <v>1585</v>
      </c>
      <c r="F1559" s="164" t="s">
        <v>1585</v>
      </c>
      <c r="G1559" s="164" t="s">
        <v>1585</v>
      </c>
      <c r="H1559" s="164" t="s">
        <v>1585</v>
      </c>
      <c r="I1559" s="128">
        <v>0.9</v>
      </c>
      <c r="J1559" s="129">
        <v>0.909090909090909</v>
      </c>
      <c r="K1559" s="129">
        <v>0.9</v>
      </c>
      <c r="L1559" s="130">
        <v>0.8</v>
      </c>
      <c r="M1559" s="129">
        <v>0.732824427480916</v>
      </c>
      <c r="N1559" s="131">
        <v>0.9</v>
      </c>
      <c r="O1559" s="129" t="s">
        <v>33</v>
      </c>
      <c r="P1559" s="129" t="s">
        <v>33</v>
      </c>
      <c r="Q1559" s="129" t="s">
        <v>33</v>
      </c>
      <c r="R1559" s="129">
        <v>0.285714285714286</v>
      </c>
      <c r="S1559" s="131">
        <v>0.9</v>
      </c>
      <c r="T1559" s="129" t="s">
        <v>33</v>
      </c>
      <c r="U1559" s="129" t="s">
        <v>33</v>
      </c>
      <c r="V1559" s="129" t="s">
        <v>33</v>
      </c>
      <c r="W1559" s="129">
        <v>0.428571428571429</v>
      </c>
      <c r="X1559" s="131">
        <v>0.92</v>
      </c>
      <c r="Y1559" s="131" t="s">
        <v>33</v>
      </c>
      <c r="Z1559" s="131" t="s">
        <v>33</v>
      </c>
      <c r="AA1559" s="131" t="s">
        <v>33</v>
      </c>
      <c r="AB1559" s="131" t="s">
        <v>33</v>
      </c>
      <c r="AC1559" s="131">
        <v>0.92</v>
      </c>
      <c r="AD1559" s="129">
        <v>0.875</v>
      </c>
      <c r="AE1559" s="129">
        <v>1</v>
      </c>
      <c r="AF1559" s="129">
        <v>1</v>
      </c>
      <c r="AG1559" s="129">
        <v>0.873563218390805</v>
      </c>
      <c r="AH1559" s="131">
        <v>0.92</v>
      </c>
      <c r="AI1559" s="129">
        <v>0.650994575045208</v>
      </c>
      <c r="AJ1559" s="129">
        <v>0.608062709966405</v>
      </c>
      <c r="AK1559" s="129">
        <v>0.764770240700219</v>
      </c>
      <c r="AL1559" s="129">
        <v>0.702532259629378</v>
      </c>
      <c r="AM1559" s="128">
        <v>0.99</v>
      </c>
      <c r="AN1559" s="133" t="s">
        <v>33</v>
      </c>
      <c r="AO1559" s="133">
        <v>1</v>
      </c>
      <c r="AP1559" s="133">
        <v>1</v>
      </c>
      <c r="AQ1559" s="133">
        <v>1</v>
      </c>
      <c r="AR1559" s="153">
        <v>0.110069253262963</v>
      </c>
      <c r="AS1559" s="137">
        <v>0.181818181818182</v>
      </c>
      <c r="AT1559" s="137">
        <v>0.0909090909090909</v>
      </c>
      <c r="AU1559" s="137">
        <v>0.142857142857143</v>
      </c>
      <c r="AV1559" s="137">
        <v>0.18796992481203</v>
      </c>
      <c r="AW1559" s="93"/>
      <c r="AX1559" s="91"/>
    </row>
    <row r="1560" ht="14.5" spans="1:50">
      <c r="A1560" s="89"/>
      <c r="B1560" s="93"/>
      <c r="C1560" s="148" t="s">
        <v>1449</v>
      </c>
      <c r="D1560" s="126" t="s">
        <v>1450</v>
      </c>
      <c r="E1560" s="164" t="s">
        <v>1586</v>
      </c>
      <c r="F1560" s="164" t="s">
        <v>1586</v>
      </c>
      <c r="G1560" s="164" t="s">
        <v>1586</v>
      </c>
      <c r="H1560" s="164" t="s">
        <v>1586</v>
      </c>
      <c r="I1560" s="128">
        <v>0.9</v>
      </c>
      <c r="J1560" s="129">
        <v>0.842105263157895</v>
      </c>
      <c r="K1560" s="129">
        <v>1</v>
      </c>
      <c r="L1560" s="130">
        <v>0.944444444444444</v>
      </c>
      <c r="M1560" s="129">
        <v>0.915178571428571</v>
      </c>
      <c r="N1560" s="131">
        <v>0.9</v>
      </c>
      <c r="O1560" s="129">
        <v>0</v>
      </c>
      <c r="P1560" s="129">
        <v>0.5</v>
      </c>
      <c r="Q1560" s="129" t="s">
        <v>33</v>
      </c>
      <c r="R1560" s="129">
        <v>0.2</v>
      </c>
      <c r="S1560" s="131">
        <v>0.9</v>
      </c>
      <c r="T1560" s="129">
        <v>0</v>
      </c>
      <c r="U1560" s="129">
        <v>1</v>
      </c>
      <c r="V1560" s="129" t="s">
        <v>33</v>
      </c>
      <c r="W1560" s="129">
        <v>0.4</v>
      </c>
      <c r="X1560" s="131">
        <v>0.92</v>
      </c>
      <c r="Y1560" s="131" t="s">
        <v>33</v>
      </c>
      <c r="Z1560" s="131" t="s">
        <v>33</v>
      </c>
      <c r="AA1560" s="131" t="s">
        <v>33</v>
      </c>
      <c r="AB1560" s="131" t="s">
        <v>33</v>
      </c>
      <c r="AC1560" s="131">
        <v>0.92</v>
      </c>
      <c r="AD1560" s="129">
        <v>0</v>
      </c>
      <c r="AE1560" s="129">
        <v>0</v>
      </c>
      <c r="AF1560" s="129">
        <v>0.666666666666667</v>
      </c>
      <c r="AG1560" s="129">
        <v>0.136363636363636</v>
      </c>
      <c r="AH1560" s="131">
        <v>0.92</v>
      </c>
      <c r="AI1560" s="129">
        <v>1</v>
      </c>
      <c r="AJ1560" s="129">
        <v>0.684824902723735</v>
      </c>
      <c r="AK1560" s="129">
        <v>0.723799690242643</v>
      </c>
      <c r="AL1560" s="129">
        <v>0.750990379173741</v>
      </c>
      <c r="AM1560" s="128">
        <v>0.99</v>
      </c>
      <c r="AN1560" s="133" t="s">
        <v>33</v>
      </c>
      <c r="AO1560" s="133">
        <v>1</v>
      </c>
      <c r="AP1560" s="133" t="s">
        <v>33</v>
      </c>
      <c r="AQ1560" s="133">
        <v>1</v>
      </c>
      <c r="AR1560" s="153">
        <v>0.110069253262963</v>
      </c>
      <c r="AS1560" s="137">
        <v>0.195121951219512</v>
      </c>
      <c r="AT1560" s="137">
        <v>0.133333333333333</v>
      </c>
      <c r="AU1560" s="137">
        <v>0.106382978723404</v>
      </c>
      <c r="AV1560" s="137">
        <v>0.0921052631578947</v>
      </c>
      <c r="AW1560" s="93"/>
      <c r="AX1560" s="91"/>
    </row>
    <row r="1561" ht="14.5" spans="1:50">
      <c r="A1561" s="89"/>
      <c r="B1561" s="93"/>
      <c r="C1561" s="148" t="s">
        <v>1449</v>
      </c>
      <c r="D1561" s="126" t="s">
        <v>1450</v>
      </c>
      <c r="E1561" s="164" t="s">
        <v>1587</v>
      </c>
      <c r="F1561" s="164" t="s">
        <v>1587</v>
      </c>
      <c r="G1561" s="164" t="s">
        <v>1587</v>
      </c>
      <c r="H1561" s="164" t="s">
        <v>1587</v>
      </c>
      <c r="I1561" s="128">
        <v>0.9</v>
      </c>
      <c r="J1561" s="129">
        <v>1</v>
      </c>
      <c r="K1561" s="129">
        <v>0.916666666666667</v>
      </c>
      <c r="L1561" s="130">
        <v>1</v>
      </c>
      <c r="M1561" s="129">
        <v>0.984962406015038</v>
      </c>
      <c r="N1561" s="131">
        <v>0.9</v>
      </c>
      <c r="O1561" s="129">
        <v>0</v>
      </c>
      <c r="P1561" s="129" t="s">
        <v>33</v>
      </c>
      <c r="Q1561" s="129" t="s">
        <v>33</v>
      </c>
      <c r="R1561" s="129">
        <v>0.333333333333333</v>
      </c>
      <c r="S1561" s="131">
        <v>0.9</v>
      </c>
      <c r="T1561" s="129">
        <v>0</v>
      </c>
      <c r="U1561" s="129" t="s">
        <v>33</v>
      </c>
      <c r="V1561" s="129" t="s">
        <v>33</v>
      </c>
      <c r="W1561" s="129">
        <v>0</v>
      </c>
      <c r="X1561" s="131">
        <v>0.92</v>
      </c>
      <c r="Y1561" s="131" t="s">
        <v>33</v>
      </c>
      <c r="Z1561" s="131" t="s">
        <v>33</v>
      </c>
      <c r="AA1561" s="131" t="s">
        <v>33</v>
      </c>
      <c r="AB1561" s="131" t="s">
        <v>33</v>
      </c>
      <c r="AC1561" s="131">
        <v>0.92</v>
      </c>
      <c r="AD1561" s="129">
        <v>0</v>
      </c>
      <c r="AE1561" s="129">
        <v>0</v>
      </c>
      <c r="AF1561" s="129">
        <v>0</v>
      </c>
      <c r="AG1561" s="129">
        <v>0.0487804878048781</v>
      </c>
      <c r="AH1561" s="131">
        <v>0.92</v>
      </c>
      <c r="AI1561" s="129">
        <v>0.989749430523918</v>
      </c>
      <c r="AJ1561" s="129">
        <v>0.89648033126294</v>
      </c>
      <c r="AK1561" s="129">
        <v>0.913217623497997</v>
      </c>
      <c r="AL1561" s="129">
        <v>0.892511013215859</v>
      </c>
      <c r="AM1561" s="128">
        <v>0.99</v>
      </c>
      <c r="AN1561" s="133" t="s">
        <v>33</v>
      </c>
      <c r="AO1561" s="133" t="s">
        <v>33</v>
      </c>
      <c r="AP1561" s="133" t="s">
        <v>33</v>
      </c>
      <c r="AQ1561" s="133" t="s">
        <v>33</v>
      </c>
      <c r="AR1561" s="153">
        <v>0.110069253262963</v>
      </c>
      <c r="AS1561" s="137">
        <v>0.5</v>
      </c>
      <c r="AT1561" s="137">
        <v>0</v>
      </c>
      <c r="AU1561" s="137">
        <v>0.0833333333333333</v>
      </c>
      <c r="AV1561" s="137">
        <v>0.0731707317073171</v>
      </c>
      <c r="AW1561" s="93"/>
      <c r="AX1561" s="91"/>
    </row>
    <row r="1562" ht="14.5" spans="1:50">
      <c r="A1562" s="89"/>
      <c r="B1562" s="93"/>
      <c r="C1562" s="148" t="s">
        <v>1449</v>
      </c>
      <c r="D1562" s="126" t="s">
        <v>1450</v>
      </c>
      <c r="E1562" s="164" t="s">
        <v>1588</v>
      </c>
      <c r="F1562" s="164" t="s">
        <v>1588</v>
      </c>
      <c r="G1562" s="164" t="s">
        <v>1588</v>
      </c>
      <c r="H1562" s="164" t="s">
        <v>1588</v>
      </c>
      <c r="I1562" s="128">
        <v>0.9</v>
      </c>
      <c r="J1562" s="129">
        <v>1</v>
      </c>
      <c r="K1562" s="129">
        <v>0.846153846153846</v>
      </c>
      <c r="L1562" s="130">
        <v>0.916666666666667</v>
      </c>
      <c r="M1562" s="129">
        <v>0.848920863309353</v>
      </c>
      <c r="N1562" s="131">
        <v>0.9</v>
      </c>
      <c r="O1562" s="129" t="s">
        <v>33</v>
      </c>
      <c r="P1562" s="129" t="s">
        <v>33</v>
      </c>
      <c r="Q1562" s="129" t="s">
        <v>33</v>
      </c>
      <c r="R1562" s="129">
        <v>0.5</v>
      </c>
      <c r="S1562" s="131">
        <v>0.9</v>
      </c>
      <c r="T1562" s="129" t="s">
        <v>33</v>
      </c>
      <c r="U1562" s="129" t="s">
        <v>33</v>
      </c>
      <c r="V1562" s="129" t="s">
        <v>33</v>
      </c>
      <c r="W1562" s="129">
        <v>0.5</v>
      </c>
      <c r="X1562" s="131">
        <v>0.92</v>
      </c>
      <c r="Y1562" s="131" t="s">
        <v>33</v>
      </c>
      <c r="Z1562" s="131" t="s">
        <v>33</v>
      </c>
      <c r="AA1562" s="131" t="s">
        <v>33</v>
      </c>
      <c r="AB1562" s="131" t="s">
        <v>33</v>
      </c>
      <c r="AC1562" s="131">
        <v>0.92</v>
      </c>
      <c r="AD1562" s="129">
        <v>0</v>
      </c>
      <c r="AE1562" s="129">
        <v>0</v>
      </c>
      <c r="AF1562" s="129">
        <v>0</v>
      </c>
      <c r="AG1562" s="129">
        <v>0.317460317460317</v>
      </c>
      <c r="AH1562" s="131">
        <v>0.92</v>
      </c>
      <c r="AI1562" s="129">
        <v>0.966893865628043</v>
      </c>
      <c r="AJ1562" s="129">
        <v>0.968838526912181</v>
      </c>
      <c r="AK1562" s="129">
        <v>0.994582881906826</v>
      </c>
      <c r="AL1562" s="129">
        <v>0.991568593008958</v>
      </c>
      <c r="AM1562" s="128">
        <v>0.99</v>
      </c>
      <c r="AN1562" s="133">
        <v>1</v>
      </c>
      <c r="AO1562" s="133">
        <v>1</v>
      </c>
      <c r="AP1562" s="133">
        <v>1</v>
      </c>
      <c r="AQ1562" s="133">
        <v>1</v>
      </c>
      <c r="AR1562" s="153">
        <v>0.110069253262963</v>
      </c>
      <c r="AS1562" s="137">
        <v>0.0714285714285714</v>
      </c>
      <c r="AT1562" s="137">
        <v>0.1</v>
      </c>
      <c r="AU1562" s="137">
        <v>0.181818181818182</v>
      </c>
      <c r="AV1562" s="137">
        <v>0.105263157894737</v>
      </c>
      <c r="AW1562" s="93"/>
      <c r="AX1562" s="91"/>
    </row>
    <row r="1563" ht="14.5" spans="1:50">
      <c r="A1563" s="89"/>
      <c r="B1563" s="93"/>
      <c r="C1563" s="148" t="s">
        <v>1449</v>
      </c>
      <c r="D1563" s="126" t="s">
        <v>1450</v>
      </c>
      <c r="E1563" s="164" t="s">
        <v>1589</v>
      </c>
      <c r="F1563" s="164" t="s">
        <v>1589</v>
      </c>
      <c r="G1563" s="164" t="s">
        <v>1589</v>
      </c>
      <c r="H1563" s="164" t="s">
        <v>1589</v>
      </c>
      <c r="I1563" s="128">
        <v>0.9</v>
      </c>
      <c r="J1563" s="129">
        <v>0.666666666666667</v>
      </c>
      <c r="K1563" s="129">
        <v>0.866666666666667</v>
      </c>
      <c r="L1563" s="130">
        <v>0.8</v>
      </c>
      <c r="M1563" s="129">
        <v>0.818181818181818</v>
      </c>
      <c r="N1563" s="131">
        <v>0.9</v>
      </c>
      <c r="O1563" s="129" t="s">
        <v>33</v>
      </c>
      <c r="P1563" s="129" t="s">
        <v>33</v>
      </c>
      <c r="Q1563" s="129" t="s">
        <v>33</v>
      </c>
      <c r="R1563" s="129">
        <v>0</v>
      </c>
      <c r="S1563" s="131">
        <v>0.9</v>
      </c>
      <c r="T1563" s="129" t="s">
        <v>33</v>
      </c>
      <c r="U1563" s="129" t="s">
        <v>33</v>
      </c>
      <c r="V1563" s="129" t="s">
        <v>33</v>
      </c>
      <c r="W1563" s="129">
        <v>0.5</v>
      </c>
      <c r="X1563" s="131">
        <v>0.92</v>
      </c>
      <c r="Y1563" s="131" t="s">
        <v>33</v>
      </c>
      <c r="Z1563" s="131" t="s">
        <v>33</v>
      </c>
      <c r="AA1563" s="131" t="s">
        <v>33</v>
      </c>
      <c r="AB1563" s="131" t="s">
        <v>33</v>
      </c>
      <c r="AC1563" s="131">
        <v>0.92</v>
      </c>
      <c r="AD1563" s="129">
        <v>0.875</v>
      </c>
      <c r="AE1563" s="129">
        <v>1</v>
      </c>
      <c r="AF1563" s="129">
        <v>1</v>
      </c>
      <c r="AG1563" s="129">
        <v>0.950980392156863</v>
      </c>
      <c r="AH1563" s="131">
        <v>0.92</v>
      </c>
      <c r="AI1563" s="129">
        <v>0.657107992678462</v>
      </c>
      <c r="AJ1563" s="129">
        <v>0.777777777777778</v>
      </c>
      <c r="AK1563" s="129">
        <v>0.745702005730659</v>
      </c>
      <c r="AL1563" s="129">
        <v>0.730456026058632</v>
      </c>
      <c r="AM1563" s="128">
        <v>0.99</v>
      </c>
      <c r="AN1563" s="133">
        <v>1</v>
      </c>
      <c r="AO1563" s="133">
        <v>1</v>
      </c>
      <c r="AP1563" s="133">
        <v>1</v>
      </c>
      <c r="AQ1563" s="133">
        <v>1</v>
      </c>
      <c r="AR1563" s="153">
        <v>0.110069253262963</v>
      </c>
      <c r="AS1563" s="137">
        <v>0.0833333333333333</v>
      </c>
      <c r="AT1563" s="137">
        <v>0.0526315789473684</v>
      </c>
      <c r="AU1563" s="137">
        <v>0.2</v>
      </c>
      <c r="AV1563" s="137">
        <v>0.110497237569061</v>
      </c>
      <c r="AW1563" s="93"/>
      <c r="AX1563" s="91"/>
    </row>
    <row r="1564" ht="14.5" spans="1:50">
      <c r="A1564" s="89"/>
      <c r="B1564" s="93"/>
      <c r="C1564" s="148" t="s">
        <v>1449</v>
      </c>
      <c r="D1564" s="126" t="s">
        <v>1450</v>
      </c>
      <c r="E1564" s="164" t="s">
        <v>1590</v>
      </c>
      <c r="F1564" s="164" t="s">
        <v>1590</v>
      </c>
      <c r="G1564" s="164" t="s">
        <v>1590</v>
      </c>
      <c r="H1564" s="164" t="s">
        <v>1590</v>
      </c>
      <c r="I1564" s="128">
        <v>0.9</v>
      </c>
      <c r="J1564" s="129">
        <v>0.958333333333333</v>
      </c>
      <c r="K1564" s="129">
        <v>0.958333333333333</v>
      </c>
      <c r="L1564" s="130">
        <v>0.958333333333333</v>
      </c>
      <c r="M1564" s="129">
        <v>0.949664429530201</v>
      </c>
      <c r="N1564" s="131">
        <v>0.9</v>
      </c>
      <c r="O1564" s="129">
        <v>0.99414748341787</v>
      </c>
      <c r="P1564" s="129">
        <v>0.996243739565943</v>
      </c>
      <c r="Q1564" s="129">
        <v>0.994943109987358</v>
      </c>
      <c r="R1564" s="129">
        <v>0.995952220326203</v>
      </c>
      <c r="S1564" s="131">
        <v>0.9</v>
      </c>
      <c r="T1564" s="129">
        <v>0.927428794381584</v>
      </c>
      <c r="U1564" s="129">
        <v>0.944908180300501</v>
      </c>
      <c r="V1564" s="129">
        <v>0.9700800674252</v>
      </c>
      <c r="W1564" s="129">
        <v>0.952577483233462</v>
      </c>
      <c r="X1564" s="131">
        <v>0.92</v>
      </c>
      <c r="Y1564" s="131" t="s">
        <v>33</v>
      </c>
      <c r="Z1564" s="131" t="s">
        <v>33</v>
      </c>
      <c r="AA1564" s="131" t="s">
        <v>33</v>
      </c>
      <c r="AB1564" s="131">
        <v>1</v>
      </c>
      <c r="AC1564" s="131">
        <v>0.92</v>
      </c>
      <c r="AD1564" s="129">
        <v>0.588235294117647</v>
      </c>
      <c r="AE1564" s="129">
        <v>0.791666666666667</v>
      </c>
      <c r="AF1564" s="129">
        <v>0.684210526315789</v>
      </c>
      <c r="AG1564" s="129">
        <v>0.837638376383764</v>
      </c>
      <c r="AH1564" s="131">
        <v>0.92</v>
      </c>
      <c r="AI1564" s="129">
        <v>0.970347249317206</v>
      </c>
      <c r="AJ1564" s="129">
        <v>0.985815602836879</v>
      </c>
      <c r="AK1564" s="129">
        <v>0.99157184997893</v>
      </c>
      <c r="AL1564" s="129">
        <v>0.983929209158367</v>
      </c>
      <c r="AM1564" s="128">
        <v>0.99</v>
      </c>
      <c r="AN1564" s="133">
        <v>1</v>
      </c>
      <c r="AO1564" s="133">
        <v>1</v>
      </c>
      <c r="AP1564" s="133">
        <v>1</v>
      </c>
      <c r="AQ1564" s="133">
        <v>1</v>
      </c>
      <c r="AR1564" s="153">
        <v>0.110069253262963</v>
      </c>
      <c r="AS1564" s="137">
        <v>0.166666666666667</v>
      </c>
      <c r="AT1564" s="137">
        <v>0</v>
      </c>
      <c r="AU1564" s="137">
        <v>0</v>
      </c>
      <c r="AV1564" s="137">
        <v>0.06</v>
      </c>
      <c r="AW1564" s="93"/>
      <c r="AX1564" s="91"/>
    </row>
    <row r="1565" ht="14.5" spans="1:50">
      <c r="A1565" s="89"/>
      <c r="B1565" s="93"/>
      <c r="C1565" s="148" t="s">
        <v>1449</v>
      </c>
      <c r="D1565" s="126" t="s">
        <v>1450</v>
      </c>
      <c r="E1565" s="164" t="s">
        <v>1591</v>
      </c>
      <c r="F1565" s="164" t="s">
        <v>1591</v>
      </c>
      <c r="G1565" s="164" t="s">
        <v>1591</v>
      </c>
      <c r="H1565" s="164" t="s">
        <v>1591</v>
      </c>
      <c r="I1565" s="128">
        <v>0.9</v>
      </c>
      <c r="J1565" s="129">
        <v>1</v>
      </c>
      <c r="K1565" s="129">
        <v>1</v>
      </c>
      <c r="L1565" s="130">
        <v>1</v>
      </c>
      <c r="M1565" s="129">
        <v>0.985915492957746</v>
      </c>
      <c r="N1565" s="131">
        <v>0.9</v>
      </c>
      <c r="O1565" s="129">
        <v>0.996288047512992</v>
      </c>
      <c r="P1565" s="129">
        <v>0.999440402909905</v>
      </c>
      <c r="Q1565" s="129">
        <v>0.991464215364412</v>
      </c>
      <c r="R1565" s="129">
        <v>0.992436974789916</v>
      </c>
      <c r="S1565" s="131">
        <v>0.9</v>
      </c>
      <c r="T1565" s="129">
        <v>0.960653303637713</v>
      </c>
      <c r="U1565" s="129">
        <v>0.962506994963626</v>
      </c>
      <c r="V1565" s="129">
        <v>0.920551543007223</v>
      </c>
      <c r="W1565" s="129">
        <v>0.913918067226891</v>
      </c>
      <c r="X1565" s="131">
        <v>0.92</v>
      </c>
      <c r="Y1565" s="131" t="s">
        <v>33</v>
      </c>
      <c r="Z1565" s="131" t="s">
        <v>33</v>
      </c>
      <c r="AA1565" s="131" t="s">
        <v>33</v>
      </c>
      <c r="AB1565" s="131" t="s">
        <v>33</v>
      </c>
      <c r="AC1565" s="131">
        <v>0.92</v>
      </c>
      <c r="AD1565" s="129">
        <v>0</v>
      </c>
      <c r="AE1565" s="129">
        <v>1</v>
      </c>
      <c r="AF1565" s="129">
        <v>1</v>
      </c>
      <c r="AG1565" s="129">
        <v>0.914460285132383</v>
      </c>
      <c r="AH1565" s="131">
        <v>0.92</v>
      </c>
      <c r="AI1565" s="129">
        <v>0.974758723088344</v>
      </c>
      <c r="AJ1565" s="129">
        <v>0.983771684387241</v>
      </c>
      <c r="AK1565" s="129">
        <v>0.964543663821405</v>
      </c>
      <c r="AL1565" s="129">
        <v>0.971743697478992</v>
      </c>
      <c r="AM1565" s="128">
        <v>0.99</v>
      </c>
      <c r="AN1565" s="133">
        <v>1</v>
      </c>
      <c r="AO1565" s="133" t="s">
        <v>33</v>
      </c>
      <c r="AP1565" s="133">
        <v>1</v>
      </c>
      <c r="AQ1565" s="133">
        <v>1</v>
      </c>
      <c r="AR1565" s="153">
        <v>0.110069253262963</v>
      </c>
      <c r="AS1565" s="137">
        <v>0.142857142857143</v>
      </c>
      <c r="AT1565" s="137">
        <v>0.125</v>
      </c>
      <c r="AU1565" s="137">
        <v>0</v>
      </c>
      <c r="AV1565" s="137">
        <v>0.0297619047619048</v>
      </c>
      <c r="AW1565" s="93"/>
      <c r="AX1565" s="91"/>
    </row>
    <row r="1566" ht="14.5" spans="1:50">
      <c r="A1566" s="89"/>
      <c r="B1566" s="93"/>
      <c r="C1566" s="148" t="s">
        <v>1449</v>
      </c>
      <c r="D1566" s="126" t="s">
        <v>1450</v>
      </c>
      <c r="E1566" s="164" t="s">
        <v>1592</v>
      </c>
      <c r="F1566" s="164" t="s">
        <v>1592</v>
      </c>
      <c r="G1566" s="164" t="s">
        <v>1592</v>
      </c>
      <c r="H1566" s="164" t="s">
        <v>1592</v>
      </c>
      <c r="I1566" s="128">
        <v>0.9</v>
      </c>
      <c r="J1566" s="129">
        <v>0.9</v>
      </c>
      <c r="K1566" s="129">
        <v>0.8</v>
      </c>
      <c r="L1566" s="130">
        <v>0.666666666666667</v>
      </c>
      <c r="M1566" s="129">
        <v>0.833333333333333</v>
      </c>
      <c r="N1566" s="131">
        <v>0.9</v>
      </c>
      <c r="O1566" s="129">
        <v>0</v>
      </c>
      <c r="P1566" s="129" t="s">
        <v>33</v>
      </c>
      <c r="Q1566" s="129" t="s">
        <v>33</v>
      </c>
      <c r="R1566" s="129">
        <v>0</v>
      </c>
      <c r="S1566" s="131">
        <v>0.9</v>
      </c>
      <c r="T1566" s="129">
        <v>0</v>
      </c>
      <c r="U1566" s="129" t="s">
        <v>33</v>
      </c>
      <c r="V1566" s="129" t="s">
        <v>33</v>
      </c>
      <c r="W1566" s="129">
        <v>0</v>
      </c>
      <c r="X1566" s="131">
        <v>0.92</v>
      </c>
      <c r="Y1566" s="131" t="s">
        <v>33</v>
      </c>
      <c r="Z1566" s="131" t="s">
        <v>33</v>
      </c>
      <c r="AA1566" s="131" t="s">
        <v>33</v>
      </c>
      <c r="AB1566" s="131" t="s">
        <v>33</v>
      </c>
      <c r="AC1566" s="131">
        <v>0.92</v>
      </c>
      <c r="AD1566" s="129">
        <v>0</v>
      </c>
      <c r="AE1566" s="129">
        <v>0</v>
      </c>
      <c r="AF1566" s="129">
        <v>0</v>
      </c>
      <c r="AG1566" s="129">
        <v>0.122137404580153</v>
      </c>
      <c r="AH1566" s="131">
        <v>0.92</v>
      </c>
      <c r="AI1566" s="129">
        <v>0.917109458023379</v>
      </c>
      <c r="AJ1566" s="129">
        <v>0.937238493723849</v>
      </c>
      <c r="AK1566" s="129">
        <v>0.949066213921901</v>
      </c>
      <c r="AL1566" s="129">
        <v>0.958039552880481</v>
      </c>
      <c r="AM1566" s="128">
        <v>0.99</v>
      </c>
      <c r="AN1566" s="133">
        <v>1</v>
      </c>
      <c r="AO1566" s="133">
        <v>1</v>
      </c>
      <c r="AP1566" s="133" t="s">
        <v>33</v>
      </c>
      <c r="AQ1566" s="133">
        <v>1</v>
      </c>
      <c r="AR1566" s="153">
        <v>0.110069253262963</v>
      </c>
      <c r="AS1566" s="137">
        <v>0.2</v>
      </c>
      <c r="AT1566" s="137">
        <v>0.0769230769230769</v>
      </c>
      <c r="AU1566" s="137">
        <v>0.1</v>
      </c>
      <c r="AV1566" s="137">
        <v>0.0851063829787234</v>
      </c>
      <c r="AW1566" s="93"/>
      <c r="AX1566" s="91"/>
    </row>
    <row r="1567" ht="14.5" spans="1:50">
      <c r="A1567" s="89"/>
      <c r="B1567" s="93"/>
      <c r="C1567" s="148" t="s">
        <v>1449</v>
      </c>
      <c r="D1567" s="126" t="s">
        <v>1450</v>
      </c>
      <c r="E1567" s="164" t="s">
        <v>1593</v>
      </c>
      <c r="F1567" s="164" t="s">
        <v>1593</v>
      </c>
      <c r="G1567" s="164" t="s">
        <v>1593</v>
      </c>
      <c r="H1567" s="164" t="s">
        <v>1593</v>
      </c>
      <c r="I1567" s="128">
        <v>0.9</v>
      </c>
      <c r="J1567" s="129">
        <v>1</v>
      </c>
      <c r="K1567" s="129">
        <v>1</v>
      </c>
      <c r="L1567" s="130">
        <v>0.909090909090909</v>
      </c>
      <c r="M1567" s="129">
        <v>0.951965065502183</v>
      </c>
      <c r="N1567" s="131">
        <v>0.9</v>
      </c>
      <c r="O1567" s="129">
        <v>0</v>
      </c>
      <c r="P1567" s="129" t="s">
        <v>33</v>
      </c>
      <c r="Q1567" s="129" t="s">
        <v>33</v>
      </c>
      <c r="R1567" s="129">
        <v>0</v>
      </c>
      <c r="S1567" s="131">
        <v>0.9</v>
      </c>
      <c r="T1567" s="129">
        <v>0</v>
      </c>
      <c r="U1567" s="129" t="s">
        <v>33</v>
      </c>
      <c r="V1567" s="129" t="s">
        <v>33</v>
      </c>
      <c r="W1567" s="129">
        <v>0</v>
      </c>
      <c r="X1567" s="131">
        <v>0.92</v>
      </c>
      <c r="Y1567" s="131" t="s">
        <v>33</v>
      </c>
      <c r="Z1567" s="131" t="s">
        <v>33</v>
      </c>
      <c r="AA1567" s="131" t="s">
        <v>33</v>
      </c>
      <c r="AB1567" s="131" t="s">
        <v>33</v>
      </c>
      <c r="AC1567" s="131">
        <v>0.92</v>
      </c>
      <c r="AD1567" s="129">
        <v>0.25</v>
      </c>
      <c r="AE1567" s="129">
        <v>0</v>
      </c>
      <c r="AF1567" s="129">
        <v>0</v>
      </c>
      <c r="AG1567" s="129">
        <v>0.286407766990291</v>
      </c>
      <c r="AH1567" s="131">
        <v>0.92</v>
      </c>
      <c r="AI1567" s="129">
        <v>0.891540130151844</v>
      </c>
      <c r="AJ1567" s="129">
        <v>0.855018587360595</v>
      </c>
      <c r="AK1567" s="129">
        <v>0.924319727891156</v>
      </c>
      <c r="AL1567" s="129">
        <v>0.892584584075299</v>
      </c>
      <c r="AM1567" s="128">
        <v>0.99</v>
      </c>
      <c r="AN1567" s="133">
        <v>1</v>
      </c>
      <c r="AO1567" s="133" t="s">
        <v>33</v>
      </c>
      <c r="AP1567" s="133">
        <v>1</v>
      </c>
      <c r="AQ1567" s="133">
        <v>1</v>
      </c>
      <c r="AR1567" s="153">
        <v>0.110069253262963</v>
      </c>
      <c r="AS1567" s="137">
        <v>0.0357142857142857</v>
      </c>
      <c r="AT1567" s="137">
        <v>0.0909090909090909</v>
      </c>
      <c r="AU1567" s="137">
        <v>0.0588235294117647</v>
      </c>
      <c r="AV1567" s="137">
        <v>0.0890688259109312</v>
      </c>
      <c r="AW1567" s="93"/>
      <c r="AX1567" s="91"/>
    </row>
    <row r="1568" ht="14.5" spans="1:50">
      <c r="A1568" s="89"/>
      <c r="B1568" s="93"/>
      <c r="C1568" s="148" t="s">
        <v>1449</v>
      </c>
      <c r="D1568" s="126" t="s">
        <v>1450</v>
      </c>
      <c r="E1568" s="164" t="s">
        <v>1594</v>
      </c>
      <c r="F1568" s="164" t="s">
        <v>1594</v>
      </c>
      <c r="G1568" s="164" t="s">
        <v>1594</v>
      </c>
      <c r="H1568" s="164" t="s">
        <v>1594</v>
      </c>
      <c r="I1568" s="128">
        <v>0.9</v>
      </c>
      <c r="J1568" s="129">
        <v>1</v>
      </c>
      <c r="K1568" s="129">
        <v>1</v>
      </c>
      <c r="L1568" s="130">
        <v>1</v>
      </c>
      <c r="M1568" s="129">
        <v>0.978571428571429</v>
      </c>
      <c r="N1568" s="131">
        <v>0.9</v>
      </c>
      <c r="O1568" s="129">
        <v>0.866474543707973</v>
      </c>
      <c r="P1568" s="129">
        <v>0.975369458128079</v>
      </c>
      <c r="Q1568" s="129">
        <v>0.850409836065574</v>
      </c>
      <c r="R1568" s="129">
        <v>0.938013992880815</v>
      </c>
      <c r="S1568" s="131">
        <v>0.9</v>
      </c>
      <c r="T1568" s="129">
        <v>0.842459173871278</v>
      </c>
      <c r="U1568" s="129">
        <v>0.957142857142857</v>
      </c>
      <c r="V1568" s="129">
        <v>0.819159836065574</v>
      </c>
      <c r="W1568" s="129">
        <v>0.913546908882615</v>
      </c>
      <c r="X1568" s="131">
        <v>0.92</v>
      </c>
      <c r="Y1568" s="131" t="s">
        <v>33</v>
      </c>
      <c r="Z1568" s="131" t="s">
        <v>33</v>
      </c>
      <c r="AA1568" s="131" t="s">
        <v>33</v>
      </c>
      <c r="AB1568" s="131" t="s">
        <v>33</v>
      </c>
      <c r="AC1568" s="131">
        <v>0.92</v>
      </c>
      <c r="AD1568" s="129">
        <v>0</v>
      </c>
      <c r="AE1568" s="129">
        <v>0</v>
      </c>
      <c r="AF1568" s="129">
        <v>1</v>
      </c>
      <c r="AG1568" s="129">
        <v>0.65</v>
      </c>
      <c r="AH1568" s="131">
        <v>0.92</v>
      </c>
      <c r="AI1568" s="129">
        <v>0.872917658257972</v>
      </c>
      <c r="AJ1568" s="129">
        <v>0.967487684729064</v>
      </c>
      <c r="AK1568" s="129">
        <v>0.935812531839022</v>
      </c>
      <c r="AL1568" s="129">
        <v>0.954903481206383</v>
      </c>
      <c r="AM1568" s="128">
        <v>0.99</v>
      </c>
      <c r="AN1568" s="133">
        <v>1</v>
      </c>
      <c r="AO1568" s="133">
        <v>1</v>
      </c>
      <c r="AP1568" s="133">
        <v>1</v>
      </c>
      <c r="AQ1568" s="133">
        <v>1</v>
      </c>
      <c r="AR1568" s="153">
        <v>0.110069253262963</v>
      </c>
      <c r="AS1568" s="137">
        <v>0</v>
      </c>
      <c r="AT1568" s="137">
        <v>0</v>
      </c>
      <c r="AU1568" s="137">
        <v>0</v>
      </c>
      <c r="AV1568" s="137">
        <v>0.0352112676056338</v>
      </c>
      <c r="AW1568" s="93"/>
      <c r="AX1568" s="91"/>
    </row>
    <row r="1569" ht="14.5" spans="1:50">
      <c r="A1569" s="89"/>
      <c r="B1569" s="93"/>
      <c r="C1569" s="148" t="s">
        <v>1449</v>
      </c>
      <c r="D1569" s="126" t="s">
        <v>1450</v>
      </c>
      <c r="E1569" s="164" t="s">
        <v>1595</v>
      </c>
      <c r="F1569" s="164" t="s">
        <v>1595</v>
      </c>
      <c r="G1569" s="164" t="s">
        <v>1595</v>
      </c>
      <c r="H1569" s="164" t="s">
        <v>1595</v>
      </c>
      <c r="I1569" s="128">
        <v>0.9</v>
      </c>
      <c r="J1569" s="129">
        <v>0.964285714285714</v>
      </c>
      <c r="K1569" s="129">
        <v>1</v>
      </c>
      <c r="L1569" s="130">
        <v>1</v>
      </c>
      <c r="M1569" s="129">
        <v>0.988826815642458</v>
      </c>
      <c r="N1569" s="131">
        <v>0.9</v>
      </c>
      <c r="O1569" s="129">
        <v>0.996317280453258</v>
      </c>
      <c r="P1569" s="129">
        <v>0.992840095465394</v>
      </c>
      <c r="Q1569" s="129">
        <v>0.998016435250779</v>
      </c>
      <c r="R1569" s="129">
        <v>0.996248629306862</v>
      </c>
      <c r="S1569" s="131">
        <v>0.9</v>
      </c>
      <c r="T1569" s="129">
        <v>0.914447592067989</v>
      </c>
      <c r="U1569" s="129">
        <v>0.869331742243437</v>
      </c>
      <c r="V1569" s="129">
        <v>0.798526494757722</v>
      </c>
      <c r="W1569" s="129">
        <v>0.908870548854389</v>
      </c>
      <c r="X1569" s="131">
        <v>0.92</v>
      </c>
      <c r="Y1569" s="131" t="s">
        <v>33</v>
      </c>
      <c r="Z1569" s="131">
        <v>1</v>
      </c>
      <c r="AA1569" s="131" t="s">
        <v>33</v>
      </c>
      <c r="AB1569" s="131">
        <v>1</v>
      </c>
      <c r="AC1569" s="131">
        <v>0.92</v>
      </c>
      <c r="AD1569" s="129">
        <v>0.96551724137931</v>
      </c>
      <c r="AE1569" s="129">
        <v>0.4</v>
      </c>
      <c r="AF1569" s="129">
        <v>0.757575757575758</v>
      </c>
      <c r="AG1569" s="129">
        <v>0.578488372093023</v>
      </c>
      <c r="AH1569" s="131">
        <v>0.92</v>
      </c>
      <c r="AI1569" s="129">
        <v>0.961473087818697</v>
      </c>
      <c r="AJ1569" s="129">
        <v>0.97166716373397</v>
      </c>
      <c r="AK1569" s="129">
        <v>0.952974504249292</v>
      </c>
      <c r="AL1569" s="129">
        <v>0.975386657433056</v>
      </c>
      <c r="AM1569" s="128">
        <v>0.99</v>
      </c>
      <c r="AN1569" s="133">
        <v>1</v>
      </c>
      <c r="AO1569" s="133">
        <v>1</v>
      </c>
      <c r="AP1569" s="133">
        <v>1</v>
      </c>
      <c r="AQ1569" s="133">
        <v>1</v>
      </c>
      <c r="AR1569" s="153">
        <v>0.110069253262963</v>
      </c>
      <c r="AS1569" s="137">
        <v>0.181818181818182</v>
      </c>
      <c r="AT1569" s="137">
        <v>0.15</v>
      </c>
      <c r="AU1569" s="137">
        <v>0</v>
      </c>
      <c r="AV1569" s="137">
        <v>0.0860215053763441</v>
      </c>
      <c r="AW1569" s="93"/>
      <c r="AX1569" s="91"/>
    </row>
    <row r="1570" ht="14.5" spans="1:50">
      <c r="A1570" s="89"/>
      <c r="B1570" s="93"/>
      <c r="C1570" s="148" t="s">
        <v>1449</v>
      </c>
      <c r="D1570" s="126" t="s">
        <v>1450</v>
      </c>
      <c r="E1570" s="164" t="s">
        <v>1596</v>
      </c>
      <c r="F1570" s="164" t="s">
        <v>1596</v>
      </c>
      <c r="G1570" s="164" t="s">
        <v>1596</v>
      </c>
      <c r="H1570" s="164" t="s">
        <v>1596</v>
      </c>
      <c r="I1570" s="128">
        <v>0.9</v>
      </c>
      <c r="J1570" s="129">
        <v>0.904761904761905</v>
      </c>
      <c r="K1570" s="129">
        <v>0.947368421052632</v>
      </c>
      <c r="L1570" s="130">
        <v>1</v>
      </c>
      <c r="M1570" s="129">
        <v>0.953667953667954</v>
      </c>
      <c r="N1570" s="131">
        <v>0.9</v>
      </c>
      <c r="O1570" s="129">
        <v>0.719801434087148</v>
      </c>
      <c r="P1570" s="129">
        <v>0.915235457063712</v>
      </c>
      <c r="Q1570" s="129">
        <v>0.889537712895377</v>
      </c>
      <c r="R1570" s="129">
        <v>0.874053562929953</v>
      </c>
      <c r="S1570" s="131">
        <v>0.9</v>
      </c>
      <c r="T1570" s="129">
        <v>0.671263099834528</v>
      </c>
      <c r="U1570" s="129">
        <v>0.7601108033241</v>
      </c>
      <c r="V1570" s="129">
        <v>0.814111922141119</v>
      </c>
      <c r="W1570" s="129">
        <v>0.742569116947173</v>
      </c>
      <c r="X1570" s="131">
        <v>0.92</v>
      </c>
      <c r="Y1570" s="131" t="s">
        <v>33</v>
      </c>
      <c r="Z1570" s="131" t="s">
        <v>33</v>
      </c>
      <c r="AA1570" s="131" t="s">
        <v>33</v>
      </c>
      <c r="AB1570" s="131" t="s">
        <v>33</v>
      </c>
      <c r="AC1570" s="131">
        <v>0.92</v>
      </c>
      <c r="AD1570" s="129">
        <v>1</v>
      </c>
      <c r="AE1570" s="129">
        <v>0.996551724137931</v>
      </c>
      <c r="AF1570" s="129">
        <v>0.974358974358974</v>
      </c>
      <c r="AG1570" s="129">
        <v>0.996874111963626</v>
      </c>
      <c r="AH1570" s="131">
        <v>0.92</v>
      </c>
      <c r="AI1570" s="129">
        <v>0.791505791505791</v>
      </c>
      <c r="AJ1570" s="129">
        <v>0.883102493074792</v>
      </c>
      <c r="AK1570" s="129">
        <v>0.909002433090024</v>
      </c>
      <c r="AL1570" s="129">
        <v>0.861073854540735</v>
      </c>
      <c r="AM1570" s="128">
        <v>0.99</v>
      </c>
      <c r="AN1570" s="133">
        <v>1</v>
      </c>
      <c r="AO1570" s="133">
        <v>1</v>
      </c>
      <c r="AP1570" s="133">
        <v>1</v>
      </c>
      <c r="AQ1570" s="133">
        <v>1</v>
      </c>
      <c r="AR1570" s="153">
        <v>0.110069253262963</v>
      </c>
      <c r="AS1570" s="137">
        <v>0.4</v>
      </c>
      <c r="AT1570" s="137">
        <v>0.3</v>
      </c>
      <c r="AU1570" s="137">
        <v>0.0851063829787234</v>
      </c>
      <c r="AV1570" s="137">
        <v>0.12962962962963</v>
      </c>
      <c r="AW1570" s="93"/>
      <c r="AX1570" s="91"/>
    </row>
    <row r="1571" ht="14.5" spans="1:50">
      <c r="A1571" s="89"/>
      <c r="B1571" s="93"/>
      <c r="C1571" s="148" t="s">
        <v>1449</v>
      </c>
      <c r="D1571" s="126" t="s">
        <v>1450</v>
      </c>
      <c r="E1571" s="164" t="s">
        <v>1597</v>
      </c>
      <c r="F1571" s="164" t="s">
        <v>1597</v>
      </c>
      <c r="G1571" s="164" t="s">
        <v>1597</v>
      </c>
      <c r="H1571" s="164" t="s">
        <v>1597</v>
      </c>
      <c r="I1571" s="128">
        <v>0.9</v>
      </c>
      <c r="J1571" s="129">
        <v>0.935483870967742</v>
      </c>
      <c r="K1571" s="129">
        <v>0.90625</v>
      </c>
      <c r="L1571" s="130">
        <v>0.823529411764706</v>
      </c>
      <c r="M1571" s="129">
        <v>0.862595419847328</v>
      </c>
      <c r="N1571" s="131">
        <v>0.9</v>
      </c>
      <c r="O1571" s="129">
        <v>0.42177102883467</v>
      </c>
      <c r="P1571" s="129">
        <v>0.994029850746269</v>
      </c>
      <c r="Q1571" s="129">
        <v>0.104680242943909</v>
      </c>
      <c r="R1571" s="129">
        <v>0.116784289659405</v>
      </c>
      <c r="S1571" s="131">
        <v>0.9</v>
      </c>
      <c r="T1571" s="129">
        <v>0.341409315816414</v>
      </c>
      <c r="U1571" s="129">
        <v>0.952238805970149</v>
      </c>
      <c r="V1571" s="129">
        <v>0.126473740621651</v>
      </c>
      <c r="W1571" s="129">
        <v>0.122921141454434</v>
      </c>
      <c r="X1571" s="131">
        <v>0.92</v>
      </c>
      <c r="Y1571" s="131" t="s">
        <v>33</v>
      </c>
      <c r="Z1571" s="131" t="s">
        <v>33</v>
      </c>
      <c r="AA1571" s="131" t="s">
        <v>33</v>
      </c>
      <c r="AB1571" s="131" t="s">
        <v>33</v>
      </c>
      <c r="AC1571" s="131">
        <v>0.92</v>
      </c>
      <c r="AD1571" s="129">
        <v>0</v>
      </c>
      <c r="AE1571" s="129">
        <v>1</v>
      </c>
      <c r="AF1571" s="129">
        <v>1</v>
      </c>
      <c r="AG1571" s="129">
        <v>0.653061224489796</v>
      </c>
      <c r="AH1571" s="131">
        <v>0.92</v>
      </c>
      <c r="AI1571" s="129">
        <v>0.703085051985683</v>
      </c>
      <c r="AJ1571" s="129">
        <v>0.979351032448378</v>
      </c>
      <c r="AK1571" s="129">
        <v>0.761343336906038</v>
      </c>
      <c r="AL1571" s="129">
        <v>0.707159282538709</v>
      </c>
      <c r="AM1571" s="128">
        <v>0.99</v>
      </c>
      <c r="AN1571" s="133" t="s">
        <v>33</v>
      </c>
      <c r="AO1571" s="133" t="s">
        <v>33</v>
      </c>
      <c r="AP1571" s="133" t="s">
        <v>33</v>
      </c>
      <c r="AQ1571" s="133">
        <v>1</v>
      </c>
      <c r="AR1571" s="153">
        <v>0.110069253262963</v>
      </c>
      <c r="AS1571" s="137">
        <v>0.153846153846154</v>
      </c>
      <c r="AT1571" s="137">
        <v>0</v>
      </c>
      <c r="AU1571" s="137">
        <v>0.357142857142857</v>
      </c>
      <c r="AV1571" s="137">
        <v>0.149659863945578</v>
      </c>
      <c r="AW1571" s="93"/>
      <c r="AX1571" s="91"/>
    </row>
    <row r="1572" ht="14.5" spans="1:50">
      <c r="A1572" s="89"/>
      <c r="B1572" s="93"/>
      <c r="C1572" s="148" t="s">
        <v>1449</v>
      </c>
      <c r="D1572" s="126" t="s">
        <v>1450</v>
      </c>
      <c r="E1572" s="164" t="s">
        <v>1598</v>
      </c>
      <c r="F1572" s="164" t="s">
        <v>1598</v>
      </c>
      <c r="G1572" s="164" t="s">
        <v>1598</v>
      </c>
      <c r="H1572" s="164" t="s">
        <v>1598</v>
      </c>
      <c r="I1572" s="128">
        <v>0.9</v>
      </c>
      <c r="J1572" s="129">
        <v>1</v>
      </c>
      <c r="K1572" s="129">
        <v>0.928571428571429</v>
      </c>
      <c r="L1572" s="130">
        <v>0.933333333333333</v>
      </c>
      <c r="M1572" s="129">
        <v>0.967532467532468</v>
      </c>
      <c r="N1572" s="131">
        <v>0.9</v>
      </c>
      <c r="O1572" s="129">
        <v>0</v>
      </c>
      <c r="P1572" s="129" t="s">
        <v>33</v>
      </c>
      <c r="Q1572" s="129" t="s">
        <v>33</v>
      </c>
      <c r="R1572" s="129">
        <v>0</v>
      </c>
      <c r="S1572" s="131">
        <v>0.9</v>
      </c>
      <c r="T1572" s="129">
        <v>0</v>
      </c>
      <c r="U1572" s="129" t="s">
        <v>33</v>
      </c>
      <c r="V1572" s="129" t="s">
        <v>33</v>
      </c>
      <c r="W1572" s="129">
        <v>0</v>
      </c>
      <c r="X1572" s="131">
        <v>0.92</v>
      </c>
      <c r="Y1572" s="131" t="s">
        <v>33</v>
      </c>
      <c r="Z1572" s="131" t="s">
        <v>33</v>
      </c>
      <c r="AA1572" s="131" t="s">
        <v>33</v>
      </c>
      <c r="AB1572" s="131" t="s">
        <v>33</v>
      </c>
      <c r="AC1572" s="131">
        <v>0.92</v>
      </c>
      <c r="AD1572" s="129" t="s">
        <v>33</v>
      </c>
      <c r="AE1572" s="129">
        <v>0</v>
      </c>
      <c r="AF1572" s="129">
        <v>0</v>
      </c>
      <c r="AG1572" s="129">
        <v>0.0428571428571429</v>
      </c>
      <c r="AH1572" s="131">
        <v>0.92</v>
      </c>
      <c r="AI1572" s="129">
        <v>0.981735159817352</v>
      </c>
      <c r="AJ1572" s="129">
        <v>0.995294117647059</v>
      </c>
      <c r="AK1572" s="129">
        <v>0.99623352165725</v>
      </c>
      <c r="AL1572" s="129">
        <v>0.994167898800723</v>
      </c>
      <c r="AM1572" s="128">
        <v>0.99</v>
      </c>
      <c r="AN1572" s="133" t="s">
        <v>33</v>
      </c>
      <c r="AO1572" s="133" t="s">
        <v>33</v>
      </c>
      <c r="AP1572" s="133" t="s">
        <v>33</v>
      </c>
      <c r="AQ1572" s="133">
        <v>1</v>
      </c>
      <c r="AR1572" s="153">
        <v>0.110069253262963</v>
      </c>
      <c r="AS1572" s="137">
        <v>0.0333333333333333</v>
      </c>
      <c r="AT1572" s="137">
        <v>0.05</v>
      </c>
      <c r="AU1572" s="137">
        <v>0</v>
      </c>
      <c r="AV1572" s="137">
        <v>0.101694915254237</v>
      </c>
      <c r="AW1572" s="93"/>
      <c r="AX1572" s="91"/>
    </row>
    <row r="1573" ht="14.5" spans="1:50">
      <c r="A1573" s="89"/>
      <c r="B1573" s="93"/>
      <c r="C1573" s="148" t="s">
        <v>1449</v>
      </c>
      <c r="D1573" s="126" t="s">
        <v>1450</v>
      </c>
      <c r="E1573" s="164" t="s">
        <v>1599</v>
      </c>
      <c r="F1573" s="164" t="s">
        <v>1599</v>
      </c>
      <c r="G1573" s="164" t="s">
        <v>1599</v>
      </c>
      <c r="H1573" s="164" t="s">
        <v>1599</v>
      </c>
      <c r="I1573" s="128">
        <v>0.9</v>
      </c>
      <c r="J1573" s="129">
        <v>0.972222222222222</v>
      </c>
      <c r="K1573" s="129">
        <v>0.918918918918919</v>
      </c>
      <c r="L1573" s="130">
        <v>0.948717948717949</v>
      </c>
      <c r="M1573" s="129">
        <v>0.946308724832215</v>
      </c>
      <c r="N1573" s="131">
        <v>0.9</v>
      </c>
      <c r="O1573" s="129">
        <v>0.991187000826219</v>
      </c>
      <c r="P1573" s="129">
        <v>0.990107172300082</v>
      </c>
      <c r="Q1573" s="129">
        <v>0.997591651056998</v>
      </c>
      <c r="R1573" s="129">
        <v>0.992115364664384</v>
      </c>
      <c r="S1573" s="131">
        <v>0.9</v>
      </c>
      <c r="T1573" s="129">
        <v>0.935279537317543</v>
      </c>
      <c r="U1573" s="129">
        <v>0.953833470733718</v>
      </c>
      <c r="V1573" s="129">
        <v>0.904201230933904</v>
      </c>
      <c r="W1573" s="129">
        <v>0.947089947089947</v>
      </c>
      <c r="X1573" s="131">
        <v>0.92</v>
      </c>
      <c r="Y1573" s="131" t="s">
        <v>33</v>
      </c>
      <c r="Z1573" s="131" t="s">
        <v>33</v>
      </c>
      <c r="AA1573" s="131" t="s">
        <v>33</v>
      </c>
      <c r="AB1573" s="131">
        <v>1</v>
      </c>
      <c r="AC1573" s="131">
        <v>0.92</v>
      </c>
      <c r="AD1573" s="129">
        <v>0.956521739130435</v>
      </c>
      <c r="AE1573" s="129">
        <v>0.970588235294118</v>
      </c>
      <c r="AF1573" s="129">
        <v>0.966666666666667</v>
      </c>
      <c r="AG1573" s="129">
        <v>0.936470588235294</v>
      </c>
      <c r="AH1573" s="131">
        <v>0.92</v>
      </c>
      <c r="AI1573" s="129">
        <v>0.969154502891765</v>
      </c>
      <c r="AJ1573" s="129">
        <v>0.981313547677934</v>
      </c>
      <c r="AK1573" s="129">
        <v>0.981268397109981</v>
      </c>
      <c r="AL1573" s="129">
        <v>0.98210441683741</v>
      </c>
      <c r="AM1573" s="128">
        <v>0.99</v>
      </c>
      <c r="AN1573" s="133">
        <v>1</v>
      </c>
      <c r="AO1573" s="133">
        <v>1</v>
      </c>
      <c r="AP1573" s="133">
        <v>1</v>
      </c>
      <c r="AQ1573" s="133">
        <v>1</v>
      </c>
      <c r="AR1573" s="153">
        <v>0.110069253262963</v>
      </c>
      <c r="AS1573" s="137">
        <v>0.285714285714286</v>
      </c>
      <c r="AT1573" s="137">
        <v>0.0526315789473684</v>
      </c>
      <c r="AU1573" s="137">
        <v>0</v>
      </c>
      <c r="AV1573" s="137">
        <v>0.0651162790697674</v>
      </c>
      <c r="AW1573" s="93"/>
      <c r="AX1573" s="91"/>
    </row>
    <row r="1574" ht="14.5" spans="1:50">
      <c r="A1574" s="89"/>
      <c r="B1574" s="93"/>
      <c r="C1574" s="148" t="s">
        <v>1449</v>
      </c>
      <c r="D1574" s="126" t="s">
        <v>1450</v>
      </c>
      <c r="E1574" s="164" t="s">
        <v>1600</v>
      </c>
      <c r="F1574" s="164" t="s">
        <v>1600</v>
      </c>
      <c r="G1574" s="164" t="s">
        <v>1600</v>
      </c>
      <c r="H1574" s="164" t="s">
        <v>1600</v>
      </c>
      <c r="I1574" s="128">
        <v>0.9</v>
      </c>
      <c r="J1574" s="129">
        <v>0.692307692307692</v>
      </c>
      <c r="K1574" s="129">
        <v>0.769230769230769</v>
      </c>
      <c r="L1574" s="130">
        <v>0.692307692307692</v>
      </c>
      <c r="M1574" s="129">
        <v>0.8</v>
      </c>
      <c r="N1574" s="131">
        <v>0.9</v>
      </c>
      <c r="O1574" s="129" t="s">
        <v>33</v>
      </c>
      <c r="P1574" s="129" t="s">
        <v>33</v>
      </c>
      <c r="Q1574" s="129">
        <v>0.5</v>
      </c>
      <c r="R1574" s="129">
        <v>0.333333333333333</v>
      </c>
      <c r="S1574" s="131">
        <v>0.9</v>
      </c>
      <c r="T1574" s="129" t="s">
        <v>33</v>
      </c>
      <c r="U1574" s="129" t="s">
        <v>33</v>
      </c>
      <c r="V1574" s="129">
        <v>0.5</v>
      </c>
      <c r="W1574" s="129">
        <v>0.333333333333333</v>
      </c>
      <c r="X1574" s="131">
        <v>0.92</v>
      </c>
      <c r="Y1574" s="131" t="s">
        <v>33</v>
      </c>
      <c r="Z1574" s="131" t="s">
        <v>33</v>
      </c>
      <c r="AA1574" s="131" t="s">
        <v>33</v>
      </c>
      <c r="AB1574" s="131" t="s">
        <v>33</v>
      </c>
      <c r="AC1574" s="131">
        <v>0.92</v>
      </c>
      <c r="AD1574" s="129">
        <v>0</v>
      </c>
      <c r="AE1574" s="129">
        <v>0</v>
      </c>
      <c r="AF1574" s="129">
        <v>1</v>
      </c>
      <c r="AG1574" s="129">
        <v>0.204301075268817</v>
      </c>
      <c r="AH1574" s="131">
        <v>0.92</v>
      </c>
      <c r="AI1574" s="129">
        <v>0.674485125858124</v>
      </c>
      <c r="AJ1574" s="129">
        <v>0.670588235294118</v>
      </c>
      <c r="AK1574" s="129">
        <v>0.765741367637102</v>
      </c>
      <c r="AL1574" s="129">
        <v>0.734095913873257</v>
      </c>
      <c r="AM1574" s="128">
        <v>0.99</v>
      </c>
      <c r="AN1574" s="133">
        <v>1</v>
      </c>
      <c r="AO1574" s="133" t="s">
        <v>33</v>
      </c>
      <c r="AP1574" s="133" t="s">
        <v>33</v>
      </c>
      <c r="AQ1574" s="133">
        <v>1</v>
      </c>
      <c r="AR1574" s="153">
        <v>0.110069253262963</v>
      </c>
      <c r="AS1574" s="137">
        <v>0</v>
      </c>
      <c r="AT1574" s="137">
        <v>0.318181818181818</v>
      </c>
      <c r="AU1574" s="137">
        <v>0.25</v>
      </c>
      <c r="AV1574" s="137">
        <v>0.119170984455959</v>
      </c>
      <c r="AW1574" s="93"/>
      <c r="AX1574" s="91"/>
    </row>
    <row r="1575" ht="14.5" spans="1:50">
      <c r="A1575" s="89"/>
      <c r="B1575" s="93"/>
      <c r="C1575" s="148" t="s">
        <v>1449</v>
      </c>
      <c r="D1575" s="126" t="s">
        <v>1450</v>
      </c>
      <c r="E1575" s="164" t="s">
        <v>1601</v>
      </c>
      <c r="F1575" s="164" t="s">
        <v>1601</v>
      </c>
      <c r="G1575" s="164" t="s">
        <v>1601</v>
      </c>
      <c r="H1575" s="164" t="s">
        <v>1601</v>
      </c>
      <c r="I1575" s="128">
        <v>0.9</v>
      </c>
      <c r="J1575" s="129">
        <v>0.722222222222222</v>
      </c>
      <c r="K1575" s="129">
        <v>0.818181818181818</v>
      </c>
      <c r="L1575" s="130">
        <v>0.727272727272727</v>
      </c>
      <c r="M1575" s="129">
        <v>0.604081632653061</v>
      </c>
      <c r="N1575" s="131">
        <v>0.9</v>
      </c>
      <c r="O1575" s="129" t="s">
        <v>33</v>
      </c>
      <c r="P1575" s="129" t="s">
        <v>33</v>
      </c>
      <c r="Q1575" s="129" t="s">
        <v>33</v>
      </c>
      <c r="R1575" s="129" t="s">
        <v>33</v>
      </c>
      <c r="S1575" s="131">
        <v>0.9</v>
      </c>
      <c r="T1575" s="129" t="s">
        <v>33</v>
      </c>
      <c r="U1575" s="129" t="s">
        <v>33</v>
      </c>
      <c r="V1575" s="129" t="s">
        <v>33</v>
      </c>
      <c r="W1575" s="129" t="s">
        <v>33</v>
      </c>
      <c r="X1575" s="131">
        <v>0.92</v>
      </c>
      <c r="Y1575" s="131" t="s">
        <v>33</v>
      </c>
      <c r="Z1575" s="131" t="s">
        <v>33</v>
      </c>
      <c r="AA1575" s="131" t="s">
        <v>33</v>
      </c>
      <c r="AB1575" s="131" t="s">
        <v>33</v>
      </c>
      <c r="AC1575" s="131">
        <v>0.92</v>
      </c>
      <c r="AD1575" s="129">
        <v>0</v>
      </c>
      <c r="AE1575" s="129">
        <v>0.2</v>
      </c>
      <c r="AF1575" s="129">
        <v>0.333333333333333</v>
      </c>
      <c r="AG1575" s="129">
        <v>0.0972222222222222</v>
      </c>
      <c r="AH1575" s="131">
        <v>0.92</v>
      </c>
      <c r="AI1575" s="129">
        <v>0.834541062801932</v>
      </c>
      <c r="AJ1575" s="129">
        <v>0.841631673665267</v>
      </c>
      <c r="AK1575" s="129">
        <v>0.833252309188138</v>
      </c>
      <c r="AL1575" s="129">
        <v>0.778465346534653</v>
      </c>
      <c r="AM1575" s="128">
        <v>0.99</v>
      </c>
      <c r="AN1575" s="133" t="s">
        <v>33</v>
      </c>
      <c r="AO1575" s="133" t="s">
        <v>33</v>
      </c>
      <c r="AP1575" s="133" t="s">
        <v>33</v>
      </c>
      <c r="AQ1575" s="133">
        <v>1</v>
      </c>
      <c r="AR1575" s="153">
        <v>0.110069253262963</v>
      </c>
      <c r="AS1575" s="137">
        <v>0.151515151515152</v>
      </c>
      <c r="AT1575" s="137">
        <v>0.0967741935483871</v>
      </c>
      <c r="AU1575" s="137">
        <v>0.19047619047619</v>
      </c>
      <c r="AV1575" s="137">
        <v>0.102620087336245</v>
      </c>
      <c r="AW1575" s="93"/>
      <c r="AX1575" s="91"/>
    </row>
    <row r="1576" ht="14.5" spans="1:50">
      <c r="A1576" s="89"/>
      <c r="B1576" s="93"/>
      <c r="C1576" s="148" t="s">
        <v>1449</v>
      </c>
      <c r="D1576" s="126" t="s">
        <v>1450</v>
      </c>
      <c r="E1576" s="164" t="s">
        <v>1602</v>
      </c>
      <c r="F1576" s="164" t="s">
        <v>1602</v>
      </c>
      <c r="G1576" s="164" t="s">
        <v>1602</v>
      </c>
      <c r="H1576" s="164" t="s">
        <v>1602</v>
      </c>
      <c r="I1576" s="128">
        <v>0.9</v>
      </c>
      <c r="J1576" s="129">
        <v>0.5</v>
      </c>
      <c r="K1576" s="129">
        <v>0.4</v>
      </c>
      <c r="L1576" s="130">
        <v>0.3</v>
      </c>
      <c r="M1576" s="129">
        <v>0.411111111111111</v>
      </c>
      <c r="N1576" s="131">
        <v>0.9</v>
      </c>
      <c r="O1576" s="129" t="s">
        <v>33</v>
      </c>
      <c r="P1576" s="129" t="s">
        <v>33</v>
      </c>
      <c r="Q1576" s="129" t="s">
        <v>33</v>
      </c>
      <c r="R1576" s="129">
        <v>0</v>
      </c>
      <c r="S1576" s="131">
        <v>0.9</v>
      </c>
      <c r="T1576" s="129" t="s">
        <v>33</v>
      </c>
      <c r="U1576" s="129" t="s">
        <v>33</v>
      </c>
      <c r="V1576" s="129" t="s">
        <v>33</v>
      </c>
      <c r="W1576" s="129">
        <v>0</v>
      </c>
      <c r="X1576" s="131">
        <v>0.92</v>
      </c>
      <c r="Y1576" s="131" t="s">
        <v>33</v>
      </c>
      <c r="Z1576" s="131" t="s">
        <v>33</v>
      </c>
      <c r="AA1576" s="131" t="s">
        <v>33</v>
      </c>
      <c r="AB1576" s="131" t="s">
        <v>33</v>
      </c>
      <c r="AC1576" s="131">
        <v>0.92</v>
      </c>
      <c r="AD1576" s="129">
        <v>0.125</v>
      </c>
      <c r="AE1576" s="129">
        <v>0.333333333333333</v>
      </c>
      <c r="AF1576" s="129">
        <v>1</v>
      </c>
      <c r="AG1576" s="129">
        <v>0.36</v>
      </c>
      <c r="AH1576" s="131">
        <v>0.92</v>
      </c>
      <c r="AI1576" s="129">
        <v>0.714772727272727</v>
      </c>
      <c r="AJ1576" s="129">
        <v>0.820665083135392</v>
      </c>
      <c r="AK1576" s="129">
        <v>0.874350986500519</v>
      </c>
      <c r="AL1576" s="129">
        <v>0.874456048738033</v>
      </c>
      <c r="AM1576" s="128">
        <v>0.99</v>
      </c>
      <c r="AN1576" s="133">
        <v>1</v>
      </c>
      <c r="AO1576" s="133">
        <v>1</v>
      </c>
      <c r="AP1576" s="133">
        <v>1</v>
      </c>
      <c r="AQ1576" s="133">
        <v>1</v>
      </c>
      <c r="AR1576" s="153">
        <v>0.110069253262963</v>
      </c>
      <c r="AS1576" s="137">
        <v>0.222222222222222</v>
      </c>
      <c r="AT1576" s="137">
        <v>0</v>
      </c>
      <c r="AU1576" s="137">
        <v>0.1</v>
      </c>
      <c r="AV1576" s="137">
        <v>0.0882352941176471</v>
      </c>
      <c r="AW1576" s="93"/>
      <c r="AX1576" s="91"/>
    </row>
    <row r="1577" ht="14.5" spans="1:50">
      <c r="A1577" s="89"/>
      <c r="B1577" s="93"/>
      <c r="C1577" s="148" t="s">
        <v>1449</v>
      </c>
      <c r="D1577" s="126" t="s">
        <v>1450</v>
      </c>
      <c r="E1577" s="164" t="s">
        <v>1603</v>
      </c>
      <c r="F1577" s="164" t="s">
        <v>1603</v>
      </c>
      <c r="G1577" s="164" t="s">
        <v>1603</v>
      </c>
      <c r="H1577" s="164" t="s">
        <v>1603</v>
      </c>
      <c r="I1577" s="128">
        <v>0.9</v>
      </c>
      <c r="J1577" s="129">
        <v>0.875</v>
      </c>
      <c r="K1577" s="129">
        <v>0.8</v>
      </c>
      <c r="L1577" s="130">
        <v>0.928571428571429</v>
      </c>
      <c r="M1577" s="129">
        <v>0.892045454545455</v>
      </c>
      <c r="N1577" s="131">
        <v>0.9</v>
      </c>
      <c r="O1577" s="129" t="s">
        <v>33</v>
      </c>
      <c r="P1577" s="129" t="s">
        <v>33</v>
      </c>
      <c r="Q1577" s="129" t="s">
        <v>33</v>
      </c>
      <c r="R1577" s="129" t="s">
        <v>33</v>
      </c>
      <c r="S1577" s="131">
        <v>0.9</v>
      </c>
      <c r="T1577" s="129" t="s">
        <v>33</v>
      </c>
      <c r="U1577" s="129" t="s">
        <v>33</v>
      </c>
      <c r="V1577" s="129" t="s">
        <v>33</v>
      </c>
      <c r="W1577" s="129" t="s">
        <v>33</v>
      </c>
      <c r="X1577" s="131">
        <v>0.92</v>
      </c>
      <c r="Y1577" s="131" t="s">
        <v>33</v>
      </c>
      <c r="Z1577" s="131" t="s">
        <v>33</v>
      </c>
      <c r="AA1577" s="131" t="s">
        <v>33</v>
      </c>
      <c r="AB1577" s="131" t="s">
        <v>33</v>
      </c>
      <c r="AC1577" s="131">
        <v>0.92</v>
      </c>
      <c r="AD1577" s="129">
        <v>1</v>
      </c>
      <c r="AE1577" s="129">
        <v>1</v>
      </c>
      <c r="AF1577" s="129">
        <v>0</v>
      </c>
      <c r="AG1577" s="129">
        <v>0.868852459016393</v>
      </c>
      <c r="AH1577" s="131">
        <v>0.92</v>
      </c>
      <c r="AI1577" s="129">
        <v>0.870151770657673</v>
      </c>
      <c r="AJ1577" s="129">
        <v>0.881398252184769</v>
      </c>
      <c r="AK1577" s="129">
        <v>0.949944382647386</v>
      </c>
      <c r="AL1577" s="129">
        <v>0.93787732960014</v>
      </c>
      <c r="AM1577" s="128">
        <v>0.99</v>
      </c>
      <c r="AN1577" s="133" t="s">
        <v>33</v>
      </c>
      <c r="AO1577" s="133">
        <v>1</v>
      </c>
      <c r="AP1577" s="133" t="s">
        <v>33</v>
      </c>
      <c r="AQ1577" s="133">
        <v>1</v>
      </c>
      <c r="AR1577" s="153">
        <v>0.110069253262963</v>
      </c>
      <c r="AS1577" s="137">
        <v>0.0666666666666667</v>
      </c>
      <c r="AT1577" s="137">
        <v>0</v>
      </c>
      <c r="AU1577" s="137">
        <v>0.230769230769231</v>
      </c>
      <c r="AV1577" s="137">
        <v>0.113513513513514</v>
      </c>
      <c r="AW1577" s="93"/>
      <c r="AX1577" s="91"/>
    </row>
    <row r="1578" ht="14.5" spans="1:50">
      <c r="A1578" s="89"/>
      <c r="B1578" s="93"/>
      <c r="C1578" s="148" t="s">
        <v>1449</v>
      </c>
      <c r="D1578" s="126" t="s">
        <v>1450</v>
      </c>
      <c r="E1578" s="164" t="s">
        <v>1604</v>
      </c>
      <c r="F1578" s="164" t="s">
        <v>1604</v>
      </c>
      <c r="G1578" s="164" t="s">
        <v>1604</v>
      </c>
      <c r="H1578" s="164" t="s">
        <v>1604</v>
      </c>
      <c r="I1578" s="128">
        <v>0.9</v>
      </c>
      <c r="J1578" s="129">
        <v>0.5</v>
      </c>
      <c r="K1578" s="129">
        <v>0.705882352941177</v>
      </c>
      <c r="L1578" s="130">
        <v>0.789473684210526</v>
      </c>
      <c r="M1578" s="129">
        <v>0.631578947368421</v>
      </c>
      <c r="N1578" s="131">
        <v>0.9</v>
      </c>
      <c r="O1578" s="129">
        <v>0.0222222222222222</v>
      </c>
      <c r="P1578" s="129">
        <v>0</v>
      </c>
      <c r="Q1578" s="129" t="s">
        <v>33</v>
      </c>
      <c r="R1578" s="129">
        <v>0.0204081632653061</v>
      </c>
      <c r="S1578" s="131">
        <v>0.9</v>
      </c>
      <c r="T1578" s="129">
        <v>0</v>
      </c>
      <c r="U1578" s="129">
        <v>0</v>
      </c>
      <c r="V1578" s="129" t="s">
        <v>33</v>
      </c>
      <c r="W1578" s="129">
        <v>0</v>
      </c>
      <c r="X1578" s="131">
        <v>0.92</v>
      </c>
      <c r="Y1578" s="131" t="s">
        <v>33</v>
      </c>
      <c r="Z1578" s="131" t="s">
        <v>33</v>
      </c>
      <c r="AA1578" s="131" t="s">
        <v>33</v>
      </c>
      <c r="AB1578" s="131" t="s">
        <v>33</v>
      </c>
      <c r="AC1578" s="131">
        <v>0.92</v>
      </c>
      <c r="AD1578" s="129">
        <v>0</v>
      </c>
      <c r="AE1578" s="129">
        <v>0</v>
      </c>
      <c r="AF1578" s="129">
        <v>0.375</v>
      </c>
      <c r="AG1578" s="129">
        <v>0.150442477876106</v>
      </c>
      <c r="AH1578" s="131">
        <v>0.92</v>
      </c>
      <c r="AI1578" s="129">
        <v>0.901271956390067</v>
      </c>
      <c r="AJ1578" s="129">
        <v>0.93505039193729</v>
      </c>
      <c r="AK1578" s="129">
        <v>0.931552587646077</v>
      </c>
      <c r="AL1578" s="129">
        <v>0.955041671557695</v>
      </c>
      <c r="AM1578" s="128">
        <v>0.99</v>
      </c>
      <c r="AN1578" s="133">
        <v>1</v>
      </c>
      <c r="AO1578" s="133" t="s">
        <v>33</v>
      </c>
      <c r="AP1578" s="133" t="s">
        <v>33</v>
      </c>
      <c r="AQ1578" s="133">
        <v>1</v>
      </c>
      <c r="AR1578" s="153">
        <v>0.110069253262963</v>
      </c>
      <c r="AS1578" s="137">
        <v>0.125</v>
      </c>
      <c r="AT1578" s="137">
        <v>0.0625</v>
      </c>
      <c r="AU1578" s="137">
        <v>0.222222222222222</v>
      </c>
      <c r="AV1578" s="137">
        <v>0.0890688259109312</v>
      </c>
      <c r="AW1578" s="93"/>
      <c r="AX1578" s="91"/>
    </row>
    <row r="1579" ht="14.5" spans="1:50">
      <c r="A1579" s="89"/>
      <c r="B1579" s="93"/>
      <c r="C1579" s="148" t="s">
        <v>1449</v>
      </c>
      <c r="D1579" s="126" t="s">
        <v>1450</v>
      </c>
      <c r="E1579" s="164" t="s">
        <v>1605</v>
      </c>
      <c r="F1579" s="164" t="s">
        <v>1605</v>
      </c>
      <c r="G1579" s="164" t="s">
        <v>1605</v>
      </c>
      <c r="H1579" s="164" t="s">
        <v>1605</v>
      </c>
      <c r="I1579" s="128">
        <v>0.9</v>
      </c>
      <c r="J1579" s="129">
        <v>0.96969696969697</v>
      </c>
      <c r="K1579" s="129">
        <v>0.857142857142857</v>
      </c>
      <c r="L1579" s="130">
        <v>0.96551724137931</v>
      </c>
      <c r="M1579" s="129">
        <v>0.946778711484594</v>
      </c>
      <c r="N1579" s="131">
        <v>0.9</v>
      </c>
      <c r="O1579" s="129">
        <v>0.964533538936006</v>
      </c>
      <c r="P1579" s="129">
        <v>0.974386339381003</v>
      </c>
      <c r="Q1579" s="129">
        <v>0.952598314606742</v>
      </c>
      <c r="R1579" s="129">
        <v>0.962138966826209</v>
      </c>
      <c r="S1579" s="131">
        <v>0.9</v>
      </c>
      <c r="T1579" s="129">
        <v>0.651117964533539</v>
      </c>
      <c r="U1579" s="129">
        <v>0.468160796869441</v>
      </c>
      <c r="V1579" s="129">
        <v>0.43188202247191</v>
      </c>
      <c r="W1579" s="129">
        <v>0.520481927710843</v>
      </c>
      <c r="X1579" s="131">
        <v>0.92</v>
      </c>
      <c r="Y1579" s="131" t="s">
        <v>33</v>
      </c>
      <c r="Z1579" s="131" t="s">
        <v>33</v>
      </c>
      <c r="AA1579" s="131">
        <v>0</v>
      </c>
      <c r="AB1579" s="131">
        <v>0</v>
      </c>
      <c r="AC1579" s="131">
        <v>0.92</v>
      </c>
      <c r="AD1579" s="129">
        <v>1</v>
      </c>
      <c r="AE1579" s="129">
        <v>1</v>
      </c>
      <c r="AF1579" s="129">
        <v>1</v>
      </c>
      <c r="AG1579" s="129">
        <v>0.95067264573991</v>
      </c>
      <c r="AH1579" s="131">
        <v>0.92</v>
      </c>
      <c r="AI1579" s="129">
        <v>0.843099460292984</v>
      </c>
      <c r="AJ1579" s="129">
        <v>0.863038064745642</v>
      </c>
      <c r="AK1579" s="129">
        <v>0.847665847665848</v>
      </c>
      <c r="AL1579" s="129">
        <v>0.859127966465327</v>
      </c>
      <c r="AM1579" s="128">
        <v>0.99</v>
      </c>
      <c r="AN1579" s="133">
        <v>1</v>
      </c>
      <c r="AO1579" s="133">
        <v>1</v>
      </c>
      <c r="AP1579" s="133">
        <v>1</v>
      </c>
      <c r="AQ1579" s="133">
        <v>1</v>
      </c>
      <c r="AR1579" s="153">
        <v>0.110069253262963</v>
      </c>
      <c r="AS1579" s="137">
        <v>0.375</v>
      </c>
      <c r="AT1579" s="137">
        <v>0.0476190476190476</v>
      </c>
      <c r="AU1579" s="137">
        <v>0</v>
      </c>
      <c r="AV1579" s="137">
        <v>0.0869565217391304</v>
      </c>
      <c r="AW1579" s="93"/>
      <c r="AX1579" s="91"/>
    </row>
    <row r="1580" ht="14.5" spans="1:50">
      <c r="A1580" s="89"/>
      <c r="B1580" s="93"/>
      <c r="C1580" s="148" t="s">
        <v>1449</v>
      </c>
      <c r="D1580" s="126" t="s">
        <v>1450</v>
      </c>
      <c r="E1580" s="164" t="s">
        <v>1606</v>
      </c>
      <c r="F1580" s="164" t="s">
        <v>1606</v>
      </c>
      <c r="G1580" s="164" t="s">
        <v>1606</v>
      </c>
      <c r="H1580" s="164" t="s">
        <v>1606</v>
      </c>
      <c r="I1580" s="128">
        <v>0.9</v>
      </c>
      <c r="J1580" s="129">
        <v>0.976190476190476</v>
      </c>
      <c r="K1580" s="129">
        <v>1</v>
      </c>
      <c r="L1580" s="130">
        <v>0.925</v>
      </c>
      <c r="M1580" s="129">
        <v>0.962962962962963</v>
      </c>
      <c r="N1580" s="131">
        <v>0.9</v>
      </c>
      <c r="O1580" s="129">
        <v>0.933643771827707</v>
      </c>
      <c r="P1580" s="129">
        <v>0.937029603612644</v>
      </c>
      <c r="Q1580" s="129">
        <v>0.926240382064208</v>
      </c>
      <c r="R1580" s="129">
        <v>0.898544320887645</v>
      </c>
      <c r="S1580" s="131">
        <v>0.9</v>
      </c>
      <c r="T1580" s="129">
        <v>0.306752037252619</v>
      </c>
      <c r="U1580" s="129">
        <v>0.232814851981937</v>
      </c>
      <c r="V1580" s="129">
        <v>0.229503847174317</v>
      </c>
      <c r="W1580" s="129">
        <v>0.334339789380661</v>
      </c>
      <c r="X1580" s="131">
        <v>0.92</v>
      </c>
      <c r="Y1580" s="131" t="s">
        <v>33</v>
      </c>
      <c r="Z1580" s="131">
        <v>0</v>
      </c>
      <c r="AA1580" s="131" t="s">
        <v>33</v>
      </c>
      <c r="AB1580" s="131">
        <v>0</v>
      </c>
      <c r="AC1580" s="131">
        <v>0.92</v>
      </c>
      <c r="AD1580" s="129">
        <v>0.507246376811594</v>
      </c>
      <c r="AE1580" s="129">
        <v>0.75</v>
      </c>
      <c r="AF1580" s="129">
        <v>0.619718309859155</v>
      </c>
      <c r="AG1580" s="129">
        <v>0.780141843971631</v>
      </c>
      <c r="AH1580" s="131">
        <v>0.92</v>
      </c>
      <c r="AI1580" s="129">
        <v>0.89871944121071</v>
      </c>
      <c r="AJ1580" s="129">
        <v>0.917001003009027</v>
      </c>
      <c r="AK1580" s="129">
        <v>0.909259750596975</v>
      </c>
      <c r="AL1580" s="129">
        <v>0.887307003117406</v>
      </c>
      <c r="AM1580" s="128">
        <v>0.99</v>
      </c>
      <c r="AN1580" s="133">
        <v>1</v>
      </c>
      <c r="AO1580" s="133">
        <v>1</v>
      </c>
      <c r="AP1580" s="133">
        <v>1</v>
      </c>
      <c r="AQ1580" s="133">
        <v>1</v>
      </c>
      <c r="AR1580" s="153">
        <v>0.110069253262963</v>
      </c>
      <c r="AS1580" s="137">
        <v>0.2</v>
      </c>
      <c r="AT1580" s="137">
        <v>0.1</v>
      </c>
      <c r="AU1580" s="137">
        <v>0</v>
      </c>
      <c r="AV1580" s="137">
        <v>0.079295154185022</v>
      </c>
      <c r="AW1580" s="93"/>
      <c r="AX1580" s="91"/>
    </row>
    <row r="1581" ht="14.5" spans="1:50">
      <c r="A1581" s="89"/>
      <c r="B1581" s="93"/>
      <c r="C1581" s="148" t="s">
        <v>1449</v>
      </c>
      <c r="D1581" s="126" t="s">
        <v>1450</v>
      </c>
      <c r="E1581" s="164" t="s">
        <v>1607</v>
      </c>
      <c r="F1581" s="164" t="s">
        <v>1607</v>
      </c>
      <c r="G1581" s="164" t="s">
        <v>1607</v>
      </c>
      <c r="H1581" s="164" t="s">
        <v>1607</v>
      </c>
      <c r="I1581" s="128">
        <v>0.9</v>
      </c>
      <c r="J1581" s="129">
        <v>1</v>
      </c>
      <c r="K1581" s="129">
        <v>1</v>
      </c>
      <c r="L1581" s="130">
        <v>0.978723404255319</v>
      </c>
      <c r="M1581" s="129">
        <v>0.991150442477876</v>
      </c>
      <c r="N1581" s="131">
        <v>0.9</v>
      </c>
      <c r="O1581" s="129">
        <v>0.986838898367049</v>
      </c>
      <c r="P1581" s="129">
        <v>0.982707622298066</v>
      </c>
      <c r="Q1581" s="129">
        <v>0.979379107183322</v>
      </c>
      <c r="R1581" s="129">
        <v>0.978082360931037</v>
      </c>
      <c r="S1581" s="131">
        <v>0.9</v>
      </c>
      <c r="T1581" s="129">
        <v>0.778698513282964</v>
      </c>
      <c r="U1581" s="129">
        <v>0.681683731513083</v>
      </c>
      <c r="V1581" s="129">
        <v>0.692499433491956</v>
      </c>
      <c r="W1581" s="129">
        <v>0.731534646333683</v>
      </c>
      <c r="X1581" s="131">
        <v>0.92</v>
      </c>
      <c r="Y1581" s="131" t="s">
        <v>33</v>
      </c>
      <c r="Z1581" s="131">
        <v>1</v>
      </c>
      <c r="AA1581" s="131">
        <v>0</v>
      </c>
      <c r="AB1581" s="131">
        <v>0.142857142857143</v>
      </c>
      <c r="AC1581" s="131">
        <v>0.92</v>
      </c>
      <c r="AD1581" s="129">
        <v>0.866666666666667</v>
      </c>
      <c r="AE1581" s="129">
        <v>0.866666666666667</v>
      </c>
      <c r="AF1581" s="129">
        <v>1</v>
      </c>
      <c r="AG1581" s="129">
        <v>0.93127147766323</v>
      </c>
      <c r="AH1581" s="131">
        <v>0.92</v>
      </c>
      <c r="AI1581" s="129">
        <v>0.932244699000731</v>
      </c>
      <c r="AJ1581" s="129">
        <v>0.940855323020928</v>
      </c>
      <c r="AK1581" s="129">
        <v>0.950838241957408</v>
      </c>
      <c r="AL1581" s="129">
        <v>0.944503889048932</v>
      </c>
      <c r="AM1581" s="128">
        <v>0.99</v>
      </c>
      <c r="AN1581" s="133">
        <v>1</v>
      </c>
      <c r="AO1581" s="133">
        <v>1</v>
      </c>
      <c r="AP1581" s="133">
        <v>1</v>
      </c>
      <c r="AQ1581" s="133">
        <v>1</v>
      </c>
      <c r="AR1581" s="153">
        <v>0.110069253262963</v>
      </c>
      <c r="AS1581" s="137">
        <v>0.117647058823529</v>
      </c>
      <c r="AT1581" s="137">
        <v>0.15</v>
      </c>
      <c r="AU1581" s="137">
        <v>0.1875</v>
      </c>
      <c r="AV1581" s="137">
        <v>0.12719298245614</v>
      </c>
      <c r="AW1581" s="93"/>
      <c r="AX1581" s="91"/>
    </row>
    <row r="1582" ht="14.5" spans="1:50">
      <c r="A1582" s="89"/>
      <c r="B1582" s="93"/>
      <c r="C1582" s="148" t="s">
        <v>1449</v>
      </c>
      <c r="D1582" s="126" t="s">
        <v>1450</v>
      </c>
      <c r="E1582" s="164" t="s">
        <v>1608</v>
      </c>
      <c r="F1582" s="164" t="s">
        <v>1608</v>
      </c>
      <c r="G1582" s="164" t="s">
        <v>1608</v>
      </c>
      <c r="H1582" s="164" t="s">
        <v>1608</v>
      </c>
      <c r="I1582" s="128">
        <v>0.9</v>
      </c>
      <c r="J1582" s="129">
        <v>0.973684210526316</v>
      </c>
      <c r="K1582" s="129">
        <v>0.918918918918919</v>
      </c>
      <c r="L1582" s="130">
        <v>0.95</v>
      </c>
      <c r="M1582" s="129">
        <v>0.978070175438597</v>
      </c>
      <c r="N1582" s="131">
        <v>0.9</v>
      </c>
      <c r="O1582" s="129">
        <v>0.999010390895596</v>
      </c>
      <c r="P1582" s="129">
        <v>0.998795761078998</v>
      </c>
      <c r="Q1582" s="129">
        <v>0.995891349007076</v>
      </c>
      <c r="R1582" s="129">
        <v>0.997949273995851</v>
      </c>
      <c r="S1582" s="131">
        <v>0.9</v>
      </c>
      <c r="T1582" s="129">
        <v>0.950519544779812</v>
      </c>
      <c r="U1582" s="129">
        <v>0.947495183044316</v>
      </c>
      <c r="V1582" s="129">
        <v>0.934261584113216</v>
      </c>
      <c r="W1582" s="129">
        <v>0.946681123892137</v>
      </c>
      <c r="X1582" s="131">
        <v>0.92</v>
      </c>
      <c r="Y1582" s="131" t="s">
        <v>33</v>
      </c>
      <c r="Z1582" s="131" t="s">
        <v>33</v>
      </c>
      <c r="AA1582" s="131" t="s">
        <v>33</v>
      </c>
      <c r="AB1582" s="131" t="s">
        <v>33</v>
      </c>
      <c r="AC1582" s="131">
        <v>0.92</v>
      </c>
      <c r="AD1582" s="129">
        <v>1</v>
      </c>
      <c r="AE1582" s="129">
        <v>1</v>
      </c>
      <c r="AF1582" s="129">
        <v>1</v>
      </c>
      <c r="AG1582" s="129">
        <v>0.997929606625259</v>
      </c>
      <c r="AH1582" s="131">
        <v>0.92</v>
      </c>
      <c r="AI1582" s="129">
        <v>0.978723404255319</v>
      </c>
      <c r="AJ1582" s="129">
        <v>0.983140655105973</v>
      </c>
      <c r="AK1582" s="129">
        <v>0.988815338963707</v>
      </c>
      <c r="AL1582" s="129">
        <v>0.985032057326042</v>
      </c>
      <c r="AM1582" s="128">
        <v>0.99</v>
      </c>
      <c r="AN1582" s="133">
        <v>1</v>
      </c>
      <c r="AO1582" s="133">
        <v>1</v>
      </c>
      <c r="AP1582" s="133">
        <v>1</v>
      </c>
      <c r="AQ1582" s="133">
        <v>1</v>
      </c>
      <c r="AR1582" s="153">
        <v>0.110069253262963</v>
      </c>
      <c r="AS1582" s="137">
        <v>0.111111111111111</v>
      </c>
      <c r="AT1582" s="137">
        <v>0.1875</v>
      </c>
      <c r="AU1582" s="137">
        <v>0</v>
      </c>
      <c r="AV1582" s="137">
        <v>0.0875</v>
      </c>
      <c r="AW1582" s="93"/>
      <c r="AX1582" s="91"/>
    </row>
    <row r="1583" ht="14.5" spans="1:50">
      <c r="A1583" s="89"/>
      <c r="B1583" s="93"/>
      <c r="C1583" s="148" t="s">
        <v>1449</v>
      </c>
      <c r="D1583" s="126" t="s">
        <v>1450</v>
      </c>
      <c r="E1583" s="164" t="s">
        <v>1609</v>
      </c>
      <c r="F1583" s="164" t="s">
        <v>1609</v>
      </c>
      <c r="G1583" s="164" t="s">
        <v>1609</v>
      </c>
      <c r="H1583" s="164" t="s">
        <v>1609</v>
      </c>
      <c r="I1583" s="128">
        <v>0.9</v>
      </c>
      <c r="J1583" s="129">
        <v>0.884615384615385</v>
      </c>
      <c r="K1583" s="129">
        <v>0.84</v>
      </c>
      <c r="L1583" s="130">
        <v>0.92</v>
      </c>
      <c r="M1583" s="129">
        <v>0.917293233082707</v>
      </c>
      <c r="N1583" s="131">
        <v>0.9</v>
      </c>
      <c r="O1583" s="129">
        <v>0.988511029411765</v>
      </c>
      <c r="P1583" s="129">
        <v>0.995149911816579</v>
      </c>
      <c r="Q1583" s="129">
        <v>0.989400921658986</v>
      </c>
      <c r="R1583" s="129">
        <v>0.985768922885351</v>
      </c>
      <c r="S1583" s="131">
        <v>0.9</v>
      </c>
      <c r="T1583" s="129">
        <v>0.639705882352941</v>
      </c>
      <c r="U1583" s="129">
        <v>0.727954144620811</v>
      </c>
      <c r="V1583" s="129">
        <v>0.671428571428571</v>
      </c>
      <c r="W1583" s="129">
        <v>0.694343146846927</v>
      </c>
      <c r="X1583" s="131">
        <v>0.92</v>
      </c>
      <c r="Y1583" s="131" t="s">
        <v>33</v>
      </c>
      <c r="Z1583" s="131" t="s">
        <v>33</v>
      </c>
      <c r="AA1583" s="131" t="s">
        <v>33</v>
      </c>
      <c r="AB1583" s="131" t="s">
        <v>33</v>
      </c>
      <c r="AC1583" s="131">
        <v>0.92</v>
      </c>
      <c r="AD1583" s="129">
        <v>1</v>
      </c>
      <c r="AE1583" s="129">
        <v>1</v>
      </c>
      <c r="AF1583" s="129">
        <v>1</v>
      </c>
      <c r="AG1583" s="129">
        <v>0.986486486486487</v>
      </c>
      <c r="AH1583" s="131">
        <v>0.92</v>
      </c>
      <c r="AI1583" s="129">
        <v>0.744485294117647</v>
      </c>
      <c r="AJ1583" s="129">
        <v>0.807760141093474</v>
      </c>
      <c r="AK1583" s="129">
        <v>0.821198156682028</v>
      </c>
      <c r="AL1583" s="129">
        <v>0.805834741617006</v>
      </c>
      <c r="AM1583" s="128">
        <v>0.99</v>
      </c>
      <c r="AN1583" s="133">
        <v>1</v>
      </c>
      <c r="AO1583" s="133">
        <v>1</v>
      </c>
      <c r="AP1583" s="133">
        <v>1</v>
      </c>
      <c r="AQ1583" s="133">
        <v>1</v>
      </c>
      <c r="AR1583" s="153">
        <v>0.110069253262963</v>
      </c>
      <c r="AS1583" s="137">
        <v>0.0588235294117647</v>
      </c>
      <c r="AT1583" s="137">
        <v>0.1</v>
      </c>
      <c r="AU1583" s="137">
        <v>0.0769230769230769</v>
      </c>
      <c r="AV1583" s="137">
        <v>0.109848484848485</v>
      </c>
      <c r="AW1583" s="93"/>
      <c r="AX1583" s="91"/>
    </row>
    <row r="1584" ht="14.5" spans="1:50">
      <c r="A1584" s="89"/>
      <c r="B1584" s="93"/>
      <c r="C1584" s="148" t="s">
        <v>1449</v>
      </c>
      <c r="D1584" s="126" t="s">
        <v>1450</v>
      </c>
      <c r="E1584" s="164" t="s">
        <v>1610</v>
      </c>
      <c r="F1584" s="164" t="s">
        <v>1610</v>
      </c>
      <c r="G1584" s="164" t="s">
        <v>1610</v>
      </c>
      <c r="H1584" s="164" t="s">
        <v>1610</v>
      </c>
      <c r="I1584" s="128">
        <v>0.9</v>
      </c>
      <c r="J1584" s="129">
        <v>1</v>
      </c>
      <c r="K1584" s="129">
        <v>0.956521739130435</v>
      </c>
      <c r="L1584" s="130">
        <v>1</v>
      </c>
      <c r="M1584" s="129">
        <v>0.993288590604027</v>
      </c>
      <c r="N1584" s="131">
        <v>0.9</v>
      </c>
      <c r="O1584" s="129">
        <v>0.952095808383233</v>
      </c>
      <c r="P1584" s="129">
        <v>0.97037037037037</v>
      </c>
      <c r="Q1584" s="129">
        <v>0.97480755773268</v>
      </c>
      <c r="R1584" s="129">
        <v>0.967399914691366</v>
      </c>
      <c r="S1584" s="131">
        <v>0.9</v>
      </c>
      <c r="T1584" s="129">
        <v>0.82934131736527</v>
      </c>
      <c r="U1584" s="129">
        <v>0.792592592592593</v>
      </c>
      <c r="V1584" s="129">
        <v>0.789363191042687</v>
      </c>
      <c r="W1584" s="129">
        <v>0.775272682956553</v>
      </c>
      <c r="X1584" s="131">
        <v>0.92</v>
      </c>
      <c r="Y1584" s="131">
        <v>0.891959798994975</v>
      </c>
      <c r="Z1584" s="131">
        <v>0.8887171561051</v>
      </c>
      <c r="AA1584" s="131">
        <v>0.912785774767147</v>
      </c>
      <c r="AB1584" s="131">
        <v>0.873852865954566</v>
      </c>
      <c r="AC1584" s="131">
        <v>0.92</v>
      </c>
      <c r="AD1584" s="129">
        <v>0.987341772151899</v>
      </c>
      <c r="AE1584" s="129">
        <v>0.972602739726027</v>
      </c>
      <c r="AF1584" s="129">
        <v>0.978260869565217</v>
      </c>
      <c r="AG1584" s="129">
        <v>0.919893190921228</v>
      </c>
      <c r="AH1584" s="131">
        <v>0.92</v>
      </c>
      <c r="AI1584" s="129">
        <v>0.930581613508443</v>
      </c>
      <c r="AJ1584" s="129">
        <v>0.923816060398078</v>
      </c>
      <c r="AK1584" s="129">
        <v>0.94367816091954</v>
      </c>
      <c r="AL1584" s="129">
        <v>0.908910357828121</v>
      </c>
      <c r="AM1584" s="128">
        <v>0.99</v>
      </c>
      <c r="AN1584" s="133">
        <v>1</v>
      </c>
      <c r="AO1584" s="133">
        <v>1</v>
      </c>
      <c r="AP1584" s="133">
        <v>1</v>
      </c>
      <c r="AQ1584" s="133">
        <v>1</v>
      </c>
      <c r="AR1584" s="153">
        <v>0.110069253262963</v>
      </c>
      <c r="AS1584" s="137">
        <v>0.1</v>
      </c>
      <c r="AT1584" s="137">
        <v>0</v>
      </c>
      <c r="AU1584" s="137">
        <v>0.285714285714286</v>
      </c>
      <c r="AV1584" s="137">
        <v>0.0608695652173913</v>
      </c>
      <c r="AW1584" s="93"/>
      <c r="AX1584" s="91"/>
    </row>
    <row r="1585" ht="14.5" spans="1:50">
      <c r="A1585" s="89"/>
      <c r="B1585" s="93"/>
      <c r="C1585" s="148" t="s">
        <v>1449</v>
      </c>
      <c r="D1585" s="126" t="s">
        <v>1450</v>
      </c>
      <c r="E1585" s="164" t="s">
        <v>1611</v>
      </c>
      <c r="F1585" s="164" t="s">
        <v>1611</v>
      </c>
      <c r="G1585" s="164" t="s">
        <v>1611</v>
      </c>
      <c r="H1585" s="164" t="s">
        <v>1611</v>
      </c>
      <c r="I1585" s="128">
        <v>0.9</v>
      </c>
      <c r="J1585" s="129">
        <v>0.64</v>
      </c>
      <c r="K1585" s="129">
        <v>0.565217391304348</v>
      </c>
      <c r="L1585" s="130">
        <v>0.565217391304348</v>
      </c>
      <c r="M1585" s="129">
        <v>0.653721682847896</v>
      </c>
      <c r="N1585" s="131">
        <v>0.9</v>
      </c>
      <c r="O1585" s="129" t="s">
        <v>33</v>
      </c>
      <c r="P1585" s="129" t="s">
        <v>33</v>
      </c>
      <c r="Q1585" s="129">
        <v>0</v>
      </c>
      <c r="R1585" s="129">
        <v>0</v>
      </c>
      <c r="S1585" s="131">
        <v>0.9</v>
      </c>
      <c r="T1585" s="129" t="s">
        <v>33</v>
      </c>
      <c r="U1585" s="129" t="s">
        <v>33</v>
      </c>
      <c r="V1585" s="129">
        <v>0</v>
      </c>
      <c r="W1585" s="129">
        <v>0</v>
      </c>
      <c r="X1585" s="131">
        <v>0.92</v>
      </c>
      <c r="Y1585" s="131" t="s">
        <v>33</v>
      </c>
      <c r="Z1585" s="131" t="s">
        <v>33</v>
      </c>
      <c r="AA1585" s="131" t="s">
        <v>33</v>
      </c>
      <c r="AB1585" s="131" t="s">
        <v>33</v>
      </c>
      <c r="AC1585" s="131">
        <v>0.92</v>
      </c>
      <c r="AD1585" s="129">
        <v>0</v>
      </c>
      <c r="AE1585" s="129">
        <v>0</v>
      </c>
      <c r="AF1585" s="129">
        <v>0</v>
      </c>
      <c r="AG1585" s="129">
        <v>0.0789473684210526</v>
      </c>
      <c r="AH1585" s="131">
        <v>0.92</v>
      </c>
      <c r="AI1585" s="129">
        <v>0.837627613028682</v>
      </c>
      <c r="AJ1585" s="129">
        <v>0.860689655172414</v>
      </c>
      <c r="AK1585" s="129">
        <v>0.894971613949716</v>
      </c>
      <c r="AL1585" s="129">
        <v>0.907286692962425</v>
      </c>
      <c r="AM1585" s="128">
        <v>0.99</v>
      </c>
      <c r="AN1585" s="133">
        <v>1</v>
      </c>
      <c r="AO1585" s="133">
        <v>1</v>
      </c>
      <c r="AP1585" s="133">
        <v>1</v>
      </c>
      <c r="AQ1585" s="133">
        <v>1</v>
      </c>
      <c r="AR1585" s="153">
        <v>0.110069253262963</v>
      </c>
      <c r="AS1585" s="137">
        <v>0.0714285714285714</v>
      </c>
      <c r="AT1585" s="137">
        <v>0.0952380952380952</v>
      </c>
      <c r="AU1585" s="137">
        <v>0.0909090909090909</v>
      </c>
      <c r="AV1585" s="137">
        <v>0.170542635658915</v>
      </c>
      <c r="AW1585" s="93"/>
      <c r="AX1585" s="91"/>
    </row>
    <row r="1586" ht="14.5" spans="1:50">
      <c r="A1586" s="89"/>
      <c r="B1586" s="93"/>
      <c r="C1586" s="148" t="s">
        <v>1449</v>
      </c>
      <c r="D1586" s="126" t="s">
        <v>1450</v>
      </c>
      <c r="E1586" s="164" t="s">
        <v>1612</v>
      </c>
      <c r="F1586" s="164" t="s">
        <v>1612</v>
      </c>
      <c r="G1586" s="164" t="s">
        <v>1612</v>
      </c>
      <c r="H1586" s="164" t="s">
        <v>1612</v>
      </c>
      <c r="I1586" s="128">
        <v>0.9</v>
      </c>
      <c r="J1586" s="129">
        <v>1</v>
      </c>
      <c r="K1586" s="129">
        <v>1</v>
      </c>
      <c r="L1586" s="130">
        <v>1</v>
      </c>
      <c r="M1586" s="129">
        <v>0.975369458128079</v>
      </c>
      <c r="N1586" s="131">
        <v>0.9</v>
      </c>
      <c r="O1586" s="129">
        <v>0.998041775456919</v>
      </c>
      <c r="P1586" s="129">
        <v>0.999381570810142</v>
      </c>
      <c r="Q1586" s="129">
        <v>0.997945557267591</v>
      </c>
      <c r="R1586" s="129">
        <v>0.995536553279459</v>
      </c>
      <c r="S1586" s="131">
        <v>0.9</v>
      </c>
      <c r="T1586" s="129">
        <v>0.836161879895561</v>
      </c>
      <c r="U1586" s="129">
        <v>0.959802102659245</v>
      </c>
      <c r="V1586" s="129">
        <v>0.956343091936312</v>
      </c>
      <c r="W1586" s="129">
        <v>0.926752490133434</v>
      </c>
      <c r="X1586" s="131">
        <v>0.92</v>
      </c>
      <c r="Y1586" s="131" t="s">
        <v>33</v>
      </c>
      <c r="Z1586" s="131" t="s">
        <v>33</v>
      </c>
      <c r="AA1586" s="131" t="s">
        <v>33</v>
      </c>
      <c r="AB1586" s="131" t="s">
        <v>33</v>
      </c>
      <c r="AC1586" s="131">
        <v>0.92</v>
      </c>
      <c r="AD1586" s="129">
        <v>0.306451612903226</v>
      </c>
      <c r="AE1586" s="129">
        <v>0.345679012345679</v>
      </c>
      <c r="AF1586" s="129">
        <v>0.428571428571429</v>
      </c>
      <c r="AG1586" s="129">
        <v>0.339477726574501</v>
      </c>
      <c r="AH1586" s="131">
        <v>0.92</v>
      </c>
      <c r="AI1586" s="129">
        <v>0.956919060052219</v>
      </c>
      <c r="AJ1586" s="129">
        <v>0.985776128633271</v>
      </c>
      <c r="AK1586" s="129">
        <v>0.993323061119671</v>
      </c>
      <c r="AL1586" s="129">
        <v>0.982522903453136</v>
      </c>
      <c r="AM1586" s="128">
        <v>0.99</v>
      </c>
      <c r="AN1586" s="133">
        <v>1</v>
      </c>
      <c r="AO1586" s="133">
        <v>1</v>
      </c>
      <c r="AP1586" s="133">
        <v>1</v>
      </c>
      <c r="AQ1586" s="133">
        <v>1</v>
      </c>
      <c r="AR1586" s="153">
        <v>0.110069253262963</v>
      </c>
      <c r="AS1586" s="137">
        <v>0</v>
      </c>
      <c r="AT1586" s="137">
        <v>0.111111111111111</v>
      </c>
      <c r="AU1586" s="137">
        <v>0.111111111111111</v>
      </c>
      <c r="AV1586" s="137">
        <v>0.0384615384615385</v>
      </c>
      <c r="AW1586" s="93"/>
      <c r="AX1586" s="91"/>
    </row>
    <row r="1587" ht="14.5" spans="1:50">
      <c r="A1587" s="89"/>
      <c r="B1587" s="93"/>
      <c r="C1587" s="148" t="s">
        <v>1449</v>
      </c>
      <c r="D1587" s="126" t="s">
        <v>1450</v>
      </c>
      <c r="E1587" s="164" t="s">
        <v>1613</v>
      </c>
      <c r="F1587" s="164" t="s">
        <v>1613</v>
      </c>
      <c r="G1587" s="164" t="s">
        <v>1613</v>
      </c>
      <c r="H1587" s="164" t="s">
        <v>1613</v>
      </c>
      <c r="I1587" s="128">
        <v>0.9</v>
      </c>
      <c r="J1587" s="129">
        <v>0.461538461538462</v>
      </c>
      <c r="K1587" s="129">
        <v>0.416666666666667</v>
      </c>
      <c r="L1587" s="130">
        <v>0.5</v>
      </c>
      <c r="M1587" s="129">
        <v>0.413092550790068</v>
      </c>
      <c r="N1587" s="131">
        <v>0.9</v>
      </c>
      <c r="O1587" s="129">
        <v>0.944867311252829</v>
      </c>
      <c r="P1587" s="129">
        <v>0.964725881852954</v>
      </c>
      <c r="Q1587" s="129">
        <v>0.956378441256301</v>
      </c>
      <c r="R1587" s="129">
        <v>0.971928900058777</v>
      </c>
      <c r="S1587" s="131">
        <v>0.9</v>
      </c>
      <c r="T1587" s="129">
        <v>0.828430364122609</v>
      </c>
      <c r="U1587" s="129">
        <v>0.825541861453464</v>
      </c>
      <c r="V1587" s="129">
        <v>0.822605661108957</v>
      </c>
      <c r="W1587" s="129">
        <v>0.884432193599384</v>
      </c>
      <c r="X1587" s="131">
        <v>0.92</v>
      </c>
      <c r="Y1587" s="131" t="s">
        <v>33</v>
      </c>
      <c r="Z1587" s="131" t="s">
        <v>33</v>
      </c>
      <c r="AA1587" s="131" t="s">
        <v>33</v>
      </c>
      <c r="AB1587" s="131">
        <v>0</v>
      </c>
      <c r="AC1587" s="131">
        <v>0.92</v>
      </c>
      <c r="AD1587" s="129">
        <v>0.883116883116883</v>
      </c>
      <c r="AE1587" s="129">
        <v>0.975903614457831</v>
      </c>
      <c r="AF1587" s="129">
        <v>1</v>
      </c>
      <c r="AG1587" s="129">
        <v>0.952688172043011</v>
      </c>
      <c r="AH1587" s="131">
        <v>0.92</v>
      </c>
      <c r="AI1587" s="129">
        <v>0.917506685867105</v>
      </c>
      <c r="AJ1587" s="129">
        <v>0.927539311517212</v>
      </c>
      <c r="AK1587" s="129">
        <v>0.934276851492827</v>
      </c>
      <c r="AL1587" s="129">
        <v>0.957135039824892</v>
      </c>
      <c r="AM1587" s="128">
        <v>0.99</v>
      </c>
      <c r="AN1587" s="133">
        <v>1</v>
      </c>
      <c r="AO1587" s="133">
        <v>1</v>
      </c>
      <c r="AP1587" s="133">
        <v>1</v>
      </c>
      <c r="AQ1587" s="133">
        <v>1</v>
      </c>
      <c r="AR1587" s="153">
        <v>0.110069253262963</v>
      </c>
      <c r="AS1587" s="137">
        <v>0.421052631578947</v>
      </c>
      <c r="AT1587" s="137">
        <v>0.192307692307692</v>
      </c>
      <c r="AU1587" s="137">
        <v>0.125</v>
      </c>
      <c r="AV1587" s="137">
        <v>0.135483870967742</v>
      </c>
      <c r="AW1587" s="93"/>
      <c r="AX1587" s="91"/>
    </row>
    <row r="1588" ht="14.5" spans="1:50">
      <c r="A1588" s="89"/>
      <c r="B1588" s="93"/>
      <c r="C1588" s="148" t="s">
        <v>1449</v>
      </c>
      <c r="D1588" s="126" t="s">
        <v>1450</v>
      </c>
      <c r="E1588" s="164" t="s">
        <v>1614</v>
      </c>
      <c r="F1588" s="164" t="s">
        <v>1614</v>
      </c>
      <c r="G1588" s="164" t="s">
        <v>1614</v>
      </c>
      <c r="H1588" s="164" t="s">
        <v>1614</v>
      </c>
      <c r="I1588" s="128">
        <v>0.9</v>
      </c>
      <c r="J1588" s="129">
        <v>0.8</v>
      </c>
      <c r="K1588" s="129">
        <v>0.789473684210526</v>
      </c>
      <c r="L1588" s="130">
        <v>0.842105263157895</v>
      </c>
      <c r="M1588" s="129">
        <v>0.751054852320675</v>
      </c>
      <c r="N1588" s="131">
        <v>0.9</v>
      </c>
      <c r="O1588" s="129" t="s">
        <v>33</v>
      </c>
      <c r="P1588" s="129" t="s">
        <v>33</v>
      </c>
      <c r="Q1588" s="129" t="s">
        <v>33</v>
      </c>
      <c r="R1588" s="129" t="s">
        <v>33</v>
      </c>
      <c r="S1588" s="131">
        <v>0.9</v>
      </c>
      <c r="T1588" s="129" t="s">
        <v>33</v>
      </c>
      <c r="U1588" s="129" t="s">
        <v>33</v>
      </c>
      <c r="V1588" s="129" t="s">
        <v>33</v>
      </c>
      <c r="W1588" s="129" t="s">
        <v>33</v>
      </c>
      <c r="X1588" s="131">
        <v>0.92</v>
      </c>
      <c r="Y1588" s="131" t="s">
        <v>33</v>
      </c>
      <c r="Z1588" s="131" t="s">
        <v>33</v>
      </c>
      <c r="AA1588" s="131" t="s">
        <v>33</v>
      </c>
      <c r="AB1588" s="131" t="s">
        <v>33</v>
      </c>
      <c r="AC1588" s="131">
        <v>0.92</v>
      </c>
      <c r="AD1588" s="129">
        <v>0.0714285714285714</v>
      </c>
      <c r="AE1588" s="129">
        <v>0.0714285714285714</v>
      </c>
      <c r="AF1588" s="129">
        <v>0</v>
      </c>
      <c r="AG1588" s="129">
        <v>0.191176470588235</v>
      </c>
      <c r="AH1588" s="131">
        <v>0.92</v>
      </c>
      <c r="AI1588" s="129">
        <v>0.94536141149687</v>
      </c>
      <c r="AJ1588" s="129">
        <v>0.959121103730199</v>
      </c>
      <c r="AK1588" s="129">
        <v>0.94811320754717</v>
      </c>
      <c r="AL1588" s="129">
        <v>0.968297334914171</v>
      </c>
      <c r="AM1588" s="128">
        <v>0.99</v>
      </c>
      <c r="AN1588" s="133">
        <v>1</v>
      </c>
      <c r="AO1588" s="133">
        <v>1</v>
      </c>
      <c r="AP1588" s="133">
        <v>1</v>
      </c>
      <c r="AQ1588" s="133">
        <v>1</v>
      </c>
      <c r="AR1588" s="153">
        <v>0.110069253262963</v>
      </c>
      <c r="AS1588" s="137">
        <v>0</v>
      </c>
      <c r="AT1588" s="137">
        <v>0</v>
      </c>
      <c r="AU1588" s="137">
        <v>0.1875</v>
      </c>
      <c r="AV1588" s="137">
        <v>0.0630630630630631</v>
      </c>
      <c r="AW1588" s="93"/>
      <c r="AX1588" s="91"/>
    </row>
    <row r="1589" ht="14.5" spans="1:50">
      <c r="A1589" s="89"/>
      <c r="B1589" s="93"/>
      <c r="C1589" s="148" t="s">
        <v>1449</v>
      </c>
      <c r="D1589" s="126" t="s">
        <v>1450</v>
      </c>
      <c r="E1589" s="164" t="s">
        <v>1615</v>
      </c>
      <c r="F1589" s="164" t="s">
        <v>1615</v>
      </c>
      <c r="G1589" s="164" t="s">
        <v>1615</v>
      </c>
      <c r="H1589" s="164" t="s">
        <v>1615</v>
      </c>
      <c r="I1589" s="128">
        <v>0.9</v>
      </c>
      <c r="J1589" s="129">
        <v>0.653846153846154</v>
      </c>
      <c r="K1589" s="129">
        <v>0.526315789473684</v>
      </c>
      <c r="L1589" s="130">
        <v>0.722222222222222</v>
      </c>
      <c r="M1589" s="129">
        <v>0.65702479338843</v>
      </c>
      <c r="N1589" s="131">
        <v>0.9</v>
      </c>
      <c r="O1589" s="129" t="s">
        <v>33</v>
      </c>
      <c r="P1589" s="129" t="s">
        <v>33</v>
      </c>
      <c r="Q1589" s="129">
        <v>0</v>
      </c>
      <c r="R1589" s="129">
        <v>0</v>
      </c>
      <c r="S1589" s="131">
        <v>0.9</v>
      </c>
      <c r="T1589" s="129" t="s">
        <v>33</v>
      </c>
      <c r="U1589" s="129" t="s">
        <v>33</v>
      </c>
      <c r="V1589" s="129">
        <v>0</v>
      </c>
      <c r="W1589" s="129">
        <v>0</v>
      </c>
      <c r="X1589" s="131">
        <v>0.92</v>
      </c>
      <c r="Y1589" s="131" t="s">
        <v>33</v>
      </c>
      <c r="Z1589" s="131" t="s">
        <v>33</v>
      </c>
      <c r="AA1589" s="131" t="s">
        <v>33</v>
      </c>
      <c r="AB1589" s="131" t="s">
        <v>33</v>
      </c>
      <c r="AC1589" s="131">
        <v>0.92</v>
      </c>
      <c r="AD1589" s="129">
        <v>0.958333333333333</v>
      </c>
      <c r="AE1589" s="129">
        <v>1</v>
      </c>
      <c r="AF1589" s="129">
        <v>0.2</v>
      </c>
      <c r="AG1589" s="129">
        <v>0.293650793650794</v>
      </c>
      <c r="AH1589" s="131">
        <v>0.92</v>
      </c>
      <c r="AI1589" s="129">
        <v>0.641795665634675</v>
      </c>
      <c r="AJ1589" s="129">
        <v>0.708079577750711</v>
      </c>
      <c r="AK1589" s="129">
        <v>0.639287098024022</v>
      </c>
      <c r="AL1589" s="129">
        <v>0.717600355908422</v>
      </c>
      <c r="AM1589" s="128">
        <v>0.99</v>
      </c>
      <c r="AN1589" s="133">
        <v>1</v>
      </c>
      <c r="AO1589" s="133" t="s">
        <v>33</v>
      </c>
      <c r="AP1589" s="133">
        <v>1</v>
      </c>
      <c r="AQ1589" s="133">
        <v>1</v>
      </c>
      <c r="AR1589" s="153">
        <v>0.110069253262963</v>
      </c>
      <c r="AS1589" s="137">
        <v>0.217391304347826</v>
      </c>
      <c r="AT1589" s="137">
        <v>0.0967741935483871</v>
      </c>
      <c r="AU1589" s="137">
        <v>0.1</v>
      </c>
      <c r="AV1589" s="137">
        <v>0.0936170212765957</v>
      </c>
      <c r="AW1589" s="93"/>
      <c r="AX1589" s="91"/>
    </row>
    <row r="1590" ht="14.5" spans="1:50">
      <c r="A1590" s="89"/>
      <c r="B1590" s="93"/>
      <c r="C1590" s="148" t="s">
        <v>1449</v>
      </c>
      <c r="D1590" s="126" t="s">
        <v>1450</v>
      </c>
      <c r="E1590" s="164" t="s">
        <v>1616</v>
      </c>
      <c r="F1590" s="164" t="s">
        <v>1616</v>
      </c>
      <c r="G1590" s="164" t="s">
        <v>1616</v>
      </c>
      <c r="H1590" s="164" t="s">
        <v>1616</v>
      </c>
      <c r="I1590" s="128">
        <v>0.9</v>
      </c>
      <c r="J1590" s="129">
        <v>1</v>
      </c>
      <c r="K1590" s="129">
        <v>1</v>
      </c>
      <c r="L1590" s="130">
        <v>1</v>
      </c>
      <c r="M1590" s="129">
        <v>0.99746835443038</v>
      </c>
      <c r="N1590" s="131">
        <v>0.9</v>
      </c>
      <c r="O1590" s="129">
        <v>0.995394969890188</v>
      </c>
      <c r="P1590" s="129">
        <v>0.998069498069498</v>
      </c>
      <c r="Q1590" s="129">
        <v>0.996902281047592</v>
      </c>
      <c r="R1590" s="129">
        <v>0.995743939469361</v>
      </c>
      <c r="S1590" s="131">
        <v>0.9</v>
      </c>
      <c r="T1590" s="129">
        <v>0.931987247608927</v>
      </c>
      <c r="U1590" s="129">
        <v>0.951093951093951</v>
      </c>
      <c r="V1590" s="129">
        <v>0.900028161081386</v>
      </c>
      <c r="W1590" s="129">
        <v>0.923390910448504</v>
      </c>
      <c r="X1590" s="131">
        <v>0.92</v>
      </c>
      <c r="Y1590" s="131" t="s">
        <v>33</v>
      </c>
      <c r="Z1590" s="131" t="s">
        <v>33</v>
      </c>
      <c r="AA1590" s="131" t="s">
        <v>33</v>
      </c>
      <c r="AB1590" s="131" t="s">
        <v>33</v>
      </c>
      <c r="AC1590" s="131">
        <v>0.92</v>
      </c>
      <c r="AD1590" s="129">
        <v>0.974828375286041</v>
      </c>
      <c r="AE1590" s="129">
        <v>0.993814432989691</v>
      </c>
      <c r="AF1590" s="129">
        <v>0.995959595959596</v>
      </c>
      <c r="AG1590" s="129">
        <v>0.994224562595549</v>
      </c>
      <c r="AH1590" s="131">
        <v>0.92</v>
      </c>
      <c r="AI1590" s="129">
        <v>0.964576691462983</v>
      </c>
      <c r="AJ1590" s="129">
        <v>0.976833976833977</v>
      </c>
      <c r="AK1590" s="129">
        <v>0.975499859194593</v>
      </c>
      <c r="AL1590" s="129">
        <v>0.977101896560307</v>
      </c>
      <c r="AM1590" s="128">
        <v>0.99</v>
      </c>
      <c r="AN1590" s="133">
        <v>1</v>
      </c>
      <c r="AO1590" s="133">
        <v>1</v>
      </c>
      <c r="AP1590" s="133">
        <v>1</v>
      </c>
      <c r="AQ1590" s="133">
        <v>1</v>
      </c>
      <c r="AR1590" s="153">
        <v>0.110069253262963</v>
      </c>
      <c r="AS1590" s="137">
        <v>0.0625</v>
      </c>
      <c r="AT1590" s="137">
        <v>0.166666666666667</v>
      </c>
      <c r="AU1590" s="137">
        <v>0.111111111111111</v>
      </c>
      <c r="AV1590" s="137">
        <v>0.0863509749303621</v>
      </c>
      <c r="AW1590" s="93"/>
      <c r="AX1590" s="91"/>
    </row>
    <row r="1591" ht="14.5" spans="1:50">
      <c r="A1591" s="89"/>
      <c r="B1591" s="93"/>
      <c r="C1591" s="148" t="s">
        <v>1449</v>
      </c>
      <c r="D1591" s="126" t="s">
        <v>1450</v>
      </c>
      <c r="E1591" s="164" t="s">
        <v>1617</v>
      </c>
      <c r="F1591" s="164" t="s">
        <v>1617</v>
      </c>
      <c r="G1591" s="164" t="s">
        <v>1617</v>
      </c>
      <c r="H1591" s="164" t="s">
        <v>1617</v>
      </c>
      <c r="I1591" s="128">
        <v>0.9</v>
      </c>
      <c r="J1591" s="129">
        <v>1</v>
      </c>
      <c r="K1591" s="129">
        <v>0.958333333333333</v>
      </c>
      <c r="L1591" s="130">
        <v>0.958333333333333</v>
      </c>
      <c r="M1591" s="129">
        <v>0.971119133574007</v>
      </c>
      <c r="N1591" s="131">
        <v>0.9</v>
      </c>
      <c r="O1591" s="129">
        <v>0.984353428439945</v>
      </c>
      <c r="P1591" s="129">
        <v>0.992003367003367</v>
      </c>
      <c r="Q1591" s="129">
        <v>0.978064066852368</v>
      </c>
      <c r="R1591" s="129">
        <v>0.980886898378856</v>
      </c>
      <c r="S1591" s="131">
        <v>0.9</v>
      </c>
      <c r="T1591" s="129">
        <v>0.89139438564197</v>
      </c>
      <c r="U1591" s="129">
        <v>0.922138047138047</v>
      </c>
      <c r="V1591" s="129">
        <v>0.887534818941504</v>
      </c>
      <c r="W1591" s="129">
        <v>0.904655270295843</v>
      </c>
      <c r="X1591" s="131">
        <v>0.92</v>
      </c>
      <c r="Y1591" s="131" t="s">
        <v>33</v>
      </c>
      <c r="Z1591" s="131" t="s">
        <v>33</v>
      </c>
      <c r="AA1591" s="131" t="s">
        <v>33</v>
      </c>
      <c r="AB1591" s="131" t="s">
        <v>33</v>
      </c>
      <c r="AC1591" s="131">
        <v>0.92</v>
      </c>
      <c r="AD1591" s="129">
        <v>1</v>
      </c>
      <c r="AE1591" s="129">
        <v>1</v>
      </c>
      <c r="AF1591" s="129">
        <v>0.683602771362587</v>
      </c>
      <c r="AG1591" s="129">
        <v>0.899400950216897</v>
      </c>
      <c r="AH1591" s="131">
        <v>0.92</v>
      </c>
      <c r="AI1591" s="129">
        <v>0.94201564657156</v>
      </c>
      <c r="AJ1591" s="129">
        <v>0.968013468013468</v>
      </c>
      <c r="AK1591" s="129">
        <v>0.973885793871866</v>
      </c>
      <c r="AL1591" s="129">
        <v>0.966914779536996</v>
      </c>
      <c r="AM1591" s="128">
        <v>0.99</v>
      </c>
      <c r="AN1591" s="133">
        <v>1</v>
      </c>
      <c r="AO1591" s="133">
        <v>1</v>
      </c>
      <c r="AP1591" s="133">
        <v>1</v>
      </c>
      <c r="AQ1591" s="133">
        <v>1</v>
      </c>
      <c r="AR1591" s="153">
        <v>0.110069253262963</v>
      </c>
      <c r="AS1591" s="137">
        <v>0.0645161290322581</v>
      </c>
      <c r="AT1591" s="137">
        <v>0</v>
      </c>
      <c r="AU1591" s="137">
        <v>0.0714285714285714</v>
      </c>
      <c r="AV1591" s="137">
        <v>0.0586206896551724</v>
      </c>
      <c r="AW1591" s="93"/>
      <c r="AX1591" s="91"/>
    </row>
    <row r="1592" ht="14.5" spans="1:50">
      <c r="A1592" s="89"/>
      <c r="B1592" s="93"/>
      <c r="C1592" s="148" t="s">
        <v>1449</v>
      </c>
      <c r="D1592" s="126" t="s">
        <v>1450</v>
      </c>
      <c r="E1592" s="164" t="s">
        <v>1618</v>
      </c>
      <c r="F1592" s="164" t="s">
        <v>1618</v>
      </c>
      <c r="G1592" s="164" t="s">
        <v>1618</v>
      </c>
      <c r="H1592" s="164" t="s">
        <v>1618</v>
      </c>
      <c r="I1592" s="128">
        <v>0.9</v>
      </c>
      <c r="J1592" s="129">
        <v>0.98</v>
      </c>
      <c r="K1592" s="129">
        <v>0.980769230769231</v>
      </c>
      <c r="L1592" s="130">
        <v>1</v>
      </c>
      <c r="M1592" s="129">
        <v>0.984402079722704</v>
      </c>
      <c r="N1592" s="131">
        <v>0.9</v>
      </c>
      <c r="O1592" s="129">
        <v>0.982693119459688</v>
      </c>
      <c r="P1592" s="129">
        <v>0.967311541027352</v>
      </c>
      <c r="Q1592" s="129">
        <v>0.97107597377555</v>
      </c>
      <c r="R1592" s="129">
        <v>0.971530366509418</v>
      </c>
      <c r="S1592" s="131">
        <v>0.9</v>
      </c>
      <c r="T1592" s="129">
        <v>0.799493457154918</v>
      </c>
      <c r="U1592" s="129">
        <v>0.809539693128753</v>
      </c>
      <c r="V1592" s="129">
        <v>0.741612032394909</v>
      </c>
      <c r="W1592" s="129">
        <v>0.763401840794379</v>
      </c>
      <c r="X1592" s="131">
        <v>0.92</v>
      </c>
      <c r="Y1592" s="131">
        <v>0.920739762219287</v>
      </c>
      <c r="Z1592" s="131">
        <v>0.92001767565179</v>
      </c>
      <c r="AA1592" s="131">
        <v>0.88968824940048</v>
      </c>
      <c r="AB1592" s="131">
        <v>0.906749184578071</v>
      </c>
      <c r="AC1592" s="131">
        <v>0.92</v>
      </c>
      <c r="AD1592" s="129">
        <v>0.993670886075949</v>
      </c>
      <c r="AE1592" s="129">
        <v>0.662971175166297</v>
      </c>
      <c r="AF1592" s="129">
        <v>1</v>
      </c>
      <c r="AG1592" s="129">
        <v>0.92</v>
      </c>
      <c r="AH1592" s="131">
        <v>0.92</v>
      </c>
      <c r="AI1592" s="129">
        <v>0.937419520988926</v>
      </c>
      <c r="AJ1592" s="129">
        <v>0.949439270100741</v>
      </c>
      <c r="AK1592" s="129">
        <v>0.920478837109876</v>
      </c>
      <c r="AL1592" s="129">
        <v>0.930537884235954</v>
      </c>
      <c r="AM1592" s="128">
        <v>0.99</v>
      </c>
      <c r="AN1592" s="133">
        <v>1</v>
      </c>
      <c r="AO1592" s="133">
        <v>1</v>
      </c>
      <c r="AP1592" s="133">
        <v>1</v>
      </c>
      <c r="AQ1592" s="133">
        <v>1</v>
      </c>
      <c r="AR1592" s="153">
        <v>0.110069253262963</v>
      </c>
      <c r="AS1592" s="137">
        <v>0.272727272727273</v>
      </c>
      <c r="AT1592" s="137">
        <v>0.0909090909090909</v>
      </c>
      <c r="AU1592" s="137">
        <v>0.0526315789473684</v>
      </c>
      <c r="AV1592" s="137">
        <v>0.0900900900900901</v>
      </c>
      <c r="AW1592" s="93"/>
      <c r="AX1592" s="91"/>
    </row>
    <row r="1593" ht="14.5" spans="1:50">
      <c r="A1593" s="89"/>
      <c r="B1593" s="93"/>
      <c r="C1593" s="148" t="s">
        <v>1449</v>
      </c>
      <c r="D1593" s="126" t="s">
        <v>1450</v>
      </c>
      <c r="E1593" s="164" t="s">
        <v>1619</v>
      </c>
      <c r="F1593" s="164" t="s">
        <v>1619</v>
      </c>
      <c r="G1593" s="164" t="s">
        <v>1619</v>
      </c>
      <c r="H1593" s="164" t="s">
        <v>1619</v>
      </c>
      <c r="I1593" s="128">
        <v>0.9</v>
      </c>
      <c r="J1593" s="129">
        <v>1</v>
      </c>
      <c r="K1593" s="129">
        <v>0.956521739130435</v>
      </c>
      <c r="L1593" s="130">
        <v>1</v>
      </c>
      <c r="M1593" s="129">
        <v>0.97923875432526</v>
      </c>
      <c r="N1593" s="131">
        <v>0.9</v>
      </c>
      <c r="O1593" s="129">
        <v>0.944875107665805</v>
      </c>
      <c r="P1593" s="129">
        <v>0.951497860199715</v>
      </c>
      <c r="Q1593" s="129">
        <v>0.946637426900585</v>
      </c>
      <c r="R1593" s="129">
        <v>0.95485312899106</v>
      </c>
      <c r="S1593" s="131">
        <v>0.9</v>
      </c>
      <c r="T1593" s="129">
        <v>0.69250645994832</v>
      </c>
      <c r="U1593" s="129">
        <v>0.721825962910128</v>
      </c>
      <c r="V1593" s="129">
        <v>0.728801169590643</v>
      </c>
      <c r="W1593" s="129">
        <v>0.717560664112388</v>
      </c>
      <c r="X1593" s="131">
        <v>0.92</v>
      </c>
      <c r="Y1593" s="131">
        <v>0.863070539419087</v>
      </c>
      <c r="Z1593" s="131">
        <v>0.875435540069686</v>
      </c>
      <c r="AA1593" s="131">
        <v>0.923623445825932</v>
      </c>
      <c r="AB1593" s="131">
        <v>0.884393063583815</v>
      </c>
      <c r="AC1593" s="131">
        <v>0.92</v>
      </c>
      <c r="AD1593" s="129">
        <v>1</v>
      </c>
      <c r="AE1593" s="129">
        <v>1</v>
      </c>
      <c r="AF1593" s="129">
        <v>1</v>
      </c>
      <c r="AG1593" s="129">
        <v>0.932735426008969</v>
      </c>
      <c r="AH1593" s="131">
        <v>0.92</v>
      </c>
      <c r="AI1593" s="129">
        <v>0.894373673036093</v>
      </c>
      <c r="AJ1593" s="129">
        <v>0.907450980392157</v>
      </c>
      <c r="AK1593" s="129">
        <v>0.94065757818765</v>
      </c>
      <c r="AL1593" s="129">
        <v>0.91379803907536</v>
      </c>
      <c r="AM1593" s="128">
        <v>0.99</v>
      </c>
      <c r="AN1593" s="133">
        <v>1</v>
      </c>
      <c r="AO1593" s="133">
        <v>1</v>
      </c>
      <c r="AP1593" s="133">
        <v>1</v>
      </c>
      <c r="AQ1593" s="133">
        <v>1</v>
      </c>
      <c r="AR1593" s="153">
        <v>0.110069253262963</v>
      </c>
      <c r="AS1593" s="137">
        <v>0.25</v>
      </c>
      <c r="AT1593" s="137">
        <v>0.125</v>
      </c>
      <c r="AU1593" s="137">
        <v>0.133333333333333</v>
      </c>
      <c r="AV1593" s="137">
        <v>0.0720720720720721</v>
      </c>
      <c r="AW1593" s="93"/>
      <c r="AX1593" s="91"/>
    </row>
    <row r="1594" ht="14.5" spans="1:50">
      <c r="A1594" s="89"/>
      <c r="B1594" s="93"/>
      <c r="C1594" s="148" t="s">
        <v>1449</v>
      </c>
      <c r="D1594" s="126" t="s">
        <v>1450</v>
      </c>
      <c r="E1594" s="164" t="s">
        <v>1620</v>
      </c>
      <c r="F1594" s="164" t="s">
        <v>1620</v>
      </c>
      <c r="G1594" s="164" t="s">
        <v>1620</v>
      </c>
      <c r="H1594" s="164" t="s">
        <v>1620</v>
      </c>
      <c r="I1594" s="128">
        <v>0.9</v>
      </c>
      <c r="J1594" s="129">
        <v>0.933333333333333</v>
      </c>
      <c r="K1594" s="129">
        <v>0.9375</v>
      </c>
      <c r="L1594" s="130">
        <v>0.9375</v>
      </c>
      <c r="M1594" s="129">
        <v>0.897574123989218</v>
      </c>
      <c r="N1594" s="131">
        <v>0.9</v>
      </c>
      <c r="O1594" s="129">
        <v>0.744052996085516</v>
      </c>
      <c r="P1594" s="129">
        <v>0.695744038635678</v>
      </c>
      <c r="Q1594" s="129">
        <v>0.73126900746475</v>
      </c>
      <c r="R1594" s="129">
        <v>0.712822383745405</v>
      </c>
      <c r="S1594" s="131">
        <v>0.9</v>
      </c>
      <c r="T1594" s="129">
        <v>0.701595904847937</v>
      </c>
      <c r="U1594" s="129">
        <v>0.628433444008452</v>
      </c>
      <c r="V1594" s="129">
        <v>0.651092065247443</v>
      </c>
      <c r="W1594" s="129">
        <v>0.689922263070749</v>
      </c>
      <c r="X1594" s="131">
        <v>0.92</v>
      </c>
      <c r="Y1594" s="131" t="s">
        <v>33</v>
      </c>
      <c r="Z1594" s="131" t="s">
        <v>33</v>
      </c>
      <c r="AA1594" s="131" t="s">
        <v>33</v>
      </c>
      <c r="AB1594" s="131">
        <v>0</v>
      </c>
      <c r="AC1594" s="131">
        <v>0.92</v>
      </c>
      <c r="AD1594" s="129">
        <v>0.96969696969697</v>
      </c>
      <c r="AE1594" s="129">
        <v>0.972222222222222</v>
      </c>
      <c r="AF1594" s="129">
        <v>0.947368421052632</v>
      </c>
      <c r="AG1594" s="129">
        <v>0.958702064896755</v>
      </c>
      <c r="AH1594" s="131">
        <v>0.92</v>
      </c>
      <c r="AI1594" s="129">
        <v>0.919903643480879</v>
      </c>
      <c r="AJ1594" s="129">
        <v>0.944159372170238</v>
      </c>
      <c r="AK1594" s="129">
        <v>0.93198783522256</v>
      </c>
      <c r="AL1594" s="129">
        <v>0.94494331574812</v>
      </c>
      <c r="AM1594" s="128">
        <v>0.99</v>
      </c>
      <c r="AN1594" s="133">
        <v>1</v>
      </c>
      <c r="AO1594" s="133">
        <v>1</v>
      </c>
      <c r="AP1594" s="133">
        <v>1</v>
      </c>
      <c r="AQ1594" s="133">
        <v>1</v>
      </c>
      <c r="AR1594" s="153">
        <v>0.110069253262963</v>
      </c>
      <c r="AS1594" s="137">
        <v>0.222222222222222</v>
      </c>
      <c r="AT1594" s="137">
        <v>0.0416666666666667</v>
      </c>
      <c r="AU1594" s="137">
        <v>0.19047619047619</v>
      </c>
      <c r="AV1594" s="137">
        <v>0.0737327188940092</v>
      </c>
      <c r="AW1594" s="93"/>
      <c r="AX1594" s="91"/>
    </row>
    <row r="1595" ht="14.5" spans="1:50">
      <c r="A1595" s="89"/>
      <c r="B1595" s="93"/>
      <c r="C1595" s="148" t="s">
        <v>1449</v>
      </c>
      <c r="D1595" s="126" t="s">
        <v>1450</v>
      </c>
      <c r="E1595" s="164" t="s">
        <v>1621</v>
      </c>
      <c r="F1595" s="164" t="s">
        <v>1621</v>
      </c>
      <c r="G1595" s="164" t="s">
        <v>1621</v>
      </c>
      <c r="H1595" s="164" t="s">
        <v>1621</v>
      </c>
      <c r="I1595" s="128">
        <v>0.9</v>
      </c>
      <c r="J1595" s="129">
        <v>1</v>
      </c>
      <c r="K1595" s="129">
        <v>1</v>
      </c>
      <c r="L1595" s="130">
        <v>1</v>
      </c>
      <c r="M1595" s="129">
        <v>1</v>
      </c>
      <c r="N1595" s="131">
        <v>0.9</v>
      </c>
      <c r="O1595" s="129">
        <v>0.995629370629371</v>
      </c>
      <c r="P1595" s="129">
        <v>0.997847919655667</v>
      </c>
      <c r="Q1595" s="129">
        <v>0.997547015535568</v>
      </c>
      <c r="R1595" s="129">
        <v>0.998907595424753</v>
      </c>
      <c r="S1595" s="131">
        <v>0.9</v>
      </c>
      <c r="T1595" s="129">
        <v>0.952797202797203</v>
      </c>
      <c r="U1595" s="129">
        <v>0.9519368723099</v>
      </c>
      <c r="V1595" s="129">
        <v>0.970564186426819</v>
      </c>
      <c r="W1595" s="129">
        <v>0.957974553399306</v>
      </c>
      <c r="X1595" s="131">
        <v>0.92</v>
      </c>
      <c r="Y1595" s="131" t="s">
        <v>33</v>
      </c>
      <c r="Z1595" s="131" t="s">
        <v>33</v>
      </c>
      <c r="AA1595" s="131" t="s">
        <v>33</v>
      </c>
      <c r="AB1595" s="131" t="s">
        <v>33</v>
      </c>
      <c r="AC1595" s="131">
        <v>0.92</v>
      </c>
      <c r="AD1595" s="129">
        <v>0.935483870967742</v>
      </c>
      <c r="AE1595" s="129">
        <v>1</v>
      </c>
      <c r="AF1595" s="129">
        <v>1</v>
      </c>
      <c r="AG1595" s="129">
        <v>0.990450204638472</v>
      </c>
      <c r="AH1595" s="131">
        <v>0.92</v>
      </c>
      <c r="AI1595" s="129">
        <v>0.965909090909091</v>
      </c>
      <c r="AJ1595" s="129">
        <v>0.971305595408895</v>
      </c>
      <c r="AK1595" s="129">
        <v>0.984464431725266</v>
      </c>
      <c r="AL1595" s="129">
        <v>0.978280426680375</v>
      </c>
      <c r="AM1595" s="128">
        <v>0.99</v>
      </c>
      <c r="AN1595" s="133">
        <v>1</v>
      </c>
      <c r="AO1595" s="133">
        <v>1</v>
      </c>
      <c r="AP1595" s="133">
        <v>1</v>
      </c>
      <c r="AQ1595" s="133">
        <v>1</v>
      </c>
      <c r="AR1595" s="153">
        <v>0.110069253262963</v>
      </c>
      <c r="AS1595" s="137">
        <v>0.153846153846154</v>
      </c>
      <c r="AT1595" s="137">
        <v>0</v>
      </c>
      <c r="AU1595" s="137">
        <v>0</v>
      </c>
      <c r="AV1595" s="137">
        <v>0.069364161849711</v>
      </c>
      <c r="AW1595" s="93"/>
      <c r="AX1595" s="91"/>
    </row>
    <row r="1596" ht="14.5" spans="1:50">
      <c r="A1596" s="89"/>
      <c r="B1596" s="93"/>
      <c r="C1596" s="148" t="s">
        <v>1449</v>
      </c>
      <c r="D1596" s="126" t="s">
        <v>1450</v>
      </c>
      <c r="E1596" s="164" t="s">
        <v>1622</v>
      </c>
      <c r="F1596" s="164" t="s">
        <v>1622</v>
      </c>
      <c r="G1596" s="164" t="s">
        <v>1622</v>
      </c>
      <c r="H1596" s="164" t="s">
        <v>1622</v>
      </c>
      <c r="I1596" s="128">
        <v>0.9</v>
      </c>
      <c r="J1596" s="129">
        <v>0.846153846153846</v>
      </c>
      <c r="K1596" s="129">
        <v>0.916666666666667</v>
      </c>
      <c r="L1596" s="130">
        <v>1</v>
      </c>
      <c r="M1596" s="129">
        <v>0.885350318471338</v>
      </c>
      <c r="N1596" s="131">
        <v>0.9</v>
      </c>
      <c r="O1596" s="129">
        <v>0.888035828534869</v>
      </c>
      <c r="P1596" s="129">
        <v>0.92434988179669</v>
      </c>
      <c r="Q1596" s="129">
        <v>0.895472703062583</v>
      </c>
      <c r="R1596" s="129">
        <v>0.899781113195747</v>
      </c>
      <c r="S1596" s="131">
        <v>0.9</v>
      </c>
      <c r="T1596" s="129">
        <v>0.81829814459373</v>
      </c>
      <c r="U1596" s="129">
        <v>0.872340425531915</v>
      </c>
      <c r="V1596" s="129">
        <v>0.843541944074567</v>
      </c>
      <c r="W1596" s="129">
        <v>0.873671044402752</v>
      </c>
      <c r="X1596" s="131">
        <v>0.92</v>
      </c>
      <c r="Y1596" s="131">
        <v>0.909783989834816</v>
      </c>
      <c r="Z1596" s="131">
        <v>0.917192429022082</v>
      </c>
      <c r="AA1596" s="131">
        <v>0.901214574898785</v>
      </c>
      <c r="AB1596" s="131">
        <v>0.936932935727428</v>
      </c>
      <c r="AC1596" s="131">
        <v>0.92</v>
      </c>
      <c r="AD1596" s="129">
        <v>0.902255639097744</v>
      </c>
      <c r="AE1596" s="129">
        <v>0.637305699481865</v>
      </c>
      <c r="AF1596" s="129">
        <v>0.973333333333333</v>
      </c>
      <c r="AG1596" s="129">
        <v>0.907993099482461</v>
      </c>
      <c r="AH1596" s="131">
        <v>0.92</v>
      </c>
      <c r="AI1596" s="129">
        <v>0.921924792861695</v>
      </c>
      <c r="AJ1596" s="129">
        <v>0.92313756405203</v>
      </c>
      <c r="AK1596" s="129">
        <v>0.914170927684441</v>
      </c>
      <c r="AL1596" s="129">
        <v>0.949244678416113</v>
      </c>
      <c r="AM1596" s="128">
        <v>0.99</v>
      </c>
      <c r="AN1596" s="133" t="s">
        <v>33</v>
      </c>
      <c r="AO1596" s="133">
        <v>1</v>
      </c>
      <c r="AP1596" s="133">
        <v>1</v>
      </c>
      <c r="AQ1596" s="133">
        <v>1</v>
      </c>
      <c r="AR1596" s="153">
        <v>0.110069253262963</v>
      </c>
      <c r="AS1596" s="137">
        <v>0.142857142857143</v>
      </c>
      <c r="AT1596" s="137">
        <v>0</v>
      </c>
      <c r="AU1596" s="137">
        <v>0.142857142857143</v>
      </c>
      <c r="AV1596" s="137">
        <v>0.107142857142857</v>
      </c>
      <c r="AW1596" s="93"/>
      <c r="AX1596" s="91"/>
    </row>
    <row r="1597" ht="14.5" spans="1:50">
      <c r="A1597" s="89"/>
      <c r="B1597" s="93"/>
      <c r="C1597" s="148" t="s">
        <v>1449</v>
      </c>
      <c r="D1597" s="126" t="s">
        <v>1450</v>
      </c>
      <c r="E1597" s="164" t="s">
        <v>1623</v>
      </c>
      <c r="F1597" s="164" t="s">
        <v>1623</v>
      </c>
      <c r="G1597" s="164" t="s">
        <v>1623</v>
      </c>
      <c r="H1597" s="164" t="s">
        <v>1623</v>
      </c>
      <c r="I1597" s="128">
        <v>0.9</v>
      </c>
      <c r="J1597" s="129">
        <v>1</v>
      </c>
      <c r="K1597" s="129">
        <v>1</v>
      </c>
      <c r="L1597" s="130">
        <v>0.96078431372549</v>
      </c>
      <c r="M1597" s="129">
        <v>0.963979416809606</v>
      </c>
      <c r="N1597" s="131">
        <v>0.9</v>
      </c>
      <c r="O1597" s="129">
        <v>0.951366559485531</v>
      </c>
      <c r="P1597" s="129">
        <v>0.961142857142857</v>
      </c>
      <c r="Q1597" s="129">
        <v>0.937839937839938</v>
      </c>
      <c r="R1597" s="129">
        <v>0.929968956459444</v>
      </c>
      <c r="S1597" s="131">
        <v>0.9</v>
      </c>
      <c r="T1597" s="129">
        <v>0.948553054662379</v>
      </c>
      <c r="U1597" s="129">
        <v>0.945714285714286</v>
      </c>
      <c r="V1597" s="129">
        <v>0.91006216006216</v>
      </c>
      <c r="W1597" s="129">
        <v>0.936671177266576</v>
      </c>
      <c r="X1597" s="131">
        <v>0.92</v>
      </c>
      <c r="Y1597" s="131" t="s">
        <v>33</v>
      </c>
      <c r="Z1597" s="131" t="s">
        <v>33</v>
      </c>
      <c r="AA1597" s="131">
        <v>0</v>
      </c>
      <c r="AB1597" s="131">
        <v>0.1</v>
      </c>
      <c r="AC1597" s="131">
        <v>0.92</v>
      </c>
      <c r="AD1597" s="129">
        <v>0.999097472924188</v>
      </c>
      <c r="AE1597" s="129">
        <v>0.975965665236052</v>
      </c>
      <c r="AF1597" s="129">
        <v>0.662567736556899</v>
      </c>
      <c r="AG1597" s="129">
        <v>0.783368995794289</v>
      </c>
      <c r="AH1597" s="131">
        <v>0.92</v>
      </c>
      <c r="AI1597" s="129">
        <v>0.959204180064309</v>
      </c>
      <c r="AJ1597" s="129">
        <v>0.967047619047619</v>
      </c>
      <c r="AK1597" s="129">
        <v>0.970143466459868</v>
      </c>
      <c r="AL1597" s="129">
        <v>0.967328166526091</v>
      </c>
      <c r="AM1597" s="128">
        <v>0.99</v>
      </c>
      <c r="AN1597" s="133" t="s">
        <v>33</v>
      </c>
      <c r="AO1597" s="133" t="s">
        <v>33</v>
      </c>
      <c r="AP1597" s="133">
        <v>1</v>
      </c>
      <c r="AQ1597" s="133">
        <v>1</v>
      </c>
      <c r="AR1597" s="153">
        <v>0.110069253262963</v>
      </c>
      <c r="AS1597" s="137">
        <v>0.037037037037037</v>
      </c>
      <c r="AT1597" s="137">
        <v>0.111111111111111</v>
      </c>
      <c r="AU1597" s="137">
        <v>0.178571428571429</v>
      </c>
      <c r="AV1597" s="137">
        <v>0.0708860759493671</v>
      </c>
      <c r="AW1597" s="93"/>
      <c r="AX1597" s="91"/>
    </row>
    <row r="1598" ht="14.5" spans="1:50">
      <c r="A1598" s="89"/>
      <c r="B1598" s="93"/>
      <c r="C1598" s="148" t="s">
        <v>1449</v>
      </c>
      <c r="D1598" s="126" t="s">
        <v>1450</v>
      </c>
      <c r="E1598" s="164" t="s">
        <v>1624</v>
      </c>
      <c r="F1598" s="164" t="s">
        <v>1624</v>
      </c>
      <c r="G1598" s="164" t="s">
        <v>1624</v>
      </c>
      <c r="H1598" s="164" t="s">
        <v>1624</v>
      </c>
      <c r="I1598" s="128">
        <v>0.9</v>
      </c>
      <c r="J1598" s="129">
        <v>0.708333333333333</v>
      </c>
      <c r="K1598" s="129">
        <v>0.740740740740741</v>
      </c>
      <c r="L1598" s="130">
        <v>0.72</v>
      </c>
      <c r="M1598" s="129">
        <v>0.734375</v>
      </c>
      <c r="N1598" s="131">
        <v>0.9</v>
      </c>
      <c r="O1598" s="129">
        <v>0.723479683665121</v>
      </c>
      <c r="P1598" s="129">
        <v>0.557484872402</v>
      </c>
      <c r="Q1598" s="129">
        <v>0.565118267312625</v>
      </c>
      <c r="R1598" s="129">
        <v>0.623419415956176</v>
      </c>
      <c r="S1598" s="131">
        <v>0.9</v>
      </c>
      <c r="T1598" s="129">
        <v>0.616307608399236</v>
      </c>
      <c r="U1598" s="129">
        <v>0.61273349118653</v>
      </c>
      <c r="V1598" s="129">
        <v>0.486178398404104</v>
      </c>
      <c r="W1598" s="129">
        <v>0.543865068577783</v>
      </c>
      <c r="X1598" s="131">
        <v>0.92</v>
      </c>
      <c r="Y1598" s="131">
        <v>0</v>
      </c>
      <c r="Z1598" s="131">
        <v>0</v>
      </c>
      <c r="AA1598" s="131">
        <v>0</v>
      </c>
      <c r="AB1598" s="131">
        <v>0.444444444444444</v>
      </c>
      <c r="AC1598" s="131">
        <v>0.92</v>
      </c>
      <c r="AD1598" s="129">
        <v>0.770114942528736</v>
      </c>
      <c r="AE1598" s="129">
        <v>1</v>
      </c>
      <c r="AF1598" s="129">
        <v>0.766666666666667</v>
      </c>
      <c r="AG1598" s="129">
        <v>0.92818671454219</v>
      </c>
      <c r="AH1598" s="131">
        <v>0.92</v>
      </c>
      <c r="AI1598" s="129">
        <v>0.857181793404197</v>
      </c>
      <c r="AJ1598" s="129">
        <v>0.847185691741189</v>
      </c>
      <c r="AK1598" s="129">
        <v>0.848433048433048</v>
      </c>
      <c r="AL1598" s="129">
        <v>0.876109292317829</v>
      </c>
      <c r="AM1598" s="128">
        <v>0.99</v>
      </c>
      <c r="AN1598" s="133" t="s">
        <v>33</v>
      </c>
      <c r="AO1598" s="133">
        <v>1</v>
      </c>
      <c r="AP1598" s="133" t="s">
        <v>33</v>
      </c>
      <c r="AQ1598" s="133">
        <v>1</v>
      </c>
      <c r="AR1598" s="153">
        <v>0.110069253262963</v>
      </c>
      <c r="AS1598" s="137">
        <v>0.125</v>
      </c>
      <c r="AT1598" s="137">
        <v>0.0909090909090909</v>
      </c>
      <c r="AU1598" s="137">
        <v>0</v>
      </c>
      <c r="AV1598" s="137">
        <v>0.080168776371308</v>
      </c>
      <c r="AW1598" s="93"/>
      <c r="AX1598" s="91"/>
    </row>
    <row r="1599" ht="14.5" spans="1:50">
      <c r="A1599" s="89"/>
      <c r="B1599" s="93"/>
      <c r="C1599" s="148" t="s">
        <v>1449</v>
      </c>
      <c r="D1599" s="126" t="s">
        <v>1450</v>
      </c>
      <c r="E1599" s="164" t="s">
        <v>1625</v>
      </c>
      <c r="F1599" s="164" t="s">
        <v>1625</v>
      </c>
      <c r="G1599" s="164" t="s">
        <v>1625</v>
      </c>
      <c r="H1599" s="164" t="s">
        <v>1625</v>
      </c>
      <c r="I1599" s="128">
        <v>0.9</v>
      </c>
      <c r="J1599" s="129" t="s">
        <v>33</v>
      </c>
      <c r="K1599" s="129" t="s">
        <v>33</v>
      </c>
      <c r="L1599" s="130" t="s">
        <v>33</v>
      </c>
      <c r="M1599" s="129" t="s">
        <v>33</v>
      </c>
      <c r="N1599" s="131">
        <v>0.9</v>
      </c>
      <c r="O1599" s="129" t="s">
        <v>33</v>
      </c>
      <c r="P1599" s="129" t="s">
        <v>33</v>
      </c>
      <c r="Q1599" s="129" t="s">
        <v>33</v>
      </c>
      <c r="R1599" s="129" t="s">
        <v>33</v>
      </c>
      <c r="S1599" s="131">
        <v>0.9</v>
      </c>
      <c r="T1599" s="129" t="s">
        <v>33</v>
      </c>
      <c r="U1599" s="129" t="s">
        <v>33</v>
      </c>
      <c r="V1599" s="129" t="s">
        <v>33</v>
      </c>
      <c r="W1599" s="129" t="s">
        <v>33</v>
      </c>
      <c r="X1599" s="131">
        <v>0.92</v>
      </c>
      <c r="Y1599" s="131" t="s">
        <v>33</v>
      </c>
      <c r="Z1599" s="131" t="s">
        <v>33</v>
      </c>
      <c r="AA1599" s="131" t="s">
        <v>33</v>
      </c>
      <c r="AB1599" s="131" t="s">
        <v>33</v>
      </c>
      <c r="AC1599" s="131">
        <v>0.92</v>
      </c>
      <c r="AD1599" s="129">
        <v>1</v>
      </c>
      <c r="AE1599" s="129">
        <v>0.73953488372093</v>
      </c>
      <c r="AF1599" s="129">
        <v>0.530434782608696</v>
      </c>
      <c r="AG1599" s="129">
        <v>0.790798269760126</v>
      </c>
      <c r="AH1599" s="131">
        <v>0.92</v>
      </c>
      <c r="AI1599" s="129" t="s">
        <v>33</v>
      </c>
      <c r="AJ1599" s="129" t="s">
        <v>33</v>
      </c>
      <c r="AK1599" s="129" t="s">
        <v>33</v>
      </c>
      <c r="AL1599" s="129" t="s">
        <v>33</v>
      </c>
      <c r="AM1599" s="128">
        <v>0.99</v>
      </c>
      <c r="AN1599" s="133">
        <v>1</v>
      </c>
      <c r="AO1599" s="133">
        <v>1</v>
      </c>
      <c r="AP1599" s="133">
        <v>1</v>
      </c>
      <c r="AQ1599" s="133">
        <v>1</v>
      </c>
      <c r="AR1599" s="153">
        <v>0.110069253262963</v>
      </c>
      <c r="AS1599" s="137" t="s">
        <v>33</v>
      </c>
      <c r="AT1599" s="137" t="s">
        <v>33</v>
      </c>
      <c r="AU1599" s="137" t="s">
        <v>33</v>
      </c>
      <c r="AV1599" s="137" t="s">
        <v>33</v>
      </c>
      <c r="AW1599" s="93"/>
      <c r="AX1599" s="91"/>
    </row>
    <row r="1600" ht="14.5" spans="1:50">
      <c r="A1600" s="89"/>
      <c r="B1600" s="93"/>
      <c r="C1600" s="148" t="s">
        <v>1449</v>
      </c>
      <c r="D1600" s="126" t="s">
        <v>1450</v>
      </c>
      <c r="E1600" s="164" t="s">
        <v>1626</v>
      </c>
      <c r="F1600" s="164" t="s">
        <v>1626</v>
      </c>
      <c r="G1600" s="164" t="s">
        <v>1626</v>
      </c>
      <c r="H1600" s="164" t="s">
        <v>1626</v>
      </c>
      <c r="I1600" s="128">
        <v>0.9</v>
      </c>
      <c r="J1600" s="129" t="s">
        <v>33</v>
      </c>
      <c r="K1600" s="129" t="s">
        <v>33</v>
      </c>
      <c r="L1600" s="130" t="s">
        <v>33</v>
      </c>
      <c r="M1600" s="129" t="s">
        <v>33</v>
      </c>
      <c r="N1600" s="131">
        <v>0.9</v>
      </c>
      <c r="O1600" s="129" t="s">
        <v>33</v>
      </c>
      <c r="P1600" s="129" t="s">
        <v>33</v>
      </c>
      <c r="Q1600" s="129" t="s">
        <v>33</v>
      </c>
      <c r="R1600" s="129" t="s">
        <v>33</v>
      </c>
      <c r="S1600" s="131">
        <v>0.9</v>
      </c>
      <c r="T1600" s="129" t="s">
        <v>33</v>
      </c>
      <c r="U1600" s="129" t="s">
        <v>33</v>
      </c>
      <c r="V1600" s="129" t="s">
        <v>33</v>
      </c>
      <c r="W1600" s="129" t="s">
        <v>33</v>
      </c>
      <c r="X1600" s="131">
        <v>0.92</v>
      </c>
      <c r="Y1600" s="131" t="s">
        <v>33</v>
      </c>
      <c r="Z1600" s="131" t="s">
        <v>33</v>
      </c>
      <c r="AA1600" s="131" t="s">
        <v>33</v>
      </c>
      <c r="AB1600" s="131" t="s">
        <v>33</v>
      </c>
      <c r="AC1600" s="131">
        <v>0.92</v>
      </c>
      <c r="AD1600" s="129">
        <v>1</v>
      </c>
      <c r="AE1600" s="129">
        <v>0.88135593220339</v>
      </c>
      <c r="AF1600" s="129">
        <v>1</v>
      </c>
      <c r="AG1600" s="129">
        <v>0.962388784038824</v>
      </c>
      <c r="AH1600" s="131">
        <v>0.92</v>
      </c>
      <c r="AI1600" s="129" t="s">
        <v>33</v>
      </c>
      <c r="AJ1600" s="129" t="s">
        <v>33</v>
      </c>
      <c r="AK1600" s="129" t="s">
        <v>33</v>
      </c>
      <c r="AL1600" s="129">
        <v>1</v>
      </c>
      <c r="AM1600" s="128">
        <v>0.99</v>
      </c>
      <c r="AN1600" s="133">
        <v>1</v>
      </c>
      <c r="AO1600" s="133">
        <v>1</v>
      </c>
      <c r="AP1600" s="133">
        <v>1</v>
      </c>
      <c r="AQ1600" s="133">
        <v>1</v>
      </c>
      <c r="AR1600" s="153">
        <v>0.110069253262963</v>
      </c>
      <c r="AS1600" s="137" t="s">
        <v>33</v>
      </c>
      <c r="AT1600" s="137" t="s">
        <v>33</v>
      </c>
      <c r="AU1600" s="137" t="s">
        <v>33</v>
      </c>
      <c r="AV1600" s="137" t="s">
        <v>33</v>
      </c>
      <c r="AW1600" s="93"/>
      <c r="AX1600" s="91"/>
    </row>
    <row r="1601" ht="14.5" spans="1:50">
      <c r="A1601" s="89"/>
      <c r="B1601" s="93"/>
      <c r="C1601" s="148" t="s">
        <v>1449</v>
      </c>
      <c r="D1601" s="126" t="s">
        <v>1450</v>
      </c>
      <c r="E1601" s="164" t="s">
        <v>1627</v>
      </c>
      <c r="F1601" s="164" t="s">
        <v>1627</v>
      </c>
      <c r="G1601" s="164" t="s">
        <v>1627</v>
      </c>
      <c r="H1601" s="164" t="s">
        <v>1627</v>
      </c>
      <c r="I1601" s="128">
        <v>0.9</v>
      </c>
      <c r="J1601" s="129" t="s">
        <v>33</v>
      </c>
      <c r="K1601" s="129" t="s">
        <v>33</v>
      </c>
      <c r="L1601" s="130" t="s">
        <v>33</v>
      </c>
      <c r="M1601" s="129" t="s">
        <v>33</v>
      </c>
      <c r="N1601" s="131">
        <v>0.9</v>
      </c>
      <c r="O1601" s="129" t="s">
        <v>33</v>
      </c>
      <c r="P1601" s="129" t="s">
        <v>33</v>
      </c>
      <c r="Q1601" s="129" t="s">
        <v>33</v>
      </c>
      <c r="R1601" s="129" t="s">
        <v>33</v>
      </c>
      <c r="S1601" s="131">
        <v>0.9</v>
      </c>
      <c r="T1601" s="129" t="s">
        <v>33</v>
      </c>
      <c r="U1601" s="129" t="s">
        <v>33</v>
      </c>
      <c r="V1601" s="129" t="s">
        <v>33</v>
      </c>
      <c r="W1601" s="129" t="s">
        <v>33</v>
      </c>
      <c r="X1601" s="131">
        <v>0.92</v>
      </c>
      <c r="Y1601" s="131" t="s">
        <v>33</v>
      </c>
      <c r="Z1601" s="131" t="s">
        <v>33</v>
      </c>
      <c r="AA1601" s="131" t="s">
        <v>33</v>
      </c>
      <c r="AB1601" s="131" t="s">
        <v>33</v>
      </c>
      <c r="AC1601" s="131">
        <v>0.92</v>
      </c>
      <c r="AD1601" s="129">
        <v>0.984126984126984</v>
      </c>
      <c r="AE1601" s="129">
        <v>0.901709401709402</v>
      </c>
      <c r="AF1601" s="129">
        <v>0.644787644787645</v>
      </c>
      <c r="AG1601" s="129">
        <v>0.820326049254249</v>
      </c>
      <c r="AH1601" s="131">
        <v>0.92</v>
      </c>
      <c r="AI1601" s="129" t="s">
        <v>33</v>
      </c>
      <c r="AJ1601" s="129" t="s">
        <v>33</v>
      </c>
      <c r="AK1601" s="129" t="s">
        <v>33</v>
      </c>
      <c r="AL1601" s="129" t="s">
        <v>33</v>
      </c>
      <c r="AM1601" s="128">
        <v>0.99</v>
      </c>
      <c r="AN1601" s="133">
        <v>1</v>
      </c>
      <c r="AO1601" s="133">
        <v>1</v>
      </c>
      <c r="AP1601" s="133">
        <v>1</v>
      </c>
      <c r="AQ1601" s="133">
        <v>1</v>
      </c>
      <c r="AR1601" s="153">
        <v>0.110069253262963</v>
      </c>
      <c r="AS1601" s="137" t="s">
        <v>33</v>
      </c>
      <c r="AT1601" s="137" t="s">
        <v>33</v>
      </c>
      <c r="AU1601" s="137" t="s">
        <v>33</v>
      </c>
      <c r="AV1601" s="137" t="s">
        <v>33</v>
      </c>
      <c r="AW1601" s="93"/>
      <c r="AX1601" s="91"/>
    </row>
    <row r="1602" ht="14.5" spans="1:50">
      <c r="A1602" s="89"/>
      <c r="B1602" s="93"/>
      <c r="C1602" s="148" t="s">
        <v>1449</v>
      </c>
      <c r="D1602" s="126" t="s">
        <v>1450</v>
      </c>
      <c r="E1602" s="164" t="s">
        <v>1628</v>
      </c>
      <c r="F1602" s="164" t="s">
        <v>1628</v>
      </c>
      <c r="G1602" s="164" t="s">
        <v>1628</v>
      </c>
      <c r="H1602" s="164" t="s">
        <v>1628</v>
      </c>
      <c r="I1602" s="128">
        <v>0.9</v>
      </c>
      <c r="J1602" s="129" t="s">
        <v>33</v>
      </c>
      <c r="K1602" s="129" t="s">
        <v>33</v>
      </c>
      <c r="L1602" s="130" t="s">
        <v>33</v>
      </c>
      <c r="M1602" s="129" t="s">
        <v>33</v>
      </c>
      <c r="N1602" s="131">
        <v>0.9</v>
      </c>
      <c r="O1602" s="129" t="s">
        <v>33</v>
      </c>
      <c r="P1602" s="129">
        <v>0</v>
      </c>
      <c r="Q1602" s="129" t="s">
        <v>33</v>
      </c>
      <c r="R1602" s="129">
        <v>0</v>
      </c>
      <c r="S1602" s="131">
        <v>0.9</v>
      </c>
      <c r="T1602" s="129" t="s">
        <v>33</v>
      </c>
      <c r="U1602" s="129">
        <v>0</v>
      </c>
      <c r="V1602" s="129" t="s">
        <v>33</v>
      </c>
      <c r="W1602" s="129">
        <v>0.5</v>
      </c>
      <c r="X1602" s="131">
        <v>0.92</v>
      </c>
      <c r="Y1602" s="131" t="s">
        <v>33</v>
      </c>
      <c r="Z1602" s="131" t="s">
        <v>33</v>
      </c>
      <c r="AA1602" s="131" t="s">
        <v>33</v>
      </c>
      <c r="AB1602" s="131" t="s">
        <v>33</v>
      </c>
      <c r="AC1602" s="131">
        <v>0.92</v>
      </c>
      <c r="AD1602" s="129">
        <v>1</v>
      </c>
      <c r="AE1602" s="129">
        <v>1</v>
      </c>
      <c r="AF1602" s="129">
        <v>0.985663082437276</v>
      </c>
      <c r="AG1602" s="129">
        <v>0.980552486187845</v>
      </c>
      <c r="AH1602" s="131">
        <v>0.92</v>
      </c>
      <c r="AI1602" s="129" t="s">
        <v>33</v>
      </c>
      <c r="AJ1602" s="129">
        <v>0</v>
      </c>
      <c r="AK1602" s="129" t="s">
        <v>33</v>
      </c>
      <c r="AL1602" s="129">
        <v>0.5</v>
      </c>
      <c r="AM1602" s="128">
        <v>0.99</v>
      </c>
      <c r="AN1602" s="133">
        <v>1</v>
      </c>
      <c r="AO1602" s="133">
        <v>1</v>
      </c>
      <c r="AP1602" s="133" t="s">
        <v>33</v>
      </c>
      <c r="AQ1602" s="133">
        <v>1</v>
      </c>
      <c r="AR1602" s="153">
        <v>0.110069253262963</v>
      </c>
      <c r="AS1602" s="137" t="s">
        <v>33</v>
      </c>
      <c r="AT1602" s="137" t="s">
        <v>33</v>
      </c>
      <c r="AU1602" s="137" t="s">
        <v>33</v>
      </c>
      <c r="AV1602" s="137" t="s">
        <v>33</v>
      </c>
      <c r="AW1602" s="93"/>
      <c r="AX1602" s="91"/>
    </row>
    <row r="1603" ht="14.5" spans="1:50">
      <c r="A1603" s="89"/>
      <c r="B1603" s="93"/>
      <c r="C1603" s="148" t="s">
        <v>1449</v>
      </c>
      <c r="D1603" s="126" t="s">
        <v>1450</v>
      </c>
      <c r="E1603" s="164" t="s">
        <v>1629</v>
      </c>
      <c r="F1603" s="164" t="s">
        <v>1629</v>
      </c>
      <c r="G1603" s="164" t="s">
        <v>1629</v>
      </c>
      <c r="H1603" s="164" t="s">
        <v>1629</v>
      </c>
      <c r="I1603" s="128">
        <v>0.9</v>
      </c>
      <c r="J1603" s="129">
        <v>1</v>
      </c>
      <c r="K1603" s="129">
        <v>1</v>
      </c>
      <c r="L1603" s="130">
        <v>1</v>
      </c>
      <c r="M1603" s="129">
        <v>0.984615384615385</v>
      </c>
      <c r="N1603" s="131">
        <v>0.9</v>
      </c>
      <c r="O1603" s="129">
        <v>0.987194974631553</v>
      </c>
      <c r="P1603" s="129">
        <v>0.986936159723934</v>
      </c>
      <c r="Q1603" s="129">
        <v>0.944582814445828</v>
      </c>
      <c r="R1603" s="129">
        <v>0.97589229805886</v>
      </c>
      <c r="S1603" s="131">
        <v>0.9</v>
      </c>
      <c r="T1603" s="129">
        <v>0.965692196182653</v>
      </c>
      <c r="U1603" s="129">
        <v>0.974118807000246</v>
      </c>
      <c r="V1603" s="129">
        <v>0.975923619759236</v>
      </c>
      <c r="W1603" s="129">
        <v>0.972396159465665</v>
      </c>
      <c r="X1603" s="131">
        <v>0.92</v>
      </c>
      <c r="Y1603" s="131">
        <v>1</v>
      </c>
      <c r="Z1603" s="131">
        <v>0</v>
      </c>
      <c r="AA1603" s="131">
        <v>0</v>
      </c>
      <c r="AB1603" s="131">
        <v>0.186440677966102</v>
      </c>
      <c r="AC1603" s="131">
        <v>0.92</v>
      </c>
      <c r="AD1603" s="129">
        <v>1</v>
      </c>
      <c r="AE1603" s="129">
        <v>0.974025974025974</v>
      </c>
      <c r="AF1603" s="129">
        <v>0.949367088607595</v>
      </c>
      <c r="AG1603" s="129">
        <v>0.928725701943845</v>
      </c>
      <c r="AH1603" s="131">
        <v>0.92</v>
      </c>
      <c r="AI1603" s="129">
        <v>0.976339932399807</v>
      </c>
      <c r="AJ1603" s="129">
        <v>0.987188962798719</v>
      </c>
      <c r="AK1603" s="129">
        <v>0.988181629691064</v>
      </c>
      <c r="AL1603" s="129">
        <v>0.986082393619794</v>
      </c>
      <c r="AM1603" s="128">
        <v>0.99</v>
      </c>
      <c r="AN1603" s="133">
        <v>1</v>
      </c>
      <c r="AO1603" s="133">
        <v>1</v>
      </c>
      <c r="AP1603" s="133">
        <v>1</v>
      </c>
      <c r="AQ1603" s="133">
        <v>1</v>
      </c>
      <c r="AR1603" s="153">
        <v>0.110069253262963</v>
      </c>
      <c r="AS1603" s="137">
        <v>0.0769230769230769</v>
      </c>
      <c r="AT1603" s="137">
        <v>0.0384615384615385</v>
      </c>
      <c r="AU1603" s="137">
        <v>0.0952380952380952</v>
      </c>
      <c r="AV1603" s="137">
        <v>0.0454545454545455</v>
      </c>
      <c r="AW1603" s="93"/>
      <c r="AX1603" s="91"/>
    </row>
    <row r="1604" ht="14.5" spans="1:50">
      <c r="A1604" s="89"/>
      <c r="B1604" s="93"/>
      <c r="C1604" s="148" t="s">
        <v>1449</v>
      </c>
      <c r="D1604" s="126" t="s">
        <v>1450</v>
      </c>
      <c r="E1604" s="164" t="s">
        <v>1630</v>
      </c>
      <c r="F1604" s="164" t="s">
        <v>1630</v>
      </c>
      <c r="G1604" s="164" t="s">
        <v>1630</v>
      </c>
      <c r="H1604" s="164" t="s">
        <v>1630</v>
      </c>
      <c r="I1604" s="128">
        <v>0.9</v>
      </c>
      <c r="J1604" s="129" t="s">
        <v>33</v>
      </c>
      <c r="K1604" s="129" t="s">
        <v>33</v>
      </c>
      <c r="L1604" s="130" t="s">
        <v>33</v>
      </c>
      <c r="M1604" s="129" t="s">
        <v>33</v>
      </c>
      <c r="N1604" s="131">
        <v>0.9</v>
      </c>
      <c r="O1604" s="129" t="s">
        <v>33</v>
      </c>
      <c r="P1604" s="129" t="s">
        <v>33</v>
      </c>
      <c r="Q1604" s="129" t="s">
        <v>33</v>
      </c>
      <c r="R1604" s="129" t="s">
        <v>33</v>
      </c>
      <c r="S1604" s="131">
        <v>0.9</v>
      </c>
      <c r="T1604" s="129" t="s">
        <v>33</v>
      </c>
      <c r="U1604" s="129" t="s">
        <v>33</v>
      </c>
      <c r="V1604" s="129" t="s">
        <v>33</v>
      </c>
      <c r="W1604" s="129" t="s">
        <v>33</v>
      </c>
      <c r="X1604" s="131">
        <v>0.92</v>
      </c>
      <c r="Y1604" s="131" t="s">
        <v>33</v>
      </c>
      <c r="Z1604" s="131" t="s">
        <v>33</v>
      </c>
      <c r="AA1604" s="131" t="s">
        <v>33</v>
      </c>
      <c r="AB1604" s="131" t="s">
        <v>33</v>
      </c>
      <c r="AC1604" s="131">
        <v>0.92</v>
      </c>
      <c r="AD1604" s="129">
        <v>0.99468085106383</v>
      </c>
      <c r="AE1604" s="129">
        <v>0.995260663507109</v>
      </c>
      <c r="AF1604" s="129">
        <v>1</v>
      </c>
      <c r="AG1604" s="129">
        <v>0.953779489648532</v>
      </c>
      <c r="AH1604" s="131">
        <v>0.92</v>
      </c>
      <c r="AI1604" s="129" t="s">
        <v>33</v>
      </c>
      <c r="AJ1604" s="129" t="s">
        <v>33</v>
      </c>
      <c r="AK1604" s="129" t="s">
        <v>33</v>
      </c>
      <c r="AL1604" s="129" t="s">
        <v>33</v>
      </c>
      <c r="AM1604" s="128">
        <v>0.99</v>
      </c>
      <c r="AN1604" s="133">
        <v>1</v>
      </c>
      <c r="AO1604" s="133" t="s">
        <v>33</v>
      </c>
      <c r="AP1604" s="133" t="s">
        <v>33</v>
      </c>
      <c r="AQ1604" s="133">
        <v>1</v>
      </c>
      <c r="AR1604" s="153">
        <v>0.110069253262963</v>
      </c>
      <c r="AS1604" s="137" t="s">
        <v>33</v>
      </c>
      <c r="AT1604" s="137" t="s">
        <v>33</v>
      </c>
      <c r="AU1604" s="137" t="s">
        <v>33</v>
      </c>
      <c r="AV1604" s="137" t="s">
        <v>33</v>
      </c>
      <c r="AW1604" s="93"/>
      <c r="AX1604" s="91"/>
    </row>
    <row r="1605" ht="14.5" spans="1:50">
      <c r="A1605" s="89"/>
      <c r="B1605" s="93"/>
      <c r="C1605" s="148" t="s">
        <v>1449</v>
      </c>
      <c r="D1605" s="126" t="s">
        <v>1450</v>
      </c>
      <c r="E1605" s="164" t="s">
        <v>1631</v>
      </c>
      <c r="F1605" s="164" t="s">
        <v>1631</v>
      </c>
      <c r="G1605" s="164" t="s">
        <v>1631</v>
      </c>
      <c r="H1605" s="164" t="s">
        <v>1631</v>
      </c>
      <c r="I1605" s="128">
        <v>0.9</v>
      </c>
      <c r="J1605" s="129">
        <v>0.933333333333333</v>
      </c>
      <c r="K1605" s="129">
        <v>0.88</v>
      </c>
      <c r="L1605" s="130">
        <v>0.959183673469388</v>
      </c>
      <c r="M1605" s="129">
        <v>0.945422535211268</v>
      </c>
      <c r="N1605" s="131">
        <v>0.9</v>
      </c>
      <c r="O1605" s="129">
        <v>0.99164741425271</v>
      </c>
      <c r="P1605" s="129">
        <v>0.995444606413994</v>
      </c>
      <c r="Q1605" s="129">
        <v>0.993330231115247</v>
      </c>
      <c r="R1605" s="129">
        <v>0.990853018372703</v>
      </c>
      <c r="S1605" s="131">
        <v>0.9</v>
      </c>
      <c r="T1605" s="129">
        <v>0.831704282921628</v>
      </c>
      <c r="U1605" s="129">
        <v>0.815233236151603</v>
      </c>
      <c r="V1605" s="129">
        <v>0.785946952070731</v>
      </c>
      <c r="W1605" s="129">
        <v>0.798950131233596</v>
      </c>
      <c r="X1605" s="131">
        <v>0.92</v>
      </c>
      <c r="Y1605" s="131">
        <v>1</v>
      </c>
      <c r="Z1605" s="131">
        <v>0</v>
      </c>
      <c r="AA1605" s="131">
        <v>0.5</v>
      </c>
      <c r="AB1605" s="131">
        <v>0.0465116279069767</v>
      </c>
      <c r="AC1605" s="131">
        <v>0.92</v>
      </c>
      <c r="AD1605" s="129">
        <v>1</v>
      </c>
      <c r="AE1605" s="129">
        <v>1</v>
      </c>
      <c r="AF1605" s="129">
        <v>0.991935483870968</v>
      </c>
      <c r="AG1605" s="129">
        <v>0.940458015267176</v>
      </c>
      <c r="AH1605" s="131">
        <v>0.92</v>
      </c>
      <c r="AI1605" s="129">
        <v>0.923418621179815</v>
      </c>
      <c r="AJ1605" s="129">
        <v>0.936964838768446</v>
      </c>
      <c r="AK1605" s="129">
        <v>0.93130717940766</v>
      </c>
      <c r="AL1605" s="129">
        <v>0.925082629452809</v>
      </c>
      <c r="AM1605" s="128">
        <v>0.99</v>
      </c>
      <c r="AN1605" s="133" t="s">
        <v>33</v>
      </c>
      <c r="AO1605" s="133" t="s">
        <v>33</v>
      </c>
      <c r="AP1605" s="133" t="s">
        <v>33</v>
      </c>
      <c r="AQ1605" s="133">
        <v>1</v>
      </c>
      <c r="AR1605" s="153">
        <v>0.110069253262963</v>
      </c>
      <c r="AS1605" s="137">
        <v>0.106382978723404</v>
      </c>
      <c r="AT1605" s="137">
        <v>0.119047619047619</v>
      </c>
      <c r="AU1605" s="137">
        <v>0.0704225352112676</v>
      </c>
      <c r="AV1605" s="137">
        <v>0.063391442155309</v>
      </c>
      <c r="AW1605" s="93"/>
      <c r="AX1605" s="91"/>
    </row>
    <row r="1606" ht="14.5" spans="1:50">
      <c r="A1606" s="89"/>
      <c r="B1606" s="93"/>
      <c r="C1606" s="148" t="s">
        <v>1449</v>
      </c>
      <c r="D1606" s="126" t="s">
        <v>1450</v>
      </c>
      <c r="E1606" s="164" t="s">
        <v>1632</v>
      </c>
      <c r="F1606" s="164" t="s">
        <v>1632</v>
      </c>
      <c r="G1606" s="164" t="s">
        <v>1632</v>
      </c>
      <c r="H1606" s="164" t="s">
        <v>1632</v>
      </c>
      <c r="I1606" s="128">
        <v>0.9</v>
      </c>
      <c r="J1606" s="129">
        <v>0.939393939393939</v>
      </c>
      <c r="K1606" s="129">
        <v>0.861111111111111</v>
      </c>
      <c r="L1606" s="130">
        <v>0.885714285714286</v>
      </c>
      <c r="M1606" s="129">
        <v>0.900990099009901</v>
      </c>
      <c r="N1606" s="131">
        <v>0.9</v>
      </c>
      <c r="O1606" s="129">
        <v>0.993954050785973</v>
      </c>
      <c r="P1606" s="129">
        <v>0.983539094650206</v>
      </c>
      <c r="Q1606" s="129">
        <v>0.983327158206743</v>
      </c>
      <c r="R1606" s="129">
        <v>0.968208935436829</v>
      </c>
      <c r="S1606" s="131">
        <v>0.9</v>
      </c>
      <c r="T1606" s="129">
        <v>0.670697299476018</v>
      </c>
      <c r="U1606" s="129">
        <v>0.692854470632248</v>
      </c>
      <c r="V1606" s="129">
        <v>0.666172656539459</v>
      </c>
      <c r="W1606" s="129">
        <v>0.521410579345088</v>
      </c>
      <c r="X1606" s="131">
        <v>0.92</v>
      </c>
      <c r="Y1606" s="131">
        <v>0.827329902801601</v>
      </c>
      <c r="Z1606" s="131">
        <v>0.863395225464191</v>
      </c>
      <c r="AA1606" s="131">
        <v>0.87369420702754</v>
      </c>
      <c r="AB1606" s="131">
        <v>0.847600544006217</v>
      </c>
      <c r="AC1606" s="131">
        <v>0.92</v>
      </c>
      <c r="AD1606" s="129">
        <v>1</v>
      </c>
      <c r="AE1606" s="129">
        <v>0.993710691823899</v>
      </c>
      <c r="AF1606" s="129">
        <v>0.993150684931507</v>
      </c>
      <c r="AG1606" s="129">
        <v>0.991452991452991</v>
      </c>
      <c r="AH1606" s="131">
        <v>0.92</v>
      </c>
      <c r="AI1606" s="129">
        <v>0.872843299456393</v>
      </c>
      <c r="AJ1606" s="129">
        <v>0.89305246100871</v>
      </c>
      <c r="AK1606" s="129">
        <v>0.902454242928453</v>
      </c>
      <c r="AL1606" s="129">
        <v>0.884110706803396</v>
      </c>
      <c r="AM1606" s="128">
        <v>0.99</v>
      </c>
      <c r="AN1606" s="133" t="s">
        <v>33</v>
      </c>
      <c r="AO1606" s="133" t="s">
        <v>33</v>
      </c>
      <c r="AP1606" s="133" t="s">
        <v>33</v>
      </c>
      <c r="AQ1606" s="133">
        <v>1</v>
      </c>
      <c r="AR1606" s="153">
        <v>0.110069253262963</v>
      </c>
      <c r="AS1606" s="137">
        <v>0.147058823529412</v>
      </c>
      <c r="AT1606" s="137">
        <v>0.0357142857142857</v>
      </c>
      <c r="AU1606" s="137">
        <v>0.03125</v>
      </c>
      <c r="AV1606" s="137">
        <v>0.0823529411764706</v>
      </c>
      <c r="AW1606" s="93"/>
      <c r="AX1606" s="91"/>
    </row>
    <row r="1607" ht="14.5" spans="1:50">
      <c r="A1607" s="89"/>
      <c r="B1607" s="93"/>
      <c r="C1607" s="148" t="s">
        <v>1449</v>
      </c>
      <c r="D1607" s="126" t="s">
        <v>1450</v>
      </c>
      <c r="E1607" s="164" t="s">
        <v>1633</v>
      </c>
      <c r="F1607" s="164" t="s">
        <v>1633</v>
      </c>
      <c r="G1607" s="164" t="s">
        <v>1633</v>
      </c>
      <c r="H1607" s="164" t="s">
        <v>1633</v>
      </c>
      <c r="I1607" s="128">
        <v>0.9</v>
      </c>
      <c r="J1607" s="129" t="s">
        <v>33</v>
      </c>
      <c r="K1607" s="129" t="s">
        <v>33</v>
      </c>
      <c r="L1607" s="130" t="s">
        <v>33</v>
      </c>
      <c r="M1607" s="129" t="s">
        <v>33</v>
      </c>
      <c r="N1607" s="131">
        <v>0.9</v>
      </c>
      <c r="O1607" s="129" t="s">
        <v>33</v>
      </c>
      <c r="P1607" s="129" t="s">
        <v>33</v>
      </c>
      <c r="Q1607" s="129" t="s">
        <v>33</v>
      </c>
      <c r="R1607" s="129" t="s">
        <v>33</v>
      </c>
      <c r="S1607" s="131">
        <v>0.9</v>
      </c>
      <c r="T1607" s="129" t="s">
        <v>33</v>
      </c>
      <c r="U1607" s="129" t="s">
        <v>33</v>
      </c>
      <c r="V1607" s="129" t="s">
        <v>33</v>
      </c>
      <c r="W1607" s="129" t="s">
        <v>33</v>
      </c>
      <c r="X1607" s="131">
        <v>0.92</v>
      </c>
      <c r="Y1607" s="131" t="s">
        <v>33</v>
      </c>
      <c r="Z1607" s="131" t="s">
        <v>33</v>
      </c>
      <c r="AA1607" s="131" t="s">
        <v>33</v>
      </c>
      <c r="AB1607" s="131" t="s">
        <v>33</v>
      </c>
      <c r="AC1607" s="131">
        <v>0.92</v>
      </c>
      <c r="AD1607" s="129">
        <v>0.938888888888889</v>
      </c>
      <c r="AE1607" s="129">
        <v>0.901960784313726</v>
      </c>
      <c r="AF1607" s="129">
        <v>1</v>
      </c>
      <c r="AG1607" s="129">
        <v>0.980679546968688</v>
      </c>
      <c r="AH1607" s="131">
        <v>0.92</v>
      </c>
      <c r="AI1607" s="129" t="s">
        <v>33</v>
      </c>
      <c r="AJ1607" s="129" t="s">
        <v>33</v>
      </c>
      <c r="AK1607" s="129" t="s">
        <v>33</v>
      </c>
      <c r="AL1607" s="129" t="s">
        <v>33</v>
      </c>
      <c r="AM1607" s="128">
        <v>0.99</v>
      </c>
      <c r="AN1607" s="133">
        <v>1</v>
      </c>
      <c r="AO1607" s="133">
        <v>1</v>
      </c>
      <c r="AP1607" s="133">
        <v>1</v>
      </c>
      <c r="AQ1607" s="133">
        <v>1</v>
      </c>
      <c r="AR1607" s="153">
        <v>0.110069253262963</v>
      </c>
      <c r="AS1607" s="137" t="s">
        <v>33</v>
      </c>
      <c r="AT1607" s="137" t="s">
        <v>33</v>
      </c>
      <c r="AU1607" s="137" t="s">
        <v>33</v>
      </c>
      <c r="AV1607" s="137" t="s">
        <v>33</v>
      </c>
      <c r="AW1607" s="93"/>
      <c r="AX1607" s="91"/>
    </row>
    <row r="1608" ht="14.5" spans="1:50">
      <c r="A1608" s="89"/>
      <c r="B1608" s="93"/>
      <c r="C1608" s="148" t="s">
        <v>1449</v>
      </c>
      <c r="D1608" s="126" t="s">
        <v>1450</v>
      </c>
      <c r="E1608" s="164" t="s">
        <v>1634</v>
      </c>
      <c r="F1608" s="164" t="s">
        <v>1634</v>
      </c>
      <c r="G1608" s="164" t="s">
        <v>1634</v>
      </c>
      <c r="H1608" s="164" t="s">
        <v>1634</v>
      </c>
      <c r="I1608" s="128">
        <v>0.9</v>
      </c>
      <c r="J1608" s="129" t="s">
        <v>33</v>
      </c>
      <c r="K1608" s="129" t="s">
        <v>33</v>
      </c>
      <c r="L1608" s="130" t="s">
        <v>33</v>
      </c>
      <c r="M1608" s="129" t="s">
        <v>33</v>
      </c>
      <c r="N1608" s="131">
        <v>0.9</v>
      </c>
      <c r="O1608" s="129" t="s">
        <v>33</v>
      </c>
      <c r="P1608" s="129" t="s">
        <v>33</v>
      </c>
      <c r="Q1608" s="129">
        <v>0</v>
      </c>
      <c r="R1608" s="129">
        <v>0</v>
      </c>
      <c r="S1608" s="131">
        <v>0.9</v>
      </c>
      <c r="T1608" s="129" t="s">
        <v>33</v>
      </c>
      <c r="U1608" s="129" t="s">
        <v>33</v>
      </c>
      <c r="V1608" s="129">
        <v>1</v>
      </c>
      <c r="W1608" s="129">
        <v>1</v>
      </c>
      <c r="X1608" s="131">
        <v>0.92</v>
      </c>
      <c r="Y1608" s="131" t="s">
        <v>33</v>
      </c>
      <c r="Z1608" s="131" t="s">
        <v>33</v>
      </c>
      <c r="AA1608" s="131" t="s">
        <v>33</v>
      </c>
      <c r="AB1608" s="131" t="s">
        <v>33</v>
      </c>
      <c r="AC1608" s="131">
        <v>0.92</v>
      </c>
      <c r="AD1608" s="129">
        <v>0.98792270531401</v>
      </c>
      <c r="AE1608" s="129">
        <v>0.224793388429752</v>
      </c>
      <c r="AF1608" s="129">
        <v>0.934065934065934</v>
      </c>
      <c r="AG1608" s="129">
        <v>0.659722222222222</v>
      </c>
      <c r="AH1608" s="131">
        <v>0.92</v>
      </c>
      <c r="AI1608" s="129" t="s">
        <v>33</v>
      </c>
      <c r="AJ1608" s="129" t="s">
        <v>33</v>
      </c>
      <c r="AK1608" s="129">
        <v>1</v>
      </c>
      <c r="AL1608" s="129">
        <v>1</v>
      </c>
      <c r="AM1608" s="128">
        <v>0.99</v>
      </c>
      <c r="AN1608" s="133">
        <v>1</v>
      </c>
      <c r="AO1608" s="133">
        <v>1</v>
      </c>
      <c r="AP1608" s="133">
        <v>1</v>
      </c>
      <c r="AQ1608" s="133">
        <v>1</v>
      </c>
      <c r="AR1608" s="153">
        <v>0.110069253262963</v>
      </c>
      <c r="AS1608" s="137" t="s">
        <v>33</v>
      </c>
      <c r="AT1608" s="137" t="s">
        <v>33</v>
      </c>
      <c r="AU1608" s="137" t="s">
        <v>33</v>
      </c>
      <c r="AV1608" s="137" t="s">
        <v>33</v>
      </c>
      <c r="AW1608" s="93"/>
      <c r="AX1608" s="91"/>
    </row>
    <row r="1609" ht="14.5" spans="1:50">
      <c r="A1609" s="89"/>
      <c r="B1609" s="93"/>
      <c r="C1609" s="148" t="s">
        <v>1449</v>
      </c>
      <c r="D1609" s="126" t="s">
        <v>1450</v>
      </c>
      <c r="E1609" s="164" t="s">
        <v>1635</v>
      </c>
      <c r="F1609" s="164" t="s">
        <v>1635</v>
      </c>
      <c r="G1609" s="164" t="s">
        <v>1635</v>
      </c>
      <c r="H1609" s="164" t="s">
        <v>1635</v>
      </c>
      <c r="I1609" s="128">
        <v>0.9</v>
      </c>
      <c r="J1609" s="129">
        <v>1</v>
      </c>
      <c r="K1609" s="129">
        <v>0.923076923076923</v>
      </c>
      <c r="L1609" s="130">
        <v>0.958333333333333</v>
      </c>
      <c r="M1609" s="129">
        <v>0.97508896797153</v>
      </c>
      <c r="N1609" s="131">
        <v>0.9</v>
      </c>
      <c r="O1609" s="129">
        <v>0.977685950413223</v>
      </c>
      <c r="P1609" s="129">
        <v>0.97037037037037</v>
      </c>
      <c r="Q1609" s="129">
        <v>0.962559564329476</v>
      </c>
      <c r="R1609" s="129">
        <v>0.953224101479915</v>
      </c>
      <c r="S1609" s="131">
        <v>0.9</v>
      </c>
      <c r="T1609" s="129">
        <v>0.876859504132231</v>
      </c>
      <c r="U1609" s="129">
        <v>0.897119341563786</v>
      </c>
      <c r="V1609" s="129">
        <v>0.893805309734513</v>
      </c>
      <c r="W1609" s="129">
        <v>0.842758985200846</v>
      </c>
      <c r="X1609" s="131">
        <v>0.92</v>
      </c>
      <c r="Y1609" s="131">
        <v>0.929903057419836</v>
      </c>
      <c r="Z1609" s="131">
        <v>0.939814814814815</v>
      </c>
      <c r="AA1609" s="131">
        <v>0.942616033755274</v>
      </c>
      <c r="AB1609" s="131">
        <v>0.929106148825901</v>
      </c>
      <c r="AC1609" s="131">
        <v>0.92</v>
      </c>
      <c r="AD1609" s="129">
        <v>0.235023041474654</v>
      </c>
      <c r="AE1609" s="129">
        <v>0.989090909090909</v>
      </c>
      <c r="AF1609" s="129">
        <v>1</v>
      </c>
      <c r="AG1609" s="129">
        <v>0.891025641025641</v>
      </c>
      <c r="AH1609" s="131">
        <v>0.92</v>
      </c>
      <c r="AI1609" s="129">
        <v>0.941591532732262</v>
      </c>
      <c r="AJ1609" s="129">
        <v>0.954201513341298</v>
      </c>
      <c r="AK1609" s="129">
        <v>0.958615500376223</v>
      </c>
      <c r="AL1609" s="129">
        <v>0.944988870580753</v>
      </c>
      <c r="AM1609" s="128">
        <v>0.99</v>
      </c>
      <c r="AN1609" s="133">
        <v>1</v>
      </c>
      <c r="AO1609" s="133">
        <v>1</v>
      </c>
      <c r="AP1609" s="133">
        <v>1</v>
      </c>
      <c r="AQ1609" s="133">
        <v>1</v>
      </c>
      <c r="AR1609" s="153">
        <v>0.110069253262963</v>
      </c>
      <c r="AS1609" s="137">
        <v>0</v>
      </c>
      <c r="AT1609" s="137">
        <v>0.117647058823529</v>
      </c>
      <c r="AU1609" s="137">
        <v>0.19047619047619</v>
      </c>
      <c r="AV1609" s="137">
        <v>0.0601851851851852</v>
      </c>
      <c r="AW1609" s="93"/>
      <c r="AX1609" s="91"/>
    </row>
    <row r="1610" ht="14.5" spans="1:50">
      <c r="A1610" s="89"/>
      <c r="B1610" s="93"/>
      <c r="C1610" s="148" t="s">
        <v>1449</v>
      </c>
      <c r="D1610" s="126" t="s">
        <v>1450</v>
      </c>
      <c r="E1610" s="164" t="s">
        <v>1636</v>
      </c>
      <c r="F1610" s="164" t="s">
        <v>1636</v>
      </c>
      <c r="G1610" s="164" t="s">
        <v>1636</v>
      </c>
      <c r="H1610" s="164" t="s">
        <v>1636</v>
      </c>
      <c r="I1610" s="128">
        <v>0.9</v>
      </c>
      <c r="J1610" s="129" t="s">
        <v>33</v>
      </c>
      <c r="K1610" s="129" t="s">
        <v>33</v>
      </c>
      <c r="L1610" s="130" t="s">
        <v>33</v>
      </c>
      <c r="M1610" s="129" t="s">
        <v>33</v>
      </c>
      <c r="N1610" s="131">
        <v>0.9</v>
      </c>
      <c r="O1610" s="129" t="s">
        <v>33</v>
      </c>
      <c r="P1610" s="129">
        <v>0</v>
      </c>
      <c r="Q1610" s="129" t="s">
        <v>33</v>
      </c>
      <c r="R1610" s="129">
        <v>0</v>
      </c>
      <c r="S1610" s="131">
        <v>0.9</v>
      </c>
      <c r="T1610" s="129" t="s">
        <v>33</v>
      </c>
      <c r="U1610" s="129">
        <v>0.666666666666667</v>
      </c>
      <c r="V1610" s="129" t="s">
        <v>33</v>
      </c>
      <c r="W1610" s="129">
        <v>0.8</v>
      </c>
      <c r="X1610" s="131">
        <v>0.92</v>
      </c>
      <c r="Y1610" s="131" t="s">
        <v>33</v>
      </c>
      <c r="Z1610" s="131" t="s">
        <v>33</v>
      </c>
      <c r="AA1610" s="131" t="s">
        <v>33</v>
      </c>
      <c r="AB1610" s="131" t="s">
        <v>33</v>
      </c>
      <c r="AC1610" s="131">
        <v>0.92</v>
      </c>
      <c r="AD1610" s="129">
        <v>0.922568460812087</v>
      </c>
      <c r="AE1610" s="129">
        <v>0.950704225352113</v>
      </c>
      <c r="AF1610" s="129">
        <v>0.987228607918263</v>
      </c>
      <c r="AG1610" s="129">
        <v>0.975318798848211</v>
      </c>
      <c r="AH1610" s="131">
        <v>0.92</v>
      </c>
      <c r="AI1610" s="129" t="s">
        <v>33</v>
      </c>
      <c r="AJ1610" s="129">
        <v>0.666666666666667</v>
      </c>
      <c r="AK1610" s="129" t="s">
        <v>33</v>
      </c>
      <c r="AL1610" s="129">
        <v>0.866666666666667</v>
      </c>
      <c r="AM1610" s="128">
        <v>0.99</v>
      </c>
      <c r="AN1610" s="133">
        <v>1</v>
      </c>
      <c r="AO1610" s="133">
        <v>1</v>
      </c>
      <c r="AP1610" s="133">
        <v>1</v>
      </c>
      <c r="AQ1610" s="133">
        <v>1</v>
      </c>
      <c r="AR1610" s="153">
        <v>0.110069253262963</v>
      </c>
      <c r="AS1610" s="137" t="s">
        <v>33</v>
      </c>
      <c r="AT1610" s="137" t="s">
        <v>33</v>
      </c>
      <c r="AU1610" s="137" t="s">
        <v>33</v>
      </c>
      <c r="AV1610" s="137" t="s">
        <v>33</v>
      </c>
      <c r="AW1610" s="93"/>
      <c r="AX1610" s="91"/>
    </row>
    <row r="1611" ht="14.5" spans="1:50">
      <c r="A1611" s="89"/>
      <c r="B1611" s="93"/>
      <c r="C1611" s="148" t="s">
        <v>1449</v>
      </c>
      <c r="D1611" s="126" t="s">
        <v>1450</v>
      </c>
      <c r="E1611" s="164" t="s">
        <v>1637</v>
      </c>
      <c r="F1611" s="164" t="s">
        <v>1637</v>
      </c>
      <c r="G1611" s="164" t="s">
        <v>1637</v>
      </c>
      <c r="H1611" s="164" t="s">
        <v>1637</v>
      </c>
      <c r="I1611" s="128">
        <v>0.9</v>
      </c>
      <c r="J1611" s="129" t="s">
        <v>33</v>
      </c>
      <c r="K1611" s="129" t="s">
        <v>33</v>
      </c>
      <c r="L1611" s="130" t="s">
        <v>33</v>
      </c>
      <c r="M1611" s="129" t="s">
        <v>33</v>
      </c>
      <c r="N1611" s="131">
        <v>0.9</v>
      </c>
      <c r="O1611" s="129" t="s">
        <v>33</v>
      </c>
      <c r="P1611" s="129" t="s">
        <v>33</v>
      </c>
      <c r="Q1611" s="129" t="s">
        <v>33</v>
      </c>
      <c r="R1611" s="129" t="s">
        <v>33</v>
      </c>
      <c r="S1611" s="131">
        <v>0.9</v>
      </c>
      <c r="T1611" s="129" t="s">
        <v>33</v>
      </c>
      <c r="U1611" s="129" t="s">
        <v>33</v>
      </c>
      <c r="V1611" s="129" t="s">
        <v>33</v>
      </c>
      <c r="W1611" s="129" t="s">
        <v>33</v>
      </c>
      <c r="X1611" s="131">
        <v>0.92</v>
      </c>
      <c r="Y1611" s="131" t="s">
        <v>33</v>
      </c>
      <c r="Z1611" s="131" t="s">
        <v>33</v>
      </c>
      <c r="AA1611" s="131" t="s">
        <v>33</v>
      </c>
      <c r="AB1611" s="131" t="s">
        <v>33</v>
      </c>
      <c r="AC1611" s="131">
        <v>0.92</v>
      </c>
      <c r="AD1611" s="129">
        <v>0.890688259109312</v>
      </c>
      <c r="AE1611" s="129">
        <v>0.876923076923077</v>
      </c>
      <c r="AF1611" s="129">
        <v>0.872448979591837</v>
      </c>
      <c r="AG1611" s="129">
        <v>0.926948051948052</v>
      </c>
      <c r="AH1611" s="131">
        <v>0.92</v>
      </c>
      <c r="AI1611" s="129" t="s">
        <v>33</v>
      </c>
      <c r="AJ1611" s="129" t="s">
        <v>33</v>
      </c>
      <c r="AK1611" s="129" t="s">
        <v>33</v>
      </c>
      <c r="AL1611" s="129" t="s">
        <v>33</v>
      </c>
      <c r="AM1611" s="128">
        <v>0.99</v>
      </c>
      <c r="AN1611" s="133">
        <v>1</v>
      </c>
      <c r="AO1611" s="133">
        <v>1</v>
      </c>
      <c r="AP1611" s="133">
        <v>1</v>
      </c>
      <c r="AQ1611" s="133">
        <v>1</v>
      </c>
      <c r="AR1611" s="153">
        <v>0.110069253262963</v>
      </c>
      <c r="AS1611" s="137" t="s">
        <v>33</v>
      </c>
      <c r="AT1611" s="137" t="s">
        <v>33</v>
      </c>
      <c r="AU1611" s="137" t="s">
        <v>33</v>
      </c>
      <c r="AV1611" s="137" t="s">
        <v>33</v>
      </c>
      <c r="AW1611" s="93"/>
      <c r="AX1611" s="91"/>
    </row>
    <row r="1612" ht="14.5" spans="1:50">
      <c r="A1612" s="89"/>
      <c r="B1612" s="93"/>
      <c r="C1612" s="148" t="s">
        <v>1449</v>
      </c>
      <c r="D1612" s="126" t="s">
        <v>1450</v>
      </c>
      <c r="E1612" s="164" t="s">
        <v>1638</v>
      </c>
      <c r="F1612" s="164" t="s">
        <v>1638</v>
      </c>
      <c r="G1612" s="164" t="s">
        <v>1638</v>
      </c>
      <c r="H1612" s="164" t="s">
        <v>1638</v>
      </c>
      <c r="I1612" s="128">
        <v>0.9</v>
      </c>
      <c r="J1612" s="129" t="s">
        <v>33</v>
      </c>
      <c r="K1612" s="129" t="s">
        <v>33</v>
      </c>
      <c r="L1612" s="130" t="s">
        <v>33</v>
      </c>
      <c r="M1612" s="129" t="s">
        <v>33</v>
      </c>
      <c r="N1612" s="131">
        <v>0.9</v>
      </c>
      <c r="O1612" s="129" t="s">
        <v>33</v>
      </c>
      <c r="P1612" s="129" t="s">
        <v>33</v>
      </c>
      <c r="Q1612" s="129" t="s">
        <v>33</v>
      </c>
      <c r="R1612" s="129" t="s">
        <v>33</v>
      </c>
      <c r="S1612" s="131">
        <v>0.9</v>
      </c>
      <c r="T1612" s="129" t="s">
        <v>33</v>
      </c>
      <c r="U1612" s="129" t="s">
        <v>33</v>
      </c>
      <c r="V1612" s="129" t="s">
        <v>33</v>
      </c>
      <c r="W1612" s="129" t="s">
        <v>33</v>
      </c>
      <c r="X1612" s="131">
        <v>0.92</v>
      </c>
      <c r="Y1612" s="131" t="s">
        <v>33</v>
      </c>
      <c r="Z1612" s="131" t="s">
        <v>33</v>
      </c>
      <c r="AA1612" s="131" t="s">
        <v>33</v>
      </c>
      <c r="AB1612" s="131" t="s">
        <v>33</v>
      </c>
      <c r="AC1612" s="131">
        <v>0.92</v>
      </c>
      <c r="AD1612" s="129">
        <v>0.993103448275862</v>
      </c>
      <c r="AE1612" s="129">
        <v>1</v>
      </c>
      <c r="AF1612" s="129">
        <v>1</v>
      </c>
      <c r="AG1612" s="129">
        <v>0.996384671005061</v>
      </c>
      <c r="AH1612" s="131">
        <v>0.92</v>
      </c>
      <c r="AI1612" s="129" t="s">
        <v>33</v>
      </c>
      <c r="AJ1612" s="129" t="s">
        <v>33</v>
      </c>
      <c r="AK1612" s="129" t="s">
        <v>33</v>
      </c>
      <c r="AL1612" s="129" t="s">
        <v>33</v>
      </c>
      <c r="AM1612" s="128">
        <v>0.99</v>
      </c>
      <c r="AN1612" s="133">
        <v>1</v>
      </c>
      <c r="AO1612" s="133">
        <v>1</v>
      </c>
      <c r="AP1612" s="133">
        <v>1</v>
      </c>
      <c r="AQ1612" s="133">
        <v>1</v>
      </c>
      <c r="AR1612" s="153">
        <v>0.110069253262963</v>
      </c>
      <c r="AS1612" s="137" t="s">
        <v>33</v>
      </c>
      <c r="AT1612" s="137" t="s">
        <v>33</v>
      </c>
      <c r="AU1612" s="137" t="s">
        <v>33</v>
      </c>
      <c r="AV1612" s="137" t="s">
        <v>33</v>
      </c>
      <c r="AW1612" s="93"/>
      <c r="AX1612" s="91"/>
    </row>
    <row r="1613" ht="14.5" spans="1:50">
      <c r="A1613" s="89"/>
      <c r="B1613" s="93"/>
      <c r="C1613" s="148" t="s">
        <v>1449</v>
      </c>
      <c r="D1613" s="126" t="s">
        <v>1450</v>
      </c>
      <c r="E1613" s="164" t="s">
        <v>1639</v>
      </c>
      <c r="F1613" s="164" t="s">
        <v>1639</v>
      </c>
      <c r="G1613" s="164" t="s">
        <v>1639</v>
      </c>
      <c r="H1613" s="164" t="s">
        <v>1639</v>
      </c>
      <c r="I1613" s="128">
        <v>0.9</v>
      </c>
      <c r="J1613" s="129" t="s">
        <v>33</v>
      </c>
      <c r="K1613" s="129" t="s">
        <v>33</v>
      </c>
      <c r="L1613" s="130" t="s">
        <v>33</v>
      </c>
      <c r="M1613" s="129" t="s">
        <v>33</v>
      </c>
      <c r="N1613" s="131">
        <v>0.9</v>
      </c>
      <c r="O1613" s="129" t="s">
        <v>33</v>
      </c>
      <c r="P1613" s="129" t="s">
        <v>33</v>
      </c>
      <c r="Q1613" s="129" t="s">
        <v>33</v>
      </c>
      <c r="R1613" s="129">
        <v>0</v>
      </c>
      <c r="S1613" s="131">
        <v>0.9</v>
      </c>
      <c r="T1613" s="129" t="s">
        <v>33</v>
      </c>
      <c r="U1613" s="129" t="s">
        <v>33</v>
      </c>
      <c r="V1613" s="129" t="s">
        <v>33</v>
      </c>
      <c r="W1613" s="129">
        <v>1</v>
      </c>
      <c r="X1613" s="131">
        <v>0.92</v>
      </c>
      <c r="Y1613" s="131" t="s">
        <v>33</v>
      </c>
      <c r="Z1613" s="131" t="s">
        <v>33</v>
      </c>
      <c r="AA1613" s="131" t="s">
        <v>33</v>
      </c>
      <c r="AB1613" s="131" t="s">
        <v>33</v>
      </c>
      <c r="AC1613" s="131">
        <v>0.92</v>
      </c>
      <c r="AD1613" s="129">
        <v>0.833860759493671</v>
      </c>
      <c r="AE1613" s="129">
        <v>0.924920127795527</v>
      </c>
      <c r="AF1613" s="129">
        <v>1</v>
      </c>
      <c r="AG1613" s="129">
        <v>0.946783730514245</v>
      </c>
      <c r="AH1613" s="131">
        <v>0.92</v>
      </c>
      <c r="AI1613" s="129" t="s">
        <v>33</v>
      </c>
      <c r="AJ1613" s="129" t="s">
        <v>33</v>
      </c>
      <c r="AK1613" s="129" t="s">
        <v>33</v>
      </c>
      <c r="AL1613" s="129">
        <v>1</v>
      </c>
      <c r="AM1613" s="128">
        <v>0.99</v>
      </c>
      <c r="AN1613" s="133">
        <v>1</v>
      </c>
      <c r="AO1613" s="133">
        <v>1</v>
      </c>
      <c r="AP1613" s="133">
        <v>1</v>
      </c>
      <c r="AQ1613" s="133">
        <v>1</v>
      </c>
      <c r="AR1613" s="153">
        <v>0.110069253262963</v>
      </c>
      <c r="AS1613" s="137" t="s">
        <v>33</v>
      </c>
      <c r="AT1613" s="137" t="s">
        <v>33</v>
      </c>
      <c r="AU1613" s="137" t="s">
        <v>33</v>
      </c>
      <c r="AV1613" s="137" t="s">
        <v>33</v>
      </c>
      <c r="AW1613" s="93"/>
      <c r="AX1613" s="91"/>
    </row>
    <row r="1614" ht="14.5" spans="1:50">
      <c r="A1614" s="89"/>
      <c r="B1614" s="93"/>
      <c r="C1614" s="148" t="s">
        <v>1449</v>
      </c>
      <c r="D1614" s="126" t="s">
        <v>1450</v>
      </c>
      <c r="E1614" s="164" t="s">
        <v>1640</v>
      </c>
      <c r="F1614" s="164" t="s">
        <v>1640</v>
      </c>
      <c r="G1614" s="164" t="s">
        <v>1640</v>
      </c>
      <c r="H1614" s="164" t="s">
        <v>1640</v>
      </c>
      <c r="I1614" s="128">
        <v>0.9</v>
      </c>
      <c r="J1614" s="129" t="s">
        <v>33</v>
      </c>
      <c r="K1614" s="129" t="s">
        <v>33</v>
      </c>
      <c r="L1614" s="130" t="s">
        <v>33</v>
      </c>
      <c r="M1614" s="129" t="s">
        <v>33</v>
      </c>
      <c r="N1614" s="131">
        <v>0.9</v>
      </c>
      <c r="O1614" s="129" t="s">
        <v>33</v>
      </c>
      <c r="P1614" s="129" t="s">
        <v>33</v>
      </c>
      <c r="Q1614" s="129" t="s">
        <v>33</v>
      </c>
      <c r="R1614" s="129" t="s">
        <v>33</v>
      </c>
      <c r="S1614" s="131">
        <v>0.9</v>
      </c>
      <c r="T1614" s="129" t="s">
        <v>33</v>
      </c>
      <c r="U1614" s="129" t="s">
        <v>33</v>
      </c>
      <c r="V1614" s="129" t="s">
        <v>33</v>
      </c>
      <c r="W1614" s="129" t="s">
        <v>33</v>
      </c>
      <c r="X1614" s="131">
        <v>0.92</v>
      </c>
      <c r="Y1614" s="131" t="s">
        <v>33</v>
      </c>
      <c r="Z1614" s="131" t="s">
        <v>33</v>
      </c>
      <c r="AA1614" s="131" t="s">
        <v>33</v>
      </c>
      <c r="AB1614" s="131" t="s">
        <v>33</v>
      </c>
      <c r="AC1614" s="131">
        <v>0.92</v>
      </c>
      <c r="AD1614" s="129">
        <v>1</v>
      </c>
      <c r="AE1614" s="129">
        <v>0.993775933609959</v>
      </c>
      <c r="AF1614" s="129">
        <v>0.235421166306695</v>
      </c>
      <c r="AG1614" s="129">
        <v>0.770705901801951</v>
      </c>
      <c r="AH1614" s="131">
        <v>0.92</v>
      </c>
      <c r="AI1614" s="129" t="s">
        <v>33</v>
      </c>
      <c r="AJ1614" s="129" t="s">
        <v>33</v>
      </c>
      <c r="AK1614" s="129" t="s">
        <v>33</v>
      </c>
      <c r="AL1614" s="129" t="s">
        <v>33</v>
      </c>
      <c r="AM1614" s="128">
        <v>0.99</v>
      </c>
      <c r="AN1614" s="133">
        <v>1</v>
      </c>
      <c r="AO1614" s="133">
        <v>1</v>
      </c>
      <c r="AP1614" s="133">
        <v>1</v>
      </c>
      <c r="AQ1614" s="133">
        <v>1</v>
      </c>
      <c r="AR1614" s="153">
        <v>0.110069253262963</v>
      </c>
      <c r="AS1614" s="137" t="s">
        <v>33</v>
      </c>
      <c r="AT1614" s="137" t="s">
        <v>33</v>
      </c>
      <c r="AU1614" s="137" t="s">
        <v>33</v>
      </c>
      <c r="AV1614" s="137" t="s">
        <v>33</v>
      </c>
      <c r="AW1614" s="93"/>
      <c r="AX1614" s="91"/>
    </row>
    <row r="1615" ht="14.5" spans="1:50">
      <c r="A1615" s="89"/>
      <c r="B1615" s="93"/>
      <c r="C1615" s="148" t="s">
        <v>1449</v>
      </c>
      <c r="D1615" s="126" t="s">
        <v>1450</v>
      </c>
      <c r="E1615" s="164" t="s">
        <v>1641</v>
      </c>
      <c r="F1615" s="164" t="s">
        <v>1641</v>
      </c>
      <c r="G1615" s="164" t="s">
        <v>1641</v>
      </c>
      <c r="H1615" s="164" t="s">
        <v>1641</v>
      </c>
      <c r="I1615" s="128">
        <v>0.9</v>
      </c>
      <c r="J1615" s="129" t="s">
        <v>33</v>
      </c>
      <c r="K1615" s="129" t="s">
        <v>33</v>
      </c>
      <c r="L1615" s="130" t="s">
        <v>33</v>
      </c>
      <c r="M1615" s="129" t="s">
        <v>33</v>
      </c>
      <c r="N1615" s="131">
        <v>0.9</v>
      </c>
      <c r="O1615" s="129" t="s">
        <v>33</v>
      </c>
      <c r="P1615" s="129" t="s">
        <v>33</v>
      </c>
      <c r="Q1615" s="129" t="s">
        <v>33</v>
      </c>
      <c r="R1615" s="129" t="s">
        <v>33</v>
      </c>
      <c r="S1615" s="131">
        <v>0.9</v>
      </c>
      <c r="T1615" s="129" t="s">
        <v>33</v>
      </c>
      <c r="U1615" s="129" t="s">
        <v>33</v>
      </c>
      <c r="V1615" s="129" t="s">
        <v>33</v>
      </c>
      <c r="W1615" s="129" t="s">
        <v>33</v>
      </c>
      <c r="X1615" s="131">
        <v>0.92</v>
      </c>
      <c r="Y1615" s="131" t="s">
        <v>33</v>
      </c>
      <c r="Z1615" s="131" t="s">
        <v>33</v>
      </c>
      <c r="AA1615" s="131" t="s">
        <v>33</v>
      </c>
      <c r="AB1615" s="131" t="s">
        <v>33</v>
      </c>
      <c r="AC1615" s="131">
        <v>0.92</v>
      </c>
      <c r="AD1615" s="129">
        <v>1</v>
      </c>
      <c r="AE1615" s="129">
        <v>0.992982456140351</v>
      </c>
      <c r="AF1615" s="129">
        <v>1</v>
      </c>
      <c r="AG1615" s="129">
        <v>0.99878197320341</v>
      </c>
      <c r="AH1615" s="131">
        <v>0.92</v>
      </c>
      <c r="AI1615" s="129" t="s">
        <v>33</v>
      </c>
      <c r="AJ1615" s="129" t="s">
        <v>33</v>
      </c>
      <c r="AK1615" s="129">
        <v>1</v>
      </c>
      <c r="AL1615" s="129">
        <v>1</v>
      </c>
      <c r="AM1615" s="128">
        <v>0.99</v>
      </c>
      <c r="AN1615" s="133">
        <v>1</v>
      </c>
      <c r="AO1615" s="133" t="s">
        <v>33</v>
      </c>
      <c r="AP1615" s="133">
        <v>1</v>
      </c>
      <c r="AQ1615" s="133">
        <v>1</v>
      </c>
      <c r="AR1615" s="153">
        <v>0.110069253262963</v>
      </c>
      <c r="AS1615" s="137" t="s">
        <v>33</v>
      </c>
      <c r="AT1615" s="137" t="s">
        <v>33</v>
      </c>
      <c r="AU1615" s="137" t="s">
        <v>33</v>
      </c>
      <c r="AV1615" s="137" t="s">
        <v>33</v>
      </c>
      <c r="AW1615" s="93"/>
      <c r="AX1615" s="91"/>
    </row>
    <row r="1616" ht="14.5" spans="1:50">
      <c r="A1616" s="89"/>
      <c r="B1616" s="93"/>
      <c r="C1616" s="148" t="s">
        <v>1449</v>
      </c>
      <c r="D1616" s="126" t="s">
        <v>1450</v>
      </c>
      <c r="E1616" s="164" t="s">
        <v>1642</v>
      </c>
      <c r="F1616" s="164" t="s">
        <v>1642</v>
      </c>
      <c r="G1616" s="164" t="s">
        <v>1642</v>
      </c>
      <c r="H1616" s="164" t="s">
        <v>1642</v>
      </c>
      <c r="I1616" s="128">
        <v>0.9</v>
      </c>
      <c r="J1616" s="129" t="s">
        <v>33</v>
      </c>
      <c r="K1616" s="129" t="s">
        <v>33</v>
      </c>
      <c r="L1616" s="130" t="s">
        <v>33</v>
      </c>
      <c r="M1616" s="129" t="s">
        <v>33</v>
      </c>
      <c r="N1616" s="131">
        <v>0.9</v>
      </c>
      <c r="O1616" s="129" t="s">
        <v>33</v>
      </c>
      <c r="P1616" s="129" t="s">
        <v>33</v>
      </c>
      <c r="Q1616" s="129" t="s">
        <v>33</v>
      </c>
      <c r="R1616" s="129" t="s">
        <v>33</v>
      </c>
      <c r="S1616" s="131">
        <v>0.9</v>
      </c>
      <c r="T1616" s="129" t="s">
        <v>33</v>
      </c>
      <c r="U1616" s="129" t="s">
        <v>33</v>
      </c>
      <c r="V1616" s="129" t="s">
        <v>33</v>
      </c>
      <c r="W1616" s="129" t="s">
        <v>33</v>
      </c>
      <c r="X1616" s="131">
        <v>0.92</v>
      </c>
      <c r="Y1616" s="131" t="s">
        <v>33</v>
      </c>
      <c r="Z1616" s="131" t="s">
        <v>33</v>
      </c>
      <c r="AA1616" s="131" t="s">
        <v>33</v>
      </c>
      <c r="AB1616" s="131" t="s">
        <v>33</v>
      </c>
      <c r="AC1616" s="131">
        <v>0.92</v>
      </c>
      <c r="AD1616" s="129">
        <v>1</v>
      </c>
      <c r="AE1616" s="129">
        <v>1</v>
      </c>
      <c r="AF1616" s="129">
        <v>0.189265536723164</v>
      </c>
      <c r="AG1616" s="129">
        <v>0.800644122383253</v>
      </c>
      <c r="AH1616" s="131">
        <v>0.92</v>
      </c>
      <c r="AI1616" s="129" t="s">
        <v>33</v>
      </c>
      <c r="AJ1616" s="129" t="s">
        <v>33</v>
      </c>
      <c r="AK1616" s="129" t="s">
        <v>33</v>
      </c>
      <c r="AL1616" s="129" t="s">
        <v>33</v>
      </c>
      <c r="AM1616" s="128">
        <v>0.99</v>
      </c>
      <c r="AN1616" s="133">
        <v>1</v>
      </c>
      <c r="AO1616" s="133">
        <v>1</v>
      </c>
      <c r="AP1616" s="133">
        <v>1</v>
      </c>
      <c r="AQ1616" s="133">
        <v>1</v>
      </c>
      <c r="AR1616" s="153">
        <v>0.110069253262963</v>
      </c>
      <c r="AS1616" s="137" t="s">
        <v>33</v>
      </c>
      <c r="AT1616" s="137" t="s">
        <v>33</v>
      </c>
      <c r="AU1616" s="137" t="s">
        <v>33</v>
      </c>
      <c r="AV1616" s="137" t="s">
        <v>33</v>
      </c>
      <c r="AW1616" s="93"/>
      <c r="AX1616" s="91"/>
    </row>
    <row r="1617" ht="14.5" spans="1:50">
      <c r="A1617" s="89"/>
      <c r="B1617" s="93"/>
      <c r="C1617" s="148" t="s">
        <v>1449</v>
      </c>
      <c r="D1617" s="126" t="s">
        <v>1450</v>
      </c>
      <c r="E1617" s="164" t="s">
        <v>1643</v>
      </c>
      <c r="F1617" s="164" t="s">
        <v>1643</v>
      </c>
      <c r="G1617" s="164" t="s">
        <v>1643</v>
      </c>
      <c r="H1617" s="164" t="s">
        <v>1643</v>
      </c>
      <c r="I1617" s="128">
        <v>0.9</v>
      </c>
      <c r="J1617" s="129" t="s">
        <v>33</v>
      </c>
      <c r="K1617" s="129" t="s">
        <v>33</v>
      </c>
      <c r="L1617" s="130" t="s">
        <v>33</v>
      </c>
      <c r="M1617" s="129" t="s">
        <v>33</v>
      </c>
      <c r="N1617" s="131">
        <v>0.9</v>
      </c>
      <c r="O1617" s="129" t="s">
        <v>33</v>
      </c>
      <c r="P1617" s="129" t="s">
        <v>33</v>
      </c>
      <c r="Q1617" s="129" t="s">
        <v>33</v>
      </c>
      <c r="R1617" s="129" t="s">
        <v>33</v>
      </c>
      <c r="S1617" s="131">
        <v>0.9</v>
      </c>
      <c r="T1617" s="129" t="s">
        <v>33</v>
      </c>
      <c r="U1617" s="129" t="s">
        <v>33</v>
      </c>
      <c r="V1617" s="129" t="s">
        <v>33</v>
      </c>
      <c r="W1617" s="129" t="s">
        <v>33</v>
      </c>
      <c r="X1617" s="131">
        <v>0.92</v>
      </c>
      <c r="Y1617" s="131" t="s">
        <v>33</v>
      </c>
      <c r="Z1617" s="131" t="s">
        <v>33</v>
      </c>
      <c r="AA1617" s="131" t="s">
        <v>33</v>
      </c>
      <c r="AB1617" s="131" t="s">
        <v>33</v>
      </c>
      <c r="AC1617" s="131">
        <v>0.92</v>
      </c>
      <c r="AD1617" s="129">
        <v>1</v>
      </c>
      <c r="AE1617" s="129">
        <v>0.99375</v>
      </c>
      <c r="AF1617" s="129">
        <v>1</v>
      </c>
      <c r="AG1617" s="129">
        <v>0.99814039981404</v>
      </c>
      <c r="AH1617" s="131">
        <v>0.92</v>
      </c>
      <c r="AI1617" s="129" t="s">
        <v>33</v>
      </c>
      <c r="AJ1617" s="129" t="s">
        <v>33</v>
      </c>
      <c r="AK1617" s="129" t="s">
        <v>33</v>
      </c>
      <c r="AL1617" s="129" t="s">
        <v>33</v>
      </c>
      <c r="AM1617" s="128">
        <v>0.99</v>
      </c>
      <c r="AN1617" s="133">
        <v>1</v>
      </c>
      <c r="AO1617" s="133">
        <v>1</v>
      </c>
      <c r="AP1617" s="133">
        <v>1</v>
      </c>
      <c r="AQ1617" s="133">
        <v>1</v>
      </c>
      <c r="AR1617" s="153">
        <v>0.110069253262963</v>
      </c>
      <c r="AS1617" s="137" t="s">
        <v>33</v>
      </c>
      <c r="AT1617" s="137" t="s">
        <v>33</v>
      </c>
      <c r="AU1617" s="137" t="s">
        <v>33</v>
      </c>
      <c r="AV1617" s="137" t="s">
        <v>33</v>
      </c>
      <c r="AW1617" s="93"/>
      <c r="AX1617" s="91"/>
    </row>
    <row r="1618" ht="14.5" spans="1:50">
      <c r="A1618" s="89"/>
      <c r="B1618" s="93"/>
      <c r="C1618" s="148" t="s">
        <v>1449</v>
      </c>
      <c r="D1618" s="126" t="s">
        <v>1450</v>
      </c>
      <c r="E1618" s="164" t="s">
        <v>1644</v>
      </c>
      <c r="F1618" s="164" t="s">
        <v>1644</v>
      </c>
      <c r="G1618" s="164" t="s">
        <v>1644</v>
      </c>
      <c r="H1618" s="164" t="s">
        <v>1644</v>
      </c>
      <c r="I1618" s="128">
        <v>0.9</v>
      </c>
      <c r="J1618" s="129" t="s">
        <v>33</v>
      </c>
      <c r="K1618" s="129" t="s">
        <v>33</v>
      </c>
      <c r="L1618" s="130" t="s">
        <v>33</v>
      </c>
      <c r="M1618" s="129" t="s">
        <v>33</v>
      </c>
      <c r="N1618" s="131">
        <v>0.9</v>
      </c>
      <c r="O1618" s="129" t="s">
        <v>33</v>
      </c>
      <c r="P1618" s="129" t="s">
        <v>33</v>
      </c>
      <c r="Q1618" s="129" t="s">
        <v>33</v>
      </c>
      <c r="R1618" s="129">
        <v>0</v>
      </c>
      <c r="S1618" s="131">
        <v>0.9</v>
      </c>
      <c r="T1618" s="129" t="s">
        <v>33</v>
      </c>
      <c r="U1618" s="129" t="s">
        <v>33</v>
      </c>
      <c r="V1618" s="129" t="s">
        <v>33</v>
      </c>
      <c r="W1618" s="129">
        <v>1</v>
      </c>
      <c r="X1618" s="131">
        <v>0.92</v>
      </c>
      <c r="Y1618" s="131" t="s">
        <v>33</v>
      </c>
      <c r="Z1618" s="131" t="s">
        <v>33</v>
      </c>
      <c r="AA1618" s="131" t="s">
        <v>33</v>
      </c>
      <c r="AB1618" s="131" t="s">
        <v>33</v>
      </c>
      <c r="AC1618" s="131">
        <v>0.92</v>
      </c>
      <c r="AD1618" s="129">
        <v>0.991228070175439</v>
      </c>
      <c r="AE1618" s="129">
        <v>0.955188679245283</v>
      </c>
      <c r="AF1618" s="129">
        <v>0.993197278911565</v>
      </c>
      <c r="AG1618" s="129">
        <v>0.987391304347826</v>
      </c>
      <c r="AH1618" s="131">
        <v>0.92</v>
      </c>
      <c r="AI1618" s="129" t="s">
        <v>33</v>
      </c>
      <c r="AJ1618" s="129" t="s">
        <v>33</v>
      </c>
      <c r="AK1618" s="129" t="s">
        <v>33</v>
      </c>
      <c r="AL1618" s="129">
        <v>1</v>
      </c>
      <c r="AM1618" s="128">
        <v>0.99</v>
      </c>
      <c r="AN1618" s="133">
        <v>1</v>
      </c>
      <c r="AO1618" s="133">
        <v>1</v>
      </c>
      <c r="AP1618" s="133">
        <v>1</v>
      </c>
      <c r="AQ1618" s="133">
        <v>1</v>
      </c>
      <c r="AR1618" s="153">
        <v>0.110069253262963</v>
      </c>
      <c r="AS1618" s="137" t="s">
        <v>33</v>
      </c>
      <c r="AT1618" s="137" t="s">
        <v>33</v>
      </c>
      <c r="AU1618" s="137" t="s">
        <v>33</v>
      </c>
      <c r="AV1618" s="137" t="s">
        <v>33</v>
      </c>
      <c r="AW1618" s="93"/>
      <c r="AX1618" s="91"/>
    </row>
    <row r="1619" ht="14.5" spans="1:50">
      <c r="A1619" s="89"/>
      <c r="B1619" s="93"/>
      <c r="C1619" s="148" t="s">
        <v>1449</v>
      </c>
      <c r="D1619" s="126" t="s">
        <v>1450</v>
      </c>
      <c r="E1619" s="164" t="s">
        <v>1645</v>
      </c>
      <c r="F1619" s="164" t="s">
        <v>1645</v>
      </c>
      <c r="G1619" s="164" t="s">
        <v>1645</v>
      </c>
      <c r="H1619" s="164" t="s">
        <v>1645</v>
      </c>
      <c r="I1619" s="128">
        <v>0.9</v>
      </c>
      <c r="J1619" s="129">
        <v>0.951219512195122</v>
      </c>
      <c r="K1619" s="129">
        <v>1</v>
      </c>
      <c r="L1619" s="130">
        <v>0.954545454545455</v>
      </c>
      <c r="M1619" s="129">
        <v>0.96969696969697</v>
      </c>
      <c r="N1619" s="131">
        <v>0.9</v>
      </c>
      <c r="O1619" s="129">
        <v>0.970686767169179</v>
      </c>
      <c r="P1619" s="129">
        <v>0.97033092430582</v>
      </c>
      <c r="Q1619" s="129">
        <v>0.961727528089888</v>
      </c>
      <c r="R1619" s="129">
        <v>0.955176517255057</v>
      </c>
      <c r="S1619" s="131">
        <v>0.9</v>
      </c>
      <c r="T1619" s="129">
        <v>0.639865996649916</v>
      </c>
      <c r="U1619" s="129">
        <v>0.605933815138836</v>
      </c>
      <c r="V1619" s="129">
        <v>0.604634831460674</v>
      </c>
      <c r="W1619" s="129">
        <v>0.546661377760148</v>
      </c>
      <c r="X1619" s="131">
        <v>0.92</v>
      </c>
      <c r="Y1619" s="131">
        <v>0.872</v>
      </c>
      <c r="Z1619" s="131">
        <v>0.868731563421829</v>
      </c>
      <c r="AA1619" s="131">
        <v>0.894668959587274</v>
      </c>
      <c r="AB1619" s="131">
        <v>0.859538928768636</v>
      </c>
      <c r="AC1619" s="131">
        <v>0.92</v>
      </c>
      <c r="AD1619" s="129">
        <v>1</v>
      </c>
      <c r="AE1619" s="129">
        <v>0.888888888888889</v>
      </c>
      <c r="AF1619" s="129">
        <v>0.833333333333333</v>
      </c>
      <c r="AG1619" s="129">
        <v>0.903225806451613</v>
      </c>
      <c r="AH1619" s="131">
        <v>0.92</v>
      </c>
      <c r="AI1619" s="129">
        <v>0.903190075321223</v>
      </c>
      <c r="AJ1619" s="129">
        <v>0.906759033888785</v>
      </c>
      <c r="AK1619" s="129">
        <v>0.925425038639876</v>
      </c>
      <c r="AL1619" s="129">
        <v>0.905437564545822</v>
      </c>
      <c r="AM1619" s="128">
        <v>0.99</v>
      </c>
      <c r="AN1619" s="133">
        <v>1</v>
      </c>
      <c r="AO1619" s="133" t="s">
        <v>33</v>
      </c>
      <c r="AP1619" s="133" t="s">
        <v>33</v>
      </c>
      <c r="AQ1619" s="133">
        <v>1</v>
      </c>
      <c r="AR1619" s="153">
        <v>0.110069253262963</v>
      </c>
      <c r="AS1619" s="137">
        <v>0.04</v>
      </c>
      <c r="AT1619" s="137">
        <v>0.24</v>
      </c>
      <c r="AU1619" s="137">
        <v>0.0882352941176471</v>
      </c>
      <c r="AV1619" s="137">
        <v>0.102040816326531</v>
      </c>
      <c r="AW1619" s="93"/>
      <c r="AX1619" s="91"/>
    </row>
    <row r="1620" ht="14.5" spans="1:50">
      <c r="A1620" s="89"/>
      <c r="B1620" s="93"/>
      <c r="C1620" s="148" t="s">
        <v>1449</v>
      </c>
      <c r="D1620" s="126" t="s">
        <v>1450</v>
      </c>
      <c r="E1620" s="164" t="s">
        <v>1646</v>
      </c>
      <c r="F1620" s="164" t="s">
        <v>1646</v>
      </c>
      <c r="G1620" s="164" t="s">
        <v>1646</v>
      </c>
      <c r="H1620" s="164" t="s">
        <v>1646</v>
      </c>
      <c r="I1620" s="128">
        <v>0.9</v>
      </c>
      <c r="J1620" s="129" t="s">
        <v>33</v>
      </c>
      <c r="K1620" s="129" t="s">
        <v>33</v>
      </c>
      <c r="L1620" s="130" t="s">
        <v>33</v>
      </c>
      <c r="M1620" s="129" t="s">
        <v>33</v>
      </c>
      <c r="N1620" s="131">
        <v>0.9</v>
      </c>
      <c r="O1620" s="129" t="s">
        <v>33</v>
      </c>
      <c r="P1620" s="129" t="s">
        <v>33</v>
      </c>
      <c r="Q1620" s="129" t="s">
        <v>33</v>
      </c>
      <c r="R1620" s="129">
        <v>0</v>
      </c>
      <c r="S1620" s="131">
        <v>0.9</v>
      </c>
      <c r="T1620" s="129" t="s">
        <v>33</v>
      </c>
      <c r="U1620" s="129" t="s">
        <v>33</v>
      </c>
      <c r="V1620" s="129" t="s">
        <v>33</v>
      </c>
      <c r="W1620" s="129">
        <v>1</v>
      </c>
      <c r="X1620" s="131">
        <v>0.92</v>
      </c>
      <c r="Y1620" s="131" t="s">
        <v>33</v>
      </c>
      <c r="Z1620" s="131" t="s">
        <v>33</v>
      </c>
      <c r="AA1620" s="131" t="s">
        <v>33</v>
      </c>
      <c r="AB1620" s="131" t="s">
        <v>33</v>
      </c>
      <c r="AC1620" s="131">
        <v>0.92</v>
      </c>
      <c r="AD1620" s="129">
        <v>0.824786324786325</v>
      </c>
      <c r="AE1620" s="129">
        <v>0.750577367205543</v>
      </c>
      <c r="AF1620" s="129">
        <v>0.973214285714286</v>
      </c>
      <c r="AG1620" s="129">
        <v>0.890106348694811</v>
      </c>
      <c r="AH1620" s="131">
        <v>0.92</v>
      </c>
      <c r="AI1620" s="129" t="s">
        <v>33</v>
      </c>
      <c r="AJ1620" s="129" t="s">
        <v>33</v>
      </c>
      <c r="AK1620" s="129" t="s">
        <v>33</v>
      </c>
      <c r="AL1620" s="129">
        <v>1</v>
      </c>
      <c r="AM1620" s="128">
        <v>0.99</v>
      </c>
      <c r="AN1620" s="133">
        <v>1</v>
      </c>
      <c r="AO1620" s="133">
        <v>1</v>
      </c>
      <c r="AP1620" s="133">
        <v>1</v>
      </c>
      <c r="AQ1620" s="133">
        <v>1</v>
      </c>
      <c r="AR1620" s="153">
        <v>0.110069253262963</v>
      </c>
      <c r="AS1620" s="137" t="s">
        <v>33</v>
      </c>
      <c r="AT1620" s="137" t="s">
        <v>33</v>
      </c>
      <c r="AU1620" s="137" t="s">
        <v>33</v>
      </c>
      <c r="AV1620" s="137" t="s">
        <v>33</v>
      </c>
      <c r="AW1620" s="93"/>
      <c r="AX1620" s="91"/>
    </row>
    <row r="1621" ht="14.5" spans="1:50">
      <c r="A1621" s="89"/>
      <c r="B1621" s="93"/>
      <c r="C1621" s="148" t="s">
        <v>1449</v>
      </c>
      <c r="D1621" s="126" t="s">
        <v>1450</v>
      </c>
      <c r="E1621" s="164" t="s">
        <v>1647</v>
      </c>
      <c r="F1621" s="164" t="s">
        <v>1647</v>
      </c>
      <c r="G1621" s="164" t="s">
        <v>1647</v>
      </c>
      <c r="H1621" s="164" t="s">
        <v>1647</v>
      </c>
      <c r="I1621" s="128">
        <v>0.9</v>
      </c>
      <c r="J1621" s="129" t="s">
        <v>33</v>
      </c>
      <c r="K1621" s="129" t="s">
        <v>33</v>
      </c>
      <c r="L1621" s="130" t="s">
        <v>33</v>
      </c>
      <c r="M1621" s="129" t="s">
        <v>33</v>
      </c>
      <c r="N1621" s="131">
        <v>0.9</v>
      </c>
      <c r="O1621" s="129" t="s">
        <v>33</v>
      </c>
      <c r="P1621" s="129" t="s">
        <v>33</v>
      </c>
      <c r="Q1621" s="129" t="s">
        <v>33</v>
      </c>
      <c r="R1621" s="129" t="s">
        <v>33</v>
      </c>
      <c r="S1621" s="131">
        <v>0.9</v>
      </c>
      <c r="T1621" s="129" t="s">
        <v>33</v>
      </c>
      <c r="U1621" s="129" t="s">
        <v>33</v>
      </c>
      <c r="V1621" s="129" t="s">
        <v>33</v>
      </c>
      <c r="W1621" s="129" t="s">
        <v>33</v>
      </c>
      <c r="X1621" s="131">
        <v>0.92</v>
      </c>
      <c r="Y1621" s="131" t="s">
        <v>33</v>
      </c>
      <c r="Z1621" s="131" t="s">
        <v>33</v>
      </c>
      <c r="AA1621" s="131" t="s">
        <v>33</v>
      </c>
      <c r="AB1621" s="131" t="s">
        <v>33</v>
      </c>
      <c r="AC1621" s="131">
        <v>0.92</v>
      </c>
      <c r="AD1621" s="129">
        <v>0.990825688073395</v>
      </c>
      <c r="AE1621" s="129">
        <v>0.975438596491228</v>
      </c>
      <c r="AF1621" s="129">
        <v>0.91869918699187</v>
      </c>
      <c r="AG1621" s="129">
        <v>0.990614000782167</v>
      </c>
      <c r="AH1621" s="131">
        <v>0.92</v>
      </c>
      <c r="AI1621" s="129" t="s">
        <v>33</v>
      </c>
      <c r="AJ1621" s="129" t="s">
        <v>33</v>
      </c>
      <c r="AK1621" s="129" t="s">
        <v>33</v>
      </c>
      <c r="AL1621" s="129" t="s">
        <v>33</v>
      </c>
      <c r="AM1621" s="128">
        <v>0.99</v>
      </c>
      <c r="AN1621" s="133">
        <v>1</v>
      </c>
      <c r="AO1621" s="133">
        <v>1</v>
      </c>
      <c r="AP1621" s="133">
        <v>1</v>
      </c>
      <c r="AQ1621" s="133">
        <v>1</v>
      </c>
      <c r="AR1621" s="153">
        <v>0.110069253262963</v>
      </c>
      <c r="AS1621" s="137" t="s">
        <v>33</v>
      </c>
      <c r="AT1621" s="137" t="s">
        <v>33</v>
      </c>
      <c r="AU1621" s="137" t="s">
        <v>33</v>
      </c>
      <c r="AV1621" s="137" t="s">
        <v>33</v>
      </c>
      <c r="AW1621" s="93"/>
      <c r="AX1621" s="91"/>
    </row>
    <row r="1622" ht="14.5" spans="1:50">
      <c r="A1622" s="89"/>
      <c r="B1622" s="93"/>
      <c r="C1622" s="148" t="s">
        <v>1449</v>
      </c>
      <c r="D1622" s="126" t="s">
        <v>1450</v>
      </c>
      <c r="E1622" s="164" t="s">
        <v>1648</v>
      </c>
      <c r="F1622" s="164" t="s">
        <v>1648</v>
      </c>
      <c r="G1622" s="164" t="s">
        <v>1648</v>
      </c>
      <c r="H1622" s="164" t="s">
        <v>1648</v>
      </c>
      <c r="I1622" s="128">
        <v>0.9</v>
      </c>
      <c r="J1622" s="129" t="s">
        <v>33</v>
      </c>
      <c r="K1622" s="129" t="s">
        <v>33</v>
      </c>
      <c r="L1622" s="130" t="s">
        <v>33</v>
      </c>
      <c r="M1622" s="129" t="s">
        <v>33</v>
      </c>
      <c r="N1622" s="131">
        <v>0.9</v>
      </c>
      <c r="O1622" s="129">
        <v>0</v>
      </c>
      <c r="P1622" s="129">
        <v>0</v>
      </c>
      <c r="Q1622" s="129" t="s">
        <v>33</v>
      </c>
      <c r="R1622" s="129">
        <v>0</v>
      </c>
      <c r="S1622" s="131">
        <v>0.9</v>
      </c>
      <c r="T1622" s="129">
        <v>1</v>
      </c>
      <c r="U1622" s="129">
        <v>1</v>
      </c>
      <c r="V1622" s="129" t="s">
        <v>33</v>
      </c>
      <c r="W1622" s="129">
        <v>1</v>
      </c>
      <c r="X1622" s="131">
        <v>0.92</v>
      </c>
      <c r="Y1622" s="131" t="s">
        <v>33</v>
      </c>
      <c r="Z1622" s="131" t="s">
        <v>33</v>
      </c>
      <c r="AA1622" s="131" t="s">
        <v>33</v>
      </c>
      <c r="AB1622" s="131">
        <v>1</v>
      </c>
      <c r="AC1622" s="131">
        <v>0.92</v>
      </c>
      <c r="AD1622" s="129">
        <v>0.998573466476462</v>
      </c>
      <c r="AE1622" s="129">
        <v>0.99247311827957</v>
      </c>
      <c r="AF1622" s="129">
        <v>0.993769470404984</v>
      </c>
      <c r="AG1622" s="129">
        <v>0.9973135473967</v>
      </c>
      <c r="AH1622" s="131">
        <v>0.92</v>
      </c>
      <c r="AI1622" s="129">
        <v>1</v>
      </c>
      <c r="AJ1622" s="129">
        <v>1</v>
      </c>
      <c r="AK1622" s="129" t="s">
        <v>33</v>
      </c>
      <c r="AL1622" s="129">
        <v>1</v>
      </c>
      <c r="AM1622" s="128">
        <v>0.99</v>
      </c>
      <c r="AN1622" s="133">
        <v>1</v>
      </c>
      <c r="AO1622" s="133">
        <v>1</v>
      </c>
      <c r="AP1622" s="133">
        <v>1</v>
      </c>
      <c r="AQ1622" s="133">
        <v>1</v>
      </c>
      <c r="AR1622" s="153">
        <v>0.110069253262963</v>
      </c>
      <c r="AS1622" s="137" t="s">
        <v>33</v>
      </c>
      <c r="AT1622" s="137" t="s">
        <v>33</v>
      </c>
      <c r="AU1622" s="137" t="s">
        <v>33</v>
      </c>
      <c r="AV1622" s="137" t="s">
        <v>33</v>
      </c>
      <c r="AW1622" s="93"/>
      <c r="AX1622" s="91"/>
    </row>
    <row r="1623" ht="14.5" spans="1:50">
      <c r="A1623" s="89"/>
      <c r="B1623" s="93"/>
      <c r="C1623" s="148" t="s">
        <v>1449</v>
      </c>
      <c r="D1623" s="126" t="s">
        <v>1450</v>
      </c>
      <c r="E1623" s="164" t="s">
        <v>1649</v>
      </c>
      <c r="F1623" s="164" t="s">
        <v>1649</v>
      </c>
      <c r="G1623" s="164" t="s">
        <v>1649</v>
      </c>
      <c r="H1623" s="164" t="s">
        <v>1649</v>
      </c>
      <c r="I1623" s="128">
        <v>0.9</v>
      </c>
      <c r="J1623" s="129">
        <v>0.928571428571429</v>
      </c>
      <c r="K1623" s="129">
        <v>0.935483870967742</v>
      </c>
      <c r="L1623" s="130">
        <v>0.833333333333333</v>
      </c>
      <c r="M1623" s="129">
        <v>0.953086419753086</v>
      </c>
      <c r="N1623" s="131">
        <v>0.9</v>
      </c>
      <c r="O1623" s="129">
        <v>0.930658873538789</v>
      </c>
      <c r="P1623" s="129">
        <v>0.899472016895459</v>
      </c>
      <c r="Q1623" s="129">
        <v>0.970379436964504</v>
      </c>
      <c r="R1623" s="129">
        <v>0.903270689215936</v>
      </c>
      <c r="S1623" s="131">
        <v>0.9</v>
      </c>
      <c r="T1623" s="129">
        <v>0.987778958554729</v>
      </c>
      <c r="U1623" s="129">
        <v>0.991763463569166</v>
      </c>
      <c r="V1623" s="129">
        <v>0.990452876376989</v>
      </c>
      <c r="W1623" s="129">
        <v>0.991063904838425</v>
      </c>
      <c r="X1623" s="131">
        <v>0.92</v>
      </c>
      <c r="Y1623" s="131">
        <v>0.0869565217391304</v>
      </c>
      <c r="Z1623" s="131">
        <v>0.3</v>
      </c>
      <c r="AA1623" s="131">
        <v>0.833333333333333</v>
      </c>
      <c r="AB1623" s="131">
        <v>0.394957983193277</v>
      </c>
      <c r="AC1623" s="131">
        <v>0.92</v>
      </c>
      <c r="AD1623" s="129">
        <v>1</v>
      </c>
      <c r="AE1623" s="129">
        <v>1</v>
      </c>
      <c r="AF1623" s="129">
        <v>1</v>
      </c>
      <c r="AG1623" s="129">
        <v>0.977272727272727</v>
      </c>
      <c r="AH1623" s="131">
        <v>0.92</v>
      </c>
      <c r="AI1623" s="129">
        <v>0.98600475310272</v>
      </c>
      <c r="AJ1623" s="129">
        <v>0.99536354056902</v>
      </c>
      <c r="AK1623" s="129">
        <v>0.994630217232121</v>
      </c>
      <c r="AL1623" s="129">
        <v>0.99401806310357</v>
      </c>
      <c r="AM1623" s="128">
        <v>0.99</v>
      </c>
      <c r="AN1623" s="133" t="s">
        <v>33</v>
      </c>
      <c r="AO1623" s="133" t="s">
        <v>33</v>
      </c>
      <c r="AP1623" s="133">
        <v>1</v>
      </c>
      <c r="AQ1623" s="133">
        <v>1</v>
      </c>
      <c r="AR1623" s="153">
        <v>0.110069253262963</v>
      </c>
      <c r="AS1623" s="137">
        <v>0</v>
      </c>
      <c r="AT1623" s="137">
        <v>0.12</v>
      </c>
      <c r="AU1623" s="137">
        <v>0.0789473684210526</v>
      </c>
      <c r="AV1623" s="137">
        <v>0.0598958333333333</v>
      </c>
      <c r="AW1623" s="93"/>
      <c r="AX1623" s="91"/>
    </row>
    <row r="1624" ht="14.5" spans="1:50">
      <c r="A1624" s="89"/>
      <c r="B1624" s="93"/>
      <c r="C1624" s="148" t="s">
        <v>1449</v>
      </c>
      <c r="D1624" s="126" t="s">
        <v>1450</v>
      </c>
      <c r="E1624" s="164" t="s">
        <v>1650</v>
      </c>
      <c r="F1624" s="164" t="s">
        <v>1650</v>
      </c>
      <c r="G1624" s="164" t="s">
        <v>1650</v>
      </c>
      <c r="H1624" s="164" t="s">
        <v>1650</v>
      </c>
      <c r="I1624" s="128">
        <v>0.9</v>
      </c>
      <c r="J1624" s="129" t="s">
        <v>33</v>
      </c>
      <c r="K1624" s="129" t="s">
        <v>33</v>
      </c>
      <c r="L1624" s="130" t="s">
        <v>33</v>
      </c>
      <c r="M1624" s="129" t="s">
        <v>33</v>
      </c>
      <c r="N1624" s="131">
        <v>0.9</v>
      </c>
      <c r="O1624" s="129" t="s">
        <v>33</v>
      </c>
      <c r="P1624" s="129" t="s">
        <v>33</v>
      </c>
      <c r="Q1624" s="129" t="s">
        <v>33</v>
      </c>
      <c r="R1624" s="129">
        <v>0</v>
      </c>
      <c r="S1624" s="131">
        <v>0.9</v>
      </c>
      <c r="T1624" s="129" t="s">
        <v>33</v>
      </c>
      <c r="U1624" s="129" t="s">
        <v>33</v>
      </c>
      <c r="V1624" s="129" t="s">
        <v>33</v>
      </c>
      <c r="W1624" s="129">
        <v>1</v>
      </c>
      <c r="X1624" s="131">
        <v>0.92</v>
      </c>
      <c r="Y1624" s="131" t="s">
        <v>33</v>
      </c>
      <c r="Z1624" s="131" t="s">
        <v>33</v>
      </c>
      <c r="AA1624" s="131" t="s">
        <v>33</v>
      </c>
      <c r="AB1624" s="131" t="s">
        <v>33</v>
      </c>
      <c r="AC1624" s="131">
        <v>0.92</v>
      </c>
      <c r="AD1624" s="129">
        <v>1</v>
      </c>
      <c r="AE1624" s="129">
        <v>0.973063973063973</v>
      </c>
      <c r="AF1624" s="129">
        <v>1</v>
      </c>
      <c r="AG1624" s="129">
        <v>0.973424449506454</v>
      </c>
      <c r="AH1624" s="131">
        <v>0.92</v>
      </c>
      <c r="AI1624" s="129" t="s">
        <v>33</v>
      </c>
      <c r="AJ1624" s="129" t="s">
        <v>33</v>
      </c>
      <c r="AK1624" s="129" t="s">
        <v>33</v>
      </c>
      <c r="AL1624" s="129">
        <v>1</v>
      </c>
      <c r="AM1624" s="128">
        <v>0.99</v>
      </c>
      <c r="AN1624" s="133">
        <v>1</v>
      </c>
      <c r="AO1624" s="133">
        <v>1</v>
      </c>
      <c r="AP1624" s="133">
        <v>1</v>
      </c>
      <c r="AQ1624" s="133">
        <v>1</v>
      </c>
      <c r="AR1624" s="153">
        <v>0.110069253262963</v>
      </c>
      <c r="AS1624" s="137" t="s">
        <v>33</v>
      </c>
      <c r="AT1624" s="137" t="s">
        <v>33</v>
      </c>
      <c r="AU1624" s="137" t="s">
        <v>33</v>
      </c>
      <c r="AV1624" s="137" t="s">
        <v>33</v>
      </c>
      <c r="AW1624" s="93"/>
      <c r="AX1624" s="91"/>
    </row>
    <row r="1625" ht="14.5" spans="1:50">
      <c r="A1625" s="89"/>
      <c r="B1625" s="93"/>
      <c r="C1625" s="148" t="s">
        <v>1449</v>
      </c>
      <c r="D1625" s="126" t="s">
        <v>1450</v>
      </c>
      <c r="E1625" s="164" t="s">
        <v>1651</v>
      </c>
      <c r="F1625" s="164" t="s">
        <v>1651</v>
      </c>
      <c r="G1625" s="164" t="s">
        <v>1651</v>
      </c>
      <c r="H1625" s="164" t="s">
        <v>1651</v>
      </c>
      <c r="I1625" s="128">
        <v>0.9</v>
      </c>
      <c r="J1625" s="129" t="s">
        <v>33</v>
      </c>
      <c r="K1625" s="129" t="s">
        <v>33</v>
      </c>
      <c r="L1625" s="130" t="s">
        <v>33</v>
      </c>
      <c r="M1625" s="129" t="s">
        <v>33</v>
      </c>
      <c r="N1625" s="131">
        <v>0.9</v>
      </c>
      <c r="O1625" s="129" t="s">
        <v>33</v>
      </c>
      <c r="P1625" s="129" t="s">
        <v>33</v>
      </c>
      <c r="Q1625" s="129" t="s">
        <v>33</v>
      </c>
      <c r="R1625" s="129">
        <v>0</v>
      </c>
      <c r="S1625" s="131">
        <v>0.9</v>
      </c>
      <c r="T1625" s="129" t="s">
        <v>33</v>
      </c>
      <c r="U1625" s="129" t="s">
        <v>33</v>
      </c>
      <c r="V1625" s="129" t="s">
        <v>33</v>
      </c>
      <c r="W1625" s="129">
        <v>1</v>
      </c>
      <c r="X1625" s="131">
        <v>0.92</v>
      </c>
      <c r="Y1625" s="131" t="s">
        <v>33</v>
      </c>
      <c r="Z1625" s="131" t="s">
        <v>33</v>
      </c>
      <c r="AA1625" s="131" t="s">
        <v>33</v>
      </c>
      <c r="AB1625" s="131" t="s">
        <v>33</v>
      </c>
      <c r="AC1625" s="131">
        <v>0.92</v>
      </c>
      <c r="AD1625" s="129">
        <v>0.995145631067961</v>
      </c>
      <c r="AE1625" s="129">
        <v>0.99492385786802</v>
      </c>
      <c r="AF1625" s="129">
        <v>0.92436974789916</v>
      </c>
      <c r="AG1625" s="129">
        <v>0.983448275862069</v>
      </c>
      <c r="AH1625" s="131">
        <v>0.92</v>
      </c>
      <c r="AI1625" s="129" t="s">
        <v>33</v>
      </c>
      <c r="AJ1625" s="129" t="s">
        <v>33</v>
      </c>
      <c r="AK1625" s="129" t="s">
        <v>33</v>
      </c>
      <c r="AL1625" s="129">
        <v>1</v>
      </c>
      <c r="AM1625" s="128">
        <v>0.99</v>
      </c>
      <c r="AN1625" s="133">
        <v>1</v>
      </c>
      <c r="AO1625" s="133">
        <v>1</v>
      </c>
      <c r="AP1625" s="133">
        <v>1</v>
      </c>
      <c r="AQ1625" s="133">
        <v>1</v>
      </c>
      <c r="AR1625" s="153">
        <v>0.110069253262963</v>
      </c>
      <c r="AS1625" s="137" t="s">
        <v>33</v>
      </c>
      <c r="AT1625" s="137" t="s">
        <v>33</v>
      </c>
      <c r="AU1625" s="137" t="s">
        <v>33</v>
      </c>
      <c r="AV1625" s="137" t="s">
        <v>33</v>
      </c>
      <c r="AW1625" s="93"/>
      <c r="AX1625" s="91"/>
    </row>
    <row r="1626" ht="14.5" spans="1:50">
      <c r="A1626" s="89"/>
      <c r="B1626" s="93"/>
      <c r="C1626" s="148" t="s">
        <v>1449</v>
      </c>
      <c r="D1626" s="126" t="s">
        <v>1450</v>
      </c>
      <c r="E1626" s="164" t="s">
        <v>1652</v>
      </c>
      <c r="F1626" s="164" t="s">
        <v>1652</v>
      </c>
      <c r="G1626" s="164" t="s">
        <v>1652</v>
      </c>
      <c r="H1626" s="164" t="s">
        <v>1652</v>
      </c>
      <c r="I1626" s="128">
        <v>0.9</v>
      </c>
      <c r="J1626" s="129" t="s">
        <v>33</v>
      </c>
      <c r="K1626" s="129" t="s">
        <v>33</v>
      </c>
      <c r="L1626" s="130" t="s">
        <v>33</v>
      </c>
      <c r="M1626" s="129" t="s">
        <v>33</v>
      </c>
      <c r="N1626" s="131">
        <v>0.9</v>
      </c>
      <c r="O1626" s="129">
        <v>0</v>
      </c>
      <c r="P1626" s="129" t="s">
        <v>33</v>
      </c>
      <c r="Q1626" s="129" t="s">
        <v>33</v>
      </c>
      <c r="R1626" s="129">
        <v>0</v>
      </c>
      <c r="S1626" s="131">
        <v>0.9</v>
      </c>
      <c r="T1626" s="129">
        <v>1</v>
      </c>
      <c r="U1626" s="129" t="s">
        <v>33</v>
      </c>
      <c r="V1626" s="129" t="s">
        <v>33</v>
      </c>
      <c r="W1626" s="129">
        <v>1</v>
      </c>
      <c r="X1626" s="131">
        <v>0.92</v>
      </c>
      <c r="Y1626" s="131" t="s">
        <v>33</v>
      </c>
      <c r="Z1626" s="131" t="s">
        <v>33</v>
      </c>
      <c r="AA1626" s="131" t="s">
        <v>33</v>
      </c>
      <c r="AB1626" s="131" t="s">
        <v>33</v>
      </c>
      <c r="AC1626" s="131">
        <v>0.92</v>
      </c>
      <c r="AD1626" s="129">
        <v>0.910485933503836</v>
      </c>
      <c r="AE1626" s="129">
        <v>0.89873417721519</v>
      </c>
      <c r="AF1626" s="129">
        <v>0.85</v>
      </c>
      <c r="AG1626" s="129">
        <v>0.975391498881432</v>
      </c>
      <c r="AH1626" s="131">
        <v>0.92</v>
      </c>
      <c r="AI1626" s="129">
        <v>1</v>
      </c>
      <c r="AJ1626" s="129" t="s">
        <v>33</v>
      </c>
      <c r="AK1626" s="129" t="s">
        <v>33</v>
      </c>
      <c r="AL1626" s="129">
        <v>0.833333333333333</v>
      </c>
      <c r="AM1626" s="128">
        <v>0.99</v>
      </c>
      <c r="AN1626" s="133">
        <v>1</v>
      </c>
      <c r="AO1626" s="133">
        <v>1</v>
      </c>
      <c r="AP1626" s="133">
        <v>1</v>
      </c>
      <c r="AQ1626" s="133">
        <v>1</v>
      </c>
      <c r="AR1626" s="153">
        <v>0.110069253262963</v>
      </c>
      <c r="AS1626" s="137" t="s">
        <v>33</v>
      </c>
      <c r="AT1626" s="137" t="s">
        <v>33</v>
      </c>
      <c r="AU1626" s="137" t="s">
        <v>33</v>
      </c>
      <c r="AV1626" s="137" t="s">
        <v>33</v>
      </c>
      <c r="AW1626" s="93"/>
      <c r="AX1626" s="91"/>
    </row>
    <row r="1627" ht="14.5" spans="1:50">
      <c r="A1627" s="89"/>
      <c r="B1627" s="93"/>
      <c r="C1627" s="148" t="s">
        <v>1449</v>
      </c>
      <c r="D1627" s="126" t="s">
        <v>1450</v>
      </c>
      <c r="E1627" s="164" t="s">
        <v>1653</v>
      </c>
      <c r="F1627" s="164" t="s">
        <v>1653</v>
      </c>
      <c r="G1627" s="164" t="s">
        <v>1653</v>
      </c>
      <c r="H1627" s="164" t="s">
        <v>1653</v>
      </c>
      <c r="I1627" s="128">
        <v>0.9</v>
      </c>
      <c r="J1627" s="129" t="s">
        <v>33</v>
      </c>
      <c r="K1627" s="129" t="s">
        <v>33</v>
      </c>
      <c r="L1627" s="130" t="s">
        <v>33</v>
      </c>
      <c r="M1627" s="129" t="s">
        <v>33</v>
      </c>
      <c r="N1627" s="131">
        <v>0.9</v>
      </c>
      <c r="O1627" s="129" t="s">
        <v>33</v>
      </c>
      <c r="P1627" s="129" t="s">
        <v>33</v>
      </c>
      <c r="Q1627" s="129" t="s">
        <v>33</v>
      </c>
      <c r="R1627" s="129">
        <v>0</v>
      </c>
      <c r="S1627" s="131">
        <v>0.9</v>
      </c>
      <c r="T1627" s="129" t="s">
        <v>33</v>
      </c>
      <c r="U1627" s="129" t="s">
        <v>33</v>
      </c>
      <c r="V1627" s="129" t="s">
        <v>33</v>
      </c>
      <c r="W1627" s="129">
        <v>0</v>
      </c>
      <c r="X1627" s="131">
        <v>0.92</v>
      </c>
      <c r="Y1627" s="131" t="s">
        <v>33</v>
      </c>
      <c r="Z1627" s="131" t="s">
        <v>33</v>
      </c>
      <c r="AA1627" s="131" t="s">
        <v>33</v>
      </c>
      <c r="AB1627" s="131" t="s">
        <v>33</v>
      </c>
      <c r="AC1627" s="131">
        <v>0.92</v>
      </c>
      <c r="AD1627" s="129">
        <v>1</v>
      </c>
      <c r="AE1627" s="129">
        <v>0.960413080895009</v>
      </c>
      <c r="AF1627" s="129">
        <v>0.986798679867987</v>
      </c>
      <c r="AG1627" s="129">
        <v>0.992634901548174</v>
      </c>
      <c r="AH1627" s="131">
        <v>0.92</v>
      </c>
      <c r="AI1627" s="129" t="s">
        <v>33</v>
      </c>
      <c r="AJ1627" s="129" t="s">
        <v>33</v>
      </c>
      <c r="AK1627" s="129" t="s">
        <v>33</v>
      </c>
      <c r="AL1627" s="129">
        <v>0</v>
      </c>
      <c r="AM1627" s="128">
        <v>0.99</v>
      </c>
      <c r="AN1627" s="133">
        <v>1</v>
      </c>
      <c r="AO1627" s="133">
        <v>1</v>
      </c>
      <c r="AP1627" s="133">
        <v>1</v>
      </c>
      <c r="AQ1627" s="133">
        <v>1</v>
      </c>
      <c r="AR1627" s="153">
        <v>0.110069253262963</v>
      </c>
      <c r="AS1627" s="137" t="s">
        <v>33</v>
      </c>
      <c r="AT1627" s="137" t="s">
        <v>33</v>
      </c>
      <c r="AU1627" s="137" t="s">
        <v>33</v>
      </c>
      <c r="AV1627" s="137" t="s">
        <v>33</v>
      </c>
      <c r="AW1627" s="93"/>
      <c r="AX1627" s="91"/>
    </row>
    <row r="1628" ht="14.5" spans="1:50">
      <c r="A1628" s="89"/>
      <c r="B1628" s="93"/>
      <c r="C1628" s="148" t="s">
        <v>1449</v>
      </c>
      <c r="D1628" s="126" t="s">
        <v>1450</v>
      </c>
      <c r="E1628" s="164" t="s">
        <v>1654</v>
      </c>
      <c r="F1628" s="164" t="s">
        <v>1654</v>
      </c>
      <c r="G1628" s="164" t="s">
        <v>1654</v>
      </c>
      <c r="H1628" s="164" t="s">
        <v>1654</v>
      </c>
      <c r="I1628" s="128">
        <v>0.9</v>
      </c>
      <c r="J1628" s="129" t="s">
        <v>33</v>
      </c>
      <c r="K1628" s="129" t="s">
        <v>33</v>
      </c>
      <c r="L1628" s="130" t="s">
        <v>33</v>
      </c>
      <c r="M1628" s="129" t="s">
        <v>33</v>
      </c>
      <c r="N1628" s="131">
        <v>0.9</v>
      </c>
      <c r="O1628" s="129">
        <v>0</v>
      </c>
      <c r="P1628" s="129" t="s">
        <v>33</v>
      </c>
      <c r="Q1628" s="129" t="s">
        <v>33</v>
      </c>
      <c r="R1628" s="129">
        <v>0</v>
      </c>
      <c r="S1628" s="131">
        <v>0.9</v>
      </c>
      <c r="T1628" s="129">
        <v>0</v>
      </c>
      <c r="U1628" s="129" t="s">
        <v>33</v>
      </c>
      <c r="V1628" s="129" t="s">
        <v>33</v>
      </c>
      <c r="W1628" s="129">
        <v>0.6</v>
      </c>
      <c r="X1628" s="131">
        <v>0.92</v>
      </c>
      <c r="Y1628" s="131" t="s">
        <v>33</v>
      </c>
      <c r="Z1628" s="131" t="s">
        <v>33</v>
      </c>
      <c r="AA1628" s="131" t="s">
        <v>33</v>
      </c>
      <c r="AB1628" s="131">
        <v>0</v>
      </c>
      <c r="AC1628" s="131">
        <v>0.92</v>
      </c>
      <c r="AD1628" s="129">
        <v>0.937864077669903</v>
      </c>
      <c r="AE1628" s="129">
        <v>0.897435897435897</v>
      </c>
      <c r="AF1628" s="129">
        <v>0.88135593220339</v>
      </c>
      <c r="AG1628" s="129">
        <v>0.935930105569712</v>
      </c>
      <c r="AH1628" s="131">
        <v>0.92</v>
      </c>
      <c r="AI1628" s="129">
        <v>0</v>
      </c>
      <c r="AJ1628" s="129" t="s">
        <v>33</v>
      </c>
      <c r="AK1628" s="129" t="s">
        <v>33</v>
      </c>
      <c r="AL1628" s="129">
        <v>0.571428571428571</v>
      </c>
      <c r="AM1628" s="128">
        <v>0.99</v>
      </c>
      <c r="AN1628" s="133">
        <v>1</v>
      </c>
      <c r="AO1628" s="133">
        <v>1</v>
      </c>
      <c r="AP1628" s="133">
        <v>1</v>
      </c>
      <c r="AQ1628" s="133">
        <v>1</v>
      </c>
      <c r="AR1628" s="153">
        <v>0.110069253262963</v>
      </c>
      <c r="AS1628" s="137" t="s">
        <v>33</v>
      </c>
      <c r="AT1628" s="137" t="s">
        <v>33</v>
      </c>
      <c r="AU1628" s="137" t="s">
        <v>33</v>
      </c>
      <c r="AV1628" s="137" t="s">
        <v>33</v>
      </c>
      <c r="AW1628" s="93"/>
      <c r="AX1628" s="91"/>
    </row>
    <row r="1629" ht="14.5" spans="1:50">
      <c r="A1629" s="89"/>
      <c r="B1629" s="93"/>
      <c r="C1629" s="148" t="s">
        <v>1449</v>
      </c>
      <c r="D1629" s="126" t="s">
        <v>1450</v>
      </c>
      <c r="E1629" s="164" t="s">
        <v>1655</v>
      </c>
      <c r="F1629" s="164" t="s">
        <v>1655</v>
      </c>
      <c r="G1629" s="164" t="s">
        <v>1655</v>
      </c>
      <c r="H1629" s="164" t="s">
        <v>1655</v>
      </c>
      <c r="I1629" s="128">
        <v>0.9</v>
      </c>
      <c r="J1629" s="129">
        <v>0.862068965517241</v>
      </c>
      <c r="K1629" s="129">
        <v>0.766666666666667</v>
      </c>
      <c r="L1629" s="130">
        <v>0.78125</v>
      </c>
      <c r="M1629" s="129">
        <v>0.784916201117318</v>
      </c>
      <c r="N1629" s="131">
        <v>0.9</v>
      </c>
      <c r="O1629" s="129">
        <v>0.964116452268111</v>
      </c>
      <c r="P1629" s="129">
        <v>0.952438290186635</v>
      </c>
      <c r="Q1629" s="129">
        <v>0.963690476190476</v>
      </c>
      <c r="R1629" s="129">
        <v>0.973050585376629</v>
      </c>
      <c r="S1629" s="131">
        <v>0.9</v>
      </c>
      <c r="T1629" s="129">
        <v>0.513879485443467</v>
      </c>
      <c r="U1629" s="129">
        <v>0.445514750150512</v>
      </c>
      <c r="V1629" s="129">
        <v>0.383333333333333</v>
      </c>
      <c r="W1629" s="129">
        <v>0.385553346587144</v>
      </c>
      <c r="X1629" s="131">
        <v>0.92</v>
      </c>
      <c r="Y1629" s="131">
        <v>0.587649402390438</v>
      </c>
      <c r="Z1629" s="131">
        <v>0.634034165571616</v>
      </c>
      <c r="AA1629" s="131">
        <v>0.61616847826087</v>
      </c>
      <c r="AB1629" s="131">
        <v>0.604259341637011</v>
      </c>
      <c r="AC1629" s="131">
        <v>0.92</v>
      </c>
      <c r="AD1629" s="129">
        <v>1</v>
      </c>
      <c r="AE1629" s="129">
        <v>0.989473684210526</v>
      </c>
      <c r="AF1629" s="129">
        <v>1</v>
      </c>
      <c r="AG1629" s="129">
        <v>0.852205005959476</v>
      </c>
      <c r="AH1629" s="131">
        <v>0.92</v>
      </c>
      <c r="AI1629" s="129">
        <v>0.683540060341938</v>
      </c>
      <c r="AJ1629" s="129">
        <v>0.693249607535322</v>
      </c>
      <c r="AK1629" s="129">
        <v>0.722803679035839</v>
      </c>
      <c r="AL1629" s="129">
        <v>0.687944484090853</v>
      </c>
      <c r="AM1629" s="128">
        <v>0.99</v>
      </c>
      <c r="AN1629" s="133" t="s">
        <v>33</v>
      </c>
      <c r="AO1629" s="133">
        <v>1</v>
      </c>
      <c r="AP1629" s="133" t="s">
        <v>33</v>
      </c>
      <c r="AQ1629" s="133">
        <v>1</v>
      </c>
      <c r="AR1629" s="153">
        <v>0.110069253262963</v>
      </c>
      <c r="AS1629" s="137">
        <v>0.0434782608695652</v>
      </c>
      <c r="AT1629" s="137">
        <v>0.136363636363636</v>
      </c>
      <c r="AU1629" s="137">
        <v>0.129032258064516</v>
      </c>
      <c r="AV1629" s="137">
        <v>0.127717391304348</v>
      </c>
      <c r="AW1629" s="93"/>
      <c r="AX1629" s="91"/>
    </row>
    <row r="1630" ht="14.5" spans="1:50">
      <c r="A1630" s="89"/>
      <c r="B1630" s="93"/>
      <c r="C1630" s="148" t="s">
        <v>1449</v>
      </c>
      <c r="D1630" s="126" t="s">
        <v>1450</v>
      </c>
      <c r="E1630" s="164" t="s">
        <v>1656</v>
      </c>
      <c r="F1630" s="164" t="s">
        <v>1656</v>
      </c>
      <c r="G1630" s="164" t="s">
        <v>1656</v>
      </c>
      <c r="H1630" s="164" t="s">
        <v>1656</v>
      </c>
      <c r="I1630" s="128">
        <v>0.9</v>
      </c>
      <c r="J1630" s="129" t="s">
        <v>33</v>
      </c>
      <c r="K1630" s="129" t="s">
        <v>33</v>
      </c>
      <c r="L1630" s="130" t="s">
        <v>33</v>
      </c>
      <c r="M1630" s="129" t="s">
        <v>33</v>
      </c>
      <c r="N1630" s="131">
        <v>0.9</v>
      </c>
      <c r="O1630" s="129" t="s">
        <v>33</v>
      </c>
      <c r="P1630" s="129" t="s">
        <v>33</v>
      </c>
      <c r="Q1630" s="129" t="s">
        <v>33</v>
      </c>
      <c r="R1630" s="129">
        <v>0</v>
      </c>
      <c r="S1630" s="131">
        <v>0.9</v>
      </c>
      <c r="T1630" s="129" t="s">
        <v>33</v>
      </c>
      <c r="U1630" s="129" t="s">
        <v>33</v>
      </c>
      <c r="V1630" s="129" t="s">
        <v>33</v>
      </c>
      <c r="W1630" s="129">
        <v>1</v>
      </c>
      <c r="X1630" s="131">
        <v>0.92</v>
      </c>
      <c r="Y1630" s="131">
        <v>0</v>
      </c>
      <c r="Z1630" s="131" t="s">
        <v>33</v>
      </c>
      <c r="AA1630" s="131" t="s">
        <v>33</v>
      </c>
      <c r="AB1630" s="131">
        <v>0</v>
      </c>
      <c r="AC1630" s="131">
        <v>0.92</v>
      </c>
      <c r="AD1630" s="129">
        <v>1</v>
      </c>
      <c r="AE1630" s="129">
        <v>0.989389920424403</v>
      </c>
      <c r="AF1630" s="129">
        <v>1</v>
      </c>
      <c r="AG1630" s="129">
        <v>0.99749111436337</v>
      </c>
      <c r="AH1630" s="131">
        <v>0.92</v>
      </c>
      <c r="AI1630" s="129">
        <v>0</v>
      </c>
      <c r="AJ1630" s="129" t="s">
        <v>33</v>
      </c>
      <c r="AK1630" s="129" t="s">
        <v>33</v>
      </c>
      <c r="AL1630" s="129">
        <v>0.833333333333333</v>
      </c>
      <c r="AM1630" s="128">
        <v>0.99</v>
      </c>
      <c r="AN1630" s="133">
        <v>1</v>
      </c>
      <c r="AO1630" s="133">
        <v>1</v>
      </c>
      <c r="AP1630" s="133">
        <v>1</v>
      </c>
      <c r="AQ1630" s="133">
        <v>1</v>
      </c>
      <c r="AR1630" s="153">
        <v>0.110069253262963</v>
      </c>
      <c r="AS1630" s="137" t="s">
        <v>33</v>
      </c>
      <c r="AT1630" s="137" t="s">
        <v>33</v>
      </c>
      <c r="AU1630" s="137" t="s">
        <v>33</v>
      </c>
      <c r="AV1630" s="137" t="s">
        <v>33</v>
      </c>
      <c r="AW1630" s="93"/>
      <c r="AX1630" s="91"/>
    </row>
    <row r="1631" ht="14.5" spans="1:50">
      <c r="A1631" s="89"/>
      <c r="B1631" s="93"/>
      <c r="C1631" s="148" t="s">
        <v>1449</v>
      </c>
      <c r="D1631" s="126" t="s">
        <v>1450</v>
      </c>
      <c r="E1631" s="164" t="s">
        <v>1657</v>
      </c>
      <c r="F1631" s="164" t="s">
        <v>1657</v>
      </c>
      <c r="G1631" s="164" t="s">
        <v>1657</v>
      </c>
      <c r="H1631" s="164" t="s">
        <v>1657</v>
      </c>
      <c r="I1631" s="128">
        <v>0.9</v>
      </c>
      <c r="J1631" s="129">
        <v>0.928571428571429</v>
      </c>
      <c r="K1631" s="129">
        <v>1</v>
      </c>
      <c r="L1631" s="130">
        <v>0.909090909090909</v>
      </c>
      <c r="M1631" s="129">
        <v>0.959183673469388</v>
      </c>
      <c r="N1631" s="131">
        <v>0.9</v>
      </c>
      <c r="O1631" s="129">
        <v>0.989352262644188</v>
      </c>
      <c r="P1631" s="129">
        <v>0.992248062015504</v>
      </c>
      <c r="Q1631" s="129">
        <v>0.99375866851595</v>
      </c>
      <c r="R1631" s="129">
        <v>0.979939947613876</v>
      </c>
      <c r="S1631" s="131">
        <v>0.9</v>
      </c>
      <c r="T1631" s="129">
        <v>0.915705412599823</v>
      </c>
      <c r="U1631" s="129">
        <v>0.939707149009475</v>
      </c>
      <c r="V1631" s="129">
        <v>0.91123439667129</v>
      </c>
      <c r="W1631" s="129">
        <v>0.913115696671565</v>
      </c>
      <c r="X1631" s="131">
        <v>0.92</v>
      </c>
      <c r="Y1631" s="131" t="s">
        <v>33</v>
      </c>
      <c r="Z1631" s="131" t="s">
        <v>33</v>
      </c>
      <c r="AA1631" s="131" t="s">
        <v>33</v>
      </c>
      <c r="AB1631" s="131" t="s">
        <v>33</v>
      </c>
      <c r="AC1631" s="131">
        <v>0.92</v>
      </c>
      <c r="AD1631" s="129">
        <v>0.409090909090909</v>
      </c>
      <c r="AE1631" s="129">
        <v>0.941176470588235</v>
      </c>
      <c r="AF1631" s="129">
        <v>0.96</v>
      </c>
      <c r="AG1631" s="129">
        <v>0.939481268011527</v>
      </c>
      <c r="AH1631" s="131">
        <v>0.92</v>
      </c>
      <c r="AI1631" s="129">
        <v>0.959183673469388</v>
      </c>
      <c r="AJ1631" s="129">
        <v>0.976744186046512</v>
      </c>
      <c r="AK1631" s="129">
        <v>0.976421636615811</v>
      </c>
      <c r="AL1631" s="129">
        <v>0.975595732447454</v>
      </c>
      <c r="AM1631" s="128">
        <v>0.99</v>
      </c>
      <c r="AN1631" s="133" t="s">
        <v>33</v>
      </c>
      <c r="AO1631" s="133">
        <v>1</v>
      </c>
      <c r="AP1631" s="133" t="s">
        <v>33</v>
      </c>
      <c r="AQ1631" s="133">
        <v>1</v>
      </c>
      <c r="AR1631" s="153">
        <v>0.110069253262963</v>
      </c>
      <c r="AS1631" s="137">
        <v>0.0645161290322581</v>
      </c>
      <c r="AT1631" s="137">
        <v>0</v>
      </c>
      <c r="AU1631" s="137">
        <v>0.0487804878048781</v>
      </c>
      <c r="AV1631" s="137">
        <v>0.0527383367139959</v>
      </c>
      <c r="AW1631" s="93"/>
      <c r="AX1631" s="91"/>
    </row>
    <row r="1632" ht="14.5" spans="1:50">
      <c r="A1632" s="89"/>
      <c r="B1632" s="93"/>
      <c r="C1632" s="148" t="s">
        <v>1449</v>
      </c>
      <c r="D1632" s="126" t="s">
        <v>1450</v>
      </c>
      <c r="E1632" s="164" t="s">
        <v>1658</v>
      </c>
      <c r="F1632" s="164" t="s">
        <v>1658</v>
      </c>
      <c r="G1632" s="164" t="s">
        <v>1658</v>
      </c>
      <c r="H1632" s="164" t="s">
        <v>1658</v>
      </c>
      <c r="I1632" s="128">
        <v>0.9</v>
      </c>
      <c r="J1632" s="129">
        <v>0.958333333333333</v>
      </c>
      <c r="K1632" s="129">
        <v>1</v>
      </c>
      <c r="L1632" s="130">
        <v>0.958333333333333</v>
      </c>
      <c r="M1632" s="129">
        <v>0.949152542372881</v>
      </c>
      <c r="N1632" s="131">
        <v>0.9</v>
      </c>
      <c r="O1632" s="129">
        <v>0.982838283828383</v>
      </c>
      <c r="P1632" s="129">
        <v>0.96934396076027</v>
      </c>
      <c r="Q1632" s="129">
        <v>0.978857142857143</v>
      </c>
      <c r="R1632" s="129">
        <v>0.967325551674193</v>
      </c>
      <c r="S1632" s="131">
        <v>0.9</v>
      </c>
      <c r="T1632" s="129">
        <v>0.59009900990099</v>
      </c>
      <c r="U1632" s="129">
        <v>0.516247700797057</v>
      </c>
      <c r="V1632" s="129">
        <v>0.534857142857143</v>
      </c>
      <c r="W1632" s="129">
        <v>0.471457783079151</v>
      </c>
      <c r="X1632" s="131">
        <v>0.92</v>
      </c>
      <c r="Y1632" s="131">
        <v>0.67816091954023</v>
      </c>
      <c r="Z1632" s="131">
        <v>0.727272727272727</v>
      </c>
      <c r="AA1632" s="131">
        <v>0.737210932025228</v>
      </c>
      <c r="AB1632" s="131">
        <v>0.694719185609347</v>
      </c>
      <c r="AC1632" s="131">
        <v>0.92</v>
      </c>
      <c r="AD1632" s="129">
        <v>0.916666666666667</v>
      </c>
      <c r="AE1632" s="129">
        <v>0.882352941176471</v>
      </c>
      <c r="AF1632" s="129">
        <v>1</v>
      </c>
      <c r="AG1632" s="129">
        <v>0.924170616113744</v>
      </c>
      <c r="AH1632" s="131">
        <v>0.92</v>
      </c>
      <c r="AI1632" s="129">
        <v>0.785106382978723</v>
      </c>
      <c r="AJ1632" s="129">
        <v>0.815296731196446</v>
      </c>
      <c r="AK1632" s="129">
        <v>0.84235368156073</v>
      </c>
      <c r="AL1632" s="129">
        <v>0.804423520180472</v>
      </c>
      <c r="AM1632" s="128">
        <v>0.99</v>
      </c>
      <c r="AN1632" s="133" t="s">
        <v>33</v>
      </c>
      <c r="AO1632" s="133">
        <v>1</v>
      </c>
      <c r="AP1632" s="133" t="s">
        <v>33</v>
      </c>
      <c r="AQ1632" s="133">
        <v>1</v>
      </c>
      <c r="AR1632" s="153">
        <v>0.110069253262963</v>
      </c>
      <c r="AS1632" s="137">
        <v>0.142857142857143</v>
      </c>
      <c r="AT1632" s="137">
        <v>0</v>
      </c>
      <c r="AU1632" s="137">
        <v>0</v>
      </c>
      <c r="AV1632" s="137">
        <v>0.0718232044198895</v>
      </c>
      <c r="AW1632" s="93"/>
      <c r="AX1632" s="91"/>
    </row>
    <row r="1633" ht="14.5" spans="1:50">
      <c r="A1633" s="89"/>
      <c r="B1633" s="93"/>
      <c r="C1633" s="148" t="s">
        <v>1449</v>
      </c>
      <c r="D1633" s="126" t="s">
        <v>1450</v>
      </c>
      <c r="E1633" s="164" t="s">
        <v>1659</v>
      </c>
      <c r="F1633" s="164" t="s">
        <v>1659</v>
      </c>
      <c r="G1633" s="164" t="s">
        <v>1659</v>
      </c>
      <c r="H1633" s="164" t="s">
        <v>1659</v>
      </c>
      <c r="I1633" s="128">
        <v>0.9</v>
      </c>
      <c r="J1633" s="129">
        <v>1</v>
      </c>
      <c r="K1633" s="129">
        <v>1</v>
      </c>
      <c r="L1633" s="130">
        <v>1</v>
      </c>
      <c r="M1633" s="129">
        <v>0.976331360946746</v>
      </c>
      <c r="N1633" s="131">
        <v>0.9</v>
      </c>
      <c r="O1633" s="129">
        <v>0.836393989983305</v>
      </c>
      <c r="P1633" s="129">
        <v>0.916666666666667</v>
      </c>
      <c r="Q1633" s="129">
        <v>0.85929648241206</v>
      </c>
      <c r="R1633" s="129">
        <v>0.871240105540897</v>
      </c>
      <c r="S1633" s="131">
        <v>0.9</v>
      </c>
      <c r="T1633" s="129">
        <v>0.882025598219254</v>
      </c>
      <c r="U1633" s="129">
        <v>0.918767507002801</v>
      </c>
      <c r="V1633" s="129">
        <v>0.877163595756561</v>
      </c>
      <c r="W1633" s="129">
        <v>0.896042216358839</v>
      </c>
      <c r="X1633" s="131">
        <v>0.92</v>
      </c>
      <c r="Y1633" s="131">
        <v>0.924468922108576</v>
      </c>
      <c r="Z1633" s="131">
        <v>0.82461786001609</v>
      </c>
      <c r="AA1633" s="131">
        <v>0.749589490968801</v>
      </c>
      <c r="AB1633" s="131">
        <v>0.791620078855999</v>
      </c>
      <c r="AC1633" s="131">
        <v>0.92</v>
      </c>
      <c r="AD1633" s="129">
        <v>0.988950276243094</v>
      </c>
      <c r="AE1633" s="129">
        <v>0.956834532374101</v>
      </c>
      <c r="AF1633" s="129">
        <v>0.375</v>
      </c>
      <c r="AG1633" s="129">
        <v>0.818484042553192</v>
      </c>
      <c r="AH1633" s="131">
        <v>0.92</v>
      </c>
      <c r="AI1633" s="129">
        <v>0.951434159061278</v>
      </c>
      <c r="AJ1633" s="129">
        <v>0.901535005615874</v>
      </c>
      <c r="AK1633" s="129">
        <v>0.88202060485211</v>
      </c>
      <c r="AL1633" s="129">
        <v>0.894352728004832</v>
      </c>
      <c r="AM1633" s="128">
        <v>0.99</v>
      </c>
      <c r="AN1633" s="133">
        <v>1</v>
      </c>
      <c r="AO1633" s="133">
        <v>1</v>
      </c>
      <c r="AP1633" s="133">
        <v>1</v>
      </c>
      <c r="AQ1633" s="133">
        <v>1</v>
      </c>
      <c r="AR1633" s="153">
        <v>0.110069253262963</v>
      </c>
      <c r="AS1633" s="137">
        <v>0</v>
      </c>
      <c r="AT1633" s="137">
        <v>0.0555555555555556</v>
      </c>
      <c r="AU1633" s="137">
        <v>0.166666666666667</v>
      </c>
      <c r="AV1633" s="137">
        <v>0.0569948186528497</v>
      </c>
      <c r="AW1633" s="93"/>
      <c r="AX1633" s="91"/>
    </row>
    <row r="1634" ht="14.5" spans="1:50">
      <c r="A1634" s="89"/>
      <c r="B1634" s="93"/>
      <c r="C1634" s="148" t="s">
        <v>1449</v>
      </c>
      <c r="D1634" s="126" t="s">
        <v>1450</v>
      </c>
      <c r="E1634" s="164" t="s">
        <v>1660</v>
      </c>
      <c r="F1634" s="164" t="s">
        <v>1660</v>
      </c>
      <c r="G1634" s="164" t="s">
        <v>1660</v>
      </c>
      <c r="H1634" s="164" t="s">
        <v>1660</v>
      </c>
      <c r="I1634" s="128">
        <v>0.9</v>
      </c>
      <c r="J1634" s="129">
        <v>0.925925925925926</v>
      </c>
      <c r="K1634" s="129">
        <v>0.884615384615385</v>
      </c>
      <c r="L1634" s="130">
        <v>0.96</v>
      </c>
      <c r="M1634" s="129">
        <v>0.916666666666667</v>
      </c>
      <c r="N1634" s="131">
        <v>0.9</v>
      </c>
      <c r="O1634" s="129">
        <v>0.989046653144016</v>
      </c>
      <c r="P1634" s="129">
        <v>0.983693256941384</v>
      </c>
      <c r="Q1634" s="129">
        <v>0.984661553851284</v>
      </c>
      <c r="R1634" s="129">
        <v>0.975217289170778</v>
      </c>
      <c r="S1634" s="131">
        <v>0.9</v>
      </c>
      <c r="T1634" s="129">
        <v>0.938336713995943</v>
      </c>
      <c r="U1634" s="129">
        <v>0.920669898633759</v>
      </c>
      <c r="V1634" s="129">
        <v>0.906968989663221</v>
      </c>
      <c r="W1634" s="129">
        <v>0.912966878083157</v>
      </c>
      <c r="X1634" s="131">
        <v>0.92</v>
      </c>
      <c r="Y1634" s="131" t="s">
        <v>33</v>
      </c>
      <c r="Z1634" s="131">
        <v>0</v>
      </c>
      <c r="AA1634" s="131">
        <v>0</v>
      </c>
      <c r="AB1634" s="131">
        <v>0</v>
      </c>
      <c r="AC1634" s="131">
        <v>0.92</v>
      </c>
      <c r="AD1634" s="129">
        <v>1</v>
      </c>
      <c r="AE1634" s="129">
        <v>1</v>
      </c>
      <c r="AF1634" s="129">
        <v>0.993288590604027</v>
      </c>
      <c r="AG1634" s="129">
        <v>0.962152572442342</v>
      </c>
      <c r="AH1634" s="131">
        <v>0.92</v>
      </c>
      <c r="AI1634" s="129">
        <v>0.967139959432049</v>
      </c>
      <c r="AJ1634" s="129">
        <v>0.976651982378855</v>
      </c>
      <c r="AK1634" s="129">
        <v>0.971333333333333</v>
      </c>
      <c r="AL1634" s="129">
        <v>0.96705682184869</v>
      </c>
      <c r="AM1634" s="128">
        <v>0.99</v>
      </c>
      <c r="AN1634" s="133">
        <v>1</v>
      </c>
      <c r="AO1634" s="133">
        <v>1</v>
      </c>
      <c r="AP1634" s="133" t="s">
        <v>33</v>
      </c>
      <c r="AQ1634" s="133">
        <v>1</v>
      </c>
      <c r="AR1634" s="153">
        <v>0.110069253262963</v>
      </c>
      <c r="AS1634" s="137">
        <v>0.166666666666667</v>
      </c>
      <c r="AT1634" s="137">
        <v>0</v>
      </c>
      <c r="AU1634" s="137">
        <v>0.166666666666667</v>
      </c>
      <c r="AV1634" s="137">
        <v>0.0562248995983936</v>
      </c>
      <c r="AW1634" s="93"/>
      <c r="AX1634" s="91"/>
    </row>
    <row r="1635" ht="14.5" spans="1:50">
      <c r="A1635" s="89"/>
      <c r="B1635" s="93"/>
      <c r="C1635" s="148" t="s">
        <v>1449</v>
      </c>
      <c r="D1635" s="126" t="s">
        <v>1450</v>
      </c>
      <c r="E1635" s="164" t="s">
        <v>1661</v>
      </c>
      <c r="F1635" s="164" t="s">
        <v>1661</v>
      </c>
      <c r="G1635" s="164" t="s">
        <v>1661</v>
      </c>
      <c r="H1635" s="164" t="s">
        <v>1661</v>
      </c>
      <c r="I1635" s="128">
        <v>0.9</v>
      </c>
      <c r="J1635" s="129">
        <v>0.8</v>
      </c>
      <c r="K1635" s="129">
        <v>0.761904761904762</v>
      </c>
      <c r="L1635" s="130">
        <v>0.868421052631579</v>
      </c>
      <c r="M1635" s="129">
        <v>0.877846790890269</v>
      </c>
      <c r="N1635" s="131">
        <v>0.9</v>
      </c>
      <c r="O1635" s="129">
        <v>0.980856155277852</v>
      </c>
      <c r="P1635" s="129">
        <v>0.980735551663748</v>
      </c>
      <c r="Q1635" s="129">
        <v>0.967061356297094</v>
      </c>
      <c r="R1635" s="129">
        <v>0.974479476502082</v>
      </c>
      <c r="S1635" s="131">
        <v>0.9</v>
      </c>
      <c r="T1635" s="129">
        <v>0.938846051582026</v>
      </c>
      <c r="U1635" s="129">
        <v>0.947710783087315</v>
      </c>
      <c r="V1635" s="129">
        <v>0.939720129171152</v>
      </c>
      <c r="W1635" s="129">
        <v>0.955681142177275</v>
      </c>
      <c r="X1635" s="131">
        <v>0.92</v>
      </c>
      <c r="Y1635" s="131">
        <v>0.666666666666667</v>
      </c>
      <c r="Z1635" s="131">
        <v>0</v>
      </c>
      <c r="AA1635" s="131" t="s">
        <v>33</v>
      </c>
      <c r="AB1635" s="131">
        <v>0.214285714285714</v>
      </c>
      <c r="AC1635" s="131">
        <v>0.92</v>
      </c>
      <c r="AD1635" s="129">
        <v>0.953488372093023</v>
      </c>
      <c r="AE1635" s="129">
        <v>0.638297872340426</v>
      </c>
      <c r="AF1635" s="129">
        <v>0.777777777777778</v>
      </c>
      <c r="AG1635" s="129">
        <v>0.82824427480916</v>
      </c>
      <c r="AH1635" s="131">
        <v>0.92</v>
      </c>
      <c r="AI1635" s="129">
        <v>0.951912858660999</v>
      </c>
      <c r="AJ1635" s="129">
        <v>0.965</v>
      </c>
      <c r="AK1635" s="129">
        <v>0.964262648008611</v>
      </c>
      <c r="AL1635" s="129">
        <v>0.974942510506701</v>
      </c>
      <c r="AM1635" s="128">
        <v>0.99</v>
      </c>
      <c r="AN1635" s="133">
        <v>1</v>
      </c>
      <c r="AO1635" s="133">
        <v>1</v>
      </c>
      <c r="AP1635" s="133" t="s">
        <v>33</v>
      </c>
      <c r="AQ1635" s="133">
        <v>1</v>
      </c>
      <c r="AR1635" s="153">
        <v>0.110069253262963</v>
      </c>
      <c r="AS1635" s="137">
        <v>0.0625</v>
      </c>
      <c r="AT1635" s="137">
        <v>0.178571428571429</v>
      </c>
      <c r="AU1635" s="137">
        <v>0.0294117647058824</v>
      </c>
      <c r="AV1635" s="137">
        <v>0.0737463126843658</v>
      </c>
      <c r="AW1635" s="93"/>
      <c r="AX1635" s="91"/>
    </row>
    <row r="1636" ht="14.5" spans="1:50">
      <c r="A1636" s="89"/>
      <c r="B1636" s="93"/>
      <c r="C1636" s="148" t="s">
        <v>1449</v>
      </c>
      <c r="D1636" s="126" t="s">
        <v>1450</v>
      </c>
      <c r="E1636" s="164" t="s">
        <v>1662</v>
      </c>
      <c r="F1636" s="164" t="s">
        <v>1662</v>
      </c>
      <c r="G1636" s="164" t="s">
        <v>1662</v>
      </c>
      <c r="H1636" s="164" t="s">
        <v>1662</v>
      </c>
      <c r="I1636" s="128">
        <v>0.9</v>
      </c>
      <c r="J1636" s="129">
        <v>1</v>
      </c>
      <c r="K1636" s="129">
        <v>1</v>
      </c>
      <c r="L1636" s="130">
        <v>1</v>
      </c>
      <c r="M1636" s="129">
        <v>1</v>
      </c>
      <c r="N1636" s="131">
        <v>0.9</v>
      </c>
      <c r="O1636" s="129">
        <v>0.953112368633791</v>
      </c>
      <c r="P1636" s="129">
        <v>0.95265306122449</v>
      </c>
      <c r="Q1636" s="129">
        <v>0.935101186322401</v>
      </c>
      <c r="R1636" s="129">
        <v>0.943941261589581</v>
      </c>
      <c r="S1636" s="131">
        <v>0.9</v>
      </c>
      <c r="T1636" s="129">
        <v>0.801940177849636</v>
      </c>
      <c r="U1636" s="129">
        <v>0.773877551020408</v>
      </c>
      <c r="V1636" s="129">
        <v>0.762037683182135</v>
      </c>
      <c r="W1636" s="129">
        <v>0.751219250763707</v>
      </c>
      <c r="X1636" s="131">
        <v>0.92</v>
      </c>
      <c r="Y1636" s="131">
        <v>0.87218045112782</v>
      </c>
      <c r="Z1636" s="131">
        <v>0.89912629070691</v>
      </c>
      <c r="AA1636" s="131">
        <v>0.900947459086994</v>
      </c>
      <c r="AB1636" s="131">
        <v>0.855894322503169</v>
      </c>
      <c r="AC1636" s="131">
        <v>0.92</v>
      </c>
      <c r="AD1636" s="129">
        <v>1</v>
      </c>
      <c r="AE1636" s="129">
        <v>1</v>
      </c>
      <c r="AF1636" s="129">
        <v>1</v>
      </c>
      <c r="AG1636" s="129">
        <v>0.999333333333333</v>
      </c>
      <c r="AH1636" s="131">
        <v>0.92</v>
      </c>
      <c r="AI1636" s="129">
        <v>0.897699260476582</v>
      </c>
      <c r="AJ1636" s="129">
        <v>0.912238325281804</v>
      </c>
      <c r="AK1636" s="129">
        <v>0.912875867386276</v>
      </c>
      <c r="AL1636" s="129">
        <v>0.891753802281369</v>
      </c>
      <c r="AM1636" s="128">
        <v>0.99</v>
      </c>
      <c r="AN1636" s="133" t="s">
        <v>33</v>
      </c>
      <c r="AO1636" s="133">
        <v>1</v>
      </c>
      <c r="AP1636" s="133" t="s">
        <v>33</v>
      </c>
      <c r="AQ1636" s="133">
        <v>1</v>
      </c>
      <c r="AR1636" s="153">
        <v>0.110069253262963</v>
      </c>
      <c r="AS1636" s="137">
        <v>0.1</v>
      </c>
      <c r="AT1636" s="137">
        <v>0.0606060606060606</v>
      </c>
      <c r="AU1636" s="137">
        <v>0.0714285714285714</v>
      </c>
      <c r="AV1636" s="137">
        <v>0.0659340659340659</v>
      </c>
      <c r="AW1636" s="93"/>
      <c r="AX1636" s="91"/>
    </row>
    <row r="1637" ht="14.5" spans="1:50">
      <c r="A1637" s="89"/>
      <c r="B1637" s="93"/>
      <c r="C1637" s="148" t="s">
        <v>1449</v>
      </c>
      <c r="D1637" s="126" t="s">
        <v>1450</v>
      </c>
      <c r="E1637" s="164" t="s">
        <v>1663</v>
      </c>
      <c r="F1637" s="164" t="s">
        <v>1663</v>
      </c>
      <c r="G1637" s="164" t="s">
        <v>1663</v>
      </c>
      <c r="H1637" s="164" t="s">
        <v>1663</v>
      </c>
      <c r="I1637" s="128">
        <v>0.9</v>
      </c>
      <c r="J1637" s="129">
        <v>1</v>
      </c>
      <c r="K1637" s="129">
        <v>1</v>
      </c>
      <c r="L1637" s="130">
        <v>0.961538461538462</v>
      </c>
      <c r="M1637" s="129">
        <v>0.986622073578595</v>
      </c>
      <c r="N1637" s="131">
        <v>0.9</v>
      </c>
      <c r="O1637" s="129">
        <v>0.847130968024529</v>
      </c>
      <c r="P1637" s="129">
        <v>0.879355400696864</v>
      </c>
      <c r="Q1637" s="129">
        <v>0.811642411642412</v>
      </c>
      <c r="R1637" s="129">
        <v>0.874327659305195</v>
      </c>
      <c r="S1637" s="131">
        <v>0.9</v>
      </c>
      <c r="T1637" s="129">
        <v>0.885238720981165</v>
      </c>
      <c r="U1637" s="129">
        <v>0.890243902439024</v>
      </c>
      <c r="V1637" s="129">
        <v>0.864033264033264</v>
      </c>
      <c r="W1637" s="129">
        <v>0.855249003353794</v>
      </c>
      <c r="X1637" s="131">
        <v>0.92</v>
      </c>
      <c r="Y1637" s="131">
        <v>0.5</v>
      </c>
      <c r="Z1637" s="131">
        <v>0</v>
      </c>
      <c r="AA1637" s="131">
        <v>0.666666666666667</v>
      </c>
      <c r="AB1637" s="131">
        <v>0.5</v>
      </c>
      <c r="AC1637" s="131">
        <v>0.92</v>
      </c>
      <c r="AD1637" s="129">
        <v>0.90625</v>
      </c>
      <c r="AE1637" s="129">
        <v>0.978723404255319</v>
      </c>
      <c r="AF1637" s="129">
        <v>1</v>
      </c>
      <c r="AG1637" s="129">
        <v>0.945887445887446</v>
      </c>
      <c r="AH1637" s="131">
        <v>0.92</v>
      </c>
      <c r="AI1637" s="129">
        <v>0.958862144420131</v>
      </c>
      <c r="AJ1637" s="129">
        <v>0.955632883862549</v>
      </c>
      <c r="AK1637" s="129">
        <v>0.963039867109635</v>
      </c>
      <c r="AL1637" s="129">
        <v>0.95774914740432</v>
      </c>
      <c r="AM1637" s="128">
        <v>0.99</v>
      </c>
      <c r="AN1637" s="133">
        <v>1</v>
      </c>
      <c r="AO1637" s="133" t="s">
        <v>33</v>
      </c>
      <c r="AP1637" s="133" t="s">
        <v>33</v>
      </c>
      <c r="AQ1637" s="133">
        <v>1</v>
      </c>
      <c r="AR1637" s="153">
        <v>0.110069253262963</v>
      </c>
      <c r="AS1637" s="137">
        <v>0</v>
      </c>
      <c r="AT1637" s="137">
        <v>0.0454545454545455</v>
      </c>
      <c r="AU1637" s="137">
        <v>0.0588235294117647</v>
      </c>
      <c r="AV1637" s="137">
        <v>0.0465116279069767</v>
      </c>
      <c r="AW1637" s="93"/>
      <c r="AX1637" s="91"/>
    </row>
    <row r="1638" ht="14.5" spans="1:50">
      <c r="A1638" s="89"/>
      <c r="B1638" s="93"/>
      <c r="C1638" s="148" t="s">
        <v>1449</v>
      </c>
      <c r="D1638" s="126" t="s">
        <v>1450</v>
      </c>
      <c r="E1638" s="164" t="s">
        <v>1664</v>
      </c>
      <c r="F1638" s="164" t="s">
        <v>1664</v>
      </c>
      <c r="G1638" s="164" t="s">
        <v>1664</v>
      </c>
      <c r="H1638" s="164" t="s">
        <v>1664</v>
      </c>
      <c r="I1638" s="128">
        <v>0.9</v>
      </c>
      <c r="J1638" s="129">
        <v>1</v>
      </c>
      <c r="K1638" s="129">
        <v>0.952380952380952</v>
      </c>
      <c r="L1638" s="130">
        <v>1</v>
      </c>
      <c r="M1638" s="129">
        <v>0.98046875</v>
      </c>
      <c r="N1638" s="131">
        <v>0.9</v>
      </c>
      <c r="O1638" s="129">
        <v>0.993698802772527</v>
      </c>
      <c r="P1638" s="129">
        <v>0.995492957746479</v>
      </c>
      <c r="Q1638" s="129">
        <v>0.989389920424403</v>
      </c>
      <c r="R1638" s="129">
        <v>0.991264409221902</v>
      </c>
      <c r="S1638" s="131">
        <v>0.9</v>
      </c>
      <c r="T1638" s="129">
        <v>0.942659105229994</v>
      </c>
      <c r="U1638" s="129">
        <v>0.915492957746479</v>
      </c>
      <c r="V1638" s="129">
        <v>0.93474801061008</v>
      </c>
      <c r="W1638" s="129">
        <v>0.931961455331412</v>
      </c>
      <c r="X1638" s="131">
        <v>0.92</v>
      </c>
      <c r="Y1638" s="131" t="s">
        <v>33</v>
      </c>
      <c r="Z1638" s="131" t="s">
        <v>33</v>
      </c>
      <c r="AA1638" s="131" t="s">
        <v>33</v>
      </c>
      <c r="AB1638" s="131" t="s">
        <v>33</v>
      </c>
      <c r="AC1638" s="131">
        <v>0.92</v>
      </c>
      <c r="AD1638" s="129">
        <v>1</v>
      </c>
      <c r="AE1638" s="129">
        <v>0.846153846153846</v>
      </c>
      <c r="AF1638" s="129">
        <v>0.985074626865672</v>
      </c>
      <c r="AG1638" s="129">
        <v>0.966794380587484</v>
      </c>
      <c r="AH1638" s="131">
        <v>0.92</v>
      </c>
      <c r="AI1638" s="129">
        <v>0.974795211090107</v>
      </c>
      <c r="AJ1638" s="129">
        <v>0.973521126760563</v>
      </c>
      <c r="AK1638" s="129">
        <v>0.968700265251989</v>
      </c>
      <c r="AL1638" s="129">
        <v>0.97514409221902</v>
      </c>
      <c r="AM1638" s="128">
        <v>0.99</v>
      </c>
      <c r="AN1638" s="133">
        <v>1</v>
      </c>
      <c r="AO1638" s="133">
        <v>1</v>
      </c>
      <c r="AP1638" s="133">
        <v>1</v>
      </c>
      <c r="AQ1638" s="133">
        <v>1</v>
      </c>
      <c r="AR1638" s="153">
        <v>0.110069253262963</v>
      </c>
      <c r="AS1638" s="137">
        <v>0.0588235294117647</v>
      </c>
      <c r="AT1638" s="137">
        <v>0.157894736842105</v>
      </c>
      <c r="AU1638" s="137">
        <v>0</v>
      </c>
      <c r="AV1638" s="137">
        <v>0.0669856459330144</v>
      </c>
      <c r="AW1638" s="93"/>
      <c r="AX1638" s="91"/>
    </row>
    <row r="1639" ht="14.5" spans="1:50">
      <c r="A1639" s="89"/>
      <c r="B1639" s="93"/>
      <c r="C1639" s="148" t="s">
        <v>1449</v>
      </c>
      <c r="D1639" s="126" t="s">
        <v>1450</v>
      </c>
      <c r="E1639" s="164" t="s">
        <v>1665</v>
      </c>
      <c r="F1639" s="164" t="s">
        <v>1665</v>
      </c>
      <c r="G1639" s="164" t="s">
        <v>1665</v>
      </c>
      <c r="H1639" s="164" t="s">
        <v>1665</v>
      </c>
      <c r="I1639" s="128">
        <v>0.9</v>
      </c>
      <c r="J1639" s="129">
        <v>0.933333333333333</v>
      </c>
      <c r="K1639" s="129">
        <v>1</v>
      </c>
      <c r="L1639" s="130">
        <v>1</v>
      </c>
      <c r="M1639" s="129">
        <v>0.976744186046512</v>
      </c>
      <c r="N1639" s="131">
        <v>0.9</v>
      </c>
      <c r="O1639" s="129">
        <v>0.972800444074382</v>
      </c>
      <c r="P1639" s="129">
        <v>0.948429319371728</v>
      </c>
      <c r="Q1639" s="129">
        <v>0.894591141396934</v>
      </c>
      <c r="R1639" s="129">
        <v>0.929551834285161</v>
      </c>
      <c r="S1639" s="131">
        <v>0.9</v>
      </c>
      <c r="T1639" s="129">
        <v>0.886761032472939</v>
      </c>
      <c r="U1639" s="129">
        <v>0.90261780104712</v>
      </c>
      <c r="V1639" s="129">
        <v>0.875212947189097</v>
      </c>
      <c r="W1639" s="129">
        <v>0.882779982576711</v>
      </c>
      <c r="X1639" s="131">
        <v>0.92</v>
      </c>
      <c r="Y1639" s="131" t="s">
        <v>33</v>
      </c>
      <c r="Z1639" s="131" t="s">
        <v>33</v>
      </c>
      <c r="AA1639" s="131" t="s">
        <v>33</v>
      </c>
      <c r="AB1639" s="131">
        <v>1</v>
      </c>
      <c r="AC1639" s="131">
        <v>0.92</v>
      </c>
      <c r="AD1639" s="129">
        <v>0.987096774193548</v>
      </c>
      <c r="AE1639" s="129">
        <v>0.956521739130435</v>
      </c>
      <c r="AF1639" s="129">
        <v>0.950338600451467</v>
      </c>
      <c r="AG1639" s="129">
        <v>0.94775212636695</v>
      </c>
      <c r="AH1639" s="131">
        <v>0.92</v>
      </c>
      <c r="AI1639" s="129">
        <v>0.92173189009159</v>
      </c>
      <c r="AJ1639" s="129">
        <v>0.945549738219895</v>
      </c>
      <c r="AK1639" s="129">
        <v>0.954642248722317</v>
      </c>
      <c r="AL1639" s="129">
        <v>0.940742604924888</v>
      </c>
      <c r="AM1639" s="128">
        <v>0.99</v>
      </c>
      <c r="AN1639" s="133">
        <v>1</v>
      </c>
      <c r="AO1639" s="133">
        <v>1</v>
      </c>
      <c r="AP1639" s="133">
        <v>1</v>
      </c>
      <c r="AQ1639" s="133">
        <v>1</v>
      </c>
      <c r="AR1639" s="153">
        <v>0.110069253262963</v>
      </c>
      <c r="AS1639" s="137">
        <v>0.16</v>
      </c>
      <c r="AT1639" s="137">
        <v>0.0555555555555556</v>
      </c>
      <c r="AU1639" s="137">
        <v>0.024390243902439</v>
      </c>
      <c r="AV1639" s="137">
        <v>0.0493827160493827</v>
      </c>
      <c r="AW1639" s="93"/>
      <c r="AX1639" s="91"/>
    </row>
    <row r="1640" ht="14.5" spans="1:50">
      <c r="A1640" s="89"/>
      <c r="B1640" s="93"/>
      <c r="C1640" s="148" t="s">
        <v>1449</v>
      </c>
      <c r="D1640" s="126" t="s">
        <v>1450</v>
      </c>
      <c r="E1640" s="164" t="s">
        <v>1666</v>
      </c>
      <c r="F1640" s="164" t="s">
        <v>1666</v>
      </c>
      <c r="G1640" s="164" t="s">
        <v>1666</v>
      </c>
      <c r="H1640" s="164" t="s">
        <v>1666</v>
      </c>
      <c r="I1640" s="128">
        <v>0.9</v>
      </c>
      <c r="J1640" s="129">
        <v>0.925925925925926</v>
      </c>
      <c r="K1640" s="129">
        <v>1</v>
      </c>
      <c r="L1640" s="130">
        <v>0.961538461538462</v>
      </c>
      <c r="M1640" s="129">
        <v>0.948948948948949</v>
      </c>
      <c r="N1640" s="131">
        <v>0.9</v>
      </c>
      <c r="O1640" s="129">
        <v>0.937445699391833</v>
      </c>
      <c r="P1640" s="129">
        <v>0.925229741019215</v>
      </c>
      <c r="Q1640" s="129">
        <v>0.859905020352782</v>
      </c>
      <c r="R1640" s="129">
        <v>0.912663094481276</v>
      </c>
      <c r="S1640" s="131">
        <v>0.9</v>
      </c>
      <c r="T1640" s="129">
        <v>0.880973066898349</v>
      </c>
      <c r="U1640" s="129">
        <v>0.815371762740184</v>
      </c>
      <c r="V1640" s="129">
        <v>0.753392130257802</v>
      </c>
      <c r="W1640" s="129">
        <v>0.835316198952563</v>
      </c>
      <c r="X1640" s="131">
        <v>0.92</v>
      </c>
      <c r="Y1640" s="131" t="s">
        <v>33</v>
      </c>
      <c r="Z1640" s="131" t="s">
        <v>33</v>
      </c>
      <c r="AA1640" s="131" t="s">
        <v>33</v>
      </c>
      <c r="AB1640" s="131" t="s">
        <v>33</v>
      </c>
      <c r="AC1640" s="131">
        <v>0.92</v>
      </c>
      <c r="AD1640" s="129">
        <v>0.827433628318584</v>
      </c>
      <c r="AE1640" s="129">
        <v>0.989795918367347</v>
      </c>
      <c r="AF1640" s="129">
        <v>0.965957446808511</v>
      </c>
      <c r="AG1640" s="129">
        <v>0.961078998073218</v>
      </c>
      <c r="AH1640" s="131">
        <v>0.92</v>
      </c>
      <c r="AI1640" s="129">
        <v>0.921372719374457</v>
      </c>
      <c r="AJ1640" s="129">
        <v>0.91436925647452</v>
      </c>
      <c r="AK1640" s="129">
        <v>0.917232021709634</v>
      </c>
      <c r="AL1640" s="129">
        <v>0.911969485984138</v>
      </c>
      <c r="AM1640" s="128">
        <v>0.99</v>
      </c>
      <c r="AN1640" s="133">
        <v>1</v>
      </c>
      <c r="AO1640" s="133">
        <v>1</v>
      </c>
      <c r="AP1640" s="133">
        <v>1</v>
      </c>
      <c r="AQ1640" s="133">
        <v>1</v>
      </c>
      <c r="AR1640" s="153">
        <v>0.110069253262963</v>
      </c>
      <c r="AS1640" s="137">
        <v>0.105263157894737</v>
      </c>
      <c r="AT1640" s="137">
        <v>0</v>
      </c>
      <c r="AU1640" s="137">
        <v>0.0416666666666667</v>
      </c>
      <c r="AV1640" s="137">
        <v>0.0649350649350649</v>
      </c>
      <c r="AW1640" s="93"/>
      <c r="AX1640" s="91"/>
    </row>
    <row r="1641" ht="14.5" spans="1:50">
      <c r="A1641" s="89"/>
      <c r="B1641" s="93"/>
      <c r="C1641" s="148" t="s">
        <v>1449</v>
      </c>
      <c r="D1641" s="126" t="s">
        <v>1450</v>
      </c>
      <c r="E1641" s="164" t="s">
        <v>1667</v>
      </c>
      <c r="F1641" s="164" t="s">
        <v>1667</v>
      </c>
      <c r="G1641" s="164" t="s">
        <v>1667</v>
      </c>
      <c r="H1641" s="164" t="s">
        <v>1667</v>
      </c>
      <c r="I1641" s="128">
        <v>0.9</v>
      </c>
      <c r="J1641" s="129">
        <v>0.961538461538462</v>
      </c>
      <c r="K1641" s="129">
        <v>0.96</v>
      </c>
      <c r="L1641" s="130">
        <v>0.833333333333333</v>
      </c>
      <c r="M1641" s="129">
        <v>0.944983818770227</v>
      </c>
      <c r="N1641" s="131">
        <v>0.9</v>
      </c>
      <c r="O1641" s="129">
        <v>0.99144385026738</v>
      </c>
      <c r="P1641" s="129">
        <v>0.946938775510204</v>
      </c>
      <c r="Q1641" s="129">
        <v>0.749593495934959</v>
      </c>
      <c r="R1641" s="129">
        <v>0.914696337505795</v>
      </c>
      <c r="S1641" s="131">
        <v>0.9</v>
      </c>
      <c r="T1641" s="129">
        <v>0.829946524064171</v>
      </c>
      <c r="U1641" s="129">
        <v>0.740816326530612</v>
      </c>
      <c r="V1641" s="129">
        <v>0.724390243902439</v>
      </c>
      <c r="W1641" s="129">
        <v>0.707132922710113</v>
      </c>
      <c r="X1641" s="131">
        <v>0.92</v>
      </c>
      <c r="Y1641" s="131">
        <v>0.868782161234991</v>
      </c>
      <c r="Z1641" s="131">
        <v>0.904990403071017</v>
      </c>
      <c r="AA1641" s="131">
        <v>0.88109756097561</v>
      </c>
      <c r="AB1641" s="131">
        <v>0.878052574272826</v>
      </c>
      <c r="AC1641" s="131">
        <v>0.92</v>
      </c>
      <c r="AD1641" s="129">
        <v>1</v>
      </c>
      <c r="AE1641" s="129">
        <v>0.87719298245614</v>
      </c>
      <c r="AF1641" s="129">
        <v>0.924528301886792</v>
      </c>
      <c r="AG1641" s="129">
        <v>0.970890410958904</v>
      </c>
      <c r="AH1641" s="131">
        <v>0.92</v>
      </c>
      <c r="AI1641" s="129">
        <v>0.898619704902427</v>
      </c>
      <c r="AJ1641" s="129">
        <v>0.91295746785361</v>
      </c>
      <c r="AK1641" s="129">
        <v>0.907942238267148</v>
      </c>
      <c r="AL1641" s="129">
        <v>0.901148687214612</v>
      </c>
      <c r="AM1641" s="128">
        <v>0.99</v>
      </c>
      <c r="AN1641" s="133">
        <v>1</v>
      </c>
      <c r="AO1641" s="133" t="s">
        <v>33</v>
      </c>
      <c r="AP1641" s="133" t="s">
        <v>33</v>
      </c>
      <c r="AQ1641" s="133">
        <v>1</v>
      </c>
      <c r="AR1641" s="153">
        <v>0.110069253262963</v>
      </c>
      <c r="AS1641" s="137">
        <v>0</v>
      </c>
      <c r="AT1641" s="137">
        <v>0.117647058823529</v>
      </c>
      <c r="AU1641" s="137">
        <v>0.242424242424242</v>
      </c>
      <c r="AV1641" s="137">
        <v>0.0779220779220779</v>
      </c>
      <c r="AW1641" s="93"/>
      <c r="AX1641" s="91"/>
    </row>
    <row r="1642" ht="14.5" spans="1:50">
      <c r="A1642" s="89"/>
      <c r="B1642" s="93"/>
      <c r="C1642" s="148" t="s">
        <v>1449</v>
      </c>
      <c r="D1642" s="126" t="s">
        <v>1450</v>
      </c>
      <c r="E1642" s="164" t="s">
        <v>1668</v>
      </c>
      <c r="F1642" s="164" t="s">
        <v>1668</v>
      </c>
      <c r="G1642" s="164" t="s">
        <v>1668</v>
      </c>
      <c r="H1642" s="164" t="s">
        <v>1668</v>
      </c>
      <c r="I1642" s="128">
        <v>0.9</v>
      </c>
      <c r="J1642" s="129">
        <v>0.944444444444444</v>
      </c>
      <c r="K1642" s="129">
        <v>1</v>
      </c>
      <c r="L1642" s="130">
        <v>1</v>
      </c>
      <c r="M1642" s="129">
        <v>0.973105134474328</v>
      </c>
      <c r="N1642" s="131">
        <v>0.9</v>
      </c>
      <c r="O1642" s="129">
        <v>0.760104302477184</v>
      </c>
      <c r="P1642" s="129">
        <v>0.690159003008165</v>
      </c>
      <c r="Q1642" s="129">
        <v>0.777263969171484</v>
      </c>
      <c r="R1642" s="129">
        <v>0.77768428644409</v>
      </c>
      <c r="S1642" s="131">
        <v>0.9</v>
      </c>
      <c r="T1642" s="129">
        <v>0.667970447631465</v>
      </c>
      <c r="U1642" s="129">
        <v>0.59604641168887</v>
      </c>
      <c r="V1642" s="129">
        <v>0.586512524084778</v>
      </c>
      <c r="W1642" s="129">
        <v>0.623553805932025</v>
      </c>
      <c r="X1642" s="131">
        <v>0.92</v>
      </c>
      <c r="Y1642" s="131">
        <v>0.732849972113776</v>
      </c>
      <c r="Z1642" s="131">
        <v>0.77997111218103</v>
      </c>
      <c r="AA1642" s="131">
        <v>0.728832318760376</v>
      </c>
      <c r="AB1642" s="131">
        <v>0.761143818334735</v>
      </c>
      <c r="AC1642" s="131">
        <v>0.92</v>
      </c>
      <c r="AD1642" s="129">
        <v>0.826086956521739</v>
      </c>
      <c r="AE1642" s="129">
        <v>0.709677419354839</v>
      </c>
      <c r="AF1642" s="129">
        <v>1</v>
      </c>
      <c r="AG1642" s="129">
        <v>0.944444444444444</v>
      </c>
      <c r="AH1642" s="131">
        <v>0.92</v>
      </c>
      <c r="AI1642" s="129">
        <v>0.805080605764533</v>
      </c>
      <c r="AJ1642" s="129">
        <v>0.822555026094849</v>
      </c>
      <c r="AK1642" s="129">
        <v>0.806985711045589</v>
      </c>
      <c r="AL1642" s="129">
        <v>0.834797230818769</v>
      </c>
      <c r="AM1642" s="128">
        <v>0.99</v>
      </c>
      <c r="AN1642" s="133">
        <v>1</v>
      </c>
      <c r="AO1642" s="133" t="s">
        <v>33</v>
      </c>
      <c r="AP1642" s="133" t="s">
        <v>33</v>
      </c>
      <c r="AQ1642" s="133">
        <v>1</v>
      </c>
      <c r="AR1642" s="153">
        <v>0.110069253262963</v>
      </c>
      <c r="AS1642" s="137">
        <v>0.0769230769230769</v>
      </c>
      <c r="AT1642" s="137">
        <v>0.103448275862069</v>
      </c>
      <c r="AU1642" s="137">
        <v>0.137931034482759</v>
      </c>
      <c r="AV1642" s="137">
        <v>0.131313131313131</v>
      </c>
      <c r="AW1642" s="93"/>
      <c r="AX1642" s="91"/>
    </row>
    <row r="1643" ht="14.5" spans="1:50">
      <c r="A1643" s="89"/>
      <c r="B1643" s="93"/>
      <c r="C1643" s="148" t="s">
        <v>1449</v>
      </c>
      <c r="D1643" s="126" t="s">
        <v>1450</v>
      </c>
      <c r="E1643" s="164" t="s">
        <v>1669</v>
      </c>
      <c r="F1643" s="164" t="s">
        <v>1669</v>
      </c>
      <c r="G1643" s="164" t="s">
        <v>1669</v>
      </c>
      <c r="H1643" s="164" t="s">
        <v>1669</v>
      </c>
      <c r="I1643" s="128">
        <v>0.9</v>
      </c>
      <c r="J1643" s="129">
        <v>1</v>
      </c>
      <c r="K1643" s="129">
        <v>1</v>
      </c>
      <c r="L1643" s="130">
        <v>1</v>
      </c>
      <c r="M1643" s="129">
        <v>0.974489795918367</v>
      </c>
      <c r="N1643" s="131">
        <v>0.9</v>
      </c>
      <c r="O1643" s="129">
        <v>0.853084207832096</v>
      </c>
      <c r="P1643" s="129">
        <v>0.847365829640571</v>
      </c>
      <c r="Q1643" s="129">
        <v>0.954438948190575</v>
      </c>
      <c r="R1643" s="129">
        <v>0.896116032317726</v>
      </c>
      <c r="S1643" s="131">
        <v>0.9</v>
      </c>
      <c r="T1643" s="129">
        <v>0.881750703864858</v>
      </c>
      <c r="U1643" s="129">
        <v>0.831117676021664</v>
      </c>
      <c r="V1643" s="129">
        <v>0.8325956782088</v>
      </c>
      <c r="W1643" s="129">
        <v>0.813063369999027</v>
      </c>
      <c r="X1643" s="131">
        <v>0.92</v>
      </c>
      <c r="Y1643" s="131">
        <v>1</v>
      </c>
      <c r="Z1643" s="131">
        <v>0.2</v>
      </c>
      <c r="AA1643" s="131">
        <v>0</v>
      </c>
      <c r="AB1643" s="131">
        <v>0.134020618556701</v>
      </c>
      <c r="AC1643" s="131">
        <v>0.92</v>
      </c>
      <c r="AD1643" s="129">
        <v>1</v>
      </c>
      <c r="AE1643" s="129">
        <v>0.84</v>
      </c>
      <c r="AF1643" s="129">
        <v>1</v>
      </c>
      <c r="AG1643" s="129">
        <v>0.941666666666667</v>
      </c>
      <c r="AH1643" s="131">
        <v>0.92</v>
      </c>
      <c r="AI1643" s="129">
        <v>0.975946775844422</v>
      </c>
      <c r="AJ1643" s="129">
        <v>0.954299754299754</v>
      </c>
      <c r="AK1643" s="129">
        <v>0.970122109638867</v>
      </c>
      <c r="AL1643" s="129">
        <v>0.959215381627501</v>
      </c>
      <c r="AM1643" s="128">
        <v>0.99</v>
      </c>
      <c r="AN1643" s="133">
        <v>1</v>
      </c>
      <c r="AO1643" s="133">
        <v>1</v>
      </c>
      <c r="AP1643" s="133">
        <v>1</v>
      </c>
      <c r="AQ1643" s="133">
        <v>1</v>
      </c>
      <c r="AR1643" s="153">
        <v>0.110069253262963</v>
      </c>
      <c r="AS1643" s="137">
        <v>0.0952380952380952</v>
      </c>
      <c r="AT1643" s="137">
        <v>0.105263157894737</v>
      </c>
      <c r="AU1643" s="137">
        <v>0.0952380952380952</v>
      </c>
      <c r="AV1643" s="137">
        <v>0.093984962406015</v>
      </c>
      <c r="AW1643" s="93"/>
      <c r="AX1643" s="91"/>
    </row>
    <row r="1644" ht="14.5" spans="1:50">
      <c r="A1644" s="89"/>
      <c r="B1644" s="93"/>
      <c r="C1644" s="148" t="s">
        <v>1449</v>
      </c>
      <c r="D1644" s="126" t="s">
        <v>1450</v>
      </c>
      <c r="E1644" s="164" t="s">
        <v>1670</v>
      </c>
      <c r="F1644" s="164" t="s">
        <v>1670</v>
      </c>
      <c r="G1644" s="164" t="s">
        <v>1670</v>
      </c>
      <c r="H1644" s="164" t="s">
        <v>1670</v>
      </c>
      <c r="I1644" s="128">
        <v>0.9</v>
      </c>
      <c r="J1644" s="129">
        <v>0.955555555555556</v>
      </c>
      <c r="K1644" s="129">
        <v>0.931818181818182</v>
      </c>
      <c r="L1644" s="130">
        <v>0.952380952380952</v>
      </c>
      <c r="M1644" s="129">
        <v>0.91412213740458</v>
      </c>
      <c r="N1644" s="131">
        <v>0.9</v>
      </c>
      <c r="O1644" s="129">
        <v>0.8678638434736</v>
      </c>
      <c r="P1644" s="129">
        <v>0.789406994424734</v>
      </c>
      <c r="Q1644" s="129">
        <v>0.821973094170404</v>
      </c>
      <c r="R1644" s="129">
        <v>0.81722393094553</v>
      </c>
      <c r="S1644" s="131">
        <v>0.9</v>
      </c>
      <c r="T1644" s="129">
        <v>0.737871884213348</v>
      </c>
      <c r="U1644" s="129">
        <v>0.659908768373036</v>
      </c>
      <c r="V1644" s="129">
        <v>0.678026905829596</v>
      </c>
      <c r="W1644" s="129">
        <v>0.71870225220756</v>
      </c>
      <c r="X1644" s="131">
        <v>0.92</v>
      </c>
      <c r="Y1644" s="131" t="s">
        <v>33</v>
      </c>
      <c r="Z1644" s="131" t="s">
        <v>33</v>
      </c>
      <c r="AA1644" s="131" t="s">
        <v>33</v>
      </c>
      <c r="AB1644" s="131" t="s">
        <v>33</v>
      </c>
      <c r="AC1644" s="131">
        <v>0.92</v>
      </c>
      <c r="AD1644" s="129">
        <v>0.984962406015038</v>
      </c>
      <c r="AE1644" s="129">
        <v>0.990654205607477</v>
      </c>
      <c r="AF1644" s="129">
        <v>1</v>
      </c>
      <c r="AG1644" s="129">
        <v>0.988906497622821</v>
      </c>
      <c r="AH1644" s="131">
        <v>0.92</v>
      </c>
      <c r="AI1644" s="129">
        <v>0.859287054409006</v>
      </c>
      <c r="AJ1644" s="129">
        <v>0.842118601115053</v>
      </c>
      <c r="AK1644" s="129">
        <v>0.849103139013453</v>
      </c>
      <c r="AL1644" s="129">
        <v>0.865879551542812</v>
      </c>
      <c r="AM1644" s="128">
        <v>0.99</v>
      </c>
      <c r="AN1644" s="133">
        <v>1</v>
      </c>
      <c r="AO1644" s="133" t="s">
        <v>33</v>
      </c>
      <c r="AP1644" s="133">
        <v>1</v>
      </c>
      <c r="AQ1644" s="133">
        <v>1</v>
      </c>
      <c r="AR1644" s="153">
        <v>0.110069253262963</v>
      </c>
      <c r="AS1644" s="137">
        <v>0.105263157894737</v>
      </c>
      <c r="AT1644" s="137">
        <v>0.0714285714285714</v>
      </c>
      <c r="AU1644" s="137">
        <v>0.142857142857143</v>
      </c>
      <c r="AV1644" s="137">
        <v>0.108761329305136</v>
      </c>
      <c r="AW1644" s="93"/>
      <c r="AX1644" s="91"/>
    </row>
    <row r="1645" ht="14.5" spans="1:50">
      <c r="A1645" s="89"/>
      <c r="B1645" s="93"/>
      <c r="C1645" s="148" t="s">
        <v>1449</v>
      </c>
      <c r="D1645" s="126" t="s">
        <v>1450</v>
      </c>
      <c r="E1645" s="164" t="s">
        <v>1671</v>
      </c>
      <c r="F1645" s="164" t="s">
        <v>1671</v>
      </c>
      <c r="G1645" s="164" t="s">
        <v>1671</v>
      </c>
      <c r="H1645" s="164" t="s">
        <v>1671</v>
      </c>
      <c r="I1645" s="128">
        <v>0.9</v>
      </c>
      <c r="J1645" s="129">
        <v>1</v>
      </c>
      <c r="K1645" s="129">
        <v>0.961538461538462</v>
      </c>
      <c r="L1645" s="130">
        <v>1</v>
      </c>
      <c r="M1645" s="129">
        <v>0.975308641975309</v>
      </c>
      <c r="N1645" s="131">
        <v>0.9</v>
      </c>
      <c r="O1645" s="129">
        <v>0.852319236016371</v>
      </c>
      <c r="P1645" s="129">
        <v>0.837078651685393</v>
      </c>
      <c r="Q1645" s="129">
        <v>0.780746831106543</v>
      </c>
      <c r="R1645" s="129">
        <v>0.813161551092586</v>
      </c>
      <c r="S1645" s="131">
        <v>0.9</v>
      </c>
      <c r="T1645" s="129">
        <v>0.896657571623465</v>
      </c>
      <c r="U1645" s="129">
        <v>0.878387309980172</v>
      </c>
      <c r="V1645" s="129">
        <v>0.854402192531689</v>
      </c>
      <c r="W1645" s="129">
        <v>0.816319312871037</v>
      </c>
      <c r="X1645" s="131">
        <v>0.92</v>
      </c>
      <c r="Y1645" s="131" t="s">
        <v>33</v>
      </c>
      <c r="Z1645" s="131">
        <v>0</v>
      </c>
      <c r="AA1645" s="131">
        <v>0</v>
      </c>
      <c r="AB1645" s="131">
        <v>0.207792207792208</v>
      </c>
      <c r="AC1645" s="131">
        <v>0.92</v>
      </c>
      <c r="AD1645" s="129">
        <v>1</v>
      </c>
      <c r="AE1645" s="129">
        <v>0.887323943661972</v>
      </c>
      <c r="AF1645" s="129">
        <v>0.979591836734694</v>
      </c>
      <c r="AG1645" s="129">
        <v>0.97997138769671</v>
      </c>
      <c r="AH1645" s="131">
        <v>0.92</v>
      </c>
      <c r="AI1645" s="129">
        <v>0.976466575716235</v>
      </c>
      <c r="AJ1645" s="129">
        <v>0.9765908341576</v>
      </c>
      <c r="AK1645" s="129">
        <v>0.973990417522245</v>
      </c>
      <c r="AL1645" s="129">
        <v>0.966547342946456</v>
      </c>
      <c r="AM1645" s="128">
        <v>0.99</v>
      </c>
      <c r="AN1645" s="133">
        <v>1</v>
      </c>
      <c r="AO1645" s="133">
        <v>1</v>
      </c>
      <c r="AP1645" s="133">
        <v>1</v>
      </c>
      <c r="AQ1645" s="133">
        <v>1</v>
      </c>
      <c r="AR1645" s="153">
        <v>0.110069253262963</v>
      </c>
      <c r="AS1645" s="137">
        <v>0.0384615384615385</v>
      </c>
      <c r="AT1645" s="137">
        <v>0</v>
      </c>
      <c r="AU1645" s="137">
        <v>0</v>
      </c>
      <c r="AV1645" s="137">
        <v>0.0267857142857143</v>
      </c>
      <c r="AW1645" s="93"/>
      <c r="AX1645" s="91"/>
    </row>
    <row r="1646" ht="14.5" spans="1:50">
      <c r="A1646" s="89"/>
      <c r="B1646" s="93"/>
      <c r="C1646" s="148" t="s">
        <v>1449</v>
      </c>
      <c r="D1646" s="126" t="s">
        <v>1450</v>
      </c>
      <c r="E1646" s="164" t="s">
        <v>1672</v>
      </c>
      <c r="F1646" s="164" t="s">
        <v>1672</v>
      </c>
      <c r="G1646" s="164" t="s">
        <v>1672</v>
      </c>
      <c r="H1646" s="164" t="s">
        <v>1672</v>
      </c>
      <c r="I1646" s="128">
        <v>0.9</v>
      </c>
      <c r="J1646" s="129">
        <v>0.923076923076923</v>
      </c>
      <c r="K1646" s="129">
        <v>0.916666666666667</v>
      </c>
      <c r="L1646" s="130">
        <v>1</v>
      </c>
      <c r="M1646" s="129">
        <v>0.944262295081967</v>
      </c>
      <c r="N1646" s="131">
        <v>0.9</v>
      </c>
      <c r="O1646" s="129">
        <v>0.983911939034716</v>
      </c>
      <c r="P1646" s="129">
        <v>0.978609625668449</v>
      </c>
      <c r="Q1646" s="129">
        <v>0.991758241758242</v>
      </c>
      <c r="R1646" s="129">
        <v>0.957820738137083</v>
      </c>
      <c r="S1646" s="131">
        <v>0.9</v>
      </c>
      <c r="T1646" s="129">
        <v>0.881456392887384</v>
      </c>
      <c r="U1646" s="129">
        <v>0.853832442067736</v>
      </c>
      <c r="V1646" s="129">
        <v>0.875</v>
      </c>
      <c r="W1646" s="129">
        <v>0.730931458699473</v>
      </c>
      <c r="X1646" s="131">
        <v>0.92</v>
      </c>
      <c r="Y1646" s="131">
        <v>0.846709470304976</v>
      </c>
      <c r="Z1646" s="131">
        <v>0.875594294770206</v>
      </c>
      <c r="AA1646" s="131">
        <v>0.868445262189512</v>
      </c>
      <c r="AB1646" s="131">
        <v>0.858451859956236</v>
      </c>
      <c r="AC1646" s="131">
        <v>0.92</v>
      </c>
      <c r="AD1646" s="129">
        <v>0.92</v>
      </c>
      <c r="AE1646" s="129">
        <v>0.444444444444444</v>
      </c>
      <c r="AF1646" s="129">
        <v>1</v>
      </c>
      <c r="AG1646" s="129">
        <v>0.923076923076923</v>
      </c>
      <c r="AH1646" s="131">
        <v>0.92</v>
      </c>
      <c r="AI1646" s="129">
        <v>0.894563426688633</v>
      </c>
      <c r="AJ1646" s="129">
        <v>0.909014675052411</v>
      </c>
      <c r="AK1646" s="129">
        <v>0.922139205662603</v>
      </c>
      <c r="AL1646" s="129">
        <v>0.906376135216953</v>
      </c>
      <c r="AM1646" s="128">
        <v>0.99</v>
      </c>
      <c r="AN1646" s="133">
        <v>1</v>
      </c>
      <c r="AO1646" s="133">
        <v>1</v>
      </c>
      <c r="AP1646" s="133" t="s">
        <v>33</v>
      </c>
      <c r="AQ1646" s="133">
        <v>1</v>
      </c>
      <c r="AR1646" s="153">
        <v>0.110069253262963</v>
      </c>
      <c r="AS1646" s="137">
        <v>0.0769230769230769</v>
      </c>
      <c r="AT1646" s="137">
        <v>0.0625</v>
      </c>
      <c r="AU1646" s="137">
        <v>0.0625</v>
      </c>
      <c r="AV1646" s="137">
        <v>0.0552995391705069</v>
      </c>
      <c r="AW1646" s="93"/>
      <c r="AX1646" s="91"/>
    </row>
    <row r="1647" ht="14.5" spans="1:50">
      <c r="A1647" s="89"/>
      <c r="B1647" s="93"/>
      <c r="C1647" s="148" t="s">
        <v>1449</v>
      </c>
      <c r="D1647" s="126" t="s">
        <v>1450</v>
      </c>
      <c r="E1647" s="164" t="s">
        <v>1673</v>
      </c>
      <c r="F1647" s="164" t="s">
        <v>1673</v>
      </c>
      <c r="G1647" s="164" t="s">
        <v>1673</v>
      </c>
      <c r="H1647" s="164" t="s">
        <v>1673</v>
      </c>
      <c r="I1647" s="128">
        <v>0.9</v>
      </c>
      <c r="J1647" s="129">
        <v>0.923076923076923</v>
      </c>
      <c r="K1647" s="129">
        <v>0.896551724137931</v>
      </c>
      <c r="L1647" s="130">
        <v>0.884615384615385</v>
      </c>
      <c r="M1647" s="129">
        <v>0.945619335347432</v>
      </c>
      <c r="N1647" s="131">
        <v>0.9</v>
      </c>
      <c r="O1647" s="129">
        <v>0.972623574144487</v>
      </c>
      <c r="P1647" s="129">
        <v>0.972138554216867</v>
      </c>
      <c r="Q1647" s="129">
        <v>0.964613368283093</v>
      </c>
      <c r="R1647" s="129">
        <v>0.968748419721871</v>
      </c>
      <c r="S1647" s="131">
        <v>0.9</v>
      </c>
      <c r="T1647" s="129">
        <v>0.695057034220532</v>
      </c>
      <c r="U1647" s="129">
        <v>0.670933734939759</v>
      </c>
      <c r="V1647" s="129">
        <v>0.545871559633027</v>
      </c>
      <c r="W1647" s="129">
        <v>0.607888748419722</v>
      </c>
      <c r="X1647" s="131">
        <v>0.92</v>
      </c>
      <c r="Y1647" s="131">
        <v>0.668213457076566</v>
      </c>
      <c r="Z1647" s="131">
        <v>0.790608160123172</v>
      </c>
      <c r="AA1647" s="131">
        <v>0.707846410684474</v>
      </c>
      <c r="AB1647" s="131">
        <v>0.728253283421103</v>
      </c>
      <c r="AC1647" s="131">
        <v>0.92</v>
      </c>
      <c r="AD1647" s="129">
        <v>0.315789473684211</v>
      </c>
      <c r="AE1647" s="129">
        <v>0</v>
      </c>
      <c r="AF1647" s="129">
        <v>0</v>
      </c>
      <c r="AG1647" s="129">
        <v>0.429411764705882</v>
      </c>
      <c r="AH1647" s="131">
        <v>0.92</v>
      </c>
      <c r="AI1647" s="129">
        <v>0.754984662576687</v>
      </c>
      <c r="AJ1647" s="129">
        <v>0.844309097830225</v>
      </c>
      <c r="AK1647" s="129">
        <v>0.780630961115187</v>
      </c>
      <c r="AL1647" s="129">
        <v>0.80654870741793</v>
      </c>
      <c r="AM1647" s="128">
        <v>0.99</v>
      </c>
      <c r="AN1647" s="133" t="s">
        <v>33</v>
      </c>
      <c r="AO1647" s="133">
        <v>1</v>
      </c>
      <c r="AP1647" s="133">
        <v>1</v>
      </c>
      <c r="AQ1647" s="133">
        <v>1</v>
      </c>
      <c r="AR1647" s="153">
        <v>0.110069253262963</v>
      </c>
      <c r="AS1647" s="137">
        <v>0</v>
      </c>
      <c r="AT1647" s="137">
        <v>0.0869565217391304</v>
      </c>
      <c r="AU1647" s="137">
        <v>0.5</v>
      </c>
      <c r="AV1647" s="137">
        <v>0.0890688259109312</v>
      </c>
      <c r="AW1647" s="93"/>
      <c r="AX1647" s="91"/>
    </row>
    <row r="1648" ht="14.5" spans="1:50">
      <c r="A1648" s="89"/>
      <c r="B1648" s="93"/>
      <c r="C1648" s="148" t="s">
        <v>1449</v>
      </c>
      <c r="D1648" s="126" t="s">
        <v>1450</v>
      </c>
      <c r="E1648" s="164" t="s">
        <v>1674</v>
      </c>
      <c r="F1648" s="164" t="s">
        <v>1674</v>
      </c>
      <c r="G1648" s="164" t="s">
        <v>1674</v>
      </c>
      <c r="H1648" s="164" t="s">
        <v>1674</v>
      </c>
      <c r="I1648" s="128">
        <v>0.9</v>
      </c>
      <c r="J1648" s="129">
        <v>0.931034482758621</v>
      </c>
      <c r="K1648" s="129">
        <v>1</v>
      </c>
      <c r="L1648" s="130">
        <v>1</v>
      </c>
      <c r="M1648" s="129">
        <v>0.941717791411043</v>
      </c>
      <c r="N1648" s="131">
        <v>0.9</v>
      </c>
      <c r="O1648" s="129">
        <v>0.769252468265162</v>
      </c>
      <c r="P1648" s="129">
        <v>0.832890463537053</v>
      </c>
      <c r="Q1648" s="129">
        <v>0.783164005805515</v>
      </c>
      <c r="R1648" s="129">
        <v>0.776697557595704</v>
      </c>
      <c r="S1648" s="131">
        <v>0.9</v>
      </c>
      <c r="T1648" s="129">
        <v>0.806488011283498</v>
      </c>
      <c r="U1648" s="129">
        <v>0.66873339238264</v>
      </c>
      <c r="V1648" s="129">
        <v>0.578519593613933</v>
      </c>
      <c r="W1648" s="129">
        <v>0.642062186038455</v>
      </c>
      <c r="X1648" s="131">
        <v>0.92</v>
      </c>
      <c r="Y1648" s="131" t="s">
        <v>33</v>
      </c>
      <c r="Z1648" s="131">
        <v>0.0769230769230769</v>
      </c>
      <c r="AA1648" s="131">
        <v>0</v>
      </c>
      <c r="AB1648" s="131">
        <v>0.0253164556962025</v>
      </c>
      <c r="AC1648" s="131">
        <v>0.92</v>
      </c>
      <c r="AD1648" s="129">
        <v>0.942307692307692</v>
      </c>
      <c r="AE1648" s="129">
        <v>0.69047619047619</v>
      </c>
      <c r="AF1648" s="129">
        <v>0.891304347826087</v>
      </c>
      <c r="AG1648" s="129">
        <v>0.935281837160752</v>
      </c>
      <c r="AH1648" s="131">
        <v>0.92</v>
      </c>
      <c r="AI1648" s="129">
        <v>0.929478138222849</v>
      </c>
      <c r="AJ1648" s="129">
        <v>0.902352941176471</v>
      </c>
      <c r="AK1648" s="129">
        <v>0.848537503620041</v>
      </c>
      <c r="AL1648" s="129">
        <v>0.890173535322974</v>
      </c>
      <c r="AM1648" s="128">
        <v>0.99</v>
      </c>
      <c r="AN1648" s="133">
        <v>1</v>
      </c>
      <c r="AO1648" s="133">
        <v>1</v>
      </c>
      <c r="AP1648" s="133" t="s">
        <v>33</v>
      </c>
      <c r="AQ1648" s="133">
        <v>1</v>
      </c>
      <c r="AR1648" s="153">
        <v>0.110069253262963</v>
      </c>
      <c r="AS1648" s="137">
        <v>0.352941176470588</v>
      </c>
      <c r="AT1648" s="137">
        <v>0.12</v>
      </c>
      <c r="AU1648" s="137">
        <v>0.15625</v>
      </c>
      <c r="AV1648" s="137">
        <v>0.11787072243346</v>
      </c>
      <c r="AW1648" s="93"/>
      <c r="AX1648" s="91"/>
    </row>
    <row r="1649" ht="14.5" spans="1:50">
      <c r="A1649" s="89"/>
      <c r="B1649" s="93"/>
      <c r="C1649" s="148" t="s">
        <v>1449</v>
      </c>
      <c r="D1649" s="126" t="s">
        <v>1450</v>
      </c>
      <c r="E1649" s="164" t="s">
        <v>1675</v>
      </c>
      <c r="F1649" s="164" t="s">
        <v>1675</v>
      </c>
      <c r="G1649" s="164" t="s">
        <v>1675</v>
      </c>
      <c r="H1649" s="164" t="s">
        <v>1675</v>
      </c>
      <c r="I1649" s="128">
        <v>0.9</v>
      </c>
      <c r="J1649" s="129">
        <v>0.897435897435897</v>
      </c>
      <c r="K1649" s="129">
        <v>0.972972972972973</v>
      </c>
      <c r="L1649" s="130">
        <v>1</v>
      </c>
      <c r="M1649" s="129">
        <v>0.949656750572082</v>
      </c>
      <c r="N1649" s="131">
        <v>0.9</v>
      </c>
      <c r="O1649" s="129">
        <v>0.985181400102197</v>
      </c>
      <c r="P1649" s="129">
        <v>0.976090014064698</v>
      </c>
      <c r="Q1649" s="129">
        <v>0.981930575368521</v>
      </c>
      <c r="R1649" s="129">
        <v>0.953198768388642</v>
      </c>
      <c r="S1649" s="131">
        <v>0.9</v>
      </c>
      <c r="T1649" s="129">
        <v>0.676545733265202</v>
      </c>
      <c r="U1649" s="129">
        <v>0.641819034224097</v>
      </c>
      <c r="V1649" s="129">
        <v>0.565858297669995</v>
      </c>
      <c r="W1649" s="129">
        <v>0.481012658227848</v>
      </c>
      <c r="X1649" s="131">
        <v>0.92</v>
      </c>
      <c r="Y1649" s="131">
        <v>0.746558197747184</v>
      </c>
      <c r="Z1649" s="131">
        <v>0.812634989200864</v>
      </c>
      <c r="AA1649" s="131">
        <v>0.755513547574039</v>
      </c>
      <c r="AB1649" s="131">
        <v>0.699722100336405</v>
      </c>
      <c r="AC1649" s="131">
        <v>0.92</v>
      </c>
      <c r="AD1649" s="129">
        <v>1</v>
      </c>
      <c r="AE1649" s="129">
        <v>0.875</v>
      </c>
      <c r="AF1649" s="129">
        <v>0.823529411764706</v>
      </c>
      <c r="AG1649" s="129">
        <v>0.912727272727273</v>
      </c>
      <c r="AH1649" s="131">
        <v>0.92</v>
      </c>
      <c r="AI1649" s="129">
        <v>0.806751054852321</v>
      </c>
      <c r="AJ1649" s="129">
        <v>0.858003010536879</v>
      </c>
      <c r="AK1649" s="129">
        <v>0.837713356813872</v>
      </c>
      <c r="AL1649" s="129">
        <v>0.790729913808692</v>
      </c>
      <c r="AM1649" s="128">
        <v>0.99</v>
      </c>
      <c r="AN1649" s="133">
        <v>1</v>
      </c>
      <c r="AO1649" s="133" t="s">
        <v>33</v>
      </c>
      <c r="AP1649" s="133" t="s">
        <v>33</v>
      </c>
      <c r="AQ1649" s="133">
        <v>1</v>
      </c>
      <c r="AR1649" s="153">
        <v>0.110069253262963</v>
      </c>
      <c r="AS1649" s="137">
        <v>0.037037037037037</v>
      </c>
      <c r="AT1649" s="137">
        <v>0.185185185185185</v>
      </c>
      <c r="AU1649" s="137">
        <v>0.153846153846154</v>
      </c>
      <c r="AV1649" s="137">
        <v>0.0960264900662252</v>
      </c>
      <c r="AW1649" s="93"/>
      <c r="AX1649" s="91"/>
    </row>
    <row r="1650" ht="14.5" spans="1:50">
      <c r="A1650" s="89"/>
      <c r="B1650" s="93"/>
      <c r="C1650" s="148" t="s">
        <v>1449</v>
      </c>
      <c r="D1650" s="126" t="s">
        <v>1450</v>
      </c>
      <c r="E1650" s="164" t="s">
        <v>1676</v>
      </c>
      <c r="F1650" s="164" t="s">
        <v>1676</v>
      </c>
      <c r="G1650" s="164" t="s">
        <v>1676</v>
      </c>
      <c r="H1650" s="164" t="s">
        <v>1676</v>
      </c>
      <c r="I1650" s="128">
        <v>0.9</v>
      </c>
      <c r="J1650" s="129">
        <v>0.971428571428571</v>
      </c>
      <c r="K1650" s="129">
        <v>0.903225806451613</v>
      </c>
      <c r="L1650" s="130">
        <v>0.944444444444444</v>
      </c>
      <c r="M1650" s="129">
        <v>0.884526558891455</v>
      </c>
      <c r="N1650" s="131">
        <v>0.9</v>
      </c>
      <c r="O1650" s="129">
        <v>0.881322574296398</v>
      </c>
      <c r="P1650" s="129">
        <v>0.852562907735322</v>
      </c>
      <c r="Q1650" s="129">
        <v>0.854842173072794</v>
      </c>
      <c r="R1650" s="129">
        <v>0.889474070270667</v>
      </c>
      <c r="S1650" s="131">
        <v>0.9</v>
      </c>
      <c r="T1650" s="129">
        <v>0.819917339106475</v>
      </c>
      <c r="U1650" s="129">
        <v>0.734762348555452</v>
      </c>
      <c r="V1650" s="129">
        <v>0.752415718273567</v>
      </c>
      <c r="W1650" s="129">
        <v>0.745221154551456</v>
      </c>
      <c r="X1650" s="131">
        <v>0.92</v>
      </c>
      <c r="Y1650" s="131">
        <v>0</v>
      </c>
      <c r="Z1650" s="131">
        <v>0</v>
      </c>
      <c r="AA1650" s="131" t="s">
        <v>33</v>
      </c>
      <c r="AB1650" s="131">
        <v>0</v>
      </c>
      <c r="AC1650" s="131">
        <v>0.92</v>
      </c>
      <c r="AD1650" s="129">
        <v>0.864864864864865</v>
      </c>
      <c r="AE1650" s="129">
        <v>0.808510638297872</v>
      </c>
      <c r="AF1650" s="129">
        <v>0.972972972972973</v>
      </c>
      <c r="AG1650" s="129">
        <v>0.916326530612245</v>
      </c>
      <c r="AH1650" s="131">
        <v>0.92</v>
      </c>
      <c r="AI1650" s="129">
        <v>0.935274444225851</v>
      </c>
      <c r="AJ1650" s="129">
        <v>0.905906465436929</v>
      </c>
      <c r="AK1650" s="129">
        <v>0.910242645479923</v>
      </c>
      <c r="AL1650" s="129">
        <v>0.944010091971895</v>
      </c>
      <c r="AM1650" s="128">
        <v>0.99</v>
      </c>
      <c r="AN1650" s="133">
        <v>1</v>
      </c>
      <c r="AO1650" s="133">
        <v>1</v>
      </c>
      <c r="AP1650" s="133" t="s">
        <v>33</v>
      </c>
      <c r="AQ1650" s="133">
        <v>1</v>
      </c>
      <c r="AR1650" s="153">
        <v>0.110069253262963</v>
      </c>
      <c r="AS1650" s="137">
        <v>0.166666666666667</v>
      </c>
      <c r="AT1650" s="137">
        <v>0</v>
      </c>
      <c r="AU1650" s="137">
        <v>0.103448275862069</v>
      </c>
      <c r="AV1650" s="137">
        <v>0.092485549132948</v>
      </c>
      <c r="AW1650" s="93"/>
      <c r="AX1650" s="91"/>
    </row>
    <row r="1651" ht="14.5" spans="1:50">
      <c r="A1651" s="89"/>
      <c r="B1651" s="93"/>
      <c r="C1651" s="148" t="s">
        <v>1449</v>
      </c>
      <c r="D1651" s="126" t="s">
        <v>1450</v>
      </c>
      <c r="E1651" s="164" t="s">
        <v>1677</v>
      </c>
      <c r="F1651" s="164" t="s">
        <v>1677</v>
      </c>
      <c r="G1651" s="164" t="s">
        <v>1677</v>
      </c>
      <c r="H1651" s="164" t="s">
        <v>1677</v>
      </c>
      <c r="I1651" s="128">
        <v>0.9</v>
      </c>
      <c r="J1651" s="129">
        <v>0.85</v>
      </c>
      <c r="K1651" s="129">
        <v>0.771428571428571</v>
      </c>
      <c r="L1651" s="130">
        <v>0.815789473684211</v>
      </c>
      <c r="M1651" s="129">
        <v>0.825159914712154</v>
      </c>
      <c r="N1651" s="131">
        <v>0.9</v>
      </c>
      <c r="O1651" s="129">
        <v>0.976586687306502</v>
      </c>
      <c r="P1651" s="129">
        <v>0.969318181818182</v>
      </c>
      <c r="Q1651" s="129">
        <v>0.988883881628361</v>
      </c>
      <c r="R1651" s="129">
        <v>0.98527637305278</v>
      </c>
      <c r="S1651" s="131">
        <v>0.9</v>
      </c>
      <c r="T1651" s="129">
        <v>0.855650154798762</v>
      </c>
      <c r="U1651" s="129">
        <v>0.843371212121212</v>
      </c>
      <c r="V1651" s="129">
        <v>0.829953432477092</v>
      </c>
      <c r="W1651" s="129">
        <v>0.882807521793951</v>
      </c>
      <c r="X1651" s="131">
        <v>0.92</v>
      </c>
      <c r="Y1651" s="131">
        <v>0</v>
      </c>
      <c r="Z1651" s="131" t="s">
        <v>33</v>
      </c>
      <c r="AA1651" s="131">
        <v>0</v>
      </c>
      <c r="AB1651" s="131">
        <v>0</v>
      </c>
      <c r="AC1651" s="131">
        <v>0.92</v>
      </c>
      <c r="AD1651" s="129" t="s">
        <v>33</v>
      </c>
      <c r="AE1651" s="129">
        <v>1</v>
      </c>
      <c r="AF1651" s="129">
        <v>0.583333333333333</v>
      </c>
      <c r="AG1651" s="129">
        <v>0.904761904761905</v>
      </c>
      <c r="AH1651" s="131">
        <v>0.92</v>
      </c>
      <c r="AI1651" s="129">
        <v>0.939640162507255</v>
      </c>
      <c r="AJ1651" s="129">
        <v>0.932386363636364</v>
      </c>
      <c r="AK1651" s="129">
        <v>0.941441441441441</v>
      </c>
      <c r="AL1651" s="129">
        <v>0.957154088050314</v>
      </c>
      <c r="AM1651" s="128">
        <v>0.99</v>
      </c>
      <c r="AN1651" s="133" t="s">
        <v>33</v>
      </c>
      <c r="AO1651" s="133" t="s">
        <v>33</v>
      </c>
      <c r="AP1651" s="133" t="s">
        <v>33</v>
      </c>
      <c r="AQ1651" s="133" t="s">
        <v>33</v>
      </c>
      <c r="AR1651" s="153">
        <v>0.110069253262963</v>
      </c>
      <c r="AS1651" s="137">
        <v>0.0810810810810811</v>
      </c>
      <c r="AT1651" s="137">
        <v>0.138888888888889</v>
      </c>
      <c r="AU1651" s="137">
        <v>0.027027027027027</v>
      </c>
      <c r="AV1651" s="137">
        <v>0.062200956937799</v>
      </c>
      <c r="AW1651" s="93"/>
      <c r="AX1651" s="91"/>
    </row>
    <row r="1652" ht="14.5" spans="1:50">
      <c r="A1652" s="89"/>
      <c r="B1652" s="93"/>
      <c r="C1652" s="148" t="s">
        <v>1449</v>
      </c>
      <c r="D1652" s="126" t="s">
        <v>1450</v>
      </c>
      <c r="E1652" s="164" t="s">
        <v>1678</v>
      </c>
      <c r="F1652" s="164" t="s">
        <v>1678</v>
      </c>
      <c r="G1652" s="164" t="s">
        <v>1678</v>
      </c>
      <c r="H1652" s="164" t="s">
        <v>1678</v>
      </c>
      <c r="I1652" s="128">
        <v>0.9</v>
      </c>
      <c r="J1652" s="129">
        <v>0.857142857142857</v>
      </c>
      <c r="K1652" s="129">
        <v>0.972972972972973</v>
      </c>
      <c r="L1652" s="130">
        <v>0.925</v>
      </c>
      <c r="M1652" s="129">
        <v>0.930232558139535</v>
      </c>
      <c r="N1652" s="131">
        <v>0.9</v>
      </c>
      <c r="O1652" s="129">
        <v>0.967194570135747</v>
      </c>
      <c r="P1652" s="129">
        <v>0.98115239633818</v>
      </c>
      <c r="Q1652" s="129">
        <v>0.974231912784936</v>
      </c>
      <c r="R1652" s="129">
        <v>0.971263940520446</v>
      </c>
      <c r="S1652" s="131">
        <v>0.9</v>
      </c>
      <c r="T1652" s="129">
        <v>0.782805429864253</v>
      </c>
      <c r="U1652" s="129">
        <v>0.808831448572967</v>
      </c>
      <c r="V1652" s="129">
        <v>0.829534192269574</v>
      </c>
      <c r="W1652" s="129">
        <v>0.748401486988848</v>
      </c>
      <c r="X1652" s="131">
        <v>0.92</v>
      </c>
      <c r="Y1652" s="131">
        <v>0.890965732087227</v>
      </c>
      <c r="Z1652" s="131">
        <v>0.942789034564958</v>
      </c>
      <c r="AA1652" s="131">
        <v>0.929060360920971</v>
      </c>
      <c r="AB1652" s="131">
        <v>0.915232250661079</v>
      </c>
      <c r="AC1652" s="131">
        <v>0.92</v>
      </c>
      <c r="AD1652" s="129">
        <v>1</v>
      </c>
      <c r="AE1652" s="129">
        <v>0.994858611825193</v>
      </c>
      <c r="AF1652" s="129">
        <v>1</v>
      </c>
      <c r="AG1652" s="129">
        <v>0.998769987699877</v>
      </c>
      <c r="AH1652" s="131">
        <v>0.92</v>
      </c>
      <c r="AI1652" s="129">
        <v>0.922027868366439</v>
      </c>
      <c r="AJ1652" s="129">
        <v>0.951923076923077</v>
      </c>
      <c r="AK1652" s="129">
        <v>0.946206896551724</v>
      </c>
      <c r="AL1652" s="129">
        <v>0.933657061316636</v>
      </c>
      <c r="AM1652" s="128">
        <v>0.99</v>
      </c>
      <c r="AN1652" s="133">
        <v>1</v>
      </c>
      <c r="AO1652" s="133">
        <v>1</v>
      </c>
      <c r="AP1652" s="133" t="s">
        <v>33</v>
      </c>
      <c r="AQ1652" s="133">
        <v>1</v>
      </c>
      <c r="AR1652" s="153">
        <v>0.110069253262963</v>
      </c>
      <c r="AS1652" s="137">
        <v>0</v>
      </c>
      <c r="AT1652" s="137">
        <v>0</v>
      </c>
      <c r="AU1652" s="137">
        <v>0.0645161290322581</v>
      </c>
      <c r="AV1652" s="137">
        <v>0.0804597701149425</v>
      </c>
      <c r="AW1652" s="93"/>
      <c r="AX1652" s="91"/>
    </row>
    <row r="1653" ht="14.5" spans="1:50">
      <c r="A1653" s="89"/>
      <c r="B1653" s="93"/>
      <c r="C1653" s="148" t="s">
        <v>1449</v>
      </c>
      <c r="D1653" s="126" t="s">
        <v>1450</v>
      </c>
      <c r="E1653" s="164" t="s">
        <v>1679</v>
      </c>
      <c r="F1653" s="164" t="s">
        <v>1679</v>
      </c>
      <c r="G1653" s="164" t="s">
        <v>1679</v>
      </c>
      <c r="H1653" s="164" t="s">
        <v>1679</v>
      </c>
      <c r="I1653" s="128">
        <v>0.9</v>
      </c>
      <c r="J1653" s="129">
        <v>0.96875</v>
      </c>
      <c r="K1653" s="129">
        <v>0.972222222222222</v>
      </c>
      <c r="L1653" s="130">
        <v>0.944444444444444</v>
      </c>
      <c r="M1653" s="129">
        <v>0.981859410430839</v>
      </c>
      <c r="N1653" s="131">
        <v>0.9</v>
      </c>
      <c r="O1653" s="129">
        <v>0.996354166666667</v>
      </c>
      <c r="P1653" s="129">
        <v>0.99127114020731</v>
      </c>
      <c r="Q1653" s="129">
        <v>0.98880976602238</v>
      </c>
      <c r="R1653" s="129">
        <v>0.99167421595272</v>
      </c>
      <c r="S1653" s="131">
        <v>0.9</v>
      </c>
      <c r="T1653" s="129">
        <v>0.928645833333333</v>
      </c>
      <c r="U1653" s="129">
        <v>0.940534642662302</v>
      </c>
      <c r="V1653" s="129">
        <v>0.915055951169888</v>
      </c>
      <c r="W1653" s="129">
        <v>0.94215089944351</v>
      </c>
      <c r="X1653" s="131">
        <v>0.92</v>
      </c>
      <c r="Y1653" s="131">
        <v>0.906392694063927</v>
      </c>
      <c r="Z1653" s="131">
        <v>0.949579831932773</v>
      </c>
      <c r="AA1653" s="131">
        <v>0.940034266133638</v>
      </c>
      <c r="AB1653" s="131">
        <v>0.940744074407441</v>
      </c>
      <c r="AC1653" s="131">
        <v>0.92</v>
      </c>
      <c r="AD1653" s="129">
        <v>1</v>
      </c>
      <c r="AE1653" s="129">
        <v>1</v>
      </c>
      <c r="AF1653" s="129">
        <v>1</v>
      </c>
      <c r="AG1653" s="129">
        <v>1</v>
      </c>
      <c r="AH1653" s="131">
        <v>0.92</v>
      </c>
      <c r="AI1653" s="129">
        <v>0.931372549019608</v>
      </c>
      <c r="AJ1653" s="129">
        <v>0.963943102877936</v>
      </c>
      <c r="AK1653" s="129">
        <v>0.957761635727737</v>
      </c>
      <c r="AL1653" s="129">
        <v>0.959174694331234</v>
      </c>
      <c r="AM1653" s="128">
        <v>0.99</v>
      </c>
      <c r="AN1653" s="133">
        <v>1</v>
      </c>
      <c r="AO1653" s="133">
        <v>1</v>
      </c>
      <c r="AP1653" s="133">
        <v>1</v>
      </c>
      <c r="AQ1653" s="133">
        <v>1</v>
      </c>
      <c r="AR1653" s="153">
        <v>0.110069253262963</v>
      </c>
      <c r="AS1653" s="137">
        <v>0.115384615384615</v>
      </c>
      <c r="AT1653" s="137">
        <v>0.103448275862069</v>
      </c>
      <c r="AU1653" s="137">
        <v>0.0588235294117647</v>
      </c>
      <c r="AV1653" s="137">
        <v>0.0810055865921788</v>
      </c>
      <c r="AW1653" s="93"/>
      <c r="AX1653" s="91"/>
    </row>
    <row r="1654" ht="14.5" spans="1:50">
      <c r="A1654" s="89"/>
      <c r="B1654" s="93"/>
      <c r="C1654" s="148" t="s">
        <v>1449</v>
      </c>
      <c r="D1654" s="126" t="s">
        <v>1450</v>
      </c>
      <c r="E1654" s="164" t="s">
        <v>1680</v>
      </c>
      <c r="F1654" s="164" t="s">
        <v>1680</v>
      </c>
      <c r="G1654" s="164" t="s">
        <v>1680</v>
      </c>
      <c r="H1654" s="164" t="s">
        <v>1680</v>
      </c>
      <c r="I1654" s="128">
        <v>0.9</v>
      </c>
      <c r="J1654" s="129" t="s">
        <v>33</v>
      </c>
      <c r="K1654" s="129" t="s">
        <v>33</v>
      </c>
      <c r="L1654" s="130" t="s">
        <v>33</v>
      </c>
      <c r="M1654" s="129" t="s">
        <v>33</v>
      </c>
      <c r="N1654" s="131">
        <v>0.9</v>
      </c>
      <c r="O1654" s="129" t="s">
        <v>33</v>
      </c>
      <c r="P1654" s="129" t="s">
        <v>33</v>
      </c>
      <c r="Q1654" s="129" t="s">
        <v>33</v>
      </c>
      <c r="R1654" s="129" t="s">
        <v>33</v>
      </c>
      <c r="S1654" s="131">
        <v>0.9</v>
      </c>
      <c r="T1654" s="129" t="s">
        <v>33</v>
      </c>
      <c r="U1654" s="129" t="s">
        <v>33</v>
      </c>
      <c r="V1654" s="129" t="s">
        <v>33</v>
      </c>
      <c r="W1654" s="129" t="s">
        <v>33</v>
      </c>
      <c r="X1654" s="131">
        <v>0.92</v>
      </c>
      <c r="Y1654" s="131" t="s">
        <v>33</v>
      </c>
      <c r="Z1654" s="131" t="s">
        <v>33</v>
      </c>
      <c r="AA1654" s="131" t="s">
        <v>33</v>
      </c>
      <c r="AB1654" s="131" t="s">
        <v>33</v>
      </c>
      <c r="AC1654" s="131">
        <v>0.92</v>
      </c>
      <c r="AD1654" s="129" t="s">
        <v>33</v>
      </c>
      <c r="AE1654" s="129" t="s">
        <v>33</v>
      </c>
      <c r="AF1654" s="129" t="s">
        <v>33</v>
      </c>
      <c r="AG1654" s="129" t="s">
        <v>33</v>
      </c>
      <c r="AH1654" s="131">
        <v>0.92</v>
      </c>
      <c r="AI1654" s="129" t="s">
        <v>33</v>
      </c>
      <c r="AJ1654" s="129" t="s">
        <v>33</v>
      </c>
      <c r="AK1654" s="129" t="s">
        <v>33</v>
      </c>
      <c r="AL1654" s="129" t="s">
        <v>33</v>
      </c>
      <c r="AM1654" s="128">
        <v>0.99</v>
      </c>
      <c r="AN1654" s="133" t="s">
        <v>33</v>
      </c>
      <c r="AO1654" s="133" t="s">
        <v>33</v>
      </c>
      <c r="AP1654" s="133" t="s">
        <v>33</v>
      </c>
      <c r="AQ1654" s="133" t="s">
        <v>33</v>
      </c>
      <c r="AR1654" s="153">
        <v>0.110069253262963</v>
      </c>
      <c r="AS1654" s="137" t="s">
        <v>33</v>
      </c>
      <c r="AT1654" s="137" t="s">
        <v>33</v>
      </c>
      <c r="AU1654" s="137" t="s">
        <v>33</v>
      </c>
      <c r="AV1654" s="137" t="s">
        <v>33</v>
      </c>
      <c r="AW1654" s="93"/>
      <c r="AX1654" s="91"/>
    </row>
    <row r="1655" ht="14.5" spans="1:50">
      <c r="A1655" s="89"/>
      <c r="B1655" s="93"/>
      <c r="C1655" s="148" t="s">
        <v>1449</v>
      </c>
      <c r="D1655" s="126" t="s">
        <v>1450</v>
      </c>
      <c r="E1655" s="164" t="s">
        <v>1681</v>
      </c>
      <c r="F1655" s="164" t="s">
        <v>1681</v>
      </c>
      <c r="G1655" s="164" t="s">
        <v>1681</v>
      </c>
      <c r="H1655" s="164" t="s">
        <v>1681</v>
      </c>
      <c r="I1655" s="128">
        <v>0.9</v>
      </c>
      <c r="J1655" s="129" t="s">
        <v>33</v>
      </c>
      <c r="K1655" s="129" t="s">
        <v>33</v>
      </c>
      <c r="L1655" s="130" t="s">
        <v>33</v>
      </c>
      <c r="M1655" s="129" t="s">
        <v>33</v>
      </c>
      <c r="N1655" s="131">
        <v>0.9</v>
      </c>
      <c r="O1655" s="129" t="s">
        <v>33</v>
      </c>
      <c r="P1655" s="129" t="s">
        <v>33</v>
      </c>
      <c r="Q1655" s="129" t="s">
        <v>33</v>
      </c>
      <c r="R1655" s="129" t="s">
        <v>33</v>
      </c>
      <c r="S1655" s="131">
        <v>0.9</v>
      </c>
      <c r="T1655" s="129" t="s">
        <v>33</v>
      </c>
      <c r="U1655" s="129" t="s">
        <v>33</v>
      </c>
      <c r="V1655" s="129" t="s">
        <v>33</v>
      </c>
      <c r="W1655" s="129" t="s">
        <v>33</v>
      </c>
      <c r="X1655" s="131">
        <v>0.92</v>
      </c>
      <c r="Y1655" s="131" t="s">
        <v>33</v>
      </c>
      <c r="Z1655" s="131" t="s">
        <v>33</v>
      </c>
      <c r="AA1655" s="131" t="s">
        <v>33</v>
      </c>
      <c r="AB1655" s="131" t="s">
        <v>33</v>
      </c>
      <c r="AC1655" s="131">
        <v>0.92</v>
      </c>
      <c r="AD1655" s="129" t="s">
        <v>33</v>
      </c>
      <c r="AE1655" s="129" t="s">
        <v>33</v>
      </c>
      <c r="AF1655" s="129" t="s">
        <v>33</v>
      </c>
      <c r="AG1655" s="129" t="s">
        <v>33</v>
      </c>
      <c r="AH1655" s="131">
        <v>0.92</v>
      </c>
      <c r="AI1655" s="129" t="s">
        <v>33</v>
      </c>
      <c r="AJ1655" s="129" t="s">
        <v>33</v>
      </c>
      <c r="AK1655" s="129" t="s">
        <v>33</v>
      </c>
      <c r="AL1655" s="129" t="s">
        <v>33</v>
      </c>
      <c r="AM1655" s="128">
        <v>0.99</v>
      </c>
      <c r="AN1655" s="133" t="s">
        <v>33</v>
      </c>
      <c r="AO1655" s="133" t="s">
        <v>33</v>
      </c>
      <c r="AP1655" s="133" t="s">
        <v>33</v>
      </c>
      <c r="AQ1655" s="133" t="s">
        <v>33</v>
      </c>
      <c r="AR1655" s="153">
        <v>0.110069253262963</v>
      </c>
      <c r="AS1655" s="137" t="s">
        <v>33</v>
      </c>
      <c r="AT1655" s="137" t="s">
        <v>33</v>
      </c>
      <c r="AU1655" s="137" t="s">
        <v>33</v>
      </c>
      <c r="AV1655" s="137" t="s">
        <v>33</v>
      </c>
      <c r="AW1655" s="93"/>
      <c r="AX1655" s="91"/>
    </row>
    <row r="1656" ht="14.5" spans="1:50">
      <c r="A1656" s="89"/>
      <c r="B1656" s="93"/>
      <c r="C1656" s="148" t="s">
        <v>1449</v>
      </c>
      <c r="D1656" s="126" t="s">
        <v>1450</v>
      </c>
      <c r="E1656" s="164" t="s">
        <v>1682</v>
      </c>
      <c r="F1656" s="164" t="s">
        <v>1682</v>
      </c>
      <c r="G1656" s="164" t="s">
        <v>1682</v>
      </c>
      <c r="H1656" s="164" t="s">
        <v>1682</v>
      </c>
      <c r="I1656" s="128">
        <v>0.9</v>
      </c>
      <c r="J1656" s="129" t="s">
        <v>33</v>
      </c>
      <c r="K1656" s="129" t="s">
        <v>33</v>
      </c>
      <c r="L1656" s="130" t="s">
        <v>33</v>
      </c>
      <c r="M1656" s="129" t="s">
        <v>33</v>
      </c>
      <c r="N1656" s="131">
        <v>0.9</v>
      </c>
      <c r="O1656" s="129" t="s">
        <v>33</v>
      </c>
      <c r="P1656" s="129" t="s">
        <v>33</v>
      </c>
      <c r="Q1656" s="129" t="s">
        <v>33</v>
      </c>
      <c r="R1656" s="129" t="s">
        <v>33</v>
      </c>
      <c r="S1656" s="131">
        <v>0.9</v>
      </c>
      <c r="T1656" s="129" t="s">
        <v>33</v>
      </c>
      <c r="U1656" s="129" t="s">
        <v>33</v>
      </c>
      <c r="V1656" s="129" t="s">
        <v>33</v>
      </c>
      <c r="W1656" s="129" t="s">
        <v>33</v>
      </c>
      <c r="X1656" s="131">
        <v>0.92</v>
      </c>
      <c r="Y1656" s="131" t="s">
        <v>33</v>
      </c>
      <c r="Z1656" s="131" t="s">
        <v>33</v>
      </c>
      <c r="AA1656" s="131" t="s">
        <v>33</v>
      </c>
      <c r="AB1656" s="131" t="s">
        <v>33</v>
      </c>
      <c r="AC1656" s="131">
        <v>0.92</v>
      </c>
      <c r="AD1656" s="129" t="s">
        <v>33</v>
      </c>
      <c r="AE1656" s="129" t="s">
        <v>33</v>
      </c>
      <c r="AF1656" s="129" t="s">
        <v>33</v>
      </c>
      <c r="AG1656" s="129" t="s">
        <v>33</v>
      </c>
      <c r="AH1656" s="131">
        <v>0.92</v>
      </c>
      <c r="AI1656" s="129" t="s">
        <v>33</v>
      </c>
      <c r="AJ1656" s="129" t="s">
        <v>33</v>
      </c>
      <c r="AK1656" s="129" t="s">
        <v>33</v>
      </c>
      <c r="AL1656" s="129" t="s">
        <v>33</v>
      </c>
      <c r="AM1656" s="128">
        <v>0.99</v>
      </c>
      <c r="AN1656" s="133" t="s">
        <v>33</v>
      </c>
      <c r="AO1656" s="133" t="s">
        <v>33</v>
      </c>
      <c r="AP1656" s="133" t="s">
        <v>33</v>
      </c>
      <c r="AQ1656" s="133" t="s">
        <v>33</v>
      </c>
      <c r="AR1656" s="153">
        <v>0.110069253262963</v>
      </c>
      <c r="AS1656" s="137" t="s">
        <v>33</v>
      </c>
      <c r="AT1656" s="137" t="s">
        <v>33</v>
      </c>
      <c r="AU1656" s="137" t="s">
        <v>33</v>
      </c>
      <c r="AV1656" s="137" t="s">
        <v>33</v>
      </c>
      <c r="AW1656" s="93"/>
      <c r="AX1656" s="91"/>
    </row>
    <row r="1657" ht="14.5" spans="1:50">
      <c r="A1657" s="89"/>
      <c r="B1657" s="93"/>
      <c r="C1657" s="148" t="s">
        <v>1449</v>
      </c>
      <c r="D1657" s="126" t="s">
        <v>1450</v>
      </c>
      <c r="E1657" s="164" t="s">
        <v>1683</v>
      </c>
      <c r="F1657" s="164" t="s">
        <v>1683</v>
      </c>
      <c r="G1657" s="164" t="s">
        <v>1683</v>
      </c>
      <c r="H1657" s="164" t="s">
        <v>1683</v>
      </c>
      <c r="I1657" s="128">
        <v>0.9</v>
      </c>
      <c r="J1657" s="129">
        <v>0.92</v>
      </c>
      <c r="K1657" s="129">
        <v>0.875</v>
      </c>
      <c r="L1657" s="130">
        <v>0.96</v>
      </c>
      <c r="M1657" s="129">
        <v>0.905263157894737</v>
      </c>
      <c r="N1657" s="131">
        <v>0.9</v>
      </c>
      <c r="O1657" s="129">
        <v>0.986282578875171</v>
      </c>
      <c r="P1657" s="129">
        <v>0.970309538850284</v>
      </c>
      <c r="Q1657" s="129">
        <v>0.984232868405094</v>
      </c>
      <c r="R1657" s="129">
        <v>0.968907409103398</v>
      </c>
      <c r="S1657" s="131">
        <v>0.9</v>
      </c>
      <c r="T1657" s="129">
        <v>0.805898491083676</v>
      </c>
      <c r="U1657" s="129">
        <v>0.761844598862919</v>
      </c>
      <c r="V1657" s="129">
        <v>0.810187992722862</v>
      </c>
      <c r="W1657" s="129">
        <v>0.690447843209085</v>
      </c>
      <c r="X1657" s="131">
        <v>0.92</v>
      </c>
      <c r="Y1657" s="131">
        <v>0.887334315169367</v>
      </c>
      <c r="Z1657" s="131">
        <v>0.918262150220913</v>
      </c>
      <c r="AA1657" s="131">
        <v>0.788014981273408</v>
      </c>
      <c r="AB1657" s="131">
        <v>0.894231915147181</v>
      </c>
      <c r="AC1657" s="131">
        <v>0.92</v>
      </c>
      <c r="AD1657" s="129">
        <v>0.911764705882353</v>
      </c>
      <c r="AE1657" s="129">
        <v>1</v>
      </c>
      <c r="AF1657" s="129">
        <v>0.983333333333333</v>
      </c>
      <c r="AG1657" s="129">
        <v>0.965197215777262</v>
      </c>
      <c r="AH1657" s="131">
        <v>0.92</v>
      </c>
      <c r="AI1657" s="129">
        <v>0.923650568181818</v>
      </c>
      <c r="AJ1657" s="129">
        <v>0.943896633798028</v>
      </c>
      <c r="AK1657" s="129">
        <v>0.876005361930295</v>
      </c>
      <c r="AL1657" s="129">
        <v>0.924906813004763</v>
      </c>
      <c r="AM1657" s="128">
        <v>0.99</v>
      </c>
      <c r="AN1657" s="133">
        <v>1</v>
      </c>
      <c r="AO1657" s="133">
        <v>1</v>
      </c>
      <c r="AP1657" s="133">
        <v>1</v>
      </c>
      <c r="AQ1657" s="133">
        <v>1</v>
      </c>
      <c r="AR1657" s="153">
        <v>0.110069253262963</v>
      </c>
      <c r="AS1657" s="137">
        <v>0</v>
      </c>
      <c r="AT1657" s="137">
        <v>0</v>
      </c>
      <c r="AU1657" s="137">
        <v>0</v>
      </c>
      <c r="AV1657" s="137">
        <v>0.073943661971831</v>
      </c>
      <c r="AW1657" s="93"/>
      <c r="AX1657" s="91"/>
    </row>
    <row r="1658" ht="14.5" spans="1:50">
      <c r="A1658" s="89"/>
      <c r="B1658" s="93"/>
      <c r="C1658" s="148" t="s">
        <v>1449</v>
      </c>
      <c r="D1658" s="126" t="s">
        <v>1450</v>
      </c>
      <c r="E1658" s="164" t="s">
        <v>1684</v>
      </c>
      <c r="F1658" s="164" t="s">
        <v>1684</v>
      </c>
      <c r="G1658" s="164" t="s">
        <v>1684</v>
      </c>
      <c r="H1658" s="164" t="s">
        <v>1684</v>
      </c>
      <c r="I1658" s="128">
        <v>0.9</v>
      </c>
      <c r="J1658" s="129" t="s">
        <v>33</v>
      </c>
      <c r="K1658" s="129" t="s">
        <v>33</v>
      </c>
      <c r="L1658" s="130" t="s">
        <v>33</v>
      </c>
      <c r="M1658" s="129" t="s">
        <v>33</v>
      </c>
      <c r="N1658" s="131">
        <v>0.9</v>
      </c>
      <c r="O1658" s="129" t="s">
        <v>33</v>
      </c>
      <c r="P1658" s="129" t="s">
        <v>33</v>
      </c>
      <c r="Q1658" s="129" t="s">
        <v>33</v>
      </c>
      <c r="R1658" s="129" t="s">
        <v>33</v>
      </c>
      <c r="S1658" s="131">
        <v>0.9</v>
      </c>
      <c r="T1658" s="129" t="s">
        <v>33</v>
      </c>
      <c r="U1658" s="129" t="s">
        <v>33</v>
      </c>
      <c r="V1658" s="129" t="s">
        <v>33</v>
      </c>
      <c r="W1658" s="129" t="s">
        <v>33</v>
      </c>
      <c r="X1658" s="131">
        <v>0.92</v>
      </c>
      <c r="Y1658" s="131" t="s">
        <v>33</v>
      </c>
      <c r="Z1658" s="131" t="s">
        <v>33</v>
      </c>
      <c r="AA1658" s="131" t="s">
        <v>33</v>
      </c>
      <c r="AB1658" s="131" t="s">
        <v>33</v>
      </c>
      <c r="AC1658" s="131">
        <v>0.92</v>
      </c>
      <c r="AD1658" s="129">
        <v>1</v>
      </c>
      <c r="AE1658" s="129">
        <v>0.972027972027972</v>
      </c>
      <c r="AF1658" s="129">
        <v>0.974025974025974</v>
      </c>
      <c r="AG1658" s="129">
        <v>0.995265942634364</v>
      </c>
      <c r="AH1658" s="131">
        <v>0.92</v>
      </c>
      <c r="AI1658" s="129" t="s">
        <v>33</v>
      </c>
      <c r="AJ1658" s="129" t="s">
        <v>33</v>
      </c>
      <c r="AK1658" s="129" t="s">
        <v>33</v>
      </c>
      <c r="AL1658" s="129" t="s">
        <v>33</v>
      </c>
      <c r="AM1658" s="128">
        <v>0.99</v>
      </c>
      <c r="AN1658" s="133">
        <v>1</v>
      </c>
      <c r="AO1658" s="133">
        <v>1</v>
      </c>
      <c r="AP1658" s="133">
        <v>1</v>
      </c>
      <c r="AQ1658" s="133">
        <v>1</v>
      </c>
      <c r="AR1658" s="153">
        <v>0.110069253262963</v>
      </c>
      <c r="AS1658" s="137" t="s">
        <v>33</v>
      </c>
      <c r="AT1658" s="137" t="s">
        <v>33</v>
      </c>
      <c r="AU1658" s="137" t="s">
        <v>33</v>
      </c>
      <c r="AV1658" s="137" t="s">
        <v>33</v>
      </c>
      <c r="AW1658" s="93"/>
      <c r="AX1658" s="91"/>
    </row>
    <row r="1659" ht="14.5" spans="1:50">
      <c r="A1659" s="89"/>
      <c r="B1659" s="93"/>
      <c r="C1659" s="148" t="s">
        <v>1449</v>
      </c>
      <c r="D1659" s="126" t="s">
        <v>1450</v>
      </c>
      <c r="E1659" s="164" t="s">
        <v>1685</v>
      </c>
      <c r="F1659" s="164" t="s">
        <v>1685</v>
      </c>
      <c r="G1659" s="164" t="s">
        <v>1685</v>
      </c>
      <c r="H1659" s="164" t="s">
        <v>1685</v>
      </c>
      <c r="I1659" s="128">
        <v>0.9</v>
      </c>
      <c r="J1659" s="129">
        <v>0.771428571428571</v>
      </c>
      <c r="K1659" s="129">
        <v>0.696969696969697</v>
      </c>
      <c r="L1659" s="130">
        <v>0.65625</v>
      </c>
      <c r="M1659" s="129">
        <v>0.751937984496124</v>
      </c>
      <c r="N1659" s="131">
        <v>0.9</v>
      </c>
      <c r="O1659" s="129">
        <v>0.969938938468765</v>
      </c>
      <c r="P1659" s="129">
        <v>0.978132235657319</v>
      </c>
      <c r="Q1659" s="129">
        <v>0.966826713225666</v>
      </c>
      <c r="R1659" s="129">
        <v>0.986023469000307</v>
      </c>
      <c r="S1659" s="131">
        <v>0.9</v>
      </c>
      <c r="T1659" s="129">
        <v>0.773602630342884</v>
      </c>
      <c r="U1659" s="129">
        <v>0.810908155389761</v>
      </c>
      <c r="V1659" s="129">
        <v>0.63203841117416</v>
      </c>
      <c r="W1659" s="129">
        <v>0.769866382193936</v>
      </c>
      <c r="X1659" s="131">
        <v>0.92</v>
      </c>
      <c r="Y1659" s="131" t="s">
        <v>33</v>
      </c>
      <c r="Z1659" s="131">
        <v>0</v>
      </c>
      <c r="AA1659" s="131">
        <v>0</v>
      </c>
      <c r="AB1659" s="131">
        <v>0.117647058823529</v>
      </c>
      <c r="AC1659" s="131">
        <v>0.92</v>
      </c>
      <c r="AD1659" s="129">
        <v>0.851851851851852</v>
      </c>
      <c r="AE1659" s="129">
        <v>0.785714285714286</v>
      </c>
      <c r="AF1659" s="129">
        <v>0.666666666666667</v>
      </c>
      <c r="AG1659" s="129">
        <v>0.78476821192053</v>
      </c>
      <c r="AH1659" s="131">
        <v>0.92</v>
      </c>
      <c r="AI1659" s="129">
        <v>0.86364703121333</v>
      </c>
      <c r="AJ1659" s="129">
        <v>0.910773977886346</v>
      </c>
      <c r="AK1659" s="129">
        <v>0.842966194111232</v>
      </c>
      <c r="AL1659" s="129">
        <v>0.873244527988143</v>
      </c>
      <c r="AM1659" s="128">
        <v>0.99</v>
      </c>
      <c r="AN1659" s="133">
        <v>1</v>
      </c>
      <c r="AO1659" s="133">
        <v>1</v>
      </c>
      <c r="AP1659" s="133">
        <v>1</v>
      </c>
      <c r="AQ1659" s="133">
        <v>1</v>
      </c>
      <c r="AR1659" s="153">
        <v>0.110069253262963</v>
      </c>
      <c r="AS1659" s="137">
        <v>0.0384615384615385</v>
      </c>
      <c r="AT1659" s="137">
        <v>0.137931034482759</v>
      </c>
      <c r="AU1659" s="137">
        <v>0.106382978723404</v>
      </c>
      <c r="AV1659" s="137">
        <v>0.0895061728395062</v>
      </c>
      <c r="AW1659" s="93"/>
      <c r="AX1659" s="91"/>
    </row>
    <row r="1660" ht="14.5" spans="1:50">
      <c r="A1660" s="89"/>
      <c r="B1660" s="93"/>
      <c r="C1660" s="148" t="s">
        <v>1449</v>
      </c>
      <c r="D1660" s="126" t="s">
        <v>1450</v>
      </c>
      <c r="E1660" s="164" t="s">
        <v>1686</v>
      </c>
      <c r="F1660" s="164" t="s">
        <v>1686</v>
      </c>
      <c r="G1660" s="164" t="s">
        <v>1686</v>
      </c>
      <c r="H1660" s="164" t="s">
        <v>1686</v>
      </c>
      <c r="I1660" s="128">
        <v>0.9</v>
      </c>
      <c r="J1660" s="129">
        <v>1</v>
      </c>
      <c r="K1660" s="129">
        <v>0.972222222222222</v>
      </c>
      <c r="L1660" s="130">
        <v>0.95</v>
      </c>
      <c r="M1660" s="129">
        <v>0.989539748953975</v>
      </c>
      <c r="N1660" s="131">
        <v>0.9</v>
      </c>
      <c r="O1660" s="129">
        <v>0.979442970822281</v>
      </c>
      <c r="P1660" s="129">
        <v>0.97025016903313</v>
      </c>
      <c r="Q1660" s="129">
        <v>0.973308504034761</v>
      </c>
      <c r="R1660" s="129">
        <v>0.969570374954871</v>
      </c>
      <c r="S1660" s="131">
        <v>0.9</v>
      </c>
      <c r="T1660" s="129">
        <v>0.926392572944297</v>
      </c>
      <c r="U1660" s="129">
        <v>0.957403651115619</v>
      </c>
      <c r="V1660" s="129">
        <v>0.934823091247672</v>
      </c>
      <c r="W1660" s="129">
        <v>0.934189488885451</v>
      </c>
      <c r="X1660" s="131">
        <v>0.92</v>
      </c>
      <c r="Y1660" s="131">
        <v>0.941988950276243</v>
      </c>
      <c r="Z1660" s="131">
        <v>0.959420289855072</v>
      </c>
      <c r="AA1660" s="131">
        <v>0.966592427616927</v>
      </c>
      <c r="AB1660" s="131">
        <v>0.951971281797363</v>
      </c>
      <c r="AC1660" s="131">
        <v>0.92</v>
      </c>
      <c r="AD1660" s="129">
        <v>0.947368421052632</v>
      </c>
      <c r="AE1660" s="129">
        <v>0.88</v>
      </c>
      <c r="AF1660" s="129">
        <v>1</v>
      </c>
      <c r="AG1660" s="129">
        <v>0.960629921259842</v>
      </c>
      <c r="AH1660" s="131">
        <v>0.92</v>
      </c>
      <c r="AI1660" s="129">
        <v>0.957418046637378</v>
      </c>
      <c r="AJ1660" s="129">
        <v>0.972155926809865</v>
      </c>
      <c r="AK1660" s="129">
        <v>0.977357215275431</v>
      </c>
      <c r="AL1660" s="129">
        <v>0.966813848187417</v>
      </c>
      <c r="AM1660" s="128">
        <v>0.99</v>
      </c>
      <c r="AN1660" s="133" t="s">
        <v>33</v>
      </c>
      <c r="AO1660" s="133" t="s">
        <v>33</v>
      </c>
      <c r="AP1660" s="133">
        <v>1</v>
      </c>
      <c r="AQ1660" s="133">
        <v>1</v>
      </c>
      <c r="AR1660" s="153">
        <v>0.110069253262963</v>
      </c>
      <c r="AS1660" s="137">
        <v>0</v>
      </c>
      <c r="AT1660" s="137">
        <v>0</v>
      </c>
      <c r="AU1660" s="137">
        <v>0.136363636363636</v>
      </c>
      <c r="AV1660" s="137">
        <v>0.069672131147541</v>
      </c>
      <c r="AW1660" s="93"/>
      <c r="AX1660" s="91"/>
    </row>
    <row r="1661" ht="14.5" spans="1:50">
      <c r="A1661" s="89"/>
      <c r="B1661" s="93"/>
      <c r="C1661" s="148" t="s">
        <v>1449</v>
      </c>
      <c r="D1661" s="126" t="s">
        <v>1450</v>
      </c>
      <c r="E1661" s="164" t="s">
        <v>1687</v>
      </c>
      <c r="F1661" s="164" t="s">
        <v>1687</v>
      </c>
      <c r="G1661" s="164" t="s">
        <v>1687</v>
      </c>
      <c r="H1661" s="164" t="s">
        <v>1687</v>
      </c>
      <c r="I1661" s="128">
        <v>0.9</v>
      </c>
      <c r="J1661" s="129" t="s">
        <v>33</v>
      </c>
      <c r="K1661" s="129" t="s">
        <v>33</v>
      </c>
      <c r="L1661" s="130" t="s">
        <v>33</v>
      </c>
      <c r="M1661" s="129" t="s">
        <v>33</v>
      </c>
      <c r="N1661" s="131">
        <v>0.9</v>
      </c>
      <c r="O1661" s="129" t="s">
        <v>33</v>
      </c>
      <c r="P1661" s="129" t="s">
        <v>33</v>
      </c>
      <c r="Q1661" s="129" t="s">
        <v>33</v>
      </c>
      <c r="R1661" s="129" t="s">
        <v>33</v>
      </c>
      <c r="S1661" s="131">
        <v>0.9</v>
      </c>
      <c r="T1661" s="129" t="s">
        <v>33</v>
      </c>
      <c r="U1661" s="129" t="s">
        <v>33</v>
      </c>
      <c r="V1661" s="129" t="s">
        <v>33</v>
      </c>
      <c r="W1661" s="129" t="s">
        <v>33</v>
      </c>
      <c r="X1661" s="131">
        <v>0.92</v>
      </c>
      <c r="Y1661" s="131" t="s">
        <v>33</v>
      </c>
      <c r="Z1661" s="131" t="s">
        <v>33</v>
      </c>
      <c r="AA1661" s="131" t="s">
        <v>33</v>
      </c>
      <c r="AB1661" s="131" t="s">
        <v>33</v>
      </c>
      <c r="AC1661" s="131">
        <v>0.92</v>
      </c>
      <c r="AD1661" s="129">
        <v>1</v>
      </c>
      <c r="AE1661" s="129">
        <v>0.996005326231691</v>
      </c>
      <c r="AF1661" s="129">
        <v>0.929411764705882</v>
      </c>
      <c r="AG1661" s="129">
        <v>0.960579812621531</v>
      </c>
      <c r="AH1661" s="131">
        <v>0.92</v>
      </c>
      <c r="AI1661" s="129" t="s">
        <v>33</v>
      </c>
      <c r="AJ1661" s="129" t="s">
        <v>33</v>
      </c>
      <c r="AK1661" s="129" t="s">
        <v>33</v>
      </c>
      <c r="AL1661" s="129" t="s">
        <v>33</v>
      </c>
      <c r="AM1661" s="128">
        <v>0.99</v>
      </c>
      <c r="AN1661" s="133">
        <v>1</v>
      </c>
      <c r="AO1661" s="133">
        <v>1</v>
      </c>
      <c r="AP1661" s="133" t="s">
        <v>33</v>
      </c>
      <c r="AQ1661" s="133">
        <v>1</v>
      </c>
      <c r="AR1661" s="153">
        <v>0.110069253262963</v>
      </c>
      <c r="AS1661" s="137" t="s">
        <v>33</v>
      </c>
      <c r="AT1661" s="137" t="s">
        <v>33</v>
      </c>
      <c r="AU1661" s="137" t="s">
        <v>33</v>
      </c>
      <c r="AV1661" s="137" t="s">
        <v>33</v>
      </c>
      <c r="AW1661" s="93"/>
      <c r="AX1661" s="91"/>
    </row>
    <row r="1662" ht="14.5" spans="1:50">
      <c r="A1662" s="89"/>
      <c r="B1662" s="93"/>
      <c r="C1662" s="148" t="s">
        <v>1449</v>
      </c>
      <c r="D1662" s="126" t="s">
        <v>1450</v>
      </c>
      <c r="E1662" s="164" t="s">
        <v>1688</v>
      </c>
      <c r="F1662" s="164" t="s">
        <v>1688</v>
      </c>
      <c r="G1662" s="164" t="s">
        <v>1688</v>
      </c>
      <c r="H1662" s="164" t="s">
        <v>1688</v>
      </c>
      <c r="I1662" s="128">
        <v>0.9</v>
      </c>
      <c r="J1662" s="129" t="s">
        <v>33</v>
      </c>
      <c r="K1662" s="129" t="s">
        <v>33</v>
      </c>
      <c r="L1662" s="130" t="s">
        <v>33</v>
      </c>
      <c r="M1662" s="129" t="s">
        <v>33</v>
      </c>
      <c r="N1662" s="131">
        <v>0.9</v>
      </c>
      <c r="O1662" s="129" t="s">
        <v>33</v>
      </c>
      <c r="P1662" s="129" t="s">
        <v>33</v>
      </c>
      <c r="Q1662" s="129" t="s">
        <v>33</v>
      </c>
      <c r="R1662" s="129" t="s">
        <v>33</v>
      </c>
      <c r="S1662" s="131">
        <v>0.9</v>
      </c>
      <c r="T1662" s="129" t="s">
        <v>33</v>
      </c>
      <c r="U1662" s="129" t="s">
        <v>33</v>
      </c>
      <c r="V1662" s="129" t="s">
        <v>33</v>
      </c>
      <c r="W1662" s="129" t="s">
        <v>33</v>
      </c>
      <c r="X1662" s="131">
        <v>0.92</v>
      </c>
      <c r="Y1662" s="131" t="s">
        <v>33</v>
      </c>
      <c r="Z1662" s="131" t="s">
        <v>33</v>
      </c>
      <c r="AA1662" s="131" t="s">
        <v>33</v>
      </c>
      <c r="AB1662" s="131" t="s">
        <v>33</v>
      </c>
      <c r="AC1662" s="131">
        <v>0.92</v>
      </c>
      <c r="AD1662" s="129">
        <v>1</v>
      </c>
      <c r="AE1662" s="129">
        <v>0.940305635148042</v>
      </c>
      <c r="AF1662" s="129">
        <v>0.997208653175157</v>
      </c>
      <c r="AG1662" s="129">
        <v>0.992472414438003</v>
      </c>
      <c r="AH1662" s="131">
        <v>0.92</v>
      </c>
      <c r="AI1662" s="129" t="s">
        <v>33</v>
      </c>
      <c r="AJ1662" s="129" t="s">
        <v>33</v>
      </c>
      <c r="AK1662" s="129" t="s">
        <v>33</v>
      </c>
      <c r="AL1662" s="129" t="s">
        <v>33</v>
      </c>
      <c r="AM1662" s="128">
        <v>0.99</v>
      </c>
      <c r="AN1662" s="133" t="s">
        <v>33</v>
      </c>
      <c r="AO1662" s="133">
        <v>1</v>
      </c>
      <c r="AP1662" s="133" t="s">
        <v>33</v>
      </c>
      <c r="AQ1662" s="133">
        <v>1</v>
      </c>
      <c r="AR1662" s="153">
        <v>0.110069253262963</v>
      </c>
      <c r="AS1662" s="137" t="s">
        <v>33</v>
      </c>
      <c r="AT1662" s="137" t="s">
        <v>33</v>
      </c>
      <c r="AU1662" s="137" t="s">
        <v>33</v>
      </c>
      <c r="AV1662" s="137" t="s">
        <v>33</v>
      </c>
      <c r="AW1662" s="93"/>
      <c r="AX1662" s="91"/>
    </row>
    <row r="1663" ht="14.5" spans="1:50">
      <c r="A1663" s="89"/>
      <c r="B1663" s="93"/>
      <c r="C1663" s="148" t="s">
        <v>1449</v>
      </c>
      <c r="D1663" s="126" t="s">
        <v>1450</v>
      </c>
      <c r="E1663" s="164" t="s">
        <v>1689</v>
      </c>
      <c r="F1663" s="164" t="s">
        <v>1689</v>
      </c>
      <c r="G1663" s="164" t="s">
        <v>1689</v>
      </c>
      <c r="H1663" s="164" t="s">
        <v>1689</v>
      </c>
      <c r="I1663" s="128">
        <v>0.9</v>
      </c>
      <c r="J1663" s="129">
        <v>0.666666666666667</v>
      </c>
      <c r="K1663" s="129">
        <v>0.780487804878049</v>
      </c>
      <c r="L1663" s="130">
        <v>0.722222222222222</v>
      </c>
      <c r="M1663" s="129">
        <v>0.659142212189616</v>
      </c>
      <c r="N1663" s="131">
        <v>0.9</v>
      </c>
      <c r="O1663" s="129">
        <v>0.847915160279585</v>
      </c>
      <c r="P1663" s="129">
        <v>0.777916562578066</v>
      </c>
      <c r="Q1663" s="129">
        <v>0.663265306122449</v>
      </c>
      <c r="R1663" s="129">
        <v>0.83754084820627</v>
      </c>
      <c r="S1663" s="131">
        <v>0.9</v>
      </c>
      <c r="T1663" s="129">
        <v>0.738491202699446</v>
      </c>
      <c r="U1663" s="129">
        <v>0.658256307769173</v>
      </c>
      <c r="V1663" s="129">
        <v>0.595761381475667</v>
      </c>
      <c r="W1663" s="129">
        <v>0.728301073724279</v>
      </c>
      <c r="X1663" s="131">
        <v>0.92</v>
      </c>
      <c r="Y1663" s="131">
        <v>0.6</v>
      </c>
      <c r="Z1663" s="131">
        <v>0.333333333333333</v>
      </c>
      <c r="AA1663" s="131" t="s">
        <v>33</v>
      </c>
      <c r="AB1663" s="131">
        <v>0.26530612244898</v>
      </c>
      <c r="AC1663" s="131">
        <v>0.92</v>
      </c>
      <c r="AD1663" s="129">
        <v>0.770833333333333</v>
      </c>
      <c r="AE1663" s="129">
        <v>0.805555555555556</v>
      </c>
      <c r="AF1663" s="129">
        <v>0.52</v>
      </c>
      <c r="AG1663" s="129">
        <v>0.777777777777778</v>
      </c>
      <c r="AH1663" s="131">
        <v>0.92</v>
      </c>
      <c r="AI1663" s="129">
        <v>0.823062108810785</v>
      </c>
      <c r="AJ1663" s="129">
        <v>0.832127712646545</v>
      </c>
      <c r="AK1663" s="129">
        <v>0.805926216640502</v>
      </c>
      <c r="AL1663" s="129">
        <v>0.864559414466131</v>
      </c>
      <c r="AM1663" s="128">
        <v>0.99</v>
      </c>
      <c r="AN1663" s="133">
        <v>1</v>
      </c>
      <c r="AO1663" s="133">
        <v>1</v>
      </c>
      <c r="AP1663" s="133">
        <v>1</v>
      </c>
      <c r="AQ1663" s="133">
        <v>1</v>
      </c>
      <c r="AR1663" s="153">
        <v>0.110069253262963</v>
      </c>
      <c r="AS1663" s="137">
        <v>0.269230769230769</v>
      </c>
      <c r="AT1663" s="137">
        <v>0.275862068965517</v>
      </c>
      <c r="AU1663" s="137">
        <v>0.0465116279069767</v>
      </c>
      <c r="AV1663" s="137">
        <v>0.0855106888361045</v>
      </c>
      <c r="AW1663" s="93"/>
      <c r="AX1663" s="91"/>
    </row>
    <row r="1664" ht="14.5" spans="1:50">
      <c r="A1664" s="89"/>
      <c r="B1664" s="93"/>
      <c r="C1664" s="148" t="s">
        <v>1449</v>
      </c>
      <c r="D1664" s="126" t="s">
        <v>1450</v>
      </c>
      <c r="E1664" s="164" t="s">
        <v>1690</v>
      </c>
      <c r="F1664" s="164" t="s">
        <v>1690</v>
      </c>
      <c r="G1664" s="164" t="s">
        <v>1690</v>
      </c>
      <c r="H1664" s="164" t="s">
        <v>1690</v>
      </c>
      <c r="I1664" s="128">
        <v>0.9</v>
      </c>
      <c r="J1664" s="129" t="s">
        <v>33</v>
      </c>
      <c r="K1664" s="129" t="s">
        <v>33</v>
      </c>
      <c r="L1664" s="130" t="s">
        <v>33</v>
      </c>
      <c r="M1664" s="129" t="s">
        <v>33</v>
      </c>
      <c r="N1664" s="131">
        <v>0.9</v>
      </c>
      <c r="O1664" s="129" t="s">
        <v>33</v>
      </c>
      <c r="P1664" s="129">
        <v>0</v>
      </c>
      <c r="Q1664" s="129" t="s">
        <v>33</v>
      </c>
      <c r="R1664" s="129">
        <v>0</v>
      </c>
      <c r="S1664" s="131">
        <v>0.9</v>
      </c>
      <c r="T1664" s="129" t="s">
        <v>33</v>
      </c>
      <c r="U1664" s="129">
        <v>1</v>
      </c>
      <c r="V1664" s="129" t="s">
        <v>33</v>
      </c>
      <c r="W1664" s="129">
        <v>0.25</v>
      </c>
      <c r="X1664" s="131">
        <v>0.92</v>
      </c>
      <c r="Y1664" s="131" t="s">
        <v>33</v>
      </c>
      <c r="Z1664" s="131" t="s">
        <v>33</v>
      </c>
      <c r="AA1664" s="131" t="s">
        <v>33</v>
      </c>
      <c r="AB1664" s="131" t="s">
        <v>33</v>
      </c>
      <c r="AC1664" s="131">
        <v>0.92</v>
      </c>
      <c r="AD1664" s="129">
        <v>0.893023255813953</v>
      </c>
      <c r="AE1664" s="129">
        <v>0.939929328621908</v>
      </c>
      <c r="AF1664" s="129">
        <v>0.970149253731343</v>
      </c>
      <c r="AG1664" s="129">
        <v>0.954041854739434</v>
      </c>
      <c r="AH1664" s="131">
        <v>0.92</v>
      </c>
      <c r="AI1664" s="129" t="s">
        <v>33</v>
      </c>
      <c r="AJ1664" s="129">
        <v>1</v>
      </c>
      <c r="AK1664" s="129" t="s">
        <v>33</v>
      </c>
      <c r="AL1664" s="129">
        <v>0.4</v>
      </c>
      <c r="AM1664" s="128">
        <v>0.99</v>
      </c>
      <c r="AN1664" s="133">
        <v>1</v>
      </c>
      <c r="AO1664" s="133">
        <v>1</v>
      </c>
      <c r="AP1664" s="133">
        <v>1</v>
      </c>
      <c r="AQ1664" s="133">
        <v>1</v>
      </c>
      <c r="AR1664" s="153">
        <v>0.110069253262963</v>
      </c>
      <c r="AS1664" s="137" t="s">
        <v>33</v>
      </c>
      <c r="AT1664" s="137" t="s">
        <v>33</v>
      </c>
      <c r="AU1664" s="137" t="s">
        <v>33</v>
      </c>
      <c r="AV1664" s="137" t="s">
        <v>33</v>
      </c>
      <c r="AW1664" s="93"/>
      <c r="AX1664" s="91"/>
    </row>
    <row r="1665" ht="14.5" spans="1:50">
      <c r="A1665" s="89"/>
      <c r="B1665" s="93"/>
      <c r="C1665" s="148" t="s">
        <v>1449</v>
      </c>
      <c r="D1665" s="126" t="s">
        <v>1450</v>
      </c>
      <c r="E1665" s="164" t="s">
        <v>1691</v>
      </c>
      <c r="F1665" s="164" t="s">
        <v>1691</v>
      </c>
      <c r="G1665" s="164" t="s">
        <v>1691</v>
      </c>
      <c r="H1665" s="164" t="s">
        <v>1691</v>
      </c>
      <c r="I1665" s="128">
        <v>0.9</v>
      </c>
      <c r="J1665" s="129" t="s">
        <v>33</v>
      </c>
      <c r="K1665" s="129" t="s">
        <v>33</v>
      </c>
      <c r="L1665" s="130" t="s">
        <v>33</v>
      </c>
      <c r="M1665" s="129" t="s">
        <v>33</v>
      </c>
      <c r="N1665" s="131">
        <v>0.9</v>
      </c>
      <c r="O1665" s="129" t="s">
        <v>33</v>
      </c>
      <c r="P1665" s="129" t="s">
        <v>33</v>
      </c>
      <c r="Q1665" s="129">
        <v>0</v>
      </c>
      <c r="R1665" s="129">
        <v>0</v>
      </c>
      <c r="S1665" s="131">
        <v>0.9</v>
      </c>
      <c r="T1665" s="129" t="s">
        <v>33</v>
      </c>
      <c r="U1665" s="129" t="s">
        <v>33</v>
      </c>
      <c r="V1665" s="129">
        <v>1</v>
      </c>
      <c r="W1665" s="129">
        <v>0.8</v>
      </c>
      <c r="X1665" s="131">
        <v>0.92</v>
      </c>
      <c r="Y1665" s="131" t="s">
        <v>33</v>
      </c>
      <c r="Z1665" s="131" t="s">
        <v>33</v>
      </c>
      <c r="AA1665" s="131" t="s">
        <v>33</v>
      </c>
      <c r="AB1665" s="131" t="s">
        <v>33</v>
      </c>
      <c r="AC1665" s="131">
        <v>0.92</v>
      </c>
      <c r="AD1665" s="129">
        <v>1</v>
      </c>
      <c r="AE1665" s="129">
        <v>0.978260869565217</v>
      </c>
      <c r="AF1665" s="129">
        <v>1</v>
      </c>
      <c r="AG1665" s="129">
        <v>0.996491228070175</v>
      </c>
      <c r="AH1665" s="131">
        <v>0.92</v>
      </c>
      <c r="AI1665" s="129" t="s">
        <v>33</v>
      </c>
      <c r="AJ1665" s="129" t="s">
        <v>33</v>
      </c>
      <c r="AK1665" s="129">
        <v>1</v>
      </c>
      <c r="AL1665" s="129">
        <v>1</v>
      </c>
      <c r="AM1665" s="128">
        <v>0.99</v>
      </c>
      <c r="AN1665" s="133">
        <v>1</v>
      </c>
      <c r="AO1665" s="133">
        <v>1</v>
      </c>
      <c r="AP1665" s="133">
        <v>1</v>
      </c>
      <c r="AQ1665" s="133">
        <v>1</v>
      </c>
      <c r="AR1665" s="153">
        <v>0.110069253262963</v>
      </c>
      <c r="AS1665" s="137" t="s">
        <v>33</v>
      </c>
      <c r="AT1665" s="137" t="s">
        <v>33</v>
      </c>
      <c r="AU1665" s="137" t="s">
        <v>33</v>
      </c>
      <c r="AV1665" s="137" t="s">
        <v>33</v>
      </c>
      <c r="AW1665" s="93"/>
      <c r="AX1665" s="91"/>
    </row>
    <row r="1666" ht="14.5" spans="1:50">
      <c r="A1666" s="89"/>
      <c r="B1666" s="93"/>
      <c r="C1666" s="148" t="s">
        <v>1449</v>
      </c>
      <c r="D1666" s="126" t="s">
        <v>1450</v>
      </c>
      <c r="E1666" s="164" t="s">
        <v>1692</v>
      </c>
      <c r="F1666" s="164" t="s">
        <v>1692</v>
      </c>
      <c r="G1666" s="164" t="s">
        <v>1692</v>
      </c>
      <c r="H1666" s="164" t="s">
        <v>1692</v>
      </c>
      <c r="I1666" s="128">
        <v>0.9</v>
      </c>
      <c r="J1666" s="129" t="s">
        <v>33</v>
      </c>
      <c r="K1666" s="129" t="s">
        <v>33</v>
      </c>
      <c r="L1666" s="130" t="s">
        <v>33</v>
      </c>
      <c r="M1666" s="129" t="s">
        <v>33</v>
      </c>
      <c r="N1666" s="131">
        <v>0.9</v>
      </c>
      <c r="O1666" s="129" t="s">
        <v>33</v>
      </c>
      <c r="P1666" s="129" t="s">
        <v>33</v>
      </c>
      <c r="Q1666" s="129" t="s">
        <v>33</v>
      </c>
      <c r="R1666" s="129">
        <v>0</v>
      </c>
      <c r="S1666" s="131">
        <v>0.9</v>
      </c>
      <c r="T1666" s="129" t="s">
        <v>33</v>
      </c>
      <c r="U1666" s="129" t="s">
        <v>33</v>
      </c>
      <c r="V1666" s="129" t="s">
        <v>33</v>
      </c>
      <c r="W1666" s="129">
        <v>1</v>
      </c>
      <c r="X1666" s="131">
        <v>0.92</v>
      </c>
      <c r="Y1666" s="131" t="s">
        <v>33</v>
      </c>
      <c r="Z1666" s="131" t="s">
        <v>33</v>
      </c>
      <c r="AA1666" s="131" t="s">
        <v>33</v>
      </c>
      <c r="AB1666" s="131" t="s">
        <v>33</v>
      </c>
      <c r="AC1666" s="131">
        <v>0.92</v>
      </c>
      <c r="AD1666" s="129">
        <v>1</v>
      </c>
      <c r="AE1666" s="129">
        <v>1</v>
      </c>
      <c r="AF1666" s="129">
        <v>0.912280701754386</v>
      </c>
      <c r="AG1666" s="129">
        <v>0.905547584887614</v>
      </c>
      <c r="AH1666" s="131">
        <v>0.92</v>
      </c>
      <c r="AI1666" s="129" t="s">
        <v>33</v>
      </c>
      <c r="AJ1666" s="129" t="s">
        <v>33</v>
      </c>
      <c r="AK1666" s="129" t="s">
        <v>33</v>
      </c>
      <c r="AL1666" s="129">
        <v>0.5</v>
      </c>
      <c r="AM1666" s="128">
        <v>0.99</v>
      </c>
      <c r="AN1666" s="133">
        <v>1</v>
      </c>
      <c r="AO1666" s="133">
        <v>1</v>
      </c>
      <c r="AP1666" s="133">
        <v>1</v>
      </c>
      <c r="AQ1666" s="133">
        <v>1</v>
      </c>
      <c r="AR1666" s="153">
        <v>0.110069253262963</v>
      </c>
      <c r="AS1666" s="137" t="s">
        <v>33</v>
      </c>
      <c r="AT1666" s="137" t="s">
        <v>33</v>
      </c>
      <c r="AU1666" s="137" t="s">
        <v>33</v>
      </c>
      <c r="AV1666" s="137" t="s">
        <v>33</v>
      </c>
      <c r="AW1666" s="93"/>
      <c r="AX1666" s="91"/>
    </row>
    <row r="1667" ht="14.5" spans="1:50">
      <c r="A1667" s="89"/>
      <c r="B1667" s="93"/>
      <c r="C1667" s="148" t="s">
        <v>1449</v>
      </c>
      <c r="D1667" s="126" t="s">
        <v>1450</v>
      </c>
      <c r="E1667" s="164" t="s">
        <v>1693</v>
      </c>
      <c r="F1667" s="164" t="s">
        <v>1693</v>
      </c>
      <c r="G1667" s="164" t="s">
        <v>1693</v>
      </c>
      <c r="H1667" s="164" t="s">
        <v>1693</v>
      </c>
      <c r="I1667" s="128">
        <v>0.9</v>
      </c>
      <c r="J1667" s="129">
        <v>0.875</v>
      </c>
      <c r="K1667" s="129">
        <v>0.875</v>
      </c>
      <c r="L1667" s="130">
        <v>1</v>
      </c>
      <c r="M1667" s="129">
        <v>0.927835051546392</v>
      </c>
      <c r="N1667" s="131">
        <v>0.9</v>
      </c>
      <c r="O1667" s="129">
        <v>0.620472440944882</v>
      </c>
      <c r="P1667" s="129">
        <v>0.290578887627696</v>
      </c>
      <c r="Q1667" s="129">
        <v>0.149326805385557</v>
      </c>
      <c r="R1667" s="129">
        <v>0.209049409237379</v>
      </c>
      <c r="S1667" s="131">
        <v>0.9</v>
      </c>
      <c r="T1667" s="129">
        <v>0.38740157480315</v>
      </c>
      <c r="U1667" s="129">
        <v>0.188422247446084</v>
      </c>
      <c r="V1667" s="129">
        <v>0.0991432068543452</v>
      </c>
      <c r="W1667" s="129">
        <v>0.115870032223416</v>
      </c>
      <c r="X1667" s="131">
        <v>0.92</v>
      </c>
      <c r="Y1667" s="131" t="s">
        <v>33</v>
      </c>
      <c r="Z1667" s="131" t="s">
        <v>33</v>
      </c>
      <c r="AA1667" s="131" t="s">
        <v>33</v>
      </c>
      <c r="AB1667" s="131" t="s">
        <v>33</v>
      </c>
      <c r="AC1667" s="131">
        <v>0.92</v>
      </c>
      <c r="AD1667" s="129">
        <v>1</v>
      </c>
      <c r="AE1667" s="129">
        <v>1</v>
      </c>
      <c r="AF1667" s="129">
        <v>0</v>
      </c>
      <c r="AG1667" s="129">
        <v>0.666666666666667</v>
      </c>
      <c r="AH1667" s="131">
        <v>0.92</v>
      </c>
      <c r="AI1667" s="129">
        <v>0.683464566929134</v>
      </c>
      <c r="AJ1667" s="129">
        <v>0.338618346545866</v>
      </c>
      <c r="AK1667" s="129">
        <v>0.244798041615667</v>
      </c>
      <c r="AL1667" s="129">
        <v>0.28108756497401</v>
      </c>
      <c r="AM1667" s="128">
        <v>0.99</v>
      </c>
      <c r="AN1667" s="133" t="s">
        <v>33</v>
      </c>
      <c r="AO1667" s="133" t="s">
        <v>33</v>
      </c>
      <c r="AP1667" s="133" t="s">
        <v>33</v>
      </c>
      <c r="AQ1667" s="133" t="s">
        <v>33</v>
      </c>
      <c r="AR1667" s="153">
        <v>0.110069253262963</v>
      </c>
      <c r="AS1667" s="137">
        <v>0.121212121212121</v>
      </c>
      <c r="AT1667" s="137">
        <v>0.0416666666666667</v>
      </c>
      <c r="AU1667" s="137">
        <v>0.142857142857143</v>
      </c>
      <c r="AV1667" s="137">
        <v>0.0671140939597315</v>
      </c>
      <c r="AW1667" s="93"/>
      <c r="AX1667" s="91"/>
    </row>
    <row r="1668" ht="14.5" spans="1:50">
      <c r="A1668" s="89"/>
      <c r="B1668" s="93"/>
      <c r="C1668" s="148" t="s">
        <v>1449</v>
      </c>
      <c r="D1668" s="126" t="s">
        <v>1450</v>
      </c>
      <c r="E1668" s="164" t="s">
        <v>1694</v>
      </c>
      <c r="F1668" s="164" t="s">
        <v>1694</v>
      </c>
      <c r="G1668" s="164" t="s">
        <v>1694</v>
      </c>
      <c r="H1668" s="164" t="s">
        <v>1694</v>
      </c>
      <c r="I1668" s="128">
        <v>0.9</v>
      </c>
      <c r="J1668" s="129">
        <v>0.96551724137931</v>
      </c>
      <c r="K1668" s="129">
        <v>1</v>
      </c>
      <c r="L1668" s="130">
        <v>1</v>
      </c>
      <c r="M1668" s="129">
        <v>0.972067039106145</v>
      </c>
      <c r="N1668" s="131">
        <v>0.9</v>
      </c>
      <c r="O1668" s="129">
        <v>0.986675777246327</v>
      </c>
      <c r="P1668" s="129">
        <v>0.983615981603909</v>
      </c>
      <c r="Q1668" s="129">
        <v>0.966718027734977</v>
      </c>
      <c r="R1668" s="129">
        <v>0.96764256972388</v>
      </c>
      <c r="S1668" s="131">
        <v>0.9</v>
      </c>
      <c r="T1668" s="129">
        <v>0.616330714041681</v>
      </c>
      <c r="U1668" s="129">
        <v>0.562517964932452</v>
      </c>
      <c r="V1668" s="129">
        <v>0.397842835130971</v>
      </c>
      <c r="W1668" s="129">
        <v>0.525600111003191</v>
      </c>
      <c r="X1668" s="131">
        <v>0.92</v>
      </c>
      <c r="Y1668" s="131" t="s">
        <v>33</v>
      </c>
      <c r="Z1668" s="131" t="s">
        <v>33</v>
      </c>
      <c r="AA1668" s="131" t="s">
        <v>33</v>
      </c>
      <c r="AB1668" s="131" t="s">
        <v>33</v>
      </c>
      <c r="AC1668" s="131">
        <v>0.92</v>
      </c>
      <c r="AD1668" s="129">
        <v>1</v>
      </c>
      <c r="AE1668" s="129">
        <v>1</v>
      </c>
      <c r="AF1668" s="129">
        <v>1</v>
      </c>
      <c r="AG1668" s="129">
        <v>0.993388429752066</v>
      </c>
      <c r="AH1668" s="131">
        <v>0.92</v>
      </c>
      <c r="AI1668" s="129">
        <v>0.899214212504271</v>
      </c>
      <c r="AJ1668" s="129">
        <v>0.918079908019546</v>
      </c>
      <c r="AK1668" s="129">
        <v>0.949152542372881</v>
      </c>
      <c r="AL1668" s="129">
        <v>0.916747606493687</v>
      </c>
      <c r="AM1668" s="128">
        <v>0.99</v>
      </c>
      <c r="AN1668" s="133">
        <v>1</v>
      </c>
      <c r="AO1668" s="133">
        <v>1</v>
      </c>
      <c r="AP1668" s="133">
        <v>1</v>
      </c>
      <c r="AQ1668" s="133">
        <v>1</v>
      </c>
      <c r="AR1668" s="153">
        <v>0.110069253262963</v>
      </c>
      <c r="AS1668" s="137">
        <v>0.363636363636364</v>
      </c>
      <c r="AT1668" s="137">
        <v>0.0434782608695652</v>
      </c>
      <c r="AU1668" s="137">
        <v>0.0625</v>
      </c>
      <c r="AV1668" s="137">
        <v>0.0918367346938776</v>
      </c>
      <c r="AW1668" s="93"/>
      <c r="AX1668" s="91"/>
    </row>
    <row r="1669" ht="14.5" spans="1:50">
      <c r="A1669" s="89"/>
      <c r="B1669" s="93"/>
      <c r="C1669" s="148" t="s">
        <v>1449</v>
      </c>
      <c r="D1669" s="126" t="s">
        <v>1450</v>
      </c>
      <c r="E1669" s="164" t="s">
        <v>1695</v>
      </c>
      <c r="F1669" s="164" t="s">
        <v>1695</v>
      </c>
      <c r="G1669" s="164" t="s">
        <v>1695</v>
      </c>
      <c r="H1669" s="164" t="s">
        <v>1695</v>
      </c>
      <c r="I1669" s="128">
        <v>0.9</v>
      </c>
      <c r="J1669" s="129" t="s">
        <v>33</v>
      </c>
      <c r="K1669" s="129" t="s">
        <v>33</v>
      </c>
      <c r="L1669" s="130" t="s">
        <v>33</v>
      </c>
      <c r="M1669" s="129" t="s">
        <v>33</v>
      </c>
      <c r="N1669" s="131">
        <v>0.9</v>
      </c>
      <c r="O1669" s="129" t="s">
        <v>33</v>
      </c>
      <c r="P1669" s="129" t="s">
        <v>33</v>
      </c>
      <c r="Q1669" s="129" t="s">
        <v>33</v>
      </c>
      <c r="R1669" s="129" t="s">
        <v>33</v>
      </c>
      <c r="S1669" s="131">
        <v>0.9</v>
      </c>
      <c r="T1669" s="129" t="s">
        <v>33</v>
      </c>
      <c r="U1669" s="129" t="s">
        <v>33</v>
      </c>
      <c r="V1669" s="129" t="s">
        <v>33</v>
      </c>
      <c r="W1669" s="129" t="s">
        <v>33</v>
      </c>
      <c r="X1669" s="131">
        <v>0.92</v>
      </c>
      <c r="Y1669" s="131" t="s">
        <v>33</v>
      </c>
      <c r="Z1669" s="131" t="s">
        <v>33</v>
      </c>
      <c r="AA1669" s="131" t="s">
        <v>33</v>
      </c>
      <c r="AB1669" s="131" t="s">
        <v>33</v>
      </c>
      <c r="AC1669" s="131">
        <v>0.92</v>
      </c>
      <c r="AD1669" s="129" t="s">
        <v>33</v>
      </c>
      <c r="AE1669" s="129" t="s">
        <v>33</v>
      </c>
      <c r="AF1669" s="129" t="s">
        <v>33</v>
      </c>
      <c r="AG1669" s="129" t="s">
        <v>33</v>
      </c>
      <c r="AH1669" s="131">
        <v>0.92</v>
      </c>
      <c r="AI1669" s="129" t="s">
        <v>33</v>
      </c>
      <c r="AJ1669" s="129" t="s">
        <v>33</v>
      </c>
      <c r="AK1669" s="129" t="s">
        <v>33</v>
      </c>
      <c r="AL1669" s="129" t="s">
        <v>33</v>
      </c>
      <c r="AM1669" s="128">
        <v>0.99</v>
      </c>
      <c r="AN1669" s="133" t="s">
        <v>33</v>
      </c>
      <c r="AO1669" s="133" t="s">
        <v>33</v>
      </c>
      <c r="AP1669" s="133" t="s">
        <v>33</v>
      </c>
      <c r="AQ1669" s="133" t="s">
        <v>33</v>
      </c>
      <c r="AR1669" s="153">
        <v>0.110069253262963</v>
      </c>
      <c r="AS1669" s="137" t="s">
        <v>33</v>
      </c>
      <c r="AT1669" s="137" t="s">
        <v>33</v>
      </c>
      <c r="AU1669" s="137" t="s">
        <v>33</v>
      </c>
      <c r="AV1669" s="137" t="s">
        <v>33</v>
      </c>
      <c r="AW1669" s="93"/>
      <c r="AX1669" s="91"/>
    </row>
    <row r="1670" ht="14.5" spans="1:50">
      <c r="A1670" s="89"/>
      <c r="B1670" s="93"/>
      <c r="C1670" s="148" t="s">
        <v>1449</v>
      </c>
      <c r="D1670" s="126" t="s">
        <v>1450</v>
      </c>
      <c r="E1670" s="164" t="s">
        <v>1696</v>
      </c>
      <c r="F1670" s="164" t="s">
        <v>1696</v>
      </c>
      <c r="G1670" s="164" t="s">
        <v>1696</v>
      </c>
      <c r="H1670" s="164" t="s">
        <v>1696</v>
      </c>
      <c r="I1670" s="128">
        <v>0.9</v>
      </c>
      <c r="J1670" s="129" t="s">
        <v>33</v>
      </c>
      <c r="K1670" s="129" t="s">
        <v>33</v>
      </c>
      <c r="L1670" s="130" t="s">
        <v>33</v>
      </c>
      <c r="M1670" s="129" t="s">
        <v>33</v>
      </c>
      <c r="N1670" s="131">
        <v>0.9</v>
      </c>
      <c r="O1670" s="129" t="s">
        <v>33</v>
      </c>
      <c r="P1670" s="129" t="s">
        <v>33</v>
      </c>
      <c r="Q1670" s="129" t="s">
        <v>33</v>
      </c>
      <c r="R1670" s="129" t="s">
        <v>33</v>
      </c>
      <c r="S1670" s="131">
        <v>0.9</v>
      </c>
      <c r="T1670" s="129" t="s">
        <v>33</v>
      </c>
      <c r="U1670" s="129" t="s">
        <v>33</v>
      </c>
      <c r="V1670" s="129" t="s">
        <v>33</v>
      </c>
      <c r="W1670" s="129" t="s">
        <v>33</v>
      </c>
      <c r="X1670" s="131">
        <v>0.92</v>
      </c>
      <c r="Y1670" s="131" t="s">
        <v>33</v>
      </c>
      <c r="Z1670" s="131" t="s">
        <v>33</v>
      </c>
      <c r="AA1670" s="131" t="s">
        <v>33</v>
      </c>
      <c r="AB1670" s="131" t="s">
        <v>33</v>
      </c>
      <c r="AC1670" s="131">
        <v>0.92</v>
      </c>
      <c r="AD1670" s="129" t="s">
        <v>33</v>
      </c>
      <c r="AE1670" s="129" t="s">
        <v>33</v>
      </c>
      <c r="AF1670" s="129" t="s">
        <v>33</v>
      </c>
      <c r="AG1670" s="129" t="s">
        <v>33</v>
      </c>
      <c r="AH1670" s="131">
        <v>0.92</v>
      </c>
      <c r="AI1670" s="129" t="s">
        <v>33</v>
      </c>
      <c r="AJ1670" s="129" t="s">
        <v>33</v>
      </c>
      <c r="AK1670" s="129" t="s">
        <v>33</v>
      </c>
      <c r="AL1670" s="129" t="s">
        <v>33</v>
      </c>
      <c r="AM1670" s="128">
        <v>0.99</v>
      </c>
      <c r="AN1670" s="133" t="s">
        <v>33</v>
      </c>
      <c r="AO1670" s="133" t="s">
        <v>33</v>
      </c>
      <c r="AP1670" s="133" t="s">
        <v>33</v>
      </c>
      <c r="AQ1670" s="133" t="s">
        <v>33</v>
      </c>
      <c r="AR1670" s="153">
        <v>0.110069253262963</v>
      </c>
      <c r="AS1670" s="137" t="s">
        <v>33</v>
      </c>
      <c r="AT1670" s="137" t="s">
        <v>33</v>
      </c>
      <c r="AU1670" s="137" t="s">
        <v>33</v>
      </c>
      <c r="AV1670" s="137" t="s">
        <v>33</v>
      </c>
      <c r="AW1670" s="93"/>
      <c r="AX1670" s="91"/>
    </row>
    <row r="1671" ht="14.5" spans="1:50">
      <c r="A1671" s="89"/>
      <c r="B1671" s="93"/>
      <c r="C1671" s="148" t="s">
        <v>1449</v>
      </c>
      <c r="D1671" s="126" t="s">
        <v>1450</v>
      </c>
      <c r="E1671" s="164" t="s">
        <v>1697</v>
      </c>
      <c r="F1671" s="164" t="s">
        <v>1697</v>
      </c>
      <c r="G1671" s="164" t="s">
        <v>1697</v>
      </c>
      <c r="H1671" s="164" t="s">
        <v>1697</v>
      </c>
      <c r="I1671" s="128">
        <v>0.9</v>
      </c>
      <c r="J1671" s="129" t="s">
        <v>33</v>
      </c>
      <c r="K1671" s="129" t="s">
        <v>33</v>
      </c>
      <c r="L1671" s="130" t="s">
        <v>33</v>
      </c>
      <c r="M1671" s="129" t="s">
        <v>33</v>
      </c>
      <c r="N1671" s="131">
        <v>0.9</v>
      </c>
      <c r="O1671" s="129" t="s">
        <v>33</v>
      </c>
      <c r="P1671" s="129">
        <v>0</v>
      </c>
      <c r="Q1671" s="129">
        <v>0</v>
      </c>
      <c r="R1671" s="129">
        <v>0</v>
      </c>
      <c r="S1671" s="131">
        <v>0.9</v>
      </c>
      <c r="T1671" s="129" t="s">
        <v>33</v>
      </c>
      <c r="U1671" s="129">
        <v>1</v>
      </c>
      <c r="V1671" s="129">
        <v>0.916666666666667</v>
      </c>
      <c r="W1671" s="129">
        <v>0.789473684210526</v>
      </c>
      <c r="X1671" s="131">
        <v>0.92</v>
      </c>
      <c r="Y1671" s="131" t="s">
        <v>33</v>
      </c>
      <c r="Z1671" s="131" t="s">
        <v>33</v>
      </c>
      <c r="AA1671" s="131" t="s">
        <v>33</v>
      </c>
      <c r="AB1671" s="131" t="s">
        <v>33</v>
      </c>
      <c r="AC1671" s="131">
        <v>0.92</v>
      </c>
      <c r="AD1671" s="129">
        <v>0.994630872483221</v>
      </c>
      <c r="AE1671" s="129">
        <v>0.995888157894737</v>
      </c>
      <c r="AF1671" s="129">
        <v>0.899543378995434</v>
      </c>
      <c r="AG1671" s="129">
        <v>0.985294117647059</v>
      </c>
      <c r="AH1671" s="131">
        <v>0.92</v>
      </c>
      <c r="AI1671" s="129" t="s">
        <v>33</v>
      </c>
      <c r="AJ1671" s="129">
        <v>1</v>
      </c>
      <c r="AK1671" s="129">
        <v>1</v>
      </c>
      <c r="AL1671" s="129">
        <v>0.894736842105263</v>
      </c>
      <c r="AM1671" s="128">
        <v>0.99</v>
      </c>
      <c r="AN1671" s="133">
        <v>1</v>
      </c>
      <c r="AO1671" s="133">
        <v>1</v>
      </c>
      <c r="AP1671" s="133">
        <v>1</v>
      </c>
      <c r="AQ1671" s="133">
        <v>1</v>
      </c>
      <c r="AR1671" s="153">
        <v>0.110069253262963</v>
      </c>
      <c r="AS1671" s="137" t="s">
        <v>33</v>
      </c>
      <c r="AT1671" s="137" t="s">
        <v>33</v>
      </c>
      <c r="AU1671" s="137" t="s">
        <v>33</v>
      </c>
      <c r="AV1671" s="137" t="s">
        <v>33</v>
      </c>
      <c r="AW1671" s="93"/>
      <c r="AX1671" s="91"/>
    </row>
    <row r="1672" ht="14.5" spans="1:50">
      <c r="A1672" s="89"/>
      <c r="B1672" s="93"/>
      <c r="C1672" s="148" t="s">
        <v>1449</v>
      </c>
      <c r="D1672" s="126" t="s">
        <v>1450</v>
      </c>
      <c r="E1672" s="164" t="s">
        <v>1698</v>
      </c>
      <c r="F1672" s="164" t="s">
        <v>1698</v>
      </c>
      <c r="G1672" s="164" t="s">
        <v>1698</v>
      </c>
      <c r="H1672" s="164" t="s">
        <v>1698</v>
      </c>
      <c r="I1672" s="128">
        <v>0.9</v>
      </c>
      <c r="J1672" s="129" t="s">
        <v>33</v>
      </c>
      <c r="K1672" s="129" t="s">
        <v>33</v>
      </c>
      <c r="L1672" s="130" t="s">
        <v>33</v>
      </c>
      <c r="M1672" s="129" t="s">
        <v>33</v>
      </c>
      <c r="N1672" s="131">
        <v>0.9</v>
      </c>
      <c r="O1672" s="129" t="s">
        <v>33</v>
      </c>
      <c r="P1672" s="129" t="s">
        <v>33</v>
      </c>
      <c r="Q1672" s="129" t="s">
        <v>33</v>
      </c>
      <c r="R1672" s="129" t="s">
        <v>33</v>
      </c>
      <c r="S1672" s="131">
        <v>0.9</v>
      </c>
      <c r="T1672" s="129" t="s">
        <v>33</v>
      </c>
      <c r="U1672" s="129" t="s">
        <v>33</v>
      </c>
      <c r="V1672" s="129" t="s">
        <v>33</v>
      </c>
      <c r="W1672" s="129" t="s">
        <v>33</v>
      </c>
      <c r="X1672" s="131">
        <v>0.92</v>
      </c>
      <c r="Y1672" s="131" t="s">
        <v>33</v>
      </c>
      <c r="Z1672" s="131" t="s">
        <v>33</v>
      </c>
      <c r="AA1672" s="131" t="s">
        <v>33</v>
      </c>
      <c r="AB1672" s="131" t="s">
        <v>33</v>
      </c>
      <c r="AC1672" s="131">
        <v>0.92</v>
      </c>
      <c r="AD1672" s="129">
        <v>0.997840172786177</v>
      </c>
      <c r="AE1672" s="129">
        <v>0.9984</v>
      </c>
      <c r="AF1672" s="129">
        <v>1</v>
      </c>
      <c r="AG1672" s="129">
        <v>0.988536629052481</v>
      </c>
      <c r="AH1672" s="131">
        <v>0.92</v>
      </c>
      <c r="AI1672" s="129" t="s">
        <v>33</v>
      </c>
      <c r="AJ1672" s="129" t="s">
        <v>33</v>
      </c>
      <c r="AK1672" s="129" t="s">
        <v>33</v>
      </c>
      <c r="AL1672" s="129" t="s">
        <v>33</v>
      </c>
      <c r="AM1672" s="128">
        <v>0.99</v>
      </c>
      <c r="AN1672" s="133" t="s">
        <v>33</v>
      </c>
      <c r="AO1672" s="133">
        <v>1</v>
      </c>
      <c r="AP1672" s="133">
        <v>1</v>
      </c>
      <c r="AQ1672" s="133">
        <v>1</v>
      </c>
      <c r="AR1672" s="153">
        <v>0.110069253262963</v>
      </c>
      <c r="AS1672" s="137" t="s">
        <v>33</v>
      </c>
      <c r="AT1672" s="137" t="s">
        <v>33</v>
      </c>
      <c r="AU1672" s="137" t="s">
        <v>33</v>
      </c>
      <c r="AV1672" s="137" t="s">
        <v>33</v>
      </c>
      <c r="AW1672" s="93"/>
      <c r="AX1672" s="91"/>
    </row>
    <row r="1673" ht="14.5" spans="1:50">
      <c r="A1673" s="89"/>
      <c r="B1673" s="93"/>
      <c r="C1673" s="148" t="s">
        <v>1449</v>
      </c>
      <c r="D1673" s="126" t="s">
        <v>1450</v>
      </c>
      <c r="E1673" s="164" t="s">
        <v>1699</v>
      </c>
      <c r="F1673" s="164" t="s">
        <v>1699</v>
      </c>
      <c r="G1673" s="164" t="s">
        <v>1699</v>
      </c>
      <c r="H1673" s="164" t="s">
        <v>1699</v>
      </c>
      <c r="I1673" s="128">
        <v>0.9</v>
      </c>
      <c r="J1673" s="129" t="s">
        <v>33</v>
      </c>
      <c r="K1673" s="129" t="s">
        <v>33</v>
      </c>
      <c r="L1673" s="130" t="s">
        <v>33</v>
      </c>
      <c r="M1673" s="129" t="s">
        <v>33</v>
      </c>
      <c r="N1673" s="131">
        <v>0.9</v>
      </c>
      <c r="O1673" s="129">
        <v>0</v>
      </c>
      <c r="P1673" s="129">
        <v>0</v>
      </c>
      <c r="Q1673" s="129">
        <v>0</v>
      </c>
      <c r="R1673" s="129">
        <v>0</v>
      </c>
      <c r="S1673" s="131">
        <v>0.9</v>
      </c>
      <c r="T1673" s="129">
        <v>0.777777777777778</v>
      </c>
      <c r="U1673" s="129">
        <v>0.823529411764706</v>
      </c>
      <c r="V1673" s="129">
        <v>0.5</v>
      </c>
      <c r="W1673" s="129">
        <v>0.69620253164557</v>
      </c>
      <c r="X1673" s="131">
        <v>0.92</v>
      </c>
      <c r="Y1673" s="131" t="s">
        <v>33</v>
      </c>
      <c r="Z1673" s="131" t="s">
        <v>33</v>
      </c>
      <c r="AA1673" s="131" t="s">
        <v>33</v>
      </c>
      <c r="AB1673" s="131" t="s">
        <v>33</v>
      </c>
      <c r="AC1673" s="131">
        <v>0.92</v>
      </c>
      <c r="AD1673" s="129">
        <v>0.991979584396646</v>
      </c>
      <c r="AE1673" s="129">
        <v>0.963553215077605</v>
      </c>
      <c r="AF1673" s="129">
        <v>0.996458087367178</v>
      </c>
      <c r="AG1673" s="129">
        <v>0.98730855214741</v>
      </c>
      <c r="AH1673" s="131">
        <v>0.92</v>
      </c>
      <c r="AI1673" s="129">
        <v>1</v>
      </c>
      <c r="AJ1673" s="129">
        <v>0.882352941176471</v>
      </c>
      <c r="AK1673" s="129">
        <v>0.866666666666667</v>
      </c>
      <c r="AL1673" s="129">
        <v>0.858823529411765</v>
      </c>
      <c r="AM1673" s="128">
        <v>0.99</v>
      </c>
      <c r="AN1673" s="133">
        <v>1</v>
      </c>
      <c r="AO1673" s="133">
        <v>1</v>
      </c>
      <c r="AP1673" s="133">
        <v>1</v>
      </c>
      <c r="AQ1673" s="133">
        <v>1</v>
      </c>
      <c r="AR1673" s="153">
        <v>0.110069253262963</v>
      </c>
      <c r="AS1673" s="137" t="s">
        <v>33</v>
      </c>
      <c r="AT1673" s="137" t="s">
        <v>33</v>
      </c>
      <c r="AU1673" s="137" t="s">
        <v>33</v>
      </c>
      <c r="AV1673" s="137" t="s">
        <v>33</v>
      </c>
      <c r="AW1673" s="93"/>
      <c r="AX1673" s="91"/>
    </row>
    <row r="1674" ht="14.5" spans="1:50">
      <c r="A1674" s="89"/>
      <c r="B1674" s="93"/>
      <c r="C1674" s="148" t="s">
        <v>1449</v>
      </c>
      <c r="D1674" s="126" t="s">
        <v>1450</v>
      </c>
      <c r="E1674" s="164" t="s">
        <v>1700</v>
      </c>
      <c r="F1674" s="164" t="s">
        <v>1700</v>
      </c>
      <c r="G1674" s="164" t="s">
        <v>1700</v>
      </c>
      <c r="H1674" s="164" t="s">
        <v>1700</v>
      </c>
      <c r="I1674" s="128">
        <v>0.9</v>
      </c>
      <c r="J1674" s="129">
        <v>1</v>
      </c>
      <c r="K1674" s="129">
        <v>1</v>
      </c>
      <c r="L1674" s="130">
        <v>0.941176470588235</v>
      </c>
      <c r="M1674" s="129">
        <v>0.986899563318777</v>
      </c>
      <c r="N1674" s="131">
        <v>0.9</v>
      </c>
      <c r="O1674" s="129">
        <v>0.926101694915254</v>
      </c>
      <c r="P1674" s="129">
        <v>0.947253942359978</v>
      </c>
      <c r="Q1674" s="129">
        <v>0.936908517350158</v>
      </c>
      <c r="R1674" s="129">
        <v>0.95638974837994</v>
      </c>
      <c r="S1674" s="131">
        <v>0.9</v>
      </c>
      <c r="T1674" s="129">
        <v>0.823050847457627</v>
      </c>
      <c r="U1674" s="129">
        <v>0.638934203371398</v>
      </c>
      <c r="V1674" s="129">
        <v>0.548264984227129</v>
      </c>
      <c r="W1674" s="129">
        <v>0.675988090373052</v>
      </c>
      <c r="X1674" s="131">
        <v>0.92</v>
      </c>
      <c r="Y1674" s="131" t="s">
        <v>33</v>
      </c>
      <c r="Z1674" s="131" t="s">
        <v>33</v>
      </c>
      <c r="AA1674" s="131" t="s">
        <v>33</v>
      </c>
      <c r="AB1674" s="131" t="s">
        <v>33</v>
      </c>
      <c r="AC1674" s="131">
        <v>0.92</v>
      </c>
      <c r="AD1674" s="129">
        <v>1</v>
      </c>
      <c r="AE1674" s="129">
        <v>1</v>
      </c>
      <c r="AF1674" s="129">
        <v>1</v>
      </c>
      <c r="AG1674" s="129">
        <v>0.992307692307692</v>
      </c>
      <c r="AH1674" s="131">
        <v>0.92</v>
      </c>
      <c r="AI1674" s="129">
        <v>0.934915254237288</v>
      </c>
      <c r="AJ1674" s="129">
        <v>0.929309407286569</v>
      </c>
      <c r="AK1674" s="129">
        <v>0.851104100946372</v>
      </c>
      <c r="AL1674" s="129">
        <v>0.914997956681651</v>
      </c>
      <c r="AM1674" s="128">
        <v>0.99</v>
      </c>
      <c r="AN1674" s="133">
        <v>1</v>
      </c>
      <c r="AO1674" s="133">
        <v>1</v>
      </c>
      <c r="AP1674" s="133">
        <v>1</v>
      </c>
      <c r="AQ1674" s="133">
        <v>1</v>
      </c>
      <c r="AR1674" s="153">
        <v>0.110069253262963</v>
      </c>
      <c r="AS1674" s="137">
        <v>0.272727272727273</v>
      </c>
      <c r="AT1674" s="137">
        <v>0</v>
      </c>
      <c r="AU1674" s="137">
        <v>0.2</v>
      </c>
      <c r="AV1674" s="137">
        <v>0.116504854368932</v>
      </c>
      <c r="AW1674" s="93"/>
      <c r="AX1674" s="91"/>
    </row>
    <row r="1675" ht="14.5" spans="1:50">
      <c r="A1675" s="89"/>
      <c r="B1675" s="93"/>
      <c r="C1675" s="148" t="s">
        <v>1449</v>
      </c>
      <c r="D1675" s="126" t="s">
        <v>1450</v>
      </c>
      <c r="E1675" s="164" t="s">
        <v>1701</v>
      </c>
      <c r="F1675" s="164" t="s">
        <v>1701</v>
      </c>
      <c r="G1675" s="164" t="s">
        <v>1701</v>
      </c>
      <c r="H1675" s="164" t="s">
        <v>1701</v>
      </c>
      <c r="I1675" s="128">
        <v>0.9</v>
      </c>
      <c r="J1675" s="129">
        <v>0.5</v>
      </c>
      <c r="K1675" s="129">
        <v>0.142857142857143</v>
      </c>
      <c r="L1675" s="130">
        <v>0.571428571428571</v>
      </c>
      <c r="M1675" s="129">
        <v>0.36231884057971</v>
      </c>
      <c r="N1675" s="131">
        <v>0.9</v>
      </c>
      <c r="O1675" s="129" t="s">
        <v>33</v>
      </c>
      <c r="P1675" s="129">
        <v>1</v>
      </c>
      <c r="Q1675" s="129" t="s">
        <v>33</v>
      </c>
      <c r="R1675" s="129">
        <v>0.75</v>
      </c>
      <c r="S1675" s="131">
        <v>0.9</v>
      </c>
      <c r="T1675" s="129" t="s">
        <v>33</v>
      </c>
      <c r="U1675" s="129">
        <v>1</v>
      </c>
      <c r="V1675" s="129" t="s">
        <v>33</v>
      </c>
      <c r="W1675" s="129">
        <v>0.5</v>
      </c>
      <c r="X1675" s="131">
        <v>0.92</v>
      </c>
      <c r="Y1675" s="131" t="s">
        <v>33</v>
      </c>
      <c r="Z1675" s="131" t="s">
        <v>33</v>
      </c>
      <c r="AA1675" s="131" t="s">
        <v>33</v>
      </c>
      <c r="AB1675" s="131" t="s">
        <v>33</v>
      </c>
      <c r="AC1675" s="131">
        <v>0.92</v>
      </c>
      <c r="AD1675" s="129">
        <v>0</v>
      </c>
      <c r="AE1675" s="129">
        <v>0</v>
      </c>
      <c r="AF1675" s="129" t="s">
        <v>33</v>
      </c>
      <c r="AG1675" s="129">
        <v>0.428571428571429</v>
      </c>
      <c r="AH1675" s="131">
        <v>0.92</v>
      </c>
      <c r="AI1675" s="129">
        <v>0.629310344827586</v>
      </c>
      <c r="AJ1675" s="129">
        <v>0.653276955602537</v>
      </c>
      <c r="AK1675" s="129">
        <v>0.504310344827586</v>
      </c>
      <c r="AL1675" s="129">
        <v>0.591058823529412</v>
      </c>
      <c r="AM1675" s="128">
        <v>0.99</v>
      </c>
      <c r="AN1675" s="133" t="s">
        <v>33</v>
      </c>
      <c r="AO1675" s="133" t="s">
        <v>33</v>
      </c>
      <c r="AP1675" s="133" t="s">
        <v>33</v>
      </c>
      <c r="AQ1675" s="133">
        <v>1</v>
      </c>
      <c r="AR1675" s="153">
        <v>0.110069253262963</v>
      </c>
      <c r="AS1675" s="137">
        <v>0</v>
      </c>
      <c r="AT1675" s="137">
        <v>0.136363636363636</v>
      </c>
      <c r="AU1675" s="137">
        <v>0</v>
      </c>
      <c r="AV1675" s="137">
        <v>0.0662650602409639</v>
      </c>
      <c r="AW1675" s="93"/>
      <c r="AX1675" s="91"/>
    </row>
    <row r="1676" ht="14.5" spans="1:50">
      <c r="A1676" s="89"/>
      <c r="B1676" s="93"/>
      <c r="C1676" s="148" t="s">
        <v>1449</v>
      </c>
      <c r="D1676" s="126" t="s">
        <v>1450</v>
      </c>
      <c r="E1676" s="164" t="s">
        <v>1702</v>
      </c>
      <c r="F1676" s="164" t="s">
        <v>1702</v>
      </c>
      <c r="G1676" s="164" t="s">
        <v>1702</v>
      </c>
      <c r="H1676" s="164" t="s">
        <v>1702</v>
      </c>
      <c r="I1676" s="128">
        <v>0.9</v>
      </c>
      <c r="J1676" s="129">
        <v>1</v>
      </c>
      <c r="K1676" s="129">
        <v>1</v>
      </c>
      <c r="L1676" s="130">
        <v>1</v>
      </c>
      <c r="M1676" s="129">
        <v>1</v>
      </c>
      <c r="N1676" s="131">
        <v>0.9</v>
      </c>
      <c r="O1676" s="129">
        <v>0.967894239848914</v>
      </c>
      <c r="P1676" s="129">
        <v>0.999195494770716</v>
      </c>
      <c r="Q1676" s="129">
        <v>0.942048517520216</v>
      </c>
      <c r="R1676" s="129">
        <v>0.95348398061308</v>
      </c>
      <c r="S1676" s="131">
        <v>0.9</v>
      </c>
      <c r="T1676" s="129">
        <v>0.940509915014164</v>
      </c>
      <c r="U1676" s="129">
        <v>0.971037811745776</v>
      </c>
      <c r="V1676" s="129">
        <v>0.955525606469003</v>
      </c>
      <c r="W1676" s="129">
        <v>0.941335683263045</v>
      </c>
      <c r="X1676" s="131">
        <v>0.92</v>
      </c>
      <c r="Y1676" s="131" t="s">
        <v>33</v>
      </c>
      <c r="Z1676" s="131" t="s">
        <v>33</v>
      </c>
      <c r="AA1676" s="131" t="s">
        <v>33</v>
      </c>
      <c r="AB1676" s="131" t="s">
        <v>33</v>
      </c>
      <c r="AC1676" s="131">
        <v>0.92</v>
      </c>
      <c r="AD1676" s="129">
        <v>0.783783783783784</v>
      </c>
      <c r="AE1676" s="129">
        <v>0.333333333333333</v>
      </c>
      <c r="AF1676" s="129">
        <v>0.7</v>
      </c>
      <c r="AG1676" s="129">
        <v>0.366492146596859</v>
      </c>
      <c r="AH1676" s="131">
        <v>0.92</v>
      </c>
      <c r="AI1676" s="129">
        <v>0.978281397544854</v>
      </c>
      <c r="AJ1676" s="129">
        <v>0.994368463395012</v>
      </c>
      <c r="AK1676" s="129">
        <v>0.993935309973046</v>
      </c>
      <c r="AL1676" s="129">
        <v>0.98791464719582</v>
      </c>
      <c r="AM1676" s="128">
        <v>0.99</v>
      </c>
      <c r="AN1676" s="133">
        <v>1</v>
      </c>
      <c r="AO1676" s="133">
        <v>1</v>
      </c>
      <c r="AP1676" s="133">
        <v>1</v>
      </c>
      <c r="AQ1676" s="133">
        <v>1</v>
      </c>
      <c r="AR1676" s="153">
        <v>0.110069253262963</v>
      </c>
      <c r="AS1676" s="137">
        <v>0.153846153846154</v>
      </c>
      <c r="AT1676" s="137">
        <v>0.125</v>
      </c>
      <c r="AU1676" s="137">
        <v>0.133333333333333</v>
      </c>
      <c r="AV1676" s="137">
        <v>0.113095238095238</v>
      </c>
      <c r="AW1676" s="93"/>
      <c r="AX1676" s="91"/>
    </row>
    <row r="1677" ht="14.5" spans="1:50">
      <c r="A1677" s="89"/>
      <c r="B1677" s="93"/>
      <c r="C1677" s="148" t="s">
        <v>1449</v>
      </c>
      <c r="D1677" s="126" t="s">
        <v>1450</v>
      </c>
      <c r="E1677" s="164" t="s">
        <v>1703</v>
      </c>
      <c r="F1677" s="164" t="s">
        <v>1703</v>
      </c>
      <c r="G1677" s="164" t="s">
        <v>1703</v>
      </c>
      <c r="H1677" s="164" t="s">
        <v>1703</v>
      </c>
      <c r="I1677" s="128">
        <v>0.9</v>
      </c>
      <c r="J1677" s="129">
        <v>1</v>
      </c>
      <c r="K1677" s="129">
        <v>0.95</v>
      </c>
      <c r="L1677" s="130">
        <v>0.954545454545455</v>
      </c>
      <c r="M1677" s="129">
        <v>0.949367088607595</v>
      </c>
      <c r="N1677" s="131">
        <v>0.9</v>
      </c>
      <c r="O1677" s="129">
        <v>0.947860304968028</v>
      </c>
      <c r="P1677" s="129">
        <v>0.95994599459946</v>
      </c>
      <c r="Q1677" s="129">
        <v>0.960256924929747</v>
      </c>
      <c r="R1677" s="129">
        <v>0.961103495544894</v>
      </c>
      <c r="S1677" s="131">
        <v>0.9</v>
      </c>
      <c r="T1677" s="129">
        <v>0.868175110673881</v>
      </c>
      <c r="U1677" s="129">
        <v>0.896489648964896</v>
      </c>
      <c r="V1677" s="129">
        <v>0.852669610598153</v>
      </c>
      <c r="W1677" s="129">
        <v>0.894174091843729</v>
      </c>
      <c r="X1677" s="131">
        <v>0.92</v>
      </c>
      <c r="Y1677" s="131" t="s">
        <v>33</v>
      </c>
      <c r="Z1677" s="131" t="s">
        <v>33</v>
      </c>
      <c r="AA1677" s="131" t="s">
        <v>33</v>
      </c>
      <c r="AB1677" s="131" t="s">
        <v>33</v>
      </c>
      <c r="AC1677" s="131">
        <v>0.92</v>
      </c>
      <c r="AD1677" s="129">
        <v>0.183673469387755</v>
      </c>
      <c r="AE1677" s="129">
        <v>0.99290780141844</v>
      </c>
      <c r="AF1677" s="129">
        <v>0.969924812030075</v>
      </c>
      <c r="AG1677" s="129">
        <v>0.882599580712788</v>
      </c>
      <c r="AH1677" s="131">
        <v>0.92</v>
      </c>
      <c r="AI1677" s="129">
        <v>0.907033939990162</v>
      </c>
      <c r="AJ1677" s="129">
        <v>0.923942394239424</v>
      </c>
      <c r="AK1677" s="129">
        <v>0.943797671617824</v>
      </c>
      <c r="AL1677" s="129">
        <v>0.94095270733379</v>
      </c>
      <c r="AM1677" s="128">
        <v>0.99</v>
      </c>
      <c r="AN1677" s="133">
        <v>1</v>
      </c>
      <c r="AO1677" s="133" t="s">
        <v>33</v>
      </c>
      <c r="AP1677" s="133">
        <v>1</v>
      </c>
      <c r="AQ1677" s="133">
        <v>1</v>
      </c>
      <c r="AR1677" s="153">
        <v>0.110069253262963</v>
      </c>
      <c r="AS1677" s="137">
        <v>0</v>
      </c>
      <c r="AT1677" s="137">
        <v>0.105263157894737</v>
      </c>
      <c r="AU1677" s="137">
        <v>0.0952380952380952</v>
      </c>
      <c r="AV1677" s="137">
        <v>0.0546875</v>
      </c>
      <c r="AW1677" s="93"/>
      <c r="AX1677" s="91"/>
    </row>
    <row r="1678" ht="14.5" spans="1:50">
      <c r="A1678" s="89"/>
      <c r="B1678" s="93"/>
      <c r="C1678" s="148" t="s">
        <v>1449</v>
      </c>
      <c r="D1678" s="126" t="s">
        <v>1450</v>
      </c>
      <c r="E1678" s="164" t="s">
        <v>1704</v>
      </c>
      <c r="F1678" s="164" t="s">
        <v>1704</v>
      </c>
      <c r="G1678" s="164" t="s">
        <v>1704</v>
      </c>
      <c r="H1678" s="164" t="s">
        <v>1704</v>
      </c>
      <c r="I1678" s="128">
        <v>0.9</v>
      </c>
      <c r="J1678" s="129">
        <v>0.941176470588235</v>
      </c>
      <c r="K1678" s="129">
        <v>0.894736842105263</v>
      </c>
      <c r="L1678" s="130">
        <v>1</v>
      </c>
      <c r="M1678" s="129">
        <v>0.887387387387387</v>
      </c>
      <c r="N1678" s="131">
        <v>0.9</v>
      </c>
      <c r="O1678" s="129">
        <v>0.887890005288207</v>
      </c>
      <c r="P1678" s="129">
        <v>0.838783970520497</v>
      </c>
      <c r="Q1678" s="129">
        <v>0.831325301204819</v>
      </c>
      <c r="R1678" s="129">
        <v>0.839932718097922</v>
      </c>
      <c r="S1678" s="131">
        <v>0.9</v>
      </c>
      <c r="T1678" s="129">
        <v>0.648863035430989</v>
      </c>
      <c r="U1678" s="129">
        <v>0.609857208659604</v>
      </c>
      <c r="V1678" s="129">
        <v>0.624784853700516</v>
      </c>
      <c r="W1678" s="129">
        <v>0.594899304450607</v>
      </c>
      <c r="X1678" s="131">
        <v>0.92</v>
      </c>
      <c r="Y1678" s="131" t="s">
        <v>33</v>
      </c>
      <c r="Z1678" s="131" t="s">
        <v>33</v>
      </c>
      <c r="AA1678" s="131" t="s">
        <v>33</v>
      </c>
      <c r="AB1678" s="131" t="s">
        <v>33</v>
      </c>
      <c r="AC1678" s="131">
        <v>0.92</v>
      </c>
      <c r="AD1678" s="129">
        <v>0.8125</v>
      </c>
      <c r="AE1678" s="129">
        <v>0.2</v>
      </c>
      <c r="AF1678" s="129">
        <v>0.916666666666667</v>
      </c>
      <c r="AG1678" s="129">
        <v>0.374384236453202</v>
      </c>
      <c r="AH1678" s="131">
        <v>0.92</v>
      </c>
      <c r="AI1678" s="129">
        <v>0.761501850872554</v>
      </c>
      <c r="AJ1678" s="129">
        <v>0.743436204514049</v>
      </c>
      <c r="AK1678" s="129">
        <v>0.757314974182444</v>
      </c>
      <c r="AL1678" s="129">
        <v>0.716234031913443</v>
      </c>
      <c r="AM1678" s="128">
        <v>0.99</v>
      </c>
      <c r="AN1678" s="133">
        <v>1</v>
      </c>
      <c r="AO1678" s="133">
        <v>1</v>
      </c>
      <c r="AP1678" s="133">
        <v>1</v>
      </c>
      <c r="AQ1678" s="133">
        <v>1</v>
      </c>
      <c r="AR1678" s="153">
        <v>0.110069253262963</v>
      </c>
      <c r="AS1678" s="137">
        <v>0.105263157894737</v>
      </c>
      <c r="AT1678" s="137">
        <v>0.235294117647059</v>
      </c>
      <c r="AU1678" s="137">
        <v>0.0277777777777778</v>
      </c>
      <c r="AV1678" s="137">
        <v>0.107042253521127</v>
      </c>
      <c r="AW1678" s="93"/>
      <c r="AX1678" s="91"/>
    </row>
    <row r="1679" ht="14.5" spans="1:50">
      <c r="A1679" s="89"/>
      <c r="B1679" s="93"/>
      <c r="C1679" s="148" t="s">
        <v>1449</v>
      </c>
      <c r="D1679" s="126" t="s">
        <v>1450</v>
      </c>
      <c r="E1679" s="164" t="s">
        <v>1705</v>
      </c>
      <c r="F1679" s="164" t="s">
        <v>1705</v>
      </c>
      <c r="G1679" s="164" t="s">
        <v>1705</v>
      </c>
      <c r="H1679" s="164" t="s">
        <v>1705</v>
      </c>
      <c r="I1679" s="128">
        <v>0.9</v>
      </c>
      <c r="J1679" s="129">
        <v>0.8</v>
      </c>
      <c r="K1679" s="129">
        <v>0.6</v>
      </c>
      <c r="L1679" s="130">
        <v>0.5</v>
      </c>
      <c r="M1679" s="129">
        <v>0.7</v>
      </c>
      <c r="N1679" s="131">
        <v>0.9</v>
      </c>
      <c r="O1679" s="129" t="s">
        <v>33</v>
      </c>
      <c r="P1679" s="129" t="s">
        <v>33</v>
      </c>
      <c r="Q1679" s="129" t="s">
        <v>33</v>
      </c>
      <c r="R1679" s="129" t="s">
        <v>33</v>
      </c>
      <c r="S1679" s="131">
        <v>0.9</v>
      </c>
      <c r="T1679" s="129" t="s">
        <v>33</v>
      </c>
      <c r="U1679" s="129" t="s">
        <v>33</v>
      </c>
      <c r="V1679" s="129" t="s">
        <v>33</v>
      </c>
      <c r="W1679" s="129" t="s">
        <v>33</v>
      </c>
      <c r="X1679" s="131">
        <v>0.92</v>
      </c>
      <c r="Y1679" s="131" t="s">
        <v>33</v>
      </c>
      <c r="Z1679" s="131" t="s">
        <v>33</v>
      </c>
      <c r="AA1679" s="131" t="s">
        <v>33</v>
      </c>
      <c r="AB1679" s="131" t="s">
        <v>33</v>
      </c>
      <c r="AC1679" s="131">
        <v>0.92</v>
      </c>
      <c r="AD1679" s="129">
        <v>0</v>
      </c>
      <c r="AE1679" s="129">
        <v>0</v>
      </c>
      <c r="AF1679" s="129">
        <v>0</v>
      </c>
      <c r="AG1679" s="129">
        <v>0.130434782608696</v>
      </c>
      <c r="AH1679" s="131">
        <v>0.92</v>
      </c>
      <c r="AI1679" s="129">
        <v>0.878934624697337</v>
      </c>
      <c r="AJ1679" s="129">
        <v>0.883720930232558</v>
      </c>
      <c r="AK1679" s="129">
        <v>0.861830742659758</v>
      </c>
      <c r="AL1679" s="129">
        <v>0.937143874643875</v>
      </c>
      <c r="AM1679" s="128">
        <v>0.99</v>
      </c>
      <c r="AN1679" s="133" t="s">
        <v>33</v>
      </c>
      <c r="AO1679" s="133" t="s">
        <v>33</v>
      </c>
      <c r="AP1679" s="133" t="s">
        <v>33</v>
      </c>
      <c r="AQ1679" s="133" t="s">
        <v>33</v>
      </c>
      <c r="AR1679" s="153">
        <v>0.110069253262963</v>
      </c>
      <c r="AS1679" s="137">
        <v>0.25</v>
      </c>
      <c r="AT1679" s="137">
        <v>0</v>
      </c>
      <c r="AU1679" s="137">
        <v>0.2</v>
      </c>
      <c r="AV1679" s="137">
        <v>0.1</v>
      </c>
      <c r="AW1679" s="93"/>
      <c r="AX1679" s="91"/>
    </row>
    <row r="1680" ht="14.5" spans="1:50">
      <c r="A1680" s="89"/>
      <c r="B1680" s="93"/>
      <c r="C1680" s="148" t="s">
        <v>1449</v>
      </c>
      <c r="D1680" s="126" t="s">
        <v>1450</v>
      </c>
      <c r="E1680" s="164" t="s">
        <v>1706</v>
      </c>
      <c r="F1680" s="164" t="s">
        <v>1706</v>
      </c>
      <c r="G1680" s="164" t="s">
        <v>1706</v>
      </c>
      <c r="H1680" s="164" t="s">
        <v>1706</v>
      </c>
      <c r="I1680" s="128">
        <v>0.9</v>
      </c>
      <c r="J1680" s="129">
        <v>1</v>
      </c>
      <c r="K1680" s="129">
        <v>0.928571428571429</v>
      </c>
      <c r="L1680" s="130">
        <v>1</v>
      </c>
      <c r="M1680" s="129">
        <v>0.949367088607595</v>
      </c>
      <c r="N1680" s="131">
        <v>0.9</v>
      </c>
      <c r="O1680" s="129" t="s">
        <v>33</v>
      </c>
      <c r="P1680" s="129" t="s">
        <v>33</v>
      </c>
      <c r="Q1680" s="129" t="s">
        <v>33</v>
      </c>
      <c r="R1680" s="129">
        <v>0.105263157894737</v>
      </c>
      <c r="S1680" s="131">
        <v>0.9</v>
      </c>
      <c r="T1680" s="129" t="s">
        <v>33</v>
      </c>
      <c r="U1680" s="129" t="s">
        <v>33</v>
      </c>
      <c r="V1680" s="129" t="s">
        <v>33</v>
      </c>
      <c r="W1680" s="129">
        <v>0.105263157894737</v>
      </c>
      <c r="X1680" s="131">
        <v>0.92</v>
      </c>
      <c r="Y1680" s="131" t="s">
        <v>33</v>
      </c>
      <c r="Z1680" s="131" t="s">
        <v>33</v>
      </c>
      <c r="AA1680" s="131" t="s">
        <v>33</v>
      </c>
      <c r="AB1680" s="131" t="s">
        <v>33</v>
      </c>
      <c r="AC1680" s="131">
        <v>0.92</v>
      </c>
      <c r="AD1680" s="129">
        <v>0</v>
      </c>
      <c r="AE1680" s="129">
        <v>0</v>
      </c>
      <c r="AF1680" s="129">
        <v>0.833333333333333</v>
      </c>
      <c r="AG1680" s="129">
        <v>0.181818181818182</v>
      </c>
      <c r="AH1680" s="131">
        <v>0.92</v>
      </c>
      <c r="AI1680" s="129">
        <v>0.80475129918337</v>
      </c>
      <c r="AJ1680" s="129">
        <v>0.883116883116883</v>
      </c>
      <c r="AK1680" s="129">
        <v>0.843452816386247</v>
      </c>
      <c r="AL1680" s="129">
        <v>0.883245198998052</v>
      </c>
      <c r="AM1680" s="128">
        <v>0.99</v>
      </c>
      <c r="AN1680" s="133" t="s">
        <v>33</v>
      </c>
      <c r="AO1680" s="133" t="s">
        <v>33</v>
      </c>
      <c r="AP1680" s="133" t="s">
        <v>33</v>
      </c>
      <c r="AQ1680" s="133">
        <v>1</v>
      </c>
      <c r="AR1680" s="153">
        <v>0.110069253262963</v>
      </c>
      <c r="AS1680" s="137">
        <v>0.230769230769231</v>
      </c>
      <c r="AT1680" s="137">
        <v>0.0952380952380952</v>
      </c>
      <c r="AU1680" s="137">
        <v>0</v>
      </c>
      <c r="AV1680" s="137">
        <v>0.10377358490566</v>
      </c>
      <c r="AW1680" s="93"/>
      <c r="AX1680" s="91"/>
    </row>
    <row r="1681" ht="14.5" spans="1:72">
      <c r="A1681" s="89"/>
      <c r="B1681" s="93"/>
      <c r="C1681" s="148" t="s">
        <v>1449</v>
      </c>
      <c r="D1681" s="126" t="s">
        <v>1450</v>
      </c>
      <c r="E1681" s="164" t="s">
        <v>1707</v>
      </c>
      <c r="F1681" s="164" t="s">
        <v>1707</v>
      </c>
      <c r="G1681" s="164" t="s">
        <v>1707</v>
      </c>
      <c r="H1681" s="164" t="s">
        <v>1707</v>
      </c>
      <c r="I1681" s="128">
        <v>0.9</v>
      </c>
      <c r="J1681" s="129">
        <v>0.916666666666667</v>
      </c>
      <c r="K1681" s="129">
        <v>0.942857142857143</v>
      </c>
      <c r="L1681" s="130">
        <v>0.935483870967742</v>
      </c>
      <c r="M1681" s="129">
        <v>0.940446650124069</v>
      </c>
      <c r="N1681" s="131">
        <v>0.9</v>
      </c>
      <c r="O1681" s="129">
        <v>0.0522186147186147</v>
      </c>
      <c r="P1681" s="129">
        <v>0.387075502802506</v>
      </c>
      <c r="Q1681" s="129">
        <v>0.048758865248227</v>
      </c>
      <c r="R1681" s="129">
        <v>0.215472470154455</v>
      </c>
      <c r="S1681" s="131">
        <v>0.9</v>
      </c>
      <c r="T1681" s="129">
        <v>0.484307359307359</v>
      </c>
      <c r="U1681" s="129">
        <v>0.400263765248928</v>
      </c>
      <c r="V1681" s="129">
        <v>0.310874704491726</v>
      </c>
      <c r="W1681" s="129">
        <v>0.42548168798759</v>
      </c>
      <c r="X1681" s="131">
        <v>0.92</v>
      </c>
      <c r="Y1681" s="131" t="s">
        <v>33</v>
      </c>
      <c r="Z1681" s="131" t="s">
        <v>33</v>
      </c>
      <c r="AA1681" s="131" t="s">
        <v>33</v>
      </c>
      <c r="AB1681" s="131" t="s">
        <v>33</v>
      </c>
      <c r="AC1681" s="131">
        <v>0.92</v>
      </c>
      <c r="AD1681" s="129">
        <v>1</v>
      </c>
      <c r="AE1681" s="129">
        <v>0.894366197183099</v>
      </c>
      <c r="AF1681" s="129">
        <v>1</v>
      </c>
      <c r="AG1681" s="129">
        <v>0.96</v>
      </c>
      <c r="AH1681" s="131">
        <v>0.92</v>
      </c>
      <c r="AI1681" s="129">
        <v>0.832792207792208</v>
      </c>
      <c r="AJ1681" s="129">
        <v>0.735575337949225</v>
      </c>
      <c r="AK1681" s="129">
        <v>0.709219858156028</v>
      </c>
      <c r="AL1681" s="129">
        <v>0.795274174329459</v>
      </c>
      <c r="AM1681" s="128">
        <v>0.99</v>
      </c>
      <c r="AN1681" s="133">
        <v>1</v>
      </c>
      <c r="AO1681" s="133">
        <v>1</v>
      </c>
      <c r="AP1681" s="133">
        <v>1</v>
      </c>
      <c r="AQ1681" s="133">
        <v>1</v>
      </c>
      <c r="AR1681" s="153">
        <v>0.110069253262963</v>
      </c>
      <c r="AS1681" s="137">
        <v>0.04</v>
      </c>
      <c r="AT1681" s="137">
        <v>0.0333333333333333</v>
      </c>
      <c r="AU1681" s="137">
        <v>0.0967741935483871</v>
      </c>
      <c r="AV1681" s="137">
        <v>0.0958466453674121</v>
      </c>
      <c r="AW1681" s="93"/>
      <c r="AX1681" s="91"/>
    </row>
    <row r="1682" ht="14.5" spans="1:72">
      <c r="A1682" s="89"/>
      <c r="B1682" s="93"/>
      <c r="C1682" s="148" t="s">
        <v>1449</v>
      </c>
      <c r="D1682" s="126" t="s">
        <v>1450</v>
      </c>
      <c r="E1682" s="164" t="s">
        <v>1708</v>
      </c>
      <c r="F1682" s="164" t="s">
        <v>1708</v>
      </c>
      <c r="G1682" s="164" t="s">
        <v>1708</v>
      </c>
      <c r="H1682" s="164" t="s">
        <v>1708</v>
      </c>
      <c r="I1682" s="128">
        <v>0.9</v>
      </c>
      <c r="J1682" s="129">
        <v>0.88</v>
      </c>
      <c r="K1682" s="129">
        <v>0.923076923076923</v>
      </c>
      <c r="L1682" s="130">
        <v>0.92</v>
      </c>
      <c r="M1682" s="129">
        <v>0.916387959866221</v>
      </c>
      <c r="N1682" s="131">
        <v>0.9</v>
      </c>
      <c r="O1682" s="129">
        <v>0.962908011869436</v>
      </c>
      <c r="P1682" s="129">
        <v>0.97187141216992</v>
      </c>
      <c r="Q1682" s="129">
        <v>0.918454935622318</v>
      </c>
      <c r="R1682" s="129">
        <v>0.847615148413511</v>
      </c>
      <c r="S1682" s="131">
        <v>0.9</v>
      </c>
      <c r="T1682" s="129">
        <v>0.589020771513353</v>
      </c>
      <c r="U1682" s="129">
        <v>0.575774971297359</v>
      </c>
      <c r="V1682" s="129">
        <v>0.507510729613734</v>
      </c>
      <c r="W1682" s="129">
        <v>0.492528147389969</v>
      </c>
      <c r="X1682" s="131">
        <v>0.92</v>
      </c>
      <c r="Y1682" s="131" t="s">
        <v>33</v>
      </c>
      <c r="Z1682" s="131" t="s">
        <v>33</v>
      </c>
      <c r="AA1682" s="131" t="s">
        <v>33</v>
      </c>
      <c r="AB1682" s="131" t="s">
        <v>33</v>
      </c>
      <c r="AC1682" s="131">
        <v>0.92</v>
      </c>
      <c r="AD1682" s="129">
        <v>0.0909090909090909</v>
      </c>
      <c r="AE1682" s="129">
        <v>0.136363636363636</v>
      </c>
      <c r="AF1682" s="129">
        <v>0.5</v>
      </c>
      <c r="AG1682" s="129">
        <v>0.149350649350649</v>
      </c>
      <c r="AH1682" s="131">
        <v>0.92</v>
      </c>
      <c r="AI1682" s="129">
        <v>0.840257171117705</v>
      </c>
      <c r="AJ1682" s="129">
        <v>0.835820895522388</v>
      </c>
      <c r="AK1682" s="129">
        <v>0.854613733905579</v>
      </c>
      <c r="AL1682" s="129">
        <v>0.852118730808598</v>
      </c>
      <c r="AM1682" s="128">
        <v>0.99</v>
      </c>
      <c r="AN1682" s="133" t="s">
        <v>33</v>
      </c>
      <c r="AO1682" s="133" t="s">
        <v>33</v>
      </c>
      <c r="AP1682" s="133" t="s">
        <v>33</v>
      </c>
      <c r="AQ1682" s="133">
        <v>1</v>
      </c>
      <c r="AR1682" s="153">
        <v>0.110069253262963</v>
      </c>
      <c r="AS1682" s="137">
        <v>0</v>
      </c>
      <c r="AT1682" s="137">
        <v>0.0454545454545455</v>
      </c>
      <c r="AU1682" s="137">
        <v>0.0952380952380952</v>
      </c>
      <c r="AV1682" s="137">
        <v>0.0571428571428571</v>
      </c>
      <c r="AW1682" s="93"/>
      <c r="AX1682" s="91"/>
    </row>
    <row r="1683" ht="14.5" spans="1:72">
      <c r="A1683" s="89"/>
      <c r="B1683" s="93"/>
      <c r="C1683" s="148" t="s">
        <v>1449</v>
      </c>
      <c r="D1683" s="126" t="s">
        <v>1450</v>
      </c>
      <c r="E1683" s="164" t="s">
        <v>1709</v>
      </c>
      <c r="F1683" s="164" t="s">
        <v>1709</v>
      </c>
      <c r="G1683" s="164" t="s">
        <v>1709</v>
      </c>
      <c r="H1683" s="164" t="s">
        <v>1709</v>
      </c>
      <c r="I1683" s="128">
        <v>0.9</v>
      </c>
      <c r="J1683" s="129" t="s">
        <v>33</v>
      </c>
      <c r="K1683" s="129" t="s">
        <v>33</v>
      </c>
      <c r="L1683" s="130" t="s">
        <v>33</v>
      </c>
      <c r="M1683" s="129" t="s">
        <v>33</v>
      </c>
      <c r="N1683" s="131">
        <v>0.9</v>
      </c>
      <c r="O1683" s="129" t="s">
        <v>33</v>
      </c>
      <c r="P1683" s="129" t="s">
        <v>33</v>
      </c>
      <c r="Q1683" s="129" t="s">
        <v>33</v>
      </c>
      <c r="R1683" s="129" t="s">
        <v>33</v>
      </c>
      <c r="S1683" s="131">
        <v>0.9</v>
      </c>
      <c r="T1683" s="129" t="s">
        <v>33</v>
      </c>
      <c r="U1683" s="129" t="s">
        <v>33</v>
      </c>
      <c r="V1683" s="129" t="s">
        <v>33</v>
      </c>
      <c r="W1683" s="129" t="s">
        <v>33</v>
      </c>
      <c r="X1683" s="131">
        <v>0.92</v>
      </c>
      <c r="Y1683" s="131" t="s">
        <v>33</v>
      </c>
      <c r="Z1683" s="131" t="s">
        <v>33</v>
      </c>
      <c r="AA1683" s="131" t="s">
        <v>33</v>
      </c>
      <c r="AB1683" s="131" t="s">
        <v>33</v>
      </c>
      <c r="AC1683" s="131">
        <v>0.92</v>
      </c>
      <c r="AD1683" s="129" t="s">
        <v>33</v>
      </c>
      <c r="AE1683" s="129" t="s">
        <v>33</v>
      </c>
      <c r="AF1683" s="129" t="s">
        <v>33</v>
      </c>
      <c r="AG1683" s="129" t="s">
        <v>33</v>
      </c>
      <c r="AH1683" s="131">
        <v>0.92</v>
      </c>
      <c r="AI1683" s="129" t="s">
        <v>33</v>
      </c>
      <c r="AJ1683" s="129" t="s">
        <v>33</v>
      </c>
      <c r="AK1683" s="129" t="s">
        <v>33</v>
      </c>
      <c r="AL1683" s="129" t="s">
        <v>33</v>
      </c>
      <c r="AM1683" s="128">
        <v>0.99</v>
      </c>
      <c r="AN1683" s="133" t="s">
        <v>33</v>
      </c>
      <c r="AO1683" s="133" t="s">
        <v>33</v>
      </c>
      <c r="AP1683" s="133" t="s">
        <v>33</v>
      </c>
      <c r="AQ1683" s="133" t="s">
        <v>33</v>
      </c>
      <c r="AR1683" s="153">
        <v>0.110069253262963</v>
      </c>
      <c r="AS1683" s="137" t="s">
        <v>33</v>
      </c>
      <c r="AT1683" s="137" t="s">
        <v>33</v>
      </c>
      <c r="AU1683" s="137" t="s">
        <v>33</v>
      </c>
      <c r="AV1683" s="137" t="s">
        <v>33</v>
      </c>
      <c r="AW1683" s="93"/>
      <c r="AX1683" s="91"/>
    </row>
    <row r="1684" ht="17.25" customHeight="1" spans="1:72">
      <c r="A1684" s="89"/>
      <c r="B1684" s="93"/>
      <c r="C1684" s="194" t="s">
        <v>1710</v>
      </c>
      <c r="D1684" s="195"/>
      <c r="E1684" s="195"/>
      <c r="F1684" s="195"/>
      <c r="G1684" s="195"/>
      <c r="H1684" s="195"/>
      <c r="I1684" s="196" t="s">
        <v>33</v>
      </c>
      <c r="J1684" s="197">
        <v>0.93541907857113</v>
      </c>
      <c r="K1684" s="197">
        <v>0.923976149380198</v>
      </c>
      <c r="L1684" s="197">
        <v>0.92454830311628</v>
      </c>
      <c r="M1684" s="197">
        <v>0.925028083265148</v>
      </c>
      <c r="N1684" s="196" t="s">
        <v>33</v>
      </c>
      <c r="O1684" s="198">
        <v>0.93198580121358</v>
      </c>
      <c r="P1684" s="198">
        <v>0.94584205929455</v>
      </c>
      <c r="Q1684" s="198">
        <v>0.933371765811523</v>
      </c>
      <c r="R1684" s="197">
        <v>0.937127378944806</v>
      </c>
      <c r="S1684" s="196" t="s">
        <v>33</v>
      </c>
      <c r="T1684" s="198">
        <v>0.871566793798772</v>
      </c>
      <c r="U1684" s="198">
        <v>0.88818413727523</v>
      </c>
      <c r="V1684" s="198">
        <v>0.871611931482955</v>
      </c>
      <c r="W1684" s="199">
        <v>0.877400446047283</v>
      </c>
      <c r="X1684" s="196" t="s">
        <v>33</v>
      </c>
      <c r="Y1684" s="200">
        <v>0.93132928670071</v>
      </c>
      <c r="Z1684" s="200">
        <v>0.937663047317316</v>
      </c>
      <c r="AA1684" s="200">
        <v>0.927880850281269</v>
      </c>
      <c r="AB1684" s="200">
        <v>0.932489750228309</v>
      </c>
      <c r="AC1684" s="196" t="s">
        <v>33</v>
      </c>
      <c r="AD1684" s="198">
        <v>0.987590786680697</v>
      </c>
      <c r="AE1684" s="198">
        <v>0.969775665271404</v>
      </c>
      <c r="AF1684" s="198">
        <v>0.957831631811882</v>
      </c>
      <c r="AG1684" s="199">
        <v>0.969495321992784</v>
      </c>
      <c r="AH1684" s="196" t="s">
        <v>33</v>
      </c>
      <c r="AI1684" s="198">
        <v>0.954407906804036</v>
      </c>
      <c r="AJ1684" s="198">
        <v>0.952744666052743</v>
      </c>
      <c r="AK1684" s="198">
        <v>0.956281820769406</v>
      </c>
      <c r="AL1684" s="199">
        <v>0.956341904978756</v>
      </c>
      <c r="AM1684" s="196" t="s">
        <v>33</v>
      </c>
      <c r="AN1684" s="199">
        <v>0.994612975994074</v>
      </c>
      <c r="AO1684" s="199">
        <v>0.990901567158636</v>
      </c>
      <c r="AP1684" s="199">
        <v>0.992620992095796</v>
      </c>
      <c r="AQ1684" s="199">
        <v>0.992124920483291</v>
      </c>
      <c r="AR1684" s="196" t="s">
        <v>33</v>
      </c>
      <c r="AS1684" s="199">
        <v>0.0571810953368148</v>
      </c>
      <c r="AT1684" s="199">
        <v>0.0640120663650075</v>
      </c>
      <c r="AU1684" s="199">
        <v>0.0682726204465335</v>
      </c>
      <c r="AV1684" s="199">
        <v>0.0535512291770591</v>
      </c>
      <c r="AW1684" s="93"/>
      <c r="AX1684" s="91"/>
    </row>
    <row r="1685" ht="24" customHeight="1" spans="1:72">
      <c r="A1685" s="89"/>
      <c r="B1685" s="93"/>
      <c r="C1685" s="201"/>
      <c r="D1685" s="201"/>
      <c r="E1685" s="201"/>
      <c r="F1685" s="201"/>
      <c r="G1685" s="201"/>
      <c r="H1685" s="201"/>
      <c r="I1685" s="202"/>
      <c r="J1685" s="202"/>
      <c r="K1685" s="202"/>
      <c r="L1685" s="202"/>
      <c r="M1685" s="202"/>
      <c r="N1685" s="202"/>
      <c r="O1685" s="202"/>
      <c r="P1685" s="202"/>
      <c r="Q1685" s="202"/>
      <c r="R1685" s="202"/>
      <c r="S1685" s="202"/>
      <c r="T1685" s="203"/>
      <c r="U1685" s="202"/>
      <c r="V1685" s="202"/>
      <c r="W1685" s="202"/>
      <c r="X1685" s="202"/>
      <c r="Y1685" s="202"/>
      <c r="Z1685" s="202"/>
      <c r="AA1685" s="202"/>
      <c r="AB1685" s="202"/>
      <c r="AC1685" s="202"/>
      <c r="AD1685" s="202"/>
      <c r="AE1685" s="202"/>
      <c r="AF1685" s="202"/>
      <c r="AG1685" s="202"/>
      <c r="AH1685" s="202"/>
      <c r="AI1685" s="202"/>
      <c r="AJ1685" s="202"/>
      <c r="AK1685" s="202"/>
      <c r="AL1685" s="202"/>
      <c r="AM1685" s="202"/>
      <c r="AN1685" s="202"/>
      <c r="AO1685" s="202"/>
      <c r="AP1685" s="202"/>
      <c r="AQ1685" s="202"/>
      <c r="AR1685" s="202"/>
      <c r="AS1685" s="202"/>
      <c r="AT1685" s="202"/>
      <c r="AU1685" s="202"/>
      <c r="AV1685" s="202"/>
      <c r="AW1685" s="93"/>
      <c r="AX1685" s="91"/>
    </row>
    <row r="1686" ht="10.5" customHeight="1" spans="1:72">
      <c r="A1686" s="91" t="s">
        <v>1711</v>
      </c>
      <c r="B1686" s="91"/>
      <c r="C1686" s="204"/>
      <c r="D1686" s="204"/>
      <c r="E1686" s="204"/>
      <c r="F1686" s="204"/>
      <c r="G1686" s="204"/>
      <c r="H1686" s="205"/>
      <c r="I1686" s="206"/>
      <c r="J1686" s="206"/>
      <c r="K1686" s="206"/>
      <c r="L1686" s="206"/>
      <c r="M1686" s="206"/>
      <c r="N1686" s="206"/>
      <c r="O1686" s="206"/>
      <c r="P1686" s="206"/>
      <c r="Q1686" s="206"/>
      <c r="R1686" s="206"/>
      <c r="S1686" s="206"/>
      <c r="T1686" s="206"/>
      <c r="U1686" s="206"/>
      <c r="V1686" s="206"/>
      <c r="W1686" s="206"/>
      <c r="X1686" s="206"/>
      <c r="Y1686" s="206"/>
      <c r="Z1686" s="206"/>
      <c r="AA1686" s="206"/>
      <c r="AB1686" s="206"/>
      <c r="AC1686" s="206"/>
      <c r="AD1686" s="206"/>
      <c r="AE1686" s="206"/>
      <c r="AF1686" s="206"/>
      <c r="AG1686" s="206"/>
      <c r="AH1686" s="206"/>
      <c r="AI1686" s="206"/>
      <c r="AJ1686" s="206"/>
      <c r="AK1686" s="206"/>
      <c r="AL1686" s="206"/>
      <c r="AM1686" s="206"/>
      <c r="AN1686" s="206"/>
      <c r="AO1686" s="206"/>
      <c r="AP1686" s="206"/>
      <c r="AQ1686" s="206"/>
      <c r="AR1686" s="207"/>
      <c r="AS1686" s="206"/>
      <c r="AT1686" s="206"/>
      <c r="AU1686" s="206"/>
      <c r="AV1686" s="206"/>
      <c r="AW1686" s="91"/>
      <c r="AX1686" s="91"/>
    </row>
    <row r="1687" ht="409.5" hidden="1" customHeight="1" spans="1:72">
      <c r="C1687" s="208" t="s">
        <v>1712</v>
      </c>
      <c r="D1687" s="209"/>
      <c r="E1687" s="209"/>
      <c r="F1687" s="209"/>
      <c r="G1687" s="209"/>
      <c r="H1687" s="209"/>
      <c r="I1687" s="209"/>
      <c r="J1687" s="209"/>
      <c r="K1687" s="209"/>
      <c r="L1687" s="209"/>
      <c r="M1687" s="209"/>
      <c r="N1687" s="209"/>
      <c r="O1687" s="209"/>
      <c r="P1687" s="209"/>
      <c r="Q1687" s="209"/>
      <c r="R1687" s="209"/>
      <c r="S1687" s="209"/>
      <c r="T1687" s="209" t="s">
        <v>1713</v>
      </c>
      <c r="U1687" s="209"/>
      <c r="V1687" s="209"/>
      <c r="W1687" s="209"/>
      <c r="X1687" s="209"/>
      <c r="Y1687" s="209"/>
      <c r="Z1687" s="209"/>
      <c r="AA1687" s="209"/>
      <c r="AB1687" s="209"/>
      <c r="AC1687" s="209"/>
      <c r="AD1687" s="209"/>
      <c r="AE1687" s="209"/>
      <c r="AF1687" s="209"/>
      <c r="AG1687" s="209"/>
      <c r="AH1687" s="209"/>
      <c r="AI1687" s="209"/>
      <c r="AJ1687" s="209"/>
      <c r="AK1687" s="209"/>
      <c r="AL1687" s="209"/>
      <c r="AM1687" s="209"/>
      <c r="AN1687" s="209"/>
      <c r="AO1687" s="209"/>
      <c r="AP1687" s="209"/>
      <c r="AQ1687" s="209"/>
      <c r="AR1687" s="209"/>
      <c r="AS1687" s="209"/>
      <c r="AT1687" s="209"/>
      <c r="AU1687" s="209"/>
      <c r="AV1687" s="209"/>
      <c r="AW1687" s="209"/>
      <c r="BD1687" s="210" t="s">
        <v>1714</v>
      </c>
      <c r="BE1687" s="211"/>
      <c r="BF1687" s="211"/>
      <c r="BG1687" s="211"/>
      <c r="BH1687" s="211"/>
      <c r="BI1687" s="211"/>
      <c r="BJ1687" s="211"/>
      <c r="BK1687" s="211"/>
      <c r="BL1687" s="211"/>
      <c r="BM1687" s="211"/>
      <c r="BN1687" s="211"/>
      <c r="BO1687" s="211"/>
      <c r="BP1687" s="211"/>
      <c r="BQ1687" s="211"/>
      <c r="BR1687" s="211"/>
      <c r="BS1687" s="211"/>
      <c r="BT1687" s="212"/>
    </row>
    <row r="1688" ht="327" hidden="1" customHeight="1" spans="1:72">
      <c r="C1688" s="208"/>
      <c r="D1688" s="209"/>
      <c r="E1688" s="209"/>
      <c r="F1688" s="209"/>
      <c r="G1688" s="209"/>
      <c r="H1688" s="209"/>
      <c r="I1688" s="209"/>
      <c r="J1688" s="209"/>
      <c r="K1688" s="209"/>
      <c r="L1688" s="209"/>
      <c r="M1688" s="209"/>
      <c r="N1688" s="209"/>
      <c r="O1688" s="209"/>
      <c r="P1688" s="209"/>
      <c r="Q1688" s="209"/>
      <c r="R1688" s="209"/>
      <c r="S1688" s="209"/>
      <c r="T1688" s="209"/>
      <c r="U1688" s="209"/>
      <c r="V1688" s="209"/>
      <c r="W1688" s="209"/>
      <c r="X1688" s="209"/>
      <c r="Y1688" s="209"/>
      <c r="Z1688" s="209"/>
      <c r="AA1688" s="209"/>
      <c r="AB1688" s="209"/>
      <c r="AC1688" s="209"/>
      <c r="AD1688" s="209"/>
      <c r="AE1688" s="209"/>
      <c r="AF1688" s="209"/>
      <c r="AG1688" s="209"/>
      <c r="AH1688" s="209"/>
      <c r="AI1688" s="209"/>
      <c r="AJ1688" s="209"/>
      <c r="AK1688" s="209"/>
      <c r="AL1688" s="209"/>
      <c r="AM1688" s="209"/>
      <c r="AN1688" s="209"/>
      <c r="AO1688" s="209"/>
      <c r="AP1688" s="209"/>
      <c r="AQ1688" s="209"/>
      <c r="AR1688" s="209"/>
      <c r="AS1688" s="209"/>
      <c r="AT1688" s="209"/>
      <c r="AU1688" s="209"/>
      <c r="AV1688" s="209"/>
      <c r="AW1688" s="209"/>
      <c r="BD1688" s="213"/>
      <c r="BE1688" s="214"/>
      <c r="BF1688" s="214"/>
      <c r="BG1688" s="214"/>
      <c r="BH1688" s="214"/>
      <c r="BI1688" s="214"/>
      <c r="BJ1688" s="214"/>
      <c r="BK1688" s="214"/>
      <c r="BL1688" s="214"/>
      <c r="BM1688" s="214"/>
      <c r="BN1688" s="214"/>
      <c r="BO1688" s="214"/>
      <c r="BP1688" s="214"/>
      <c r="BQ1688" s="214"/>
      <c r="BR1688" s="214"/>
      <c r="BS1688" s="214"/>
      <c r="BT1688" s="215"/>
    </row>
  </sheetData>
  <autoFilter xmlns:etc="http://www.wps.cn/officeDocument/2017/etCustomData" ref="C8:AV1684" etc:filterBottomFollowUsedRange="0">
    <extLst/>
  </autoFilter>
  <mergeCells count="24">
    <mergeCell ref="C4:R4"/>
    <mergeCell ref="T4:AV4"/>
    <mergeCell ref="I6:W6"/>
    <mergeCell ref="X6:AB6"/>
    <mergeCell ref="AC6:AL6"/>
    <mergeCell ref="AM6:AV6"/>
    <mergeCell ref="I7:M7"/>
    <mergeCell ref="N7:R7"/>
    <mergeCell ref="S7:W7"/>
    <mergeCell ref="X7:AB7"/>
    <mergeCell ref="AC7:AG7"/>
    <mergeCell ref="AH7:AL7"/>
    <mergeCell ref="AM7:AQ7"/>
    <mergeCell ref="AR7:AV7"/>
    <mergeCell ref="C1684:H1684"/>
    <mergeCell ref="C6:C8"/>
    <mergeCell ref="D6:D8"/>
    <mergeCell ref="E6:E8"/>
    <mergeCell ref="F6:F8"/>
    <mergeCell ref="H6:H8"/>
    <mergeCell ref="B1:AW2"/>
    <mergeCell ref="C1687:R1688"/>
    <mergeCell ref="T1687:AW1688"/>
    <mergeCell ref="BD1687:BT1688"/>
  </mergeCells>
  <conditionalFormatting sqref="E372">
    <cfRule type="duplicateValues" dxfId="0" priority="244"/>
  </conditionalFormatting>
  <conditionalFormatting sqref="F372">
    <cfRule type="duplicateValues" dxfId="0" priority="213"/>
  </conditionalFormatting>
  <conditionalFormatting sqref="G372">
    <cfRule type="duplicateValues" dxfId="0" priority="182"/>
  </conditionalFormatting>
  <conditionalFormatting sqref="H372">
    <cfRule type="duplicateValues" dxfId="0" priority="151"/>
  </conditionalFormatting>
  <conditionalFormatting sqref="E402">
    <cfRule type="duplicateValues" dxfId="0" priority="241"/>
  </conditionalFormatting>
  <conditionalFormatting sqref="F402">
    <cfRule type="duplicateValues" dxfId="0" priority="210"/>
  </conditionalFormatting>
  <conditionalFormatting sqref="G402">
    <cfRule type="duplicateValues" dxfId="0" priority="179"/>
  </conditionalFormatting>
  <conditionalFormatting sqref="H402">
    <cfRule type="duplicateValues" dxfId="0" priority="148"/>
  </conditionalFormatting>
  <conditionalFormatting sqref="E461">
    <cfRule type="duplicateValues" dxfId="0" priority="238"/>
  </conditionalFormatting>
  <conditionalFormatting sqref="F461">
    <cfRule type="duplicateValues" dxfId="0" priority="207"/>
  </conditionalFormatting>
  <conditionalFormatting sqref="G461">
    <cfRule type="duplicateValues" dxfId="0" priority="176"/>
  </conditionalFormatting>
  <conditionalFormatting sqref="H461">
    <cfRule type="duplicateValues" dxfId="0" priority="145"/>
  </conditionalFormatting>
  <conditionalFormatting sqref="E473">
    <cfRule type="duplicateValues" dxfId="0" priority="237"/>
  </conditionalFormatting>
  <conditionalFormatting sqref="F473">
    <cfRule type="duplicateValues" dxfId="0" priority="206"/>
  </conditionalFormatting>
  <conditionalFormatting sqref="G473">
    <cfRule type="duplicateValues" dxfId="0" priority="175"/>
  </conditionalFormatting>
  <conditionalFormatting sqref="H473">
    <cfRule type="duplicateValues" dxfId="0" priority="144"/>
  </conditionalFormatting>
  <conditionalFormatting sqref="E486">
    <cfRule type="duplicateValues" dxfId="0" priority="233"/>
  </conditionalFormatting>
  <conditionalFormatting sqref="F486">
    <cfRule type="duplicateValues" dxfId="0" priority="202"/>
  </conditionalFormatting>
  <conditionalFormatting sqref="G486">
    <cfRule type="duplicateValues" dxfId="0" priority="171"/>
  </conditionalFormatting>
  <conditionalFormatting sqref="H486">
    <cfRule type="duplicateValues" dxfId="0" priority="140"/>
  </conditionalFormatting>
  <conditionalFormatting sqref="E506">
    <cfRule type="duplicateValues" dxfId="0" priority="231"/>
  </conditionalFormatting>
  <conditionalFormatting sqref="F506">
    <cfRule type="duplicateValues" dxfId="0" priority="200"/>
  </conditionalFormatting>
  <conditionalFormatting sqref="G506">
    <cfRule type="duplicateValues" dxfId="0" priority="169"/>
  </conditionalFormatting>
  <conditionalFormatting sqref="H506">
    <cfRule type="duplicateValues" dxfId="0" priority="138"/>
  </conditionalFormatting>
  <conditionalFormatting sqref="E549">
    <cfRule type="duplicateValues" dxfId="0" priority="227"/>
  </conditionalFormatting>
  <conditionalFormatting sqref="F549">
    <cfRule type="duplicateValues" dxfId="0" priority="196"/>
  </conditionalFormatting>
  <conditionalFormatting sqref="G549">
    <cfRule type="duplicateValues" dxfId="0" priority="165"/>
  </conditionalFormatting>
  <conditionalFormatting sqref="H549">
    <cfRule type="duplicateValues" dxfId="0" priority="134"/>
  </conditionalFormatting>
  <conditionalFormatting sqref="E552">
    <cfRule type="duplicateValues" dxfId="0" priority="225"/>
  </conditionalFormatting>
  <conditionalFormatting sqref="F552">
    <cfRule type="duplicateValues" dxfId="0" priority="194"/>
  </conditionalFormatting>
  <conditionalFormatting sqref="G552">
    <cfRule type="duplicateValues" dxfId="0" priority="163"/>
  </conditionalFormatting>
  <conditionalFormatting sqref="H552">
    <cfRule type="duplicateValues" dxfId="0" priority="132"/>
  </conditionalFormatting>
  <conditionalFormatting sqref="E596">
    <cfRule type="duplicateValues" dxfId="0" priority="223"/>
  </conditionalFormatting>
  <conditionalFormatting sqref="F596">
    <cfRule type="duplicateValues" dxfId="0" priority="192"/>
  </conditionalFormatting>
  <conditionalFormatting sqref="G596">
    <cfRule type="duplicateValues" dxfId="0" priority="161"/>
  </conditionalFormatting>
  <conditionalFormatting sqref="H596">
    <cfRule type="duplicateValues" dxfId="0" priority="130"/>
  </conditionalFormatting>
  <conditionalFormatting sqref="E622">
    <cfRule type="duplicateValues" dxfId="0" priority="220"/>
  </conditionalFormatting>
  <conditionalFormatting sqref="F622">
    <cfRule type="duplicateValues" dxfId="0" priority="189"/>
  </conditionalFormatting>
  <conditionalFormatting sqref="G622">
    <cfRule type="duplicateValues" dxfId="0" priority="158"/>
  </conditionalFormatting>
  <conditionalFormatting sqref="H622">
    <cfRule type="duplicateValues" dxfId="0" priority="127"/>
  </conditionalFormatting>
  <conditionalFormatting sqref="E623">
    <cfRule type="duplicateValues" dxfId="0" priority="219"/>
  </conditionalFormatting>
  <conditionalFormatting sqref="F623">
    <cfRule type="duplicateValues" dxfId="0" priority="188"/>
  </conditionalFormatting>
  <conditionalFormatting sqref="G623">
    <cfRule type="duplicateValues" dxfId="0" priority="157"/>
  </conditionalFormatting>
  <conditionalFormatting sqref="H623">
    <cfRule type="duplicateValues" dxfId="0" priority="126"/>
  </conditionalFormatting>
  <conditionalFormatting sqref="E637">
    <cfRule type="duplicateValues" dxfId="0" priority="217"/>
  </conditionalFormatting>
  <conditionalFormatting sqref="F637">
    <cfRule type="duplicateValues" dxfId="0" priority="186"/>
  </conditionalFormatting>
  <conditionalFormatting sqref="G637">
    <cfRule type="duplicateValues" dxfId="0" priority="155"/>
  </conditionalFormatting>
  <conditionalFormatting sqref="H637">
    <cfRule type="duplicateValues" dxfId="0" priority="124"/>
  </conditionalFormatting>
  <conditionalFormatting sqref="E639">
    <cfRule type="duplicateValues" dxfId="0" priority="216"/>
  </conditionalFormatting>
  <conditionalFormatting sqref="F639">
    <cfRule type="duplicateValues" dxfId="0" priority="185"/>
  </conditionalFormatting>
  <conditionalFormatting sqref="G639">
    <cfRule type="duplicateValues" dxfId="0" priority="154"/>
  </conditionalFormatting>
  <conditionalFormatting sqref="H639">
    <cfRule type="duplicateValues" dxfId="0" priority="123"/>
  </conditionalFormatting>
  <conditionalFormatting sqref="E641">
    <cfRule type="duplicateValues" dxfId="0" priority="215"/>
  </conditionalFormatting>
  <conditionalFormatting sqref="F641">
    <cfRule type="duplicateValues" dxfId="0" priority="184"/>
  </conditionalFormatting>
  <conditionalFormatting sqref="G641">
    <cfRule type="duplicateValues" dxfId="0" priority="153"/>
  </conditionalFormatting>
  <conditionalFormatting sqref="H641">
    <cfRule type="duplicateValues" dxfId="0" priority="122"/>
  </conditionalFormatting>
  <conditionalFormatting sqref="I1686:AQ1686">
    <cfRule type="cellIs" dxfId="1" priority="246" operator="greaterThan">
      <formula>0.97</formula>
    </cfRule>
  </conditionalFormatting>
  <conditionalFormatting sqref="E368:E372">
    <cfRule type="duplicateValues" dxfId="0" priority="242"/>
  </conditionalFormatting>
  <conditionalFormatting sqref="E370:E372">
    <cfRule type="duplicateValues" dxfId="0" priority="243"/>
  </conditionalFormatting>
  <conditionalFormatting sqref="E380:E384">
    <cfRule type="duplicateValues" dxfId="0" priority="245"/>
  </conditionalFormatting>
  <conditionalFormatting sqref="E470:E472">
    <cfRule type="duplicateValues" dxfId="0" priority="239"/>
  </conditionalFormatting>
  <conditionalFormatting sqref="E480:E481">
    <cfRule type="duplicateValues" dxfId="0" priority="236"/>
  </conditionalFormatting>
  <conditionalFormatting sqref="E482:E483">
    <cfRule type="duplicateValues" dxfId="0" priority="235"/>
  </conditionalFormatting>
  <conditionalFormatting sqref="E484:E485">
    <cfRule type="duplicateValues" dxfId="0" priority="234"/>
  </conditionalFormatting>
  <conditionalFormatting sqref="E515:E519">
    <cfRule type="duplicateValues" dxfId="0" priority="229"/>
  </conditionalFormatting>
  <conditionalFormatting sqref="E518:E519">
    <cfRule type="duplicateValues" dxfId="0" priority="230"/>
  </conditionalFormatting>
  <conditionalFormatting sqref="E537:E538">
    <cfRule type="duplicateValues" dxfId="0" priority="228"/>
  </conditionalFormatting>
  <conditionalFormatting sqref="E550:E551">
    <cfRule type="duplicateValues" dxfId="0" priority="226"/>
  </conditionalFormatting>
  <conditionalFormatting sqref="E585:E587">
    <cfRule type="duplicateValues" dxfId="0" priority="224"/>
  </conditionalFormatting>
  <conditionalFormatting sqref="E598:E601">
    <cfRule type="duplicateValues" dxfId="0" priority="222"/>
  </conditionalFormatting>
  <conditionalFormatting sqref="E602:E605">
    <cfRule type="duplicateValues" dxfId="0" priority="221"/>
  </conditionalFormatting>
  <conditionalFormatting sqref="E602:E609">
    <cfRule type="duplicateValues" dxfId="0" priority="232"/>
  </conditionalFormatting>
  <conditionalFormatting sqref="E624:E625">
    <cfRule type="duplicateValues" dxfId="0" priority="218"/>
  </conditionalFormatting>
  <conditionalFormatting sqref="E643:E898">
    <cfRule type="duplicateValues" dxfId="0" priority="119"/>
  </conditionalFormatting>
  <conditionalFormatting sqref="F368:F372">
    <cfRule type="duplicateValues" dxfId="0" priority="211"/>
  </conditionalFormatting>
  <conditionalFormatting sqref="F370:F372">
    <cfRule type="duplicateValues" dxfId="0" priority="212"/>
  </conditionalFormatting>
  <conditionalFormatting sqref="F380:F384">
    <cfRule type="duplicateValues" dxfId="0" priority="214"/>
  </conditionalFormatting>
  <conditionalFormatting sqref="F470:F472">
    <cfRule type="duplicateValues" dxfId="0" priority="208"/>
  </conditionalFormatting>
  <conditionalFormatting sqref="F480:F481">
    <cfRule type="duplicateValues" dxfId="0" priority="205"/>
  </conditionalFormatting>
  <conditionalFormatting sqref="F482:F483">
    <cfRule type="duplicateValues" dxfId="0" priority="204"/>
  </conditionalFormatting>
  <conditionalFormatting sqref="F484:F485">
    <cfRule type="duplicateValues" dxfId="0" priority="203"/>
  </conditionalFormatting>
  <conditionalFormatting sqref="F515:F519">
    <cfRule type="duplicateValues" dxfId="0" priority="198"/>
  </conditionalFormatting>
  <conditionalFormatting sqref="F518:F519">
    <cfRule type="duplicateValues" dxfId="0" priority="199"/>
  </conditionalFormatting>
  <conditionalFormatting sqref="F537:F538">
    <cfRule type="duplicateValues" dxfId="0" priority="197"/>
  </conditionalFormatting>
  <conditionalFormatting sqref="F550:F551">
    <cfRule type="duplicateValues" dxfId="0" priority="195"/>
  </conditionalFormatting>
  <conditionalFormatting sqref="F585:F587">
    <cfRule type="duplicateValues" dxfId="0" priority="193"/>
  </conditionalFormatting>
  <conditionalFormatting sqref="F598:F601">
    <cfRule type="duplicateValues" dxfId="0" priority="191"/>
  </conditionalFormatting>
  <conditionalFormatting sqref="F602:F605">
    <cfRule type="duplicateValues" dxfId="0" priority="190"/>
  </conditionalFormatting>
  <conditionalFormatting sqref="F602:F609">
    <cfRule type="duplicateValues" dxfId="0" priority="201"/>
  </conditionalFormatting>
  <conditionalFormatting sqref="F624:F625">
    <cfRule type="duplicateValues" dxfId="0" priority="187"/>
  </conditionalFormatting>
  <conditionalFormatting sqref="F643:F898">
    <cfRule type="duplicateValues" dxfId="0" priority="118"/>
  </conditionalFormatting>
  <conditionalFormatting sqref="G368:G372">
    <cfRule type="duplicateValues" dxfId="0" priority="180"/>
  </conditionalFormatting>
  <conditionalFormatting sqref="G370:G372">
    <cfRule type="duplicateValues" dxfId="0" priority="181"/>
  </conditionalFormatting>
  <conditionalFormatting sqref="G380:G384">
    <cfRule type="duplicateValues" dxfId="0" priority="183"/>
  </conditionalFormatting>
  <conditionalFormatting sqref="G470:G472">
    <cfRule type="duplicateValues" dxfId="0" priority="177"/>
  </conditionalFormatting>
  <conditionalFormatting sqref="G480:G481">
    <cfRule type="duplicateValues" dxfId="0" priority="174"/>
  </conditionalFormatting>
  <conditionalFormatting sqref="G482:G483">
    <cfRule type="duplicateValues" dxfId="0" priority="173"/>
  </conditionalFormatting>
  <conditionalFormatting sqref="G484:G485">
    <cfRule type="duplicateValues" dxfId="0" priority="172"/>
  </conditionalFormatting>
  <conditionalFormatting sqref="G515:G519">
    <cfRule type="duplicateValues" dxfId="0" priority="167"/>
  </conditionalFormatting>
  <conditionalFormatting sqref="G518:G519">
    <cfRule type="duplicateValues" dxfId="0" priority="168"/>
  </conditionalFormatting>
  <conditionalFormatting sqref="G537:G538">
    <cfRule type="duplicateValues" dxfId="0" priority="166"/>
  </conditionalFormatting>
  <conditionalFormatting sqref="G550:G551">
    <cfRule type="duplicateValues" dxfId="0" priority="164"/>
  </conditionalFormatting>
  <conditionalFormatting sqref="G585:G587">
    <cfRule type="duplicateValues" dxfId="0" priority="162"/>
  </conditionalFormatting>
  <conditionalFormatting sqref="G598:G601">
    <cfRule type="duplicateValues" dxfId="0" priority="160"/>
  </conditionalFormatting>
  <conditionalFormatting sqref="G602:G605">
    <cfRule type="duplicateValues" dxfId="0" priority="159"/>
  </conditionalFormatting>
  <conditionalFormatting sqref="G602:G609">
    <cfRule type="duplicateValues" dxfId="0" priority="170"/>
  </conditionalFormatting>
  <conditionalFormatting sqref="G624:G625">
    <cfRule type="duplicateValues" dxfId="0" priority="156"/>
  </conditionalFormatting>
  <conditionalFormatting sqref="G643:G898">
    <cfRule type="duplicateValues" dxfId="0" priority="117"/>
  </conditionalFormatting>
  <conditionalFormatting sqref="H368:H372">
    <cfRule type="duplicateValues" dxfId="0" priority="149"/>
  </conditionalFormatting>
  <conditionalFormatting sqref="H370:H372">
    <cfRule type="duplicateValues" dxfId="0" priority="150"/>
  </conditionalFormatting>
  <conditionalFormatting sqref="H380:H384">
    <cfRule type="duplicateValues" dxfId="0" priority="152"/>
  </conditionalFormatting>
  <conditionalFormatting sqref="H470:H472">
    <cfRule type="duplicateValues" dxfId="0" priority="146"/>
  </conditionalFormatting>
  <conditionalFormatting sqref="H480:H481">
    <cfRule type="duplicateValues" dxfId="0" priority="143"/>
  </conditionalFormatting>
  <conditionalFormatting sqref="H482:H483">
    <cfRule type="duplicateValues" dxfId="0" priority="142"/>
  </conditionalFormatting>
  <conditionalFormatting sqref="H484:H485">
    <cfRule type="duplicateValues" dxfId="0" priority="141"/>
  </conditionalFormatting>
  <conditionalFormatting sqref="H515:H519">
    <cfRule type="duplicateValues" dxfId="0" priority="136"/>
  </conditionalFormatting>
  <conditionalFormatting sqref="H518:H519">
    <cfRule type="duplicateValues" dxfId="0" priority="137"/>
  </conditionalFormatting>
  <conditionalFormatting sqref="H537:H538">
    <cfRule type="duplicateValues" dxfId="0" priority="135"/>
  </conditionalFormatting>
  <conditionalFormatting sqref="H550:H551">
    <cfRule type="duplicateValues" dxfId="0" priority="133"/>
  </conditionalFormatting>
  <conditionalFormatting sqref="H585:H587">
    <cfRule type="duplicateValues" dxfId="0" priority="131"/>
  </conditionalFormatting>
  <conditionalFormatting sqref="H598:H601">
    <cfRule type="duplicateValues" dxfId="0" priority="129"/>
  </conditionalFormatting>
  <conditionalFormatting sqref="H602:H605">
    <cfRule type="duplicateValues" dxfId="0" priority="128"/>
  </conditionalFormatting>
  <conditionalFormatting sqref="H602:H609">
    <cfRule type="duplicateValues" dxfId="0" priority="139"/>
  </conditionalFormatting>
  <conditionalFormatting sqref="H624:H625">
    <cfRule type="duplicateValues" dxfId="0" priority="125"/>
  </conditionalFormatting>
  <conditionalFormatting sqref="H643:H898">
    <cfRule type="duplicateValues" dxfId="0" priority="116"/>
  </conditionalFormatting>
  <conditionalFormatting sqref="I80:I187">
    <cfRule type="cellIs" dxfId="1" priority="113" operator="greaterThan">
      <formula>0.97</formula>
    </cfRule>
  </conditionalFormatting>
  <conditionalFormatting sqref="I189:I236">
    <cfRule type="cellIs" dxfId="1" priority="112" operator="greaterThan">
      <formula>0.97</formula>
    </cfRule>
  </conditionalFormatting>
  <conditionalFormatting sqref="I238:I325">
    <cfRule type="cellIs" dxfId="1" priority="111" operator="greaterThan">
      <formula>0.97</formula>
    </cfRule>
  </conditionalFormatting>
  <conditionalFormatting sqref="I327:I349">
    <cfRule type="cellIs" dxfId="1" priority="107" operator="greaterThan">
      <formula>0.96</formula>
    </cfRule>
    <cfRule type="cellIs" dxfId="1" priority="108" operator="greaterThan">
      <formula>0.97</formula>
    </cfRule>
  </conditionalFormatting>
  <conditionalFormatting sqref="I351:I641">
    <cfRule type="cellIs" dxfId="1" priority="121" operator="greaterThan">
      <formula>0.97</formula>
    </cfRule>
  </conditionalFormatting>
  <conditionalFormatting sqref="I643:I898">
    <cfRule type="cellIs" dxfId="1" priority="115" operator="greaterThan">
      <formula>0.97</formula>
    </cfRule>
  </conditionalFormatting>
  <conditionalFormatting sqref="I900:I1055">
    <cfRule type="cellIs" dxfId="1" priority="120" operator="greaterThan">
      <formula>0.97</formula>
    </cfRule>
  </conditionalFormatting>
  <conditionalFormatting sqref="I1057:I1423">
    <cfRule type="cellIs" dxfId="1" priority="110" operator="greaterThan">
      <formula>0.97</formula>
    </cfRule>
  </conditionalFormatting>
  <conditionalFormatting sqref="I1425:I1683">
    <cfRule type="cellIs" dxfId="1" priority="109" operator="greaterThan">
      <formula>0.97</formula>
    </cfRule>
  </conditionalFormatting>
  <conditionalFormatting sqref="N80:N1683">
    <cfRule type="cellIs" dxfId="1" priority="106" operator="greaterThan">
      <formula>0.97</formula>
    </cfRule>
    <cfRule type="cellIs" dxfId="1" priority="105" operator="greaterThan">
      <formula>0.96</formula>
    </cfRule>
  </conditionalFormatting>
  <conditionalFormatting sqref="X9:X1683">
    <cfRule type="cellIs" dxfId="1" priority="28" operator="greaterThan">
      <formula>0.97</formula>
    </cfRule>
    <cfRule type="cellIs" dxfId="1" priority="27" operator="greaterThan">
      <formula>0.96</formula>
    </cfRule>
  </conditionalFormatting>
  <conditionalFormatting sqref="AC9:AC78">
    <cfRule type="cellIs" dxfId="1" priority="104" operator="greaterThan">
      <formula>0.97</formula>
    </cfRule>
    <cfRule type="cellIs" dxfId="1" priority="103" operator="greaterThan">
      <formula>0.96</formula>
    </cfRule>
  </conditionalFormatting>
  <conditionalFormatting sqref="AC80:AC325">
    <cfRule type="cellIs" dxfId="1" priority="102" operator="greaterThan">
      <formula>0.97</formula>
    </cfRule>
    <cfRule type="cellIs" dxfId="1" priority="101" operator="greaterThan">
      <formula>0.96</formula>
    </cfRule>
  </conditionalFormatting>
  <conditionalFormatting sqref="AC327:AC349">
    <cfRule type="cellIs" dxfId="1" priority="62" operator="greaterThan">
      <formula>0.97</formula>
    </cfRule>
    <cfRule type="cellIs" dxfId="1" priority="61" operator="greaterThan">
      <formula>0.96</formula>
    </cfRule>
  </conditionalFormatting>
  <conditionalFormatting sqref="AC351:AC641">
    <cfRule type="cellIs" dxfId="1" priority="100" operator="greaterThan">
      <formula>0.97</formula>
    </cfRule>
    <cfRule type="cellIs" dxfId="1" priority="99" operator="greaterThan">
      <formula>0.96</formula>
    </cfRule>
  </conditionalFormatting>
  <conditionalFormatting sqref="AC643:AC898">
    <cfRule type="cellIs" dxfId="1" priority="98" operator="greaterThan">
      <formula>0.97</formula>
    </cfRule>
    <cfRule type="cellIs" dxfId="1" priority="97" operator="greaterThan">
      <formula>0.96</formula>
    </cfRule>
  </conditionalFormatting>
  <conditionalFormatting sqref="AC900:AC1055">
    <cfRule type="cellIs" dxfId="1" priority="96" operator="greaterThan">
      <formula>0.97</formula>
    </cfRule>
    <cfRule type="cellIs" dxfId="1" priority="95" operator="greaterThan">
      <formula>0.96</formula>
    </cfRule>
  </conditionalFormatting>
  <conditionalFormatting sqref="AC1057:AC1423">
    <cfRule type="cellIs" dxfId="1" priority="94" operator="greaterThan">
      <formula>0.97</formula>
    </cfRule>
    <cfRule type="cellIs" dxfId="1" priority="93" operator="greaterThan">
      <formula>0.96</formula>
    </cfRule>
  </conditionalFormatting>
  <conditionalFormatting sqref="AC1425:AC1683">
    <cfRule type="cellIs" dxfId="1" priority="92" operator="greaterThan">
      <formula>0.97</formula>
    </cfRule>
    <cfRule type="cellIs" dxfId="1" priority="91" operator="greaterThan">
      <formula>0.96</formula>
    </cfRule>
  </conditionalFormatting>
  <conditionalFormatting sqref="AH9:AH325">
    <cfRule type="cellIs" dxfId="1" priority="90" operator="greaterThan">
      <formula>0.97</formula>
    </cfRule>
    <cfRule type="cellIs" dxfId="1" priority="89" operator="greaterThan">
      <formula>0.96</formula>
    </cfRule>
  </conditionalFormatting>
  <conditionalFormatting sqref="AH327:AH349">
    <cfRule type="cellIs" dxfId="1" priority="84" operator="greaterThan">
      <formula>0.97</formula>
    </cfRule>
    <cfRule type="cellIs" dxfId="1" priority="83" operator="greaterThan">
      <formula>0.96</formula>
    </cfRule>
  </conditionalFormatting>
  <conditionalFormatting sqref="J9:M1683">
    <cfRule type="cellIs" dxfId="2" priority="59" operator="lessThan">
      <formula>0.9</formula>
    </cfRule>
    <cfRule type="cellIs" dxfId="1" priority="60" operator="greaterThan">
      <formula>0.9</formula>
    </cfRule>
  </conditionalFormatting>
  <conditionalFormatting sqref="O9:R1683">
    <cfRule type="cellIs" dxfId="1" priority="58" operator="greaterThan">
      <formula>0.9</formula>
    </cfRule>
    <cfRule type="cellIs" dxfId="2" priority="57" operator="lessThan">
      <formula>0.9</formula>
    </cfRule>
  </conditionalFormatting>
  <conditionalFormatting sqref="T9:W1683">
    <cfRule type="cellIs" dxfId="1" priority="24" operator="greaterThan">
      <formula>0.9</formula>
    </cfRule>
    <cfRule type="cellIs" dxfId="2" priority="23" operator="lessThan">
      <formula>0.9</formula>
    </cfRule>
  </conditionalFormatting>
  <conditionalFormatting sqref="Y9:AB1683">
    <cfRule type="cellIs" dxfId="2" priority="21" operator="lessThan">
      <formula>0.9</formula>
    </cfRule>
    <cfRule type="cellIs" dxfId="1" priority="22" operator="greaterThan">
      <formula>0.9</formula>
    </cfRule>
  </conditionalFormatting>
  <conditionalFormatting sqref="AD9:AG1683">
    <cfRule type="cellIs" dxfId="1" priority="54" operator="greaterThan">
      <formula>0.92</formula>
    </cfRule>
    <cfRule type="cellIs" dxfId="2" priority="53" operator="lessThan">
      <formula>0.92</formula>
    </cfRule>
  </conditionalFormatting>
  <conditionalFormatting sqref="AI9:AL1683">
    <cfRule type="cellIs" dxfId="1" priority="52" operator="greaterThan">
      <formula>0.92</formula>
    </cfRule>
    <cfRule type="cellIs" dxfId="2" priority="51" operator="lessThan">
      <formula>0.92</formula>
    </cfRule>
  </conditionalFormatting>
  <conditionalFormatting sqref="AN9:AQ1683">
    <cfRule type="cellIs" dxfId="1" priority="50" operator="greaterThan">
      <formula>0.99</formula>
    </cfRule>
    <cfRule type="cellIs" dxfId="2" priority="49" operator="lessThan">
      <formula>0.99</formula>
    </cfRule>
  </conditionalFormatting>
  <conditionalFormatting sqref="AS9:AV78">
    <cfRule type="cellIs" dxfId="1" priority="20" operator="greaterThan">
      <formula>$AR$9</formula>
    </cfRule>
    <cfRule type="cellIs" dxfId="2" priority="19" operator="lessThan">
      <formula>$AR$9</formula>
    </cfRule>
  </conditionalFormatting>
  <conditionalFormatting sqref="AS80:AV187">
    <cfRule type="cellIs" dxfId="1" priority="18" operator="greaterThan">
      <formula>$AR$80</formula>
    </cfRule>
    <cfRule type="cellIs" dxfId="2" priority="17" operator="lessThan">
      <formula>$AR$80</formula>
    </cfRule>
  </conditionalFormatting>
  <conditionalFormatting sqref="AS189:AV236">
    <cfRule type="cellIs" dxfId="1" priority="16" operator="greaterThan">
      <formula>$AR$189</formula>
    </cfRule>
    <cfRule type="cellIs" dxfId="2" priority="15" operator="lessThan">
      <formula>$AR$189</formula>
    </cfRule>
  </conditionalFormatting>
  <conditionalFormatting sqref="AS238:AV325">
    <cfRule type="cellIs" dxfId="1" priority="14" operator="greaterThan">
      <formula>$AR$238</formula>
    </cfRule>
    <cfRule type="cellIs" dxfId="2" priority="13" operator="lessThan">
      <formula>$AR$238</formula>
    </cfRule>
  </conditionalFormatting>
  <conditionalFormatting sqref="AS327:AV349">
    <cfRule type="cellIs" dxfId="1" priority="12" operator="greaterThan">
      <formula>$AR$327</formula>
    </cfRule>
    <cfRule type="cellIs" dxfId="2" priority="11" operator="lessThan">
      <formula>$AR$327</formula>
    </cfRule>
  </conditionalFormatting>
  <conditionalFormatting sqref="AS351:AV641">
    <cfRule type="cellIs" dxfId="1" priority="10" operator="greaterThan">
      <formula>$AR$351</formula>
    </cfRule>
    <cfRule type="cellIs" dxfId="2" priority="9" operator="lessThan">
      <formula>$AR$351</formula>
    </cfRule>
  </conditionalFormatting>
  <conditionalFormatting sqref="AS643:AV898">
    <cfRule type="cellIs" dxfId="2" priority="7" operator="lessThan">
      <formula>$AR$643</formula>
    </cfRule>
    <cfRule type="cellIs" dxfId="1" priority="8" operator="greaterThan">
      <formula>$AR$643</formula>
    </cfRule>
  </conditionalFormatting>
  <conditionalFormatting sqref="AS900:AV1055">
    <cfRule type="cellIs" dxfId="1" priority="6" operator="greaterThan">
      <formula>$AR$900</formula>
    </cfRule>
    <cfRule type="cellIs" dxfId="2" priority="5" operator="lessThan">
      <formula>$AR$900</formula>
    </cfRule>
  </conditionalFormatting>
  <conditionalFormatting sqref="AS1057:AV1423">
    <cfRule type="cellIs" dxfId="1" priority="4" operator="greaterThan">
      <formula>$AR$1057</formula>
    </cfRule>
    <cfRule type="cellIs" dxfId="2" priority="3" operator="lessThan">
      <formula>$AR$1057</formula>
    </cfRule>
  </conditionalFormatting>
  <conditionalFormatting sqref="AS1425:AV1683">
    <cfRule type="cellIs" dxfId="2" priority="1" operator="lessThan">
      <formula>$AR$1425</formula>
    </cfRule>
    <cfRule type="cellIs" dxfId="1" priority="2" operator="greaterThan">
      <formula>$AR$1425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15"/>
  <sheetViews>
    <sheetView topLeftCell="G4" workbookViewId="0">
      <selection activeCell="E5" sqref="E5:S15"/>
    </sheetView>
  </sheetViews>
  <sheetFormatPr defaultColWidth="8.78181818181818" defaultRowHeight="14.5"/>
  <cols>
    <col min="2" max="2" width="12.2181818181818" customWidth="1"/>
    <col min="3" max="3" width="21" customWidth="1"/>
    <col min="4" max="4" width="14.6636363636364" customWidth="1"/>
    <col min="5" max="5" width="10.8909090909091" customWidth="1"/>
    <col min="6" max="8" width="11.3363636363636" customWidth="1"/>
    <col min="9" max="9" width="12.6636363636364" customWidth="1"/>
    <col min="10" max="10" width="8.78181818181818" customWidth="1"/>
    <col min="11" max="13" width="11.3363636363636" customWidth="1"/>
    <col min="14" max="14" width="12.5545454545455" customWidth="1"/>
    <col min="15" max="15" width="8.78181818181818" customWidth="1"/>
    <col min="16" max="17" width="11.3363636363636"/>
    <col min="18" max="18" width="11.4454545454545" customWidth="1"/>
    <col min="19" max="19" width="12.5545454545455" customWidth="1"/>
  </cols>
  <sheetData>
    <row r="1" ht="15.25"/>
    <row r="2" ht="40.95" customHeight="1" spans="2:19">
      <c r="B2" s="28" t="s">
        <v>1715</v>
      </c>
      <c r="C2" s="29" t="s">
        <v>1716</v>
      </c>
      <c r="D2" s="29" t="s">
        <v>1717</v>
      </c>
      <c r="E2" s="29" t="s">
        <v>1718</v>
      </c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71"/>
      <c r="S2" s="72"/>
    </row>
    <row r="3" ht="36" customHeight="1" spans="2:19">
      <c r="B3" s="30"/>
      <c r="C3" s="7"/>
      <c r="D3" s="7"/>
      <c r="E3" s="7" t="s">
        <v>1719</v>
      </c>
      <c r="F3" s="7"/>
      <c r="G3" s="7"/>
      <c r="H3" s="7"/>
      <c r="I3" s="7"/>
      <c r="J3" s="7" t="s">
        <v>1720</v>
      </c>
      <c r="K3" s="7"/>
      <c r="L3" s="7"/>
      <c r="M3" s="7"/>
      <c r="N3" s="7"/>
      <c r="O3" s="7" t="s">
        <v>1721</v>
      </c>
      <c r="P3" s="7"/>
      <c r="Q3" s="7"/>
      <c r="R3" s="31"/>
      <c r="S3" s="73"/>
    </row>
    <row r="4" ht="29.75" spans="2:19">
      <c r="B4" s="74"/>
      <c r="C4" s="75"/>
      <c r="D4" s="75"/>
      <c r="E4" s="75" t="s">
        <v>20</v>
      </c>
      <c r="F4" s="76">
        <v>46246</v>
      </c>
      <c r="G4" s="76">
        <f>F4-1</f>
        <v>46245</v>
      </c>
      <c r="H4" s="76">
        <f>G4-1</f>
        <v>46244</v>
      </c>
      <c r="I4" s="75" t="s">
        <v>1722</v>
      </c>
      <c r="J4" s="75" t="s">
        <v>20</v>
      </c>
      <c r="K4" s="77">
        <f>F4</f>
        <v>46246</v>
      </c>
      <c r="L4" s="76">
        <f>F4-1</f>
        <v>46245</v>
      </c>
      <c r="M4" s="76">
        <f>G4-1</f>
        <v>46244</v>
      </c>
      <c r="N4" s="75" t="s">
        <v>1722</v>
      </c>
      <c r="O4" s="75" t="s">
        <v>20</v>
      </c>
      <c r="P4" s="77">
        <f>F4</f>
        <v>46246</v>
      </c>
      <c r="Q4" s="76">
        <f>F4-1</f>
        <v>46245</v>
      </c>
      <c r="R4" s="76">
        <f>G4-1</f>
        <v>46244</v>
      </c>
      <c r="S4" s="78" t="s">
        <v>1722</v>
      </c>
    </row>
    <row r="5" ht="15.25" spans="2:19">
      <c r="B5" s="37" t="s">
        <v>1723</v>
      </c>
      <c r="C5" s="38" t="s">
        <v>1724</v>
      </c>
      <c r="D5" s="38" t="s">
        <v>97</v>
      </c>
      <c r="E5" s="79">
        <v>0.9</v>
      </c>
      <c r="F5" s="64">
        <v>0.945738451528953</v>
      </c>
      <c r="G5" s="64">
        <v>0.945058097833883</v>
      </c>
      <c r="H5" s="64">
        <v>0.940922190201729</v>
      </c>
      <c r="I5" s="64">
        <v>0.943466086594312</v>
      </c>
      <c r="J5" s="79">
        <v>0.9</v>
      </c>
      <c r="K5" s="64">
        <v>0.90034487391947</v>
      </c>
      <c r="L5" s="64">
        <v>0.934831251400051</v>
      </c>
      <c r="M5" s="64">
        <v>0.929275548805881</v>
      </c>
      <c r="N5" s="80">
        <v>0.918161802053647</v>
      </c>
      <c r="O5" s="79">
        <v>0.9</v>
      </c>
      <c r="P5" s="64">
        <v>0.88790791418462</v>
      </c>
      <c r="Q5" s="64">
        <v>0.918888919651554</v>
      </c>
      <c r="R5" s="64">
        <v>0.906684920712107</v>
      </c>
      <c r="S5" s="64">
        <v>0.898556540171562</v>
      </c>
    </row>
    <row r="6" ht="15.25" spans="2:19">
      <c r="B6" s="43"/>
      <c r="C6" s="38" t="s">
        <v>208</v>
      </c>
      <c r="D6" s="38" t="s">
        <v>207</v>
      </c>
      <c r="E6" s="79">
        <v>0.9</v>
      </c>
      <c r="F6" s="64">
        <v>0.947815230961298</v>
      </c>
      <c r="G6" s="64">
        <v>0.94572192513369</v>
      </c>
      <c r="H6" s="64">
        <v>0.951212028229518</v>
      </c>
      <c r="I6" s="64">
        <v>0.947632286586755</v>
      </c>
      <c r="J6" s="79">
        <v>0.9</v>
      </c>
      <c r="K6" s="64">
        <v>0.921716529649405</v>
      </c>
      <c r="L6" s="64">
        <v>0.957970975712005</v>
      </c>
      <c r="M6" s="64">
        <v>0.944358859045632</v>
      </c>
      <c r="N6" s="80">
        <v>0.939136522009096</v>
      </c>
      <c r="O6" s="79">
        <v>0.9</v>
      </c>
      <c r="P6" s="64">
        <v>0.893132814143069</v>
      </c>
      <c r="Q6" s="64">
        <v>0.918987985336223</v>
      </c>
      <c r="R6" s="64">
        <v>0.898367604703901</v>
      </c>
      <c r="S6" s="64">
        <v>0.904768853471469</v>
      </c>
    </row>
    <row r="7" ht="15.25" spans="2:19">
      <c r="B7" s="43"/>
      <c r="C7" s="38" t="s">
        <v>275</v>
      </c>
      <c r="D7" s="38" t="s">
        <v>257</v>
      </c>
      <c r="E7" s="79">
        <v>0.9</v>
      </c>
      <c r="F7" s="64">
        <v>0.950293624161074</v>
      </c>
      <c r="G7" s="64">
        <v>0.942479856759176</v>
      </c>
      <c r="H7" s="64">
        <v>0.935238594651285</v>
      </c>
      <c r="I7" s="64">
        <v>0.943286970239126</v>
      </c>
      <c r="J7" s="79">
        <v>0.9</v>
      </c>
      <c r="K7" s="64">
        <v>0.923775361851104</v>
      </c>
      <c r="L7" s="64">
        <v>0.970459540067499</v>
      </c>
      <c r="M7" s="64">
        <v>0.958914481359613</v>
      </c>
      <c r="N7" s="80">
        <v>0.939776821238911</v>
      </c>
      <c r="O7" s="79">
        <v>0.9</v>
      </c>
      <c r="P7" s="64">
        <v>0.924977177791917</v>
      </c>
      <c r="Q7" s="64">
        <v>0.943911388431049</v>
      </c>
      <c r="R7" s="64">
        <v>0.933824124647025</v>
      </c>
      <c r="S7" s="64">
        <v>0.932822152587227</v>
      </c>
    </row>
    <row r="8" ht="15.25" spans="2:19">
      <c r="B8" s="44"/>
      <c r="C8" s="38" t="s">
        <v>1725</v>
      </c>
      <c r="D8" s="38" t="s">
        <v>347</v>
      </c>
      <c r="E8" s="79">
        <v>0.9</v>
      </c>
      <c r="F8" s="64">
        <v>0.932338308457711</v>
      </c>
      <c r="G8" s="64">
        <v>0.927947598253275</v>
      </c>
      <c r="H8" s="64">
        <v>0.902676399026764</v>
      </c>
      <c r="I8" s="64">
        <v>0.925902121017354</v>
      </c>
      <c r="J8" s="79">
        <v>0.9</v>
      </c>
      <c r="K8" s="64">
        <v>0.948188400947626</v>
      </c>
      <c r="L8" s="64">
        <v>0.949872179615427</v>
      </c>
      <c r="M8" s="64">
        <v>0.947727474085231</v>
      </c>
      <c r="N8" s="80">
        <v>0.947586176987185</v>
      </c>
      <c r="O8" s="79">
        <v>0.9</v>
      </c>
      <c r="P8" s="64">
        <v>0.909747968894302</v>
      </c>
      <c r="Q8" s="64">
        <v>0.906691119261976</v>
      </c>
      <c r="R8" s="64">
        <v>0.907526357756711</v>
      </c>
      <c r="S8" s="64">
        <v>0.911528091999219</v>
      </c>
    </row>
    <row r="9" ht="15.25" spans="2:19">
      <c r="B9" s="43"/>
      <c r="C9" s="38" t="s">
        <v>1726</v>
      </c>
      <c r="D9" s="38" t="s">
        <v>372</v>
      </c>
      <c r="E9" s="79">
        <v>0.9</v>
      </c>
      <c r="F9" s="64">
        <v>0.929776532756096</v>
      </c>
      <c r="G9" s="64">
        <v>0.906012541497602</v>
      </c>
      <c r="H9" s="64">
        <v>0.908147493928019</v>
      </c>
      <c r="I9" s="64">
        <v>0.912672481780824</v>
      </c>
      <c r="J9" s="79">
        <v>0.9</v>
      </c>
      <c r="K9" s="64">
        <v>0.942705709497421</v>
      </c>
      <c r="L9" s="64">
        <v>0.948034558172464</v>
      </c>
      <c r="M9" s="64">
        <v>0.928961550105964</v>
      </c>
      <c r="N9" s="80">
        <v>0.942604572984113</v>
      </c>
      <c r="O9" s="79">
        <v>0.9</v>
      </c>
      <c r="P9" s="64">
        <v>0.848931052106581</v>
      </c>
      <c r="Q9" s="64">
        <v>0.885546267208586</v>
      </c>
      <c r="R9" s="64">
        <v>0.843699666969422</v>
      </c>
      <c r="S9" s="64">
        <v>0.866394843687901</v>
      </c>
    </row>
    <row r="10" ht="15.25" spans="2:19">
      <c r="B10" s="43"/>
      <c r="C10" s="38" t="s">
        <v>832</v>
      </c>
      <c r="D10" s="38" t="s">
        <v>665</v>
      </c>
      <c r="E10" s="79">
        <v>0.9</v>
      </c>
      <c r="F10" s="64">
        <v>0.920184544405998</v>
      </c>
      <c r="G10" s="64">
        <v>0.911187019641332</v>
      </c>
      <c r="H10" s="64">
        <v>0.922829979009754</v>
      </c>
      <c r="I10" s="64">
        <v>0.914688014773002</v>
      </c>
      <c r="J10" s="79">
        <v>0.9</v>
      </c>
      <c r="K10" s="64">
        <v>0.922544284477803</v>
      </c>
      <c r="L10" s="64">
        <v>0.954718749503582</v>
      </c>
      <c r="M10" s="64">
        <v>0.940813936766851</v>
      </c>
      <c r="N10" s="80">
        <v>0.941487839207676</v>
      </c>
      <c r="O10" s="79">
        <v>0.9</v>
      </c>
      <c r="P10" s="64">
        <v>0.904076176129218</v>
      </c>
      <c r="Q10" s="64">
        <v>0.920318978252927</v>
      </c>
      <c r="R10" s="64">
        <v>0.917360012600064</v>
      </c>
      <c r="S10" s="64">
        <v>0.918297576734579</v>
      </c>
    </row>
    <row r="11" ht="15.25" spans="2:19">
      <c r="B11" s="43"/>
      <c r="C11" s="38" t="s">
        <v>958</v>
      </c>
      <c r="D11" s="38" t="s">
        <v>923</v>
      </c>
      <c r="E11" s="79">
        <v>0.9</v>
      </c>
      <c r="F11" s="64">
        <v>0.937664828578279</v>
      </c>
      <c r="G11" s="64">
        <v>0.917299349240781</v>
      </c>
      <c r="H11" s="64">
        <v>0.934364861492388</v>
      </c>
      <c r="I11" s="64">
        <v>0.920776962551423</v>
      </c>
      <c r="J11" s="79">
        <v>0.9</v>
      </c>
      <c r="K11" s="64">
        <v>0.928623117050852</v>
      </c>
      <c r="L11" s="64">
        <v>0.934746736372959</v>
      </c>
      <c r="M11" s="64">
        <v>0.921038345152628</v>
      </c>
      <c r="N11" s="80">
        <v>0.925188061851453</v>
      </c>
      <c r="O11" s="79">
        <v>0.9</v>
      </c>
      <c r="P11" s="64">
        <v>0.893061770350049</v>
      </c>
      <c r="Q11" s="64">
        <v>0.907261329200305</v>
      </c>
      <c r="R11" s="64">
        <v>0.886130647638941</v>
      </c>
      <c r="S11" s="64">
        <v>0.891761734970613</v>
      </c>
    </row>
    <row r="12" ht="15.25" spans="2:19">
      <c r="B12" s="43"/>
      <c r="C12" s="38" t="s">
        <v>1727</v>
      </c>
      <c r="D12" s="38" t="s">
        <v>1081</v>
      </c>
      <c r="E12" s="79">
        <v>0.9</v>
      </c>
      <c r="F12" s="64">
        <v>0.943814297019256</v>
      </c>
      <c r="G12" s="64">
        <v>0.930895568639603</v>
      </c>
      <c r="H12" s="64">
        <v>0.933549783549784</v>
      </c>
      <c r="I12" s="64">
        <v>0.934343914526461</v>
      </c>
      <c r="J12" s="79">
        <v>0.9</v>
      </c>
      <c r="K12" s="64">
        <v>0.949044388736738</v>
      </c>
      <c r="L12" s="64">
        <v>0.964492007619423</v>
      </c>
      <c r="M12" s="64">
        <v>0.949100286617945</v>
      </c>
      <c r="N12" s="80">
        <v>0.952648041105689</v>
      </c>
      <c r="O12" s="79">
        <v>0.9</v>
      </c>
      <c r="P12" s="64">
        <v>0.891326564238247</v>
      </c>
      <c r="Q12" s="64">
        <v>0.906924674972413</v>
      </c>
      <c r="R12" s="64">
        <v>0.89615290492664</v>
      </c>
      <c r="S12" s="64">
        <v>0.89803269005693</v>
      </c>
    </row>
    <row r="13" ht="15.25" spans="2:19">
      <c r="B13" s="43"/>
      <c r="C13" s="38" t="s">
        <v>1728</v>
      </c>
      <c r="D13" s="38" t="s">
        <v>1450</v>
      </c>
      <c r="E13" s="79">
        <v>0.9</v>
      </c>
      <c r="F13" s="64">
        <v>0.90516206482593</v>
      </c>
      <c r="G13" s="64">
        <v>0.901751893939394</v>
      </c>
      <c r="H13" s="64">
        <v>0.907925407925408</v>
      </c>
      <c r="I13" s="64">
        <v>0.903463771574008</v>
      </c>
      <c r="J13" s="79">
        <v>0.9</v>
      </c>
      <c r="K13" s="64">
        <v>0.916652007394446</v>
      </c>
      <c r="L13" s="64">
        <v>0.917337382631084</v>
      </c>
      <c r="M13" s="64">
        <v>0.885545395671374</v>
      </c>
      <c r="N13" s="80">
        <v>0.901529620954169</v>
      </c>
      <c r="O13" s="79">
        <v>0.9</v>
      </c>
      <c r="P13" s="64">
        <v>0.798748252460443</v>
      </c>
      <c r="Q13" s="64">
        <v>0.788761974155112</v>
      </c>
      <c r="R13" s="64">
        <v>0.737705311241582</v>
      </c>
      <c r="S13" s="64">
        <v>0.768661433812408</v>
      </c>
    </row>
    <row r="14" ht="15.25" spans="2:19">
      <c r="B14" s="43"/>
      <c r="C14" s="38" t="s">
        <v>1729</v>
      </c>
      <c r="D14" s="38" t="s">
        <v>24</v>
      </c>
      <c r="E14" s="79">
        <v>0.9</v>
      </c>
      <c r="F14" s="64">
        <v>0.937509837871872</v>
      </c>
      <c r="G14" s="64">
        <v>0.931665062560154</v>
      </c>
      <c r="H14" s="64">
        <v>0.910038398244652</v>
      </c>
      <c r="I14" s="64">
        <v>0.914252392939938</v>
      </c>
      <c r="J14" s="79">
        <v>0.9</v>
      </c>
      <c r="K14" s="64">
        <v>0.939392816233456</v>
      </c>
      <c r="L14" s="64">
        <v>0.921490507514838</v>
      </c>
      <c r="M14" s="64">
        <v>0.926965695847839</v>
      </c>
      <c r="N14" s="80">
        <v>0.936518290575424</v>
      </c>
      <c r="O14" s="79">
        <v>0.9</v>
      </c>
      <c r="P14" s="64">
        <v>0.78038698654919</v>
      </c>
      <c r="Q14" s="64">
        <v>0.821807773572691</v>
      </c>
      <c r="R14" s="64">
        <v>0.800256856584869</v>
      </c>
      <c r="S14" s="64">
        <v>0.787014291386856</v>
      </c>
    </row>
    <row r="15" ht="15.25" spans="2:19">
      <c r="B15" s="45" t="s">
        <v>1710</v>
      </c>
      <c r="C15" s="46"/>
      <c r="D15" s="46"/>
      <c r="E15" s="81" t="s">
        <v>33</v>
      </c>
      <c r="F15" s="81">
        <v>0.93541907857113</v>
      </c>
      <c r="G15" s="81">
        <v>0.923976149380198</v>
      </c>
      <c r="H15" s="81">
        <v>0.92454830311628</v>
      </c>
      <c r="I15" s="81">
        <v>0.925028083265148</v>
      </c>
      <c r="J15" s="81" t="s">
        <v>33</v>
      </c>
      <c r="K15" s="81">
        <v>0.93198580121358</v>
      </c>
      <c r="L15" s="81">
        <v>0.94584205929455</v>
      </c>
      <c r="M15" s="81">
        <v>0.933371765811523</v>
      </c>
      <c r="N15" s="81">
        <v>0.937127378944806</v>
      </c>
      <c r="O15" s="81" t="s">
        <v>33</v>
      </c>
      <c r="P15" s="81">
        <v>0.871566793798772</v>
      </c>
      <c r="Q15" s="81">
        <v>0.88818413727523</v>
      </c>
      <c r="R15" s="81">
        <v>0.871611931482955</v>
      </c>
      <c r="S15" s="82">
        <v>0.877400446047283</v>
      </c>
    </row>
  </sheetData>
  <mergeCells count="9">
    <mergeCell ref="E2:S2"/>
    <mergeCell ref="E3:I3"/>
    <mergeCell ref="J3:N3"/>
    <mergeCell ref="O3:S3"/>
    <mergeCell ref="B15:D15"/>
    <mergeCell ref="B2:B4"/>
    <mergeCell ref="B5:B14"/>
    <mergeCell ref="C2:C4"/>
    <mergeCell ref="D2:D4"/>
  </mergeCells>
  <conditionalFormatting sqref="F5:I14">
    <cfRule type="cellIs" dxfId="2" priority="1" operator="lessThan">
      <formula>$E$5</formula>
    </cfRule>
    <cfRule type="cellIs" dxfId="1" priority="2" operator="greaterThan">
      <formula>$E$5</formula>
    </cfRule>
  </conditionalFormatting>
  <conditionalFormatting sqref="K5:N14">
    <cfRule type="cellIs" dxfId="1" priority="5" operator="greaterThan">
      <formula>$J$5</formula>
    </cfRule>
    <cfRule type="cellIs" dxfId="2" priority="6" operator="lessThan">
      <formula>$J$5</formula>
    </cfRule>
  </conditionalFormatting>
  <conditionalFormatting sqref="P5:S14">
    <cfRule type="cellIs" dxfId="2" priority="3" operator="lessThan">
      <formula>$O$5</formula>
    </cfRule>
    <cfRule type="cellIs" dxfId="1" priority="4" operator="greaterThan">
      <formula>$O$5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15"/>
  <sheetViews>
    <sheetView zoomScale="85" zoomScaleNormal="85" topLeftCell="K2" workbookViewId="0">
      <selection activeCell="E5" sqref="E5:S15"/>
    </sheetView>
  </sheetViews>
  <sheetFormatPr defaultColWidth="8.78181818181818" defaultRowHeight="14.5"/>
  <cols>
    <col min="2" max="2" width="12.3363636363636" customWidth="1"/>
    <col min="3" max="3" width="21.2181818181818" customWidth="1"/>
    <col min="4" max="4" width="12" customWidth="1"/>
    <col min="5" max="11" width="14.3363636363636" customWidth="1"/>
    <col min="12" max="12" width="14.4454545454545" customWidth="1"/>
    <col min="13" max="14" width="14.2181818181818" customWidth="1"/>
    <col min="15" max="17" width="14.3363636363636" customWidth="1"/>
    <col min="18" max="19" width="14.2181818181818" customWidth="1"/>
  </cols>
  <sheetData>
    <row r="1" ht="15.25"/>
    <row r="2" ht="57" customHeight="1" spans="2:19">
      <c r="B2" s="28" t="s">
        <v>1715</v>
      </c>
      <c r="C2" s="29" t="s">
        <v>1716</v>
      </c>
      <c r="D2" s="29" t="s">
        <v>1717</v>
      </c>
      <c r="E2" s="52" t="s">
        <v>1730</v>
      </c>
      <c r="F2" s="53"/>
      <c r="G2" s="53"/>
      <c r="H2" s="53"/>
      <c r="I2" s="54"/>
      <c r="J2" s="55" t="s">
        <v>1731</v>
      </c>
      <c r="K2" s="56"/>
      <c r="L2" s="56"/>
      <c r="M2" s="56"/>
      <c r="N2" s="56"/>
      <c r="O2" s="56"/>
      <c r="P2" s="56"/>
      <c r="Q2" s="56"/>
      <c r="R2" s="56"/>
      <c r="S2" s="57"/>
    </row>
    <row r="3" ht="55.05" customHeight="1" spans="2:19">
      <c r="B3" s="30"/>
      <c r="C3" s="7"/>
      <c r="D3" s="7"/>
      <c r="E3" s="58" t="s">
        <v>1732</v>
      </c>
      <c r="F3" s="59"/>
      <c r="G3" s="59"/>
      <c r="H3" s="59"/>
      <c r="I3" s="60"/>
      <c r="J3" s="31" t="s">
        <v>1733</v>
      </c>
      <c r="K3" s="32"/>
      <c r="L3" s="32"/>
      <c r="M3" s="32"/>
      <c r="N3" s="33"/>
      <c r="O3" s="31" t="s">
        <v>1734</v>
      </c>
      <c r="P3" s="32"/>
      <c r="Q3" s="32"/>
      <c r="R3" s="32"/>
      <c r="S3" s="33"/>
    </row>
    <row r="4" ht="29.75" spans="2:19">
      <c r="B4" s="34"/>
      <c r="C4" s="10"/>
      <c r="D4" s="10"/>
      <c r="E4" s="35" t="s">
        <v>20</v>
      </c>
      <c r="F4" s="35">
        <f>'06.30, 07.30, &amp; 12.00'!F4</f>
        <v>46246</v>
      </c>
      <c r="G4" s="36">
        <f>F4-1</f>
        <v>46245</v>
      </c>
      <c r="H4" s="36">
        <f>G4-1</f>
        <v>46244</v>
      </c>
      <c r="I4" s="61" t="s">
        <v>1722</v>
      </c>
      <c r="J4" s="62" t="s">
        <v>20</v>
      </c>
      <c r="K4" s="35">
        <f>F4</f>
        <v>46246</v>
      </c>
      <c r="L4" s="36">
        <f>F4-1</f>
        <v>46245</v>
      </c>
      <c r="M4" s="36">
        <f>G4-1</f>
        <v>46244</v>
      </c>
      <c r="N4" s="10" t="s">
        <v>1722</v>
      </c>
      <c r="O4" s="35" t="s">
        <v>20</v>
      </c>
      <c r="P4" s="35">
        <f>K4</f>
        <v>46246</v>
      </c>
      <c r="Q4" s="36">
        <f>K4-1</f>
        <v>46245</v>
      </c>
      <c r="R4" s="36">
        <f>L4-1</f>
        <v>46244</v>
      </c>
      <c r="S4" s="10" t="s">
        <v>1722</v>
      </c>
    </row>
    <row r="5" ht="15.25" spans="2:19">
      <c r="B5" s="37" t="s">
        <v>1723</v>
      </c>
      <c r="C5" s="38" t="s">
        <v>1724</v>
      </c>
      <c r="D5" s="38" t="s">
        <v>97</v>
      </c>
      <c r="E5" s="63">
        <v>0.92</v>
      </c>
      <c r="F5" s="64">
        <v>0.936200332933086</v>
      </c>
      <c r="G5" s="64">
        <v>0.942531880793945</v>
      </c>
      <c r="H5" s="64">
        <v>0.939744837833683</v>
      </c>
      <c r="I5" s="64">
        <v>0.941403979721831</v>
      </c>
      <c r="J5" s="41">
        <v>0.92</v>
      </c>
      <c r="K5" s="65">
        <v>0.984003770021004</v>
      </c>
      <c r="L5" s="65">
        <v>0.971390985805842</v>
      </c>
      <c r="M5" s="65">
        <v>0.961803062964347</v>
      </c>
      <c r="N5" s="65">
        <v>0.968507573206288</v>
      </c>
      <c r="O5" s="41">
        <v>0.93</v>
      </c>
      <c r="P5" s="65">
        <v>0.959944888764455</v>
      </c>
      <c r="Q5" s="65">
        <v>0.963472167794538</v>
      </c>
      <c r="R5" s="65">
        <v>0.972067843234469</v>
      </c>
      <c r="S5" s="65">
        <v>0.967594946836965</v>
      </c>
    </row>
    <row r="6" ht="15.25" spans="2:19">
      <c r="B6" s="43"/>
      <c r="C6" s="38" t="s">
        <v>208</v>
      </c>
      <c r="D6" s="38" t="s">
        <v>207</v>
      </c>
      <c r="E6" s="63">
        <v>0.92</v>
      </c>
      <c r="F6" s="64">
        <v>0.93149240452104</v>
      </c>
      <c r="G6" s="64">
        <v>0.944270055870687</v>
      </c>
      <c r="H6" s="64">
        <v>0.922440333657869</v>
      </c>
      <c r="I6" s="64">
        <v>0.940087594588397</v>
      </c>
      <c r="J6" s="41">
        <v>0.92</v>
      </c>
      <c r="K6" s="65">
        <v>0.995907681585461</v>
      </c>
      <c r="L6" s="65">
        <v>0.991755346886812</v>
      </c>
      <c r="M6" s="65">
        <v>0.984798797987366</v>
      </c>
      <c r="N6" s="65">
        <v>0.978381571410255</v>
      </c>
      <c r="O6" s="41">
        <v>0.93</v>
      </c>
      <c r="P6" s="65">
        <v>0.955465958946647</v>
      </c>
      <c r="Q6" s="65">
        <v>0.960992111670325</v>
      </c>
      <c r="R6" s="65">
        <v>0.958381421780997</v>
      </c>
      <c r="S6" s="65">
        <v>0.961338748115514</v>
      </c>
    </row>
    <row r="7" ht="15.25" spans="2:19">
      <c r="B7" s="43"/>
      <c r="C7" s="38" t="s">
        <v>275</v>
      </c>
      <c r="D7" s="38" t="s">
        <v>257</v>
      </c>
      <c r="E7" s="63">
        <v>0.92</v>
      </c>
      <c r="F7" s="64">
        <v>0.967709079174272</v>
      </c>
      <c r="G7" s="64">
        <v>0.978914024135264</v>
      </c>
      <c r="H7" s="64">
        <v>0.96780551205429</v>
      </c>
      <c r="I7" s="64">
        <v>0.975616953333595</v>
      </c>
      <c r="J7" s="41">
        <v>0.92</v>
      </c>
      <c r="K7" s="65">
        <v>0.989717675616202</v>
      </c>
      <c r="L7" s="65">
        <v>0.948328512061363</v>
      </c>
      <c r="M7" s="65">
        <v>0.934484182663124</v>
      </c>
      <c r="N7" s="65">
        <v>0.960331436319029</v>
      </c>
      <c r="O7" s="41">
        <v>0.93</v>
      </c>
      <c r="P7" s="65">
        <v>0.979273908992317</v>
      </c>
      <c r="Q7" s="65">
        <v>0.984368475441297</v>
      </c>
      <c r="R7" s="65">
        <v>0.983109964561527</v>
      </c>
      <c r="S7" s="65">
        <v>0.984376757538588</v>
      </c>
    </row>
    <row r="8" ht="15.25" spans="2:19">
      <c r="B8" s="44"/>
      <c r="C8" s="38" t="s">
        <v>1725</v>
      </c>
      <c r="D8" s="38" t="s">
        <v>347</v>
      </c>
      <c r="E8" s="63">
        <v>0.92</v>
      </c>
      <c r="F8" s="64">
        <v>0.951994237868011</v>
      </c>
      <c r="G8" s="64">
        <v>0.951964564728143</v>
      </c>
      <c r="H8" s="64">
        <v>0.934666135994857</v>
      </c>
      <c r="I8" s="64">
        <v>0.953750716332378</v>
      </c>
      <c r="J8" s="41">
        <v>0.92</v>
      </c>
      <c r="K8" s="65">
        <v>0.992370789598344</v>
      </c>
      <c r="L8" s="65">
        <v>0.978797788057638</v>
      </c>
      <c r="M8" s="65">
        <v>0.942299284824588</v>
      </c>
      <c r="N8" s="65">
        <v>0.956253609342877</v>
      </c>
      <c r="O8" s="41">
        <v>0.93</v>
      </c>
      <c r="P8" s="65">
        <v>0.963950757517614</v>
      </c>
      <c r="Q8" s="65">
        <v>0.961449673097102</v>
      </c>
      <c r="R8" s="65">
        <v>0.956272005345532</v>
      </c>
      <c r="S8" s="65">
        <v>0.964835186942848</v>
      </c>
    </row>
    <row r="9" ht="15.25" spans="2:19">
      <c r="B9" s="43"/>
      <c r="C9" s="38" t="s">
        <v>1726</v>
      </c>
      <c r="D9" s="38" t="s">
        <v>372</v>
      </c>
      <c r="E9" s="63">
        <v>0.92</v>
      </c>
      <c r="F9" s="64">
        <v>0.919314880019267</v>
      </c>
      <c r="G9" s="64">
        <v>0.917155470404995</v>
      </c>
      <c r="H9" s="64">
        <v>0.899269295624649</v>
      </c>
      <c r="I9" s="64">
        <v>0.909890891968491</v>
      </c>
      <c r="J9" s="41">
        <v>0.92</v>
      </c>
      <c r="K9" s="65">
        <v>0.986185154024767</v>
      </c>
      <c r="L9" s="65">
        <v>0.966010318821093</v>
      </c>
      <c r="M9" s="65">
        <v>0.964481068462597</v>
      </c>
      <c r="N9" s="65">
        <v>0.973357820442662</v>
      </c>
      <c r="O9" s="41">
        <v>0.93</v>
      </c>
      <c r="P9" s="65">
        <v>0.953964492988268</v>
      </c>
      <c r="Q9" s="65">
        <v>0.941587319755533</v>
      </c>
      <c r="R9" s="65">
        <v>0.950428137837036</v>
      </c>
      <c r="S9" s="65">
        <v>0.949502567654476</v>
      </c>
    </row>
    <row r="10" ht="15.25" spans="2:19">
      <c r="B10" s="43"/>
      <c r="C10" s="38" t="s">
        <v>832</v>
      </c>
      <c r="D10" s="38" t="s">
        <v>665</v>
      </c>
      <c r="E10" s="63">
        <v>0.92</v>
      </c>
      <c r="F10" s="64">
        <v>0.919038047032041</v>
      </c>
      <c r="G10" s="64">
        <v>0.918176328502415</v>
      </c>
      <c r="H10" s="64">
        <v>0.918771885942971</v>
      </c>
      <c r="I10" s="64">
        <v>0.919012933962625</v>
      </c>
      <c r="J10" s="41">
        <v>0.92</v>
      </c>
      <c r="K10" s="65">
        <v>0.987732000151909</v>
      </c>
      <c r="L10" s="65">
        <v>0.986167615129975</v>
      </c>
      <c r="M10" s="65">
        <v>0.97033030245902</v>
      </c>
      <c r="N10" s="65">
        <v>0.980626793908558</v>
      </c>
      <c r="O10" s="41">
        <v>0.93</v>
      </c>
      <c r="P10" s="65">
        <v>0.957533195571675</v>
      </c>
      <c r="Q10" s="65">
        <v>0.950657774290571</v>
      </c>
      <c r="R10" s="65">
        <v>0.96400529660898</v>
      </c>
      <c r="S10" s="65">
        <v>0.960372492601695</v>
      </c>
    </row>
    <row r="11" ht="15.25" spans="2:19">
      <c r="B11" s="43"/>
      <c r="C11" s="38" t="s">
        <v>958</v>
      </c>
      <c r="D11" s="38" t="s">
        <v>923</v>
      </c>
      <c r="E11" s="63">
        <v>0.92</v>
      </c>
      <c r="F11" s="64">
        <v>0.891531041674426</v>
      </c>
      <c r="G11" s="64">
        <v>0.900171963284722</v>
      </c>
      <c r="H11" s="64">
        <v>0.883084415584416</v>
      </c>
      <c r="I11" s="64">
        <v>0.877707652917013</v>
      </c>
      <c r="J11" s="41">
        <v>0.92</v>
      </c>
      <c r="K11" s="65">
        <v>0.992261900126924</v>
      </c>
      <c r="L11" s="65">
        <v>0.972563798799357</v>
      </c>
      <c r="M11" s="65">
        <v>0.938309939542153</v>
      </c>
      <c r="N11" s="65">
        <v>0.964515460906588</v>
      </c>
      <c r="O11" s="41">
        <v>0.93</v>
      </c>
      <c r="P11" s="65">
        <v>0.952630849276639</v>
      </c>
      <c r="Q11" s="65">
        <v>0.948615132800663</v>
      </c>
      <c r="R11" s="65">
        <v>0.955251050572381</v>
      </c>
      <c r="S11" s="65">
        <v>0.950694751937936</v>
      </c>
    </row>
    <row r="12" ht="15.25" spans="2:19">
      <c r="B12" s="43"/>
      <c r="C12" s="38" t="s">
        <v>1727</v>
      </c>
      <c r="D12" s="38" t="s">
        <v>1081</v>
      </c>
      <c r="E12" s="63">
        <v>0.92</v>
      </c>
      <c r="F12" s="64">
        <v>0.944623624710847</v>
      </c>
      <c r="G12" s="64">
        <v>0.94701157564283</v>
      </c>
      <c r="H12" s="64">
        <v>0.951278037831692</v>
      </c>
      <c r="I12" s="64">
        <v>0.949348075444502</v>
      </c>
      <c r="J12" s="41">
        <v>0.92</v>
      </c>
      <c r="K12" s="65">
        <v>0.98487039758411</v>
      </c>
      <c r="L12" s="65">
        <v>0.970673812544423</v>
      </c>
      <c r="M12" s="65">
        <v>0.954861007551452</v>
      </c>
      <c r="N12" s="65">
        <v>0.971270245811434</v>
      </c>
      <c r="O12" s="41">
        <v>0.93</v>
      </c>
      <c r="P12" s="65">
        <v>0.959809534956064</v>
      </c>
      <c r="Q12" s="65">
        <v>0.958253547394379</v>
      </c>
      <c r="R12" s="65">
        <v>0.96588027198213</v>
      </c>
      <c r="S12" s="65">
        <v>0.964377444159195</v>
      </c>
    </row>
    <row r="13" ht="15.25" spans="2:19">
      <c r="B13" s="43"/>
      <c r="C13" s="38" t="s">
        <v>1728</v>
      </c>
      <c r="D13" s="38" t="s">
        <v>1450</v>
      </c>
      <c r="E13" s="63">
        <v>0.92</v>
      </c>
      <c r="F13" s="64">
        <v>0.842024713751275</v>
      </c>
      <c r="G13" s="64">
        <v>0.865346088350195</v>
      </c>
      <c r="H13" s="64">
        <v>0.856828660766336</v>
      </c>
      <c r="I13" s="64">
        <v>0.844906511787644</v>
      </c>
      <c r="J13" s="41">
        <v>0.92</v>
      </c>
      <c r="K13" s="65">
        <v>0.965831657730116</v>
      </c>
      <c r="L13" s="65">
        <v>0.946737303545277</v>
      </c>
      <c r="M13" s="65">
        <v>0.902798531554965</v>
      </c>
      <c r="N13" s="65">
        <v>0.960690752101795</v>
      </c>
      <c r="O13" s="41">
        <v>0.93</v>
      </c>
      <c r="P13" s="65">
        <v>0.892500507688026</v>
      </c>
      <c r="Q13" s="65">
        <v>0.89960961717297</v>
      </c>
      <c r="R13" s="65">
        <v>0.886577701211119</v>
      </c>
      <c r="S13" s="65">
        <v>0.899113885599719</v>
      </c>
    </row>
    <row r="14" ht="15.25" spans="2:19">
      <c r="B14" s="43"/>
      <c r="C14" s="38" t="s">
        <v>1729</v>
      </c>
      <c r="D14" s="38" t="s">
        <v>24</v>
      </c>
      <c r="E14" s="63">
        <v>0.92</v>
      </c>
      <c r="F14" s="64">
        <v>0.928333009321651</v>
      </c>
      <c r="G14" s="64">
        <v>0.941964427002564</v>
      </c>
      <c r="H14" s="64">
        <v>0.937862730254857</v>
      </c>
      <c r="I14" s="64">
        <v>0.931664983424884</v>
      </c>
      <c r="J14" s="41">
        <v>0.92</v>
      </c>
      <c r="K14" s="65">
        <v>0.990411432670883</v>
      </c>
      <c r="L14" s="65">
        <v>0.965347273911335</v>
      </c>
      <c r="M14" s="65">
        <v>0.950194500254764</v>
      </c>
      <c r="N14" s="65">
        <v>0.964135780904874</v>
      </c>
      <c r="O14" s="41">
        <v>0.93</v>
      </c>
      <c r="P14" s="65">
        <v>0.946626324516819</v>
      </c>
      <c r="Q14" s="65">
        <v>0.956484930375166</v>
      </c>
      <c r="R14" s="65">
        <v>0.957285342977837</v>
      </c>
      <c r="S14" s="65">
        <v>0.951380626222215</v>
      </c>
    </row>
    <row r="15" ht="15.25" spans="2:19">
      <c r="B15" s="45" t="s">
        <v>1710</v>
      </c>
      <c r="C15" s="46"/>
      <c r="D15" s="47"/>
      <c r="E15" s="66" t="s">
        <v>33</v>
      </c>
      <c r="F15" s="67">
        <v>0.93132928670071</v>
      </c>
      <c r="G15" s="67">
        <v>0.937663047317316</v>
      </c>
      <c r="H15" s="67">
        <v>0.927880850281269</v>
      </c>
      <c r="I15" s="68">
        <v>0.932489750228309</v>
      </c>
      <c r="J15" s="69" t="s">
        <v>33</v>
      </c>
      <c r="K15" s="49">
        <v>0.987590786680697</v>
      </c>
      <c r="L15" s="49">
        <v>0.969775665271404</v>
      </c>
      <c r="M15" s="49">
        <v>0.957831631811882</v>
      </c>
      <c r="N15" s="70">
        <v>0.969495321992784</v>
      </c>
      <c r="O15" s="49" t="s">
        <v>33</v>
      </c>
      <c r="P15" s="49">
        <v>0.954407906804036</v>
      </c>
      <c r="Q15" s="49">
        <v>0.952744666052743</v>
      </c>
      <c r="R15" s="49">
        <v>0.956281820769406</v>
      </c>
      <c r="S15" s="49">
        <v>0.956341904978756</v>
      </c>
    </row>
  </sheetData>
  <mergeCells count="10">
    <mergeCell ref="E2:I2"/>
    <mergeCell ref="J2:S2"/>
    <mergeCell ref="E3:I3"/>
    <mergeCell ref="J3:N3"/>
    <mergeCell ref="O3:S3"/>
    <mergeCell ref="B15:D15"/>
    <mergeCell ref="B2:B4"/>
    <mergeCell ref="B5:B14"/>
    <mergeCell ref="C2:C4"/>
    <mergeCell ref="D2:D4"/>
  </mergeCells>
  <conditionalFormatting sqref="F5:I14">
    <cfRule type="cellIs" dxfId="2" priority="3" operator="lessThan">
      <formula>$E$5</formula>
    </cfRule>
    <cfRule type="cellIs" dxfId="1" priority="4" operator="greaterThan">
      <formula>$E$5</formula>
    </cfRule>
  </conditionalFormatting>
  <conditionalFormatting sqref="K5:N14">
    <cfRule type="cellIs" dxfId="2" priority="5" operator="lessThan">
      <formula>$J$5</formula>
    </cfRule>
    <cfRule type="cellIs" dxfId="1" priority="6" operator="greaterThan">
      <formula>$J$5</formula>
    </cfRule>
  </conditionalFormatting>
  <conditionalFormatting sqref="P5:S14">
    <cfRule type="cellIs" dxfId="2" priority="1" operator="lessThan">
      <formula>$O$5</formula>
    </cfRule>
    <cfRule type="cellIs" dxfId="1" priority="2" operator="greaterThan">
      <formula>$O$5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15"/>
  <sheetViews>
    <sheetView topLeftCell="D3" workbookViewId="0">
      <selection activeCell="E5" sqref="E5:N15"/>
    </sheetView>
  </sheetViews>
  <sheetFormatPr defaultColWidth="8.78181818181818" defaultRowHeight="14.5"/>
  <cols>
    <col min="2" max="2" width="14.7818181818182" customWidth="1"/>
    <col min="3" max="3" width="22.2181818181818" customWidth="1"/>
    <col min="4" max="4" width="13.7818181818182" customWidth="1"/>
    <col min="5" max="5" width="8.78181818181818" customWidth="1"/>
    <col min="6" max="7" width="14.3363636363636" customWidth="1"/>
    <col min="8" max="9" width="13.7818181818182" customWidth="1"/>
    <col min="10" max="10" width="13.0909090909091" customWidth="1"/>
    <col min="11" max="12" width="14.3363636363636" customWidth="1"/>
    <col min="13" max="14" width="13.7818181818182" customWidth="1"/>
  </cols>
  <sheetData>
    <row r="1" ht="15.25"/>
    <row r="2" ht="33" customHeight="1" spans="2:14">
      <c r="B2" s="28" t="s">
        <v>1715</v>
      </c>
      <c r="C2" s="29" t="s">
        <v>1716</v>
      </c>
      <c r="D2" s="29" t="s">
        <v>1717</v>
      </c>
      <c r="E2" s="7"/>
      <c r="F2" s="7"/>
      <c r="G2" s="7"/>
      <c r="H2" s="7"/>
      <c r="I2" s="7"/>
      <c r="J2" s="7"/>
      <c r="K2" s="7"/>
      <c r="L2" s="7"/>
      <c r="M2" s="7"/>
      <c r="N2" s="7"/>
    </row>
    <row r="3" ht="54" customHeight="1" spans="2:14">
      <c r="B3" s="30"/>
      <c r="C3" s="7"/>
      <c r="D3" s="7"/>
      <c r="E3" s="31" t="s">
        <v>1735</v>
      </c>
      <c r="F3" s="32"/>
      <c r="G3" s="32"/>
      <c r="H3" s="32"/>
      <c r="I3" s="33"/>
      <c r="J3" s="31" t="s">
        <v>1736</v>
      </c>
      <c r="K3" s="32"/>
      <c r="L3" s="32"/>
      <c r="M3" s="32"/>
      <c r="N3" s="33"/>
    </row>
    <row r="4" ht="29.75" spans="2:14">
      <c r="B4" s="34"/>
      <c r="C4" s="10"/>
      <c r="D4" s="10"/>
      <c r="E4" s="10" t="s">
        <v>20</v>
      </c>
      <c r="F4" s="35">
        <f>'06.30, 07.30, &amp; 12.00'!F4</f>
        <v>46246</v>
      </c>
      <c r="G4" s="36">
        <f>F4-1</f>
        <v>46245</v>
      </c>
      <c r="H4" s="36">
        <f>G4-1</f>
        <v>46244</v>
      </c>
      <c r="I4" s="10" t="s">
        <v>1722</v>
      </c>
      <c r="J4" s="10" t="s">
        <v>22</v>
      </c>
      <c r="K4" s="35">
        <f>F4</f>
        <v>46246</v>
      </c>
      <c r="L4" s="36">
        <f>K4-1</f>
        <v>46245</v>
      </c>
      <c r="M4" s="36">
        <f>L4-1</f>
        <v>46244</v>
      </c>
      <c r="N4" s="10" t="s">
        <v>1722</v>
      </c>
    </row>
    <row r="5" ht="15.25" spans="2:14">
      <c r="B5" s="37" t="s">
        <v>1723</v>
      </c>
      <c r="C5" s="38" t="s">
        <v>1724</v>
      </c>
      <c r="D5" s="38" t="s">
        <v>97</v>
      </c>
      <c r="E5" s="39">
        <v>0.99</v>
      </c>
      <c r="F5" s="40">
        <v>0.994667627454513</v>
      </c>
      <c r="G5" s="40">
        <v>0.985795628482214</v>
      </c>
      <c r="H5" s="40">
        <v>0.994146380848573</v>
      </c>
      <c r="I5" s="40">
        <v>0.990992503703372</v>
      </c>
      <c r="J5" s="41">
        <v>0.105261498981944</v>
      </c>
      <c r="K5" s="42">
        <v>0.0604280318925724</v>
      </c>
      <c r="L5" s="42">
        <v>0.0772316950852558</v>
      </c>
      <c r="M5" s="42">
        <v>0.0963203463203463</v>
      </c>
      <c r="N5" s="42">
        <v>0.0789904821344984</v>
      </c>
    </row>
    <row r="6" ht="15.25" spans="2:14">
      <c r="B6" s="43"/>
      <c r="C6" s="38" t="s">
        <v>208</v>
      </c>
      <c r="D6" s="38" t="s">
        <v>207</v>
      </c>
      <c r="E6" s="39">
        <v>0.99</v>
      </c>
      <c r="F6" s="40">
        <v>0.98592642919538</v>
      </c>
      <c r="G6" s="40">
        <v>0.992886683209264</v>
      </c>
      <c r="H6" s="40">
        <v>0.998106904231626</v>
      </c>
      <c r="I6" s="40">
        <v>0.993702691337258</v>
      </c>
      <c r="J6" s="41">
        <v>0.0719793575775068</v>
      </c>
      <c r="K6" s="42">
        <v>0.0673436664885088</v>
      </c>
      <c r="L6" s="42">
        <v>0.0852017937219731</v>
      </c>
      <c r="M6" s="42">
        <v>0.114598540145985</v>
      </c>
      <c r="N6" s="42">
        <v>0.060862686706063</v>
      </c>
    </row>
    <row r="7" ht="15.25" spans="2:14">
      <c r="B7" s="43"/>
      <c r="C7" s="38" t="s">
        <v>275</v>
      </c>
      <c r="D7" s="38" t="s">
        <v>257</v>
      </c>
      <c r="E7" s="39">
        <v>0.99</v>
      </c>
      <c r="F7" s="40">
        <v>0.990882862088863</v>
      </c>
      <c r="G7" s="40">
        <v>0.991578947368421</v>
      </c>
      <c r="H7" s="40">
        <v>0.995400475812847</v>
      </c>
      <c r="I7" s="40">
        <v>0.99472738309192</v>
      </c>
      <c r="J7" s="41">
        <v>0.0922287257019438</v>
      </c>
      <c r="K7" s="42">
        <v>0.072463768115942</v>
      </c>
      <c r="L7" s="42">
        <v>0.0912863070539419</v>
      </c>
      <c r="M7" s="42">
        <v>0.112751677852349</v>
      </c>
      <c r="N7" s="42">
        <v>0.0844035277734798</v>
      </c>
    </row>
    <row r="8" ht="15.25" spans="2:14">
      <c r="B8" s="44"/>
      <c r="C8" s="38" t="s">
        <v>1725</v>
      </c>
      <c r="D8" s="38" t="s">
        <v>347</v>
      </c>
      <c r="E8" s="39">
        <v>0.99</v>
      </c>
      <c r="F8" s="40">
        <v>0.993682880606443</v>
      </c>
      <c r="G8" s="40">
        <v>0.986294416243655</v>
      </c>
      <c r="H8" s="40">
        <v>0.997258396161755</v>
      </c>
      <c r="I8" s="40">
        <v>0.994887474312065</v>
      </c>
      <c r="J8" s="41">
        <v>0.0739852556983447</v>
      </c>
      <c r="K8" s="42">
        <v>0.0488721804511278</v>
      </c>
      <c r="L8" s="42">
        <v>0.0770491803278689</v>
      </c>
      <c r="M8" s="42">
        <v>0.0494845360824742</v>
      </c>
      <c r="N8" s="42">
        <v>0.0462464770689213</v>
      </c>
    </row>
    <row r="9" ht="15.25" spans="2:14">
      <c r="B9" s="43"/>
      <c r="C9" s="38" t="s">
        <v>1726</v>
      </c>
      <c r="D9" s="38" t="s">
        <v>372</v>
      </c>
      <c r="E9" s="39">
        <v>0.99</v>
      </c>
      <c r="F9" s="40">
        <v>0.99730210665289</v>
      </c>
      <c r="G9" s="40">
        <v>0.993524821517516</v>
      </c>
      <c r="H9" s="40">
        <v>0.992251199907477</v>
      </c>
      <c r="I9" s="40">
        <v>0.994855508158801</v>
      </c>
      <c r="J9" s="41">
        <v>0.05</v>
      </c>
      <c r="K9" s="42">
        <v>0.0518617021276596</v>
      </c>
      <c r="L9" s="42">
        <v>0.0531742354031511</v>
      </c>
      <c r="M9" s="42">
        <v>0.0656594342837669</v>
      </c>
      <c r="N9" s="42">
        <v>0.0391941169846948</v>
      </c>
    </row>
    <row r="10" ht="15.25" spans="2:14">
      <c r="B10" s="43"/>
      <c r="C10" s="38" t="s">
        <v>832</v>
      </c>
      <c r="D10" s="38" t="s">
        <v>665</v>
      </c>
      <c r="E10" s="39">
        <v>0.99</v>
      </c>
      <c r="F10" s="40">
        <v>0.995389713297796</v>
      </c>
      <c r="G10" s="40">
        <v>0.992231586661781</v>
      </c>
      <c r="H10" s="40">
        <v>0.984082615109869</v>
      </c>
      <c r="I10" s="40">
        <v>0.986784414295169</v>
      </c>
      <c r="J10" s="41">
        <v>0.0810595228934205</v>
      </c>
      <c r="K10" s="42">
        <v>0.0332844881724932</v>
      </c>
      <c r="L10" s="42">
        <v>0.035548263604047</v>
      </c>
      <c r="M10" s="42">
        <v>0.040473061760841</v>
      </c>
      <c r="N10" s="42">
        <v>0.0423982465650114</v>
      </c>
    </row>
    <row r="11" ht="15.25" spans="2:14">
      <c r="B11" s="43"/>
      <c r="C11" s="38" t="s">
        <v>958</v>
      </c>
      <c r="D11" s="38" t="s">
        <v>923</v>
      </c>
      <c r="E11" s="39">
        <v>0.99</v>
      </c>
      <c r="F11" s="40">
        <v>0.994467300326287</v>
      </c>
      <c r="G11" s="40">
        <v>0.99431702861782</v>
      </c>
      <c r="H11" s="40">
        <v>0.992656807751147</v>
      </c>
      <c r="I11" s="40">
        <v>0.991066125368163</v>
      </c>
      <c r="J11" s="41">
        <v>0.0656418488929858</v>
      </c>
      <c r="K11" s="42">
        <v>0.0410587037665422</v>
      </c>
      <c r="L11" s="42">
        <v>0.0497737556561086</v>
      </c>
      <c r="M11" s="42">
        <v>0.0445391169635941</v>
      </c>
      <c r="N11" s="42">
        <v>0.0443675587666633</v>
      </c>
    </row>
    <row r="12" ht="15.25" spans="2:14">
      <c r="B12" s="43"/>
      <c r="C12" s="38" t="s">
        <v>1727</v>
      </c>
      <c r="D12" s="38" t="s">
        <v>1081</v>
      </c>
      <c r="E12" s="39">
        <v>0.99</v>
      </c>
      <c r="F12" s="40">
        <v>0.995618091337473</v>
      </c>
      <c r="G12" s="40">
        <v>0.990705643002463</v>
      </c>
      <c r="H12" s="40">
        <v>0.993080222064357</v>
      </c>
      <c r="I12" s="40">
        <v>0.99250381507469</v>
      </c>
      <c r="J12" s="41">
        <v>0.0721861525408278</v>
      </c>
      <c r="K12" s="42">
        <v>0.0419465591879385</v>
      </c>
      <c r="L12" s="42">
        <v>0.0448810382119683</v>
      </c>
      <c r="M12" s="42">
        <v>0.0360286925334203</v>
      </c>
      <c r="N12" s="42">
        <v>0.0369854492345973</v>
      </c>
    </row>
    <row r="13" ht="15.25" spans="2:14">
      <c r="B13" s="43"/>
      <c r="C13" s="38" t="s">
        <v>1728</v>
      </c>
      <c r="D13" s="38" t="s">
        <v>1450</v>
      </c>
      <c r="E13" s="39">
        <v>0.99</v>
      </c>
      <c r="F13" s="40">
        <v>0.988973897389739</v>
      </c>
      <c r="G13" s="40">
        <v>0.990638895389656</v>
      </c>
      <c r="H13" s="40">
        <v>0.988434414668547</v>
      </c>
      <c r="I13" s="40">
        <v>0.989720460633256</v>
      </c>
      <c r="J13" s="41">
        <v>0.110069253262963</v>
      </c>
      <c r="K13" s="42">
        <v>0.110593971631206</v>
      </c>
      <c r="L13" s="42">
        <v>0.0993447474106954</v>
      </c>
      <c r="M13" s="42">
        <v>0.0969348659003831</v>
      </c>
      <c r="N13" s="42">
        <v>0.0933260122568989</v>
      </c>
    </row>
    <row r="14" ht="15.25" spans="2:14">
      <c r="B14" s="43"/>
      <c r="C14" s="38" t="s">
        <v>1729</v>
      </c>
      <c r="D14" s="38" t="s">
        <v>24</v>
      </c>
      <c r="E14" s="39">
        <v>0.99</v>
      </c>
      <c r="F14" s="40">
        <v>0.994541231126597</v>
      </c>
      <c r="G14" s="40">
        <v>0.990529155883487</v>
      </c>
      <c r="H14" s="40">
        <v>0.993326103278552</v>
      </c>
      <c r="I14" s="40">
        <v>0.990462309800035</v>
      </c>
      <c r="J14" s="41">
        <v>0.0872182100128262</v>
      </c>
      <c r="K14" s="42">
        <v>0.0672097759674134</v>
      </c>
      <c r="L14" s="42">
        <v>0.0896757114493713</v>
      </c>
      <c r="M14" s="42">
        <v>0.100721784776903</v>
      </c>
      <c r="N14" s="42">
        <v>0.0591079414964342</v>
      </c>
    </row>
    <row r="15" ht="15.25" spans="2:14">
      <c r="B15" s="45" t="s">
        <v>1710</v>
      </c>
      <c r="C15" s="46"/>
      <c r="D15" s="47"/>
      <c r="E15" s="48" t="s">
        <v>33</v>
      </c>
      <c r="F15" s="49">
        <v>0.994612975994074</v>
      </c>
      <c r="G15" s="49">
        <v>0.990901567158636</v>
      </c>
      <c r="H15" s="49">
        <v>0.992620992095796</v>
      </c>
      <c r="I15" s="49">
        <v>0.992124920483291</v>
      </c>
      <c r="J15" s="50" t="s">
        <v>33</v>
      </c>
      <c r="K15" s="49">
        <v>0.0571810953368148</v>
      </c>
      <c r="L15" s="49">
        <v>0.0640120663650075</v>
      </c>
      <c r="M15" s="49">
        <v>0.0682726204465335</v>
      </c>
      <c r="N15" s="51">
        <v>0.0535512291770591</v>
      </c>
    </row>
  </sheetData>
  <mergeCells count="8">
    <mergeCell ref="E2:N2"/>
    <mergeCell ref="E3:I3"/>
    <mergeCell ref="J3:N3"/>
    <mergeCell ref="B15:D15"/>
    <mergeCell ref="B2:B4"/>
    <mergeCell ref="B5:B14"/>
    <mergeCell ref="C2:C4"/>
    <mergeCell ref="D2:D4"/>
  </mergeCells>
  <conditionalFormatting sqref="K5:N5">
    <cfRule type="cellIs" dxfId="2" priority="19" operator="lessThan">
      <formula>$J$5</formula>
    </cfRule>
    <cfRule type="cellIs" dxfId="1" priority="20" operator="greaterThan">
      <formula>$J$5</formula>
    </cfRule>
  </conditionalFormatting>
  <conditionalFormatting sqref="K6:N6">
    <cfRule type="cellIs" dxfId="2" priority="17" operator="lessThan">
      <formula>$J$6</formula>
    </cfRule>
    <cfRule type="cellIs" dxfId="1" priority="18" operator="greaterThan">
      <formula>$J$6</formula>
    </cfRule>
  </conditionalFormatting>
  <conditionalFormatting sqref="K7:N7">
    <cfRule type="cellIs" dxfId="2" priority="15" operator="lessThan">
      <formula>$J$7</formula>
    </cfRule>
    <cfRule type="cellIs" dxfId="1" priority="16" operator="greaterThan">
      <formula>$J$7</formula>
    </cfRule>
  </conditionalFormatting>
  <conditionalFormatting sqref="K8:N8">
    <cfRule type="cellIs" dxfId="2" priority="13" operator="lessThan">
      <formula>$J$8</formula>
    </cfRule>
    <cfRule type="cellIs" dxfId="1" priority="14" operator="greaterThan">
      <formula>$J$8</formula>
    </cfRule>
  </conditionalFormatting>
  <conditionalFormatting sqref="K9:N9">
    <cfRule type="cellIs" dxfId="2" priority="11" operator="lessThan">
      <formula>$J$9</formula>
    </cfRule>
    <cfRule type="cellIs" dxfId="1" priority="12" operator="greaterThan">
      <formula>$J$9</formula>
    </cfRule>
  </conditionalFormatting>
  <conditionalFormatting sqref="K10:N10">
    <cfRule type="cellIs" dxfId="2" priority="9" operator="lessThan">
      <formula>$J$10</formula>
    </cfRule>
    <cfRule type="cellIs" dxfId="1" priority="10" operator="greaterThan">
      <formula>$J$10</formula>
    </cfRule>
  </conditionalFormatting>
  <conditionalFormatting sqref="K11:N11">
    <cfRule type="cellIs" dxfId="2" priority="7" operator="lessThan">
      <formula>$J$11</formula>
    </cfRule>
    <cfRule type="cellIs" dxfId="1" priority="8" operator="greaterThan">
      <formula>$J$11</formula>
    </cfRule>
  </conditionalFormatting>
  <conditionalFormatting sqref="K12:N12">
    <cfRule type="cellIs" dxfId="2" priority="5" operator="lessThan">
      <formula>$J$12</formula>
    </cfRule>
    <cfRule type="cellIs" dxfId="1" priority="6" operator="greaterThan">
      <formula>$J$12</formula>
    </cfRule>
  </conditionalFormatting>
  <conditionalFormatting sqref="K13:N13">
    <cfRule type="cellIs" dxfId="2" priority="3" operator="lessThan">
      <formula>$J$13</formula>
    </cfRule>
    <cfRule type="cellIs" dxfId="1" priority="4" operator="greaterThan">
      <formula>$J$13</formula>
    </cfRule>
  </conditionalFormatting>
  <conditionalFormatting sqref="K14:N14">
    <cfRule type="cellIs" dxfId="2" priority="1" operator="lessThan">
      <formula>$J$14</formula>
    </cfRule>
    <cfRule type="cellIs" dxfId="1" priority="2" operator="greaterThan">
      <formula>$J$14</formula>
    </cfRule>
  </conditionalFormatting>
  <conditionalFormatting sqref="N5:N14">
    <cfRule type="cellIs" dxfId="1" priority="26" operator="lessThan">
      <formula>$AD5</formula>
    </cfRule>
  </conditionalFormatting>
  <conditionalFormatting sqref="F5:I14">
    <cfRule type="cellIs" dxfId="2" priority="21" operator="lessThan">
      <formula>$E$5</formula>
    </cfRule>
    <cfRule type="cellIs" dxfId="1" priority="22" operator="greaterThan">
      <formula>$E$5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1670"/>
  <sheetViews>
    <sheetView topLeftCell="A1603" workbookViewId="0">
      <selection activeCell="E1616" sqref="E1616"/>
    </sheetView>
  </sheetViews>
  <sheetFormatPr defaultColWidth="9" defaultRowHeight="14.5" outlineLevelCol="5"/>
  <cols>
    <col min="2" max="2" width="24.4545454545455" customWidth="1"/>
    <col min="3" max="3" width="18.5545454545455" customWidth="1"/>
    <col min="4" max="4" width="26.4454545454545" customWidth="1"/>
    <col min="5" max="5" width="19.5545454545455" customWidth="1"/>
    <col min="6" max="6" width="44.8181818181818" customWidth="1"/>
  </cols>
  <sheetData>
    <row r="1" ht="15.25"/>
    <row r="2" spans="2:6">
      <c r="B2" s="1" t="s">
        <v>5</v>
      </c>
      <c r="C2" s="2" t="s">
        <v>6</v>
      </c>
      <c r="D2" s="3" t="s">
        <v>7</v>
      </c>
      <c r="E2" s="4" t="s">
        <v>1737</v>
      </c>
      <c r="F2" s="5" t="s">
        <v>1738</v>
      </c>
    </row>
    <row r="3" spans="2:6">
      <c r="B3" s="6"/>
      <c r="C3" s="7"/>
      <c r="D3" s="8"/>
      <c r="E3" s="9"/>
      <c r="F3" s="9"/>
    </row>
    <row r="4" ht="15.25" spans="2:6">
      <c r="B4" s="6"/>
      <c r="C4" s="10"/>
      <c r="D4" s="8"/>
      <c r="E4" s="9"/>
      <c r="F4" s="9"/>
    </row>
    <row r="5" spans="2:6">
      <c r="B5" s="11" t="s">
        <v>23</v>
      </c>
      <c r="C5" s="12" t="s">
        <v>24</v>
      </c>
      <c r="D5" s="13" t="s">
        <v>25</v>
      </c>
      <c r="E5" s="14" t="s">
        <v>1739</v>
      </c>
      <c r="F5" s="15" t="str">
        <f>_xlfn.XLOOKUP(D5,[8]DP!$F:$F,[8]DP!$E:$E,"-")</f>
        <v>APRI NUR YUSUP</v>
      </c>
    </row>
    <row r="6" spans="2:6">
      <c r="B6" s="16" t="s">
        <v>23</v>
      </c>
      <c r="C6" s="15" t="s">
        <v>24</v>
      </c>
      <c r="D6" s="17" t="s">
        <v>26</v>
      </c>
      <c r="E6" s="18" t="s">
        <v>1739</v>
      </c>
      <c r="F6" s="15" t="str">
        <f>_xlfn.XLOOKUP(D6,[8]DP!$F:$F,[8]DP!$E:$E,"-")</f>
        <v>RIZKY ADITYAWARMAN</v>
      </c>
    </row>
    <row r="7" spans="2:6">
      <c r="B7" s="16" t="s">
        <v>23</v>
      </c>
      <c r="C7" s="15" t="s">
        <v>24</v>
      </c>
      <c r="D7" s="17" t="s">
        <v>27</v>
      </c>
      <c r="E7" s="18" t="s">
        <v>1716</v>
      </c>
      <c r="F7" s="15" t="str">
        <f>_xlfn.XLOOKUP(D7,[8]DP!$F:$F,[8]DP!$E:$E,"-")</f>
        <v>RUBBY ROCHMAN</v>
      </c>
    </row>
    <row r="8" spans="2:6">
      <c r="B8" s="16" t="s">
        <v>23</v>
      </c>
      <c r="C8" s="15" t="s">
        <v>24</v>
      </c>
      <c r="D8" s="17" t="s">
        <v>28</v>
      </c>
      <c r="E8" s="18" t="s">
        <v>1716</v>
      </c>
      <c r="F8" s="15" t="str">
        <f>_xlfn.XLOOKUP(D8,[8]DP!$F:$F,[8]DP!$E:$E,"-")</f>
        <v>ARDY KRISNANTO</v>
      </c>
    </row>
    <row r="9" spans="2:6">
      <c r="B9" s="16" t="s">
        <v>23</v>
      </c>
      <c r="C9" s="15" t="s">
        <v>24</v>
      </c>
      <c r="D9" s="17" t="s">
        <v>29</v>
      </c>
      <c r="E9" s="18" t="s">
        <v>1739</v>
      </c>
      <c r="F9" s="15" t="str">
        <f>_xlfn.XLOOKUP(D9,[8]DP!$F:$F,[8]DP!$E:$E,"-")</f>
        <v>RUBBY ROCHMAN</v>
      </c>
    </row>
    <row r="10" spans="2:6">
      <c r="B10" s="16" t="s">
        <v>23</v>
      </c>
      <c r="C10" s="15" t="s">
        <v>24</v>
      </c>
      <c r="D10" s="17" t="s">
        <v>30</v>
      </c>
      <c r="E10" s="18" t="s">
        <v>1739</v>
      </c>
      <c r="F10" s="15" t="str">
        <f>_xlfn.XLOOKUP(D10,[8]DP!$F:$F,[8]DP!$E:$E,"-")</f>
        <v>HENLY KURNIAWAN</v>
      </c>
    </row>
    <row r="11" spans="2:6">
      <c r="B11" s="16" t="s">
        <v>23</v>
      </c>
      <c r="C11" s="15" t="s">
        <v>24</v>
      </c>
      <c r="D11" s="17" t="s">
        <v>31</v>
      </c>
      <c r="E11" s="18" t="s">
        <v>1739</v>
      </c>
      <c r="F11" s="15" t="str">
        <f>_xlfn.XLOOKUP(D11,[8]DP!$F:$F,[8]DP!$E:$E,"-")</f>
        <v>RIZKY ADITYAWARMAN</v>
      </c>
    </row>
    <row r="12" spans="2:6">
      <c r="B12" s="16" t="s">
        <v>23</v>
      </c>
      <c r="C12" s="15" t="s">
        <v>24</v>
      </c>
      <c r="D12" s="17" t="s">
        <v>32</v>
      </c>
      <c r="E12" s="18" t="s">
        <v>1716</v>
      </c>
      <c r="F12" s="15" t="str">
        <f>_xlfn.XLOOKUP(D12,[8]DP!$F:$F,[8]DP!$E:$E,"-")</f>
        <v>RUBBY ROCHMAN</v>
      </c>
    </row>
    <row r="13" spans="2:6">
      <c r="B13" s="16" t="s">
        <v>23</v>
      </c>
      <c r="C13" s="15" t="s">
        <v>24</v>
      </c>
      <c r="D13" s="17" t="s">
        <v>34</v>
      </c>
      <c r="E13" s="18" t="s">
        <v>1716</v>
      </c>
      <c r="F13" s="15" t="str">
        <f>_xlfn.XLOOKUP(D13,[8]DP!$F:$F,[8]DP!$E:$E,"-")</f>
        <v>ALFIN WARDANA</v>
      </c>
    </row>
    <row r="14" spans="2:6">
      <c r="B14" s="16" t="s">
        <v>23</v>
      </c>
      <c r="C14" s="15" t="s">
        <v>24</v>
      </c>
      <c r="D14" s="17" t="s">
        <v>35</v>
      </c>
      <c r="E14" s="18" t="s">
        <v>1716</v>
      </c>
      <c r="F14" s="15" t="str">
        <f>_xlfn.XLOOKUP(D14,[8]DP!$F:$F,[8]DP!$E:$E,"-")</f>
        <v>EKA PRATAMA BAHARA</v>
      </c>
    </row>
    <row r="15" spans="2:6">
      <c r="B15" s="16" t="s">
        <v>23</v>
      </c>
      <c r="C15" s="15" t="s">
        <v>24</v>
      </c>
      <c r="D15" s="17" t="s">
        <v>36</v>
      </c>
      <c r="E15" s="18" t="s">
        <v>1739</v>
      </c>
      <c r="F15" s="15" t="str">
        <f>_xlfn.XLOOKUP(D15,[8]DP!$F:$F,[8]DP!$E:$E,"-")</f>
        <v>RENGGA SAPUTRA</v>
      </c>
    </row>
    <row r="16" spans="2:6">
      <c r="B16" s="16" t="s">
        <v>23</v>
      </c>
      <c r="C16" s="15" t="s">
        <v>24</v>
      </c>
      <c r="D16" s="17" t="s">
        <v>37</v>
      </c>
      <c r="E16" s="18" t="s">
        <v>1716</v>
      </c>
      <c r="F16" s="15" t="str">
        <f>_xlfn.XLOOKUP(D16,[8]DP!$F:$F,[8]DP!$E:$E,"-")</f>
        <v>PAZRI FIRDAUS</v>
      </c>
    </row>
    <row r="17" spans="2:6">
      <c r="B17" s="16" t="s">
        <v>23</v>
      </c>
      <c r="C17" s="15" t="s">
        <v>24</v>
      </c>
      <c r="D17" s="17" t="s">
        <v>38</v>
      </c>
      <c r="E17" s="18" t="s">
        <v>1739</v>
      </c>
      <c r="F17" s="15" t="str">
        <f>_xlfn.XLOOKUP(D17,[8]DP!$F:$F,[8]DP!$E:$E,"-")</f>
        <v>RENGGA SAPUTRA</v>
      </c>
    </row>
    <row r="18" spans="2:6">
      <c r="B18" s="16" t="s">
        <v>23</v>
      </c>
      <c r="C18" s="15" t="s">
        <v>24</v>
      </c>
      <c r="D18" s="17" t="s">
        <v>39</v>
      </c>
      <c r="E18" s="18" t="s">
        <v>1739</v>
      </c>
      <c r="F18" s="15" t="str">
        <f>_xlfn.XLOOKUP(D18,[8]DP!$F:$F,[8]DP!$E:$E,"-")</f>
        <v>RENGGA SAPUTRA</v>
      </c>
    </row>
    <row r="19" spans="2:6">
      <c r="B19" s="16" t="s">
        <v>23</v>
      </c>
      <c r="C19" s="15" t="s">
        <v>24</v>
      </c>
      <c r="D19" s="17" t="s">
        <v>40</v>
      </c>
      <c r="E19" s="18" t="s">
        <v>1739</v>
      </c>
      <c r="F19" s="15" t="str">
        <f>_xlfn.XLOOKUP(D19,[8]DP!$F:$F,[8]DP!$E:$E,"-")</f>
        <v>NUGROHO HARI KUNCAHYO</v>
      </c>
    </row>
    <row r="20" spans="2:6">
      <c r="B20" s="16" t="s">
        <v>23</v>
      </c>
      <c r="C20" s="15" t="s">
        <v>24</v>
      </c>
      <c r="D20" s="17" t="s">
        <v>41</v>
      </c>
      <c r="E20" s="18" t="s">
        <v>1716</v>
      </c>
      <c r="F20" s="15" t="str">
        <f>_xlfn.XLOOKUP(D20,[8]DP!$F:$F,[8]DP!$E:$E,"-")</f>
        <v>AHMAD KAMAL</v>
      </c>
    </row>
    <row r="21" spans="2:6">
      <c r="B21" s="16" t="s">
        <v>23</v>
      </c>
      <c r="C21" s="15" t="s">
        <v>24</v>
      </c>
      <c r="D21" s="17" t="s">
        <v>42</v>
      </c>
      <c r="E21" s="18" t="s">
        <v>1739</v>
      </c>
      <c r="F21" s="15" t="str">
        <f>_xlfn.XLOOKUP(D21,[8]DP!$F:$F,[8]DP!$E:$E,"-")</f>
        <v>QORI SEKENAWAN OSADI</v>
      </c>
    </row>
    <row r="22" spans="2:6">
      <c r="B22" s="16" t="s">
        <v>23</v>
      </c>
      <c r="C22" s="15" t="s">
        <v>24</v>
      </c>
      <c r="D22" s="17" t="s">
        <v>43</v>
      </c>
      <c r="E22" s="18" t="s">
        <v>1716</v>
      </c>
      <c r="F22" s="15" t="str">
        <f>_xlfn.XLOOKUP(D22,[8]DP!$F:$F,[8]DP!$E:$E,"-")</f>
        <v>RIO PERMANNA WIJAYA</v>
      </c>
    </row>
    <row r="23" spans="2:6">
      <c r="B23" s="16" t="s">
        <v>23</v>
      </c>
      <c r="C23" s="15" t="s">
        <v>24</v>
      </c>
      <c r="D23" s="17" t="s">
        <v>44</v>
      </c>
      <c r="E23" s="18" t="s">
        <v>1716</v>
      </c>
      <c r="F23" s="15" t="str">
        <f>_xlfn.XLOOKUP(D23,[8]DP!$F:$F,[8]DP!$E:$E,"-")</f>
        <v>PAMUJI RYAN ANDRIANTO</v>
      </c>
    </row>
    <row r="24" spans="2:6">
      <c r="B24" s="16" t="s">
        <v>23</v>
      </c>
      <c r="C24" s="15" t="s">
        <v>24</v>
      </c>
      <c r="D24" s="17" t="s">
        <v>45</v>
      </c>
      <c r="E24" s="18" t="s">
        <v>1739</v>
      </c>
      <c r="F24" s="15" t="str">
        <f>_xlfn.XLOOKUP(D24,[8]DP!$F:$F,[8]DP!$E:$E,"-")</f>
        <v>ARDY SASMOYO</v>
      </c>
    </row>
    <row r="25" spans="2:6">
      <c r="B25" s="16" t="s">
        <v>23</v>
      </c>
      <c r="C25" s="15" t="s">
        <v>24</v>
      </c>
      <c r="D25" s="17" t="s">
        <v>46</v>
      </c>
      <c r="E25" s="18" t="s">
        <v>1739</v>
      </c>
      <c r="F25" s="15" t="str">
        <f>_xlfn.XLOOKUP(D25,[8]DP!$F:$F,[8]DP!$E:$E,"-")</f>
        <v>HENDRI ADITYA</v>
      </c>
    </row>
    <row r="26" spans="2:6">
      <c r="B26" s="16" t="s">
        <v>23</v>
      </c>
      <c r="C26" s="15" t="s">
        <v>24</v>
      </c>
      <c r="D26" s="17" t="s">
        <v>47</v>
      </c>
      <c r="E26" s="18" t="s">
        <v>1716</v>
      </c>
      <c r="F26" s="15" t="str">
        <f>_xlfn.XLOOKUP(D26,[8]DP!$F:$F,[8]DP!$E:$E,"-")</f>
        <v>YODY EVANDER LODEWIJK N.</v>
      </c>
    </row>
    <row r="27" spans="2:6">
      <c r="B27" s="16" t="s">
        <v>23</v>
      </c>
      <c r="C27" s="15" t="s">
        <v>24</v>
      </c>
      <c r="D27" s="17" t="s">
        <v>48</v>
      </c>
      <c r="E27" s="18" t="s">
        <v>1716</v>
      </c>
      <c r="F27" s="15" t="str">
        <f>_xlfn.XLOOKUP(D27,[8]DP!$F:$F,[8]DP!$E:$E,"-")</f>
        <v>HUSEIN AL IDRUS ANHAR</v>
      </c>
    </row>
    <row r="28" spans="2:6">
      <c r="B28" s="16" t="s">
        <v>23</v>
      </c>
      <c r="C28" s="15" t="s">
        <v>24</v>
      </c>
      <c r="D28" s="17" t="s">
        <v>49</v>
      </c>
      <c r="E28" s="18" t="s">
        <v>1716</v>
      </c>
      <c r="F28" s="15" t="str">
        <f>_xlfn.XLOOKUP(D28,[8]DP!$F:$F,[8]DP!$E:$E,"-")</f>
        <v>NOVENDRA ALDI MUHAMMAD</v>
      </c>
    </row>
    <row r="29" spans="2:6">
      <c r="B29" s="16" t="s">
        <v>23</v>
      </c>
      <c r="C29" s="15" t="s">
        <v>24</v>
      </c>
      <c r="D29" s="17" t="s">
        <v>50</v>
      </c>
      <c r="E29" s="18" t="s">
        <v>1739</v>
      </c>
      <c r="F29" s="15" t="str">
        <f>_xlfn.XLOOKUP(D29,[8]DP!$F:$F,[8]DP!$E:$E,"-")</f>
        <v>YODY EVANDER LODEWIJK N.</v>
      </c>
    </row>
    <row r="30" spans="2:6">
      <c r="B30" s="16" t="s">
        <v>23</v>
      </c>
      <c r="C30" s="15" t="s">
        <v>24</v>
      </c>
      <c r="D30" s="17" t="s">
        <v>51</v>
      </c>
      <c r="E30" s="18" t="s">
        <v>1716</v>
      </c>
      <c r="F30" s="15" t="str">
        <f>_xlfn.XLOOKUP(D30,[8]DP!$F:$F,[8]DP!$E:$E,"-")</f>
        <v>MUHAMAD FAISAL</v>
      </c>
    </row>
    <row r="31" spans="2:6">
      <c r="B31" s="16" t="s">
        <v>23</v>
      </c>
      <c r="C31" s="15" t="s">
        <v>24</v>
      </c>
      <c r="D31" s="17" t="s">
        <v>52</v>
      </c>
      <c r="E31" s="18" t="s">
        <v>1739</v>
      </c>
      <c r="F31" s="15" t="str">
        <f>_xlfn.XLOOKUP(D31,[8]DP!$F:$F,[8]DP!$E:$E,"-")</f>
        <v>ROYMAN</v>
      </c>
    </row>
    <row r="32" spans="2:6">
      <c r="B32" s="16" t="s">
        <v>23</v>
      </c>
      <c r="C32" s="15" t="s">
        <v>24</v>
      </c>
      <c r="D32" s="17" t="s">
        <v>53</v>
      </c>
      <c r="E32" s="18" t="s">
        <v>1716</v>
      </c>
      <c r="F32" s="15" t="str">
        <f>_xlfn.XLOOKUP(D32,[8]DP!$F:$F,[8]DP!$E:$E,"-")</f>
        <v>MAHMUD H</v>
      </c>
    </row>
    <row r="33" spans="2:6">
      <c r="B33" s="16" t="s">
        <v>23</v>
      </c>
      <c r="C33" s="15" t="s">
        <v>24</v>
      </c>
      <c r="D33" s="17" t="s">
        <v>54</v>
      </c>
      <c r="E33" s="18" t="s">
        <v>1716</v>
      </c>
      <c r="F33" s="15" t="str">
        <f>_xlfn.XLOOKUP(D33,[8]DP!$F:$F,[8]DP!$E:$E,"-")</f>
        <v>ARMAN SURYADI</v>
      </c>
    </row>
    <row r="34" spans="2:6">
      <c r="B34" s="16" t="s">
        <v>23</v>
      </c>
      <c r="C34" s="15" t="s">
        <v>24</v>
      </c>
      <c r="D34" s="17" t="s">
        <v>55</v>
      </c>
      <c r="E34" s="18" t="s">
        <v>1716</v>
      </c>
      <c r="F34" s="15" t="str">
        <f>_xlfn.XLOOKUP(D34,[8]DP!$F:$F,[8]DP!$E:$E,"-")</f>
        <v>TADIN SAPUTRA</v>
      </c>
    </row>
    <row r="35" spans="2:6">
      <c r="B35" s="16" t="s">
        <v>23</v>
      </c>
      <c r="C35" s="15" t="s">
        <v>24</v>
      </c>
      <c r="D35" s="17" t="s">
        <v>56</v>
      </c>
      <c r="E35" s="18" t="s">
        <v>1716</v>
      </c>
      <c r="F35" s="15" t="str">
        <f>_xlfn.XLOOKUP(D35,[8]DP!$F:$F,[8]DP!$E:$E,"-")</f>
        <v>SATRIO KESIT WICAKSONO</v>
      </c>
    </row>
    <row r="36" spans="2:6">
      <c r="B36" s="16" t="s">
        <v>23</v>
      </c>
      <c r="C36" s="15" t="s">
        <v>24</v>
      </c>
      <c r="D36" s="17" t="s">
        <v>57</v>
      </c>
      <c r="E36" s="18" t="s">
        <v>1739</v>
      </c>
      <c r="F36" s="15" t="str">
        <f>_xlfn.XLOOKUP(D36,[8]DP!$F:$F,[8]DP!$E:$E,"-")</f>
        <v>MUHAMMAD IQBAL</v>
      </c>
    </row>
    <row r="37" spans="2:6">
      <c r="B37" s="16" t="s">
        <v>23</v>
      </c>
      <c r="C37" s="15" t="s">
        <v>24</v>
      </c>
      <c r="D37" s="17" t="s">
        <v>58</v>
      </c>
      <c r="E37" s="18" t="s">
        <v>1716</v>
      </c>
      <c r="F37" s="15" t="str">
        <f>_xlfn.XLOOKUP(D37,[8]DP!$F:$F,[8]DP!$E:$E,"-")</f>
        <v>PAZRIN HIDAYAT</v>
      </c>
    </row>
    <row r="38" spans="2:6">
      <c r="B38" s="16" t="s">
        <v>23</v>
      </c>
      <c r="C38" s="15" t="s">
        <v>24</v>
      </c>
      <c r="D38" s="17" t="s">
        <v>59</v>
      </c>
      <c r="E38" s="18" t="s">
        <v>1716</v>
      </c>
      <c r="F38" s="15" t="str">
        <f>_xlfn.XLOOKUP(D38,[8]DP!$F:$F,[8]DP!$E:$E,"-")</f>
        <v>LILIS INDRA WATI</v>
      </c>
    </row>
    <row r="39" spans="2:6">
      <c r="B39" s="16" t="s">
        <v>23</v>
      </c>
      <c r="C39" s="15" t="s">
        <v>24</v>
      </c>
      <c r="D39" s="17" t="s">
        <v>60</v>
      </c>
      <c r="E39" s="18" t="s">
        <v>1716</v>
      </c>
      <c r="F39" s="15" t="str">
        <f>_xlfn.XLOOKUP(D39,[8]DP!$F:$F,[8]DP!$E:$E,"-")</f>
        <v>FIRMAN SYAHPUTRA</v>
      </c>
    </row>
    <row r="40" spans="2:6">
      <c r="B40" s="16" t="s">
        <v>23</v>
      </c>
      <c r="C40" s="15" t="s">
        <v>24</v>
      </c>
      <c r="D40" s="17" t="s">
        <v>61</v>
      </c>
      <c r="E40" s="18" t="s">
        <v>1716</v>
      </c>
      <c r="F40" s="15" t="str">
        <f>_xlfn.XLOOKUP(D40,[8]DP!$F:$F,[8]DP!$E:$E,"-")</f>
        <v>RIDWAN ALDIANSYAH</v>
      </c>
    </row>
    <row r="41" spans="2:6">
      <c r="B41" s="16" t="s">
        <v>23</v>
      </c>
      <c r="C41" s="15" t="s">
        <v>24</v>
      </c>
      <c r="D41" s="17" t="s">
        <v>62</v>
      </c>
      <c r="E41" s="18" t="s">
        <v>1739</v>
      </c>
      <c r="F41" s="15" t="str">
        <f>_xlfn.XLOOKUP(D41,[8]DP!$F:$F,[8]DP!$E:$E,"-")</f>
        <v>SAMSU RIJAL</v>
      </c>
    </row>
    <row r="42" spans="2:6">
      <c r="B42" s="16" t="s">
        <v>23</v>
      </c>
      <c r="C42" s="15" t="s">
        <v>24</v>
      </c>
      <c r="D42" s="17" t="s">
        <v>63</v>
      </c>
      <c r="E42" s="18" t="s">
        <v>1739</v>
      </c>
      <c r="F42" s="15" t="str">
        <f>_xlfn.XLOOKUP(D42,[8]DP!$F:$F,[8]DP!$E:$E,"-")</f>
        <v>RAKA FAHRIZKI</v>
      </c>
    </row>
    <row r="43" spans="2:6">
      <c r="B43" s="16" t="s">
        <v>23</v>
      </c>
      <c r="C43" s="15" t="s">
        <v>24</v>
      </c>
      <c r="D43" s="17" t="s">
        <v>64</v>
      </c>
      <c r="E43" s="18" t="s">
        <v>1739</v>
      </c>
      <c r="F43" s="15" t="str">
        <f>_xlfn.XLOOKUP(D43,[8]DP!$F:$F,[8]DP!$E:$E,"-")</f>
        <v>NUR KHUSJANANTO</v>
      </c>
    </row>
    <row r="44" spans="2:6">
      <c r="B44" s="16" t="s">
        <v>23</v>
      </c>
      <c r="C44" s="15" t="s">
        <v>24</v>
      </c>
      <c r="D44" s="17" t="s">
        <v>65</v>
      </c>
      <c r="E44" s="18" t="s">
        <v>1739</v>
      </c>
      <c r="F44" s="15" t="str">
        <f>_xlfn.XLOOKUP(D44,[8]DP!$F:$F,[8]DP!$E:$E,"-")</f>
        <v>LUKMAN NULHAKIM</v>
      </c>
    </row>
    <row r="45" spans="2:6">
      <c r="B45" s="16" t="s">
        <v>23</v>
      </c>
      <c r="C45" s="15" t="s">
        <v>24</v>
      </c>
      <c r="D45" s="17" t="s">
        <v>66</v>
      </c>
      <c r="E45" s="18" t="s">
        <v>1739</v>
      </c>
      <c r="F45" s="15" t="str">
        <f>_xlfn.XLOOKUP(D45,[8]DP!$F:$F,[8]DP!$E:$E,"-")</f>
        <v>SAMSU RIJAL</v>
      </c>
    </row>
    <row r="46" spans="2:6">
      <c r="B46" s="16" t="s">
        <v>23</v>
      </c>
      <c r="C46" s="15" t="s">
        <v>24</v>
      </c>
      <c r="D46" s="17" t="s">
        <v>67</v>
      </c>
      <c r="E46" s="18" t="s">
        <v>1716</v>
      </c>
      <c r="F46" s="15" t="str">
        <f>_xlfn.XLOOKUP(D46,[8]DP!$F:$F,[8]DP!$E:$E,"-")</f>
        <v>MUHAMMAD MUGHNIL LABIB</v>
      </c>
    </row>
    <row r="47" spans="2:6">
      <c r="B47" s="16" t="s">
        <v>23</v>
      </c>
      <c r="C47" s="15" t="s">
        <v>24</v>
      </c>
      <c r="D47" s="17" t="s">
        <v>68</v>
      </c>
      <c r="E47" s="18" t="s">
        <v>1716</v>
      </c>
      <c r="F47" s="15" t="str">
        <f>_xlfn.XLOOKUP(D47,[8]DP!$F:$F,[8]DP!$E:$E,"-")</f>
        <v>RANDI PRIHARTONO</v>
      </c>
    </row>
    <row r="48" spans="2:6">
      <c r="B48" s="16" t="s">
        <v>23</v>
      </c>
      <c r="C48" s="15" t="s">
        <v>24</v>
      </c>
      <c r="D48" s="17" t="s">
        <v>69</v>
      </c>
      <c r="E48" s="18" t="s">
        <v>1716</v>
      </c>
      <c r="F48" s="15" t="str">
        <f>_xlfn.XLOOKUP(D48,[8]DP!$F:$F,[8]DP!$E:$E,"-")</f>
        <v>PRAMU SINTO</v>
      </c>
    </row>
    <row r="49" spans="2:6">
      <c r="B49" s="16" t="s">
        <v>23</v>
      </c>
      <c r="C49" s="15" t="s">
        <v>24</v>
      </c>
      <c r="D49" s="17" t="s">
        <v>70</v>
      </c>
      <c r="E49" s="18" t="s">
        <v>1739</v>
      </c>
      <c r="F49" s="15" t="str">
        <f>_xlfn.XLOOKUP(D49,[8]DP!$F:$F,[8]DP!$E:$E,"-")</f>
        <v>RAFLI FEBRIANSYAH</v>
      </c>
    </row>
    <row r="50" spans="2:6">
      <c r="B50" s="16" t="s">
        <v>23</v>
      </c>
      <c r="C50" s="15" t="s">
        <v>24</v>
      </c>
      <c r="D50" s="17" t="s">
        <v>71</v>
      </c>
      <c r="E50" s="18" t="s">
        <v>1739</v>
      </c>
      <c r="F50" s="15" t="str">
        <f>_xlfn.XLOOKUP(D50,[8]DP!$F:$F,[8]DP!$E:$E,"-")</f>
        <v>DIRA CANA</v>
      </c>
    </row>
    <row r="51" spans="2:6">
      <c r="B51" s="16" t="s">
        <v>23</v>
      </c>
      <c r="C51" s="15" t="s">
        <v>24</v>
      </c>
      <c r="D51" s="17" t="s">
        <v>72</v>
      </c>
      <c r="E51" s="18" t="s">
        <v>1739</v>
      </c>
      <c r="F51" s="15" t="str">
        <f>_xlfn.XLOOKUP(D51,[8]DP!$F:$F,[8]DP!$E:$E,"-")</f>
        <v>DIRA CANA</v>
      </c>
    </row>
    <row r="52" spans="2:6">
      <c r="B52" s="16" t="s">
        <v>23</v>
      </c>
      <c r="C52" s="15" t="s">
        <v>24</v>
      </c>
      <c r="D52" s="17" t="s">
        <v>73</v>
      </c>
      <c r="E52" s="18" t="s">
        <v>1716</v>
      </c>
      <c r="F52" s="15" t="str">
        <f>_xlfn.XLOOKUP(D52,[8]DP!$F:$F,[8]DP!$E:$E,"-")</f>
        <v>NOTO IRAWAN</v>
      </c>
    </row>
    <row r="53" spans="2:6">
      <c r="B53" s="16" t="s">
        <v>23</v>
      </c>
      <c r="C53" s="15" t="s">
        <v>24</v>
      </c>
      <c r="D53" s="17" t="s">
        <v>74</v>
      </c>
      <c r="E53" s="18" t="s">
        <v>1739</v>
      </c>
      <c r="F53" s="15" t="str">
        <f>_xlfn.XLOOKUP(D53,[8]DP!$F:$F,[8]DP!$E:$E,"-")</f>
        <v>RENDI ANDIRA</v>
      </c>
    </row>
    <row r="54" spans="2:6">
      <c r="B54" s="16" t="s">
        <v>23</v>
      </c>
      <c r="C54" s="15" t="s">
        <v>24</v>
      </c>
      <c r="D54" s="17" t="s">
        <v>75</v>
      </c>
      <c r="E54" s="18" t="s">
        <v>1739</v>
      </c>
      <c r="F54" s="15" t="str">
        <f>_xlfn.XLOOKUP(D54,[8]DP!$F:$F,[8]DP!$E:$E,"-")</f>
        <v>RAFLI FEBRIANSYAH</v>
      </c>
    </row>
    <row r="55" spans="2:6">
      <c r="B55" s="16" t="s">
        <v>23</v>
      </c>
      <c r="C55" s="15" t="s">
        <v>24</v>
      </c>
      <c r="D55" s="17" t="s">
        <v>76</v>
      </c>
      <c r="E55" s="18" t="s">
        <v>1716</v>
      </c>
      <c r="F55" s="15" t="str">
        <f>_xlfn.XLOOKUP(D55,[8]DP!$F:$F,[8]DP!$E:$E,"-")</f>
        <v>VINNY LESTARI</v>
      </c>
    </row>
    <row r="56" spans="2:6">
      <c r="B56" s="16" t="s">
        <v>23</v>
      </c>
      <c r="C56" s="15" t="s">
        <v>24</v>
      </c>
      <c r="D56" s="17" t="s">
        <v>77</v>
      </c>
      <c r="E56" s="18" t="s">
        <v>1739</v>
      </c>
      <c r="F56" s="15" t="str">
        <f>_xlfn.XLOOKUP(D56,[8]DP!$F:$F,[8]DP!$E:$E,"-")</f>
        <v>MIRZA NURUL FAJAR AHMAD</v>
      </c>
    </row>
    <row r="57" spans="2:6">
      <c r="B57" s="16" t="s">
        <v>23</v>
      </c>
      <c r="C57" s="15" t="s">
        <v>24</v>
      </c>
      <c r="D57" s="17" t="s">
        <v>78</v>
      </c>
      <c r="E57" s="18" t="s">
        <v>1739</v>
      </c>
      <c r="F57" s="15" t="str">
        <f>_xlfn.XLOOKUP(D57,[8]DP!$F:$F,[8]DP!$E:$E,"-")</f>
        <v>FAJAR NUR MAULANA</v>
      </c>
    </row>
    <row r="58" spans="2:6">
      <c r="B58" s="16" t="s">
        <v>23</v>
      </c>
      <c r="C58" s="15" t="s">
        <v>24</v>
      </c>
      <c r="D58" s="17" t="s">
        <v>79</v>
      </c>
      <c r="E58" s="18" t="s">
        <v>1716</v>
      </c>
      <c r="F58" s="15" t="str">
        <f>_xlfn.XLOOKUP(D58,[8]DP!$F:$F,[8]DP!$E:$E,"-")</f>
        <v>TRI ASMA INDRA SAPUTRA</v>
      </c>
    </row>
    <row r="59" spans="2:6">
      <c r="B59" s="16" t="s">
        <v>23</v>
      </c>
      <c r="C59" s="15" t="s">
        <v>24</v>
      </c>
      <c r="D59" s="17" t="s">
        <v>80</v>
      </c>
      <c r="E59" s="18" t="s">
        <v>1716</v>
      </c>
      <c r="F59" s="15" t="str">
        <f>_xlfn.XLOOKUP(D59,[8]DP!$F:$F,[8]DP!$E:$E,"-")</f>
        <v>DAYU CANDRA ISHAK</v>
      </c>
    </row>
    <row r="60" spans="2:6">
      <c r="B60" s="16" t="s">
        <v>23</v>
      </c>
      <c r="C60" s="15" t="s">
        <v>24</v>
      </c>
      <c r="D60" s="17" t="s">
        <v>81</v>
      </c>
      <c r="E60" s="18" t="s">
        <v>1739</v>
      </c>
      <c r="F60" s="15" t="str">
        <f>_xlfn.XLOOKUP(D60,[8]DP!$F:$F,[8]DP!$E:$E,"-")</f>
        <v>DZULFIQAR SADDAM PRAKOSO</v>
      </c>
    </row>
    <row r="61" spans="2:6">
      <c r="B61" s="16" t="s">
        <v>23</v>
      </c>
      <c r="C61" s="15" t="s">
        <v>24</v>
      </c>
      <c r="D61" s="17" t="s">
        <v>82</v>
      </c>
      <c r="E61" s="18" t="s">
        <v>1716</v>
      </c>
      <c r="F61" s="15" t="str">
        <f>_xlfn.XLOOKUP(D61,[8]DP!$F:$F,[8]DP!$E:$E,"-")</f>
        <v>BRIAN DANIEL</v>
      </c>
    </row>
    <row r="62" spans="2:6">
      <c r="B62" s="16" t="s">
        <v>23</v>
      </c>
      <c r="C62" s="15" t="s">
        <v>24</v>
      </c>
      <c r="D62" s="17" t="s">
        <v>83</v>
      </c>
      <c r="E62" s="18" t="s">
        <v>1739</v>
      </c>
      <c r="F62" s="15" t="str">
        <f>_xlfn.XLOOKUP(D62,[8]DP!$F:$F,[8]DP!$E:$E,"-")</f>
        <v>ANJAR MAULANA</v>
      </c>
    </row>
    <row r="63" spans="2:6">
      <c r="B63" s="16" t="s">
        <v>23</v>
      </c>
      <c r="C63" s="15" t="s">
        <v>24</v>
      </c>
      <c r="D63" s="17" t="s">
        <v>84</v>
      </c>
      <c r="E63" s="18" t="s">
        <v>1739</v>
      </c>
      <c r="F63" s="15" t="str">
        <f>_xlfn.XLOOKUP(D63,[8]DP!$F:$F,[8]DP!$E:$E,"-")</f>
        <v>REZA PRATAMA PUTRA</v>
      </c>
    </row>
    <row r="64" spans="2:6">
      <c r="B64" s="16" t="s">
        <v>23</v>
      </c>
      <c r="C64" s="15" t="s">
        <v>24</v>
      </c>
      <c r="D64" s="17" t="s">
        <v>85</v>
      </c>
      <c r="E64" s="18" t="s">
        <v>1716</v>
      </c>
      <c r="F64" s="15" t="str">
        <f>_xlfn.XLOOKUP(D64,[8]DP!$F:$F,[8]DP!$E:$E,"-")</f>
        <v>SALEH</v>
      </c>
    </row>
    <row r="65" spans="2:6">
      <c r="B65" s="16" t="s">
        <v>23</v>
      </c>
      <c r="C65" s="15" t="s">
        <v>24</v>
      </c>
      <c r="D65" s="17" t="s">
        <v>86</v>
      </c>
      <c r="E65" s="18" t="s">
        <v>1716</v>
      </c>
      <c r="F65" s="15" t="str">
        <f>_xlfn.XLOOKUP(D65,[8]DP!$F:$F,[8]DP!$E:$E,"-")</f>
        <v>IKHSAN ALIF AL MI' ROJ</v>
      </c>
    </row>
    <row r="66" spans="2:6">
      <c r="B66" s="16" t="s">
        <v>23</v>
      </c>
      <c r="C66" s="15" t="s">
        <v>24</v>
      </c>
      <c r="D66" s="17" t="s">
        <v>87</v>
      </c>
      <c r="E66" s="18" t="s">
        <v>1739</v>
      </c>
      <c r="F66" s="15" t="str">
        <f>_xlfn.XLOOKUP(D66,[8]DP!$F:$F,[8]DP!$E:$E,"-")</f>
        <v>MOHAMAD IRVAN</v>
      </c>
    </row>
    <row r="67" spans="2:6">
      <c r="B67" s="16" t="s">
        <v>23</v>
      </c>
      <c r="C67" s="15" t="s">
        <v>24</v>
      </c>
      <c r="D67" s="17" t="s">
        <v>88</v>
      </c>
      <c r="E67" s="18" t="s">
        <v>1739</v>
      </c>
      <c r="F67" s="15" t="str">
        <f>_xlfn.XLOOKUP(D67,[8]DP!$F:$F,[8]DP!$E:$E,"-")</f>
        <v>DWI PUTRO WARDOYO WIDODO</v>
      </c>
    </row>
    <row r="68" spans="2:6">
      <c r="B68" s="16" t="s">
        <v>23</v>
      </c>
      <c r="C68" s="15" t="s">
        <v>24</v>
      </c>
      <c r="D68" s="17" t="s">
        <v>89</v>
      </c>
      <c r="E68" s="18" t="s">
        <v>1739</v>
      </c>
      <c r="F68" s="15" t="str">
        <f>_xlfn.XLOOKUP(D68,[8]DP!$F:$F,[8]DP!$E:$E,"-")</f>
        <v>OPI PAJAR IRAWAN</v>
      </c>
    </row>
    <row r="69" spans="2:6">
      <c r="B69" s="16" t="s">
        <v>23</v>
      </c>
      <c r="C69" s="15" t="s">
        <v>24</v>
      </c>
      <c r="D69" s="17" t="s">
        <v>90</v>
      </c>
      <c r="E69" s="18" t="s">
        <v>1739</v>
      </c>
      <c r="F69" s="15" t="str">
        <f>_xlfn.XLOOKUP(D69,[8]DP!$F:$F,[8]DP!$E:$E,"-")</f>
        <v>KUAT PRAYITNO</v>
      </c>
    </row>
    <row r="70" spans="2:6">
      <c r="B70" s="16" t="s">
        <v>23</v>
      </c>
      <c r="C70" s="15" t="s">
        <v>24</v>
      </c>
      <c r="D70" s="17" t="s">
        <v>91</v>
      </c>
      <c r="E70" s="18" t="s">
        <v>1739</v>
      </c>
      <c r="F70" s="15" t="str">
        <f>_xlfn.XLOOKUP(D70,[8]DP!$F:$F,[8]DP!$E:$E,"-")</f>
        <v>AGUNG RESTU MUSTAQIM</v>
      </c>
    </row>
    <row r="71" spans="2:6">
      <c r="B71" s="16" t="s">
        <v>23</v>
      </c>
      <c r="C71" s="15" t="s">
        <v>24</v>
      </c>
      <c r="D71" s="17" t="s">
        <v>92</v>
      </c>
      <c r="E71" s="18" t="s">
        <v>1739</v>
      </c>
      <c r="F71" s="15" t="str">
        <f>_xlfn.XLOOKUP(D71,[8]DP!$F:$F,[8]DP!$E:$E,"-")</f>
        <v>MUHAMMAD SALISGIA</v>
      </c>
    </row>
    <row r="72" spans="2:6">
      <c r="B72" s="16" t="s">
        <v>23</v>
      </c>
      <c r="C72" s="15" t="s">
        <v>24</v>
      </c>
      <c r="D72" s="17" t="s">
        <v>93</v>
      </c>
      <c r="E72" s="18" t="s">
        <v>1739</v>
      </c>
      <c r="F72" s="15" t="str">
        <f>_xlfn.XLOOKUP(D72,[8]DP!$F:$F,[8]DP!$E:$E,"-")</f>
        <v>FADHILLAH NURRACHMAN S</v>
      </c>
    </row>
    <row r="73" spans="2:6">
      <c r="B73" s="16" t="s">
        <v>23</v>
      </c>
      <c r="C73" s="15" t="s">
        <v>24</v>
      </c>
      <c r="D73" s="17" t="s">
        <v>94</v>
      </c>
      <c r="E73" s="18" t="s">
        <v>1716</v>
      </c>
      <c r="F73" s="15" t="str">
        <f>_xlfn.XLOOKUP(D73,[8]DP!$F:$F,[8]DP!$E:$E,"-")</f>
        <v>FADHILLAH NURRACHMAN S</v>
      </c>
    </row>
    <row r="74" spans="2:6">
      <c r="B74" s="16" t="s">
        <v>23</v>
      </c>
      <c r="C74" s="15" t="s">
        <v>24</v>
      </c>
      <c r="D74" s="17" t="s">
        <v>95</v>
      </c>
      <c r="E74" s="18" t="s">
        <v>1716</v>
      </c>
      <c r="F74" s="15" t="str">
        <f>_xlfn.XLOOKUP(D74,[8]DP!$F:$F,[8]DP!$E:$E,"-")</f>
        <v>AGUNG RESTU MUSTAQIM</v>
      </c>
    </row>
    <row r="75" spans="2:6">
      <c r="B75" s="16" t="s">
        <v>96</v>
      </c>
      <c r="C75" s="15" t="s">
        <v>97</v>
      </c>
      <c r="D75" s="17" t="s">
        <v>98</v>
      </c>
      <c r="E75" s="18" t="s">
        <v>1739</v>
      </c>
      <c r="F75" s="15" t="str">
        <f>_xlfn.XLOOKUP(D75,'[10]DROP POINT AKTIF'!$B:$B,'[10]DROP POINT AKTIF'!$F:$F,"-")</f>
        <v>NIAMULLAH</v>
      </c>
    </row>
    <row r="76" spans="2:6">
      <c r="B76" s="16" t="s">
        <v>96</v>
      </c>
      <c r="C76" s="15" t="s">
        <v>97</v>
      </c>
      <c r="D76" s="17" t="s">
        <v>99</v>
      </c>
      <c r="E76" s="18" t="s">
        <v>1739</v>
      </c>
      <c r="F76" s="15" t="str">
        <f>_xlfn.XLOOKUP(D76,'[10]DROP POINT AKTIF'!$B:$B,'[10]DROP POINT AKTIF'!$F:$F,"-")</f>
        <v>TEGUH ISWANTO</v>
      </c>
    </row>
    <row r="77" spans="2:6">
      <c r="B77" s="16" t="s">
        <v>96</v>
      </c>
      <c r="C77" s="15" t="s">
        <v>97</v>
      </c>
      <c r="D77" s="17" t="s">
        <v>100</v>
      </c>
      <c r="E77" s="18" t="s">
        <v>1739</v>
      </c>
      <c r="F77" s="15" t="str">
        <f>_xlfn.XLOOKUP(D77,'[10]DROP POINT AKTIF'!$B:$B,'[10]DROP POINT AKTIF'!$F:$F,"-")</f>
        <v>RAMADANIALDI</v>
      </c>
    </row>
    <row r="78" spans="2:6">
      <c r="B78" s="16" t="s">
        <v>96</v>
      </c>
      <c r="C78" s="15" t="s">
        <v>97</v>
      </c>
      <c r="D78" s="17" t="s">
        <v>101</v>
      </c>
      <c r="E78" s="18" t="s">
        <v>1739</v>
      </c>
      <c r="F78" s="15" t="str">
        <f>_xlfn.XLOOKUP(D78,'[10]DROP POINT AKTIF'!$B:$B,'[10]DROP POINT AKTIF'!$F:$F,"-")</f>
        <v>DEDE JUNA</v>
      </c>
    </row>
    <row r="79" spans="2:6">
      <c r="B79" s="16" t="s">
        <v>96</v>
      </c>
      <c r="C79" s="15" t="s">
        <v>97</v>
      </c>
      <c r="D79" s="17" t="s">
        <v>102</v>
      </c>
      <c r="E79" s="18" t="s">
        <v>1739</v>
      </c>
      <c r="F79" s="15" t="str">
        <f>_xlfn.XLOOKUP(D79,'[10]DROP POINT AKTIF'!$B:$B,'[10]DROP POINT AKTIF'!$F:$F,"-")</f>
        <v>MOCH. JAJULI FAHMI</v>
      </c>
    </row>
    <row r="80" spans="2:6">
      <c r="B80" s="16" t="s">
        <v>96</v>
      </c>
      <c r="C80" s="15" t="s">
        <v>97</v>
      </c>
      <c r="D80" s="17" t="s">
        <v>103</v>
      </c>
      <c r="E80" s="18" t="s">
        <v>1716</v>
      </c>
      <c r="F80" s="15" t="str">
        <f>_xlfn.XLOOKUP(D80,'[10]DROP POINT AKTIF'!$B:$B,'[10]DROP POINT AKTIF'!$F:$F,"-")</f>
        <v>ARIS HERMAWAN</v>
      </c>
    </row>
    <row r="81" spans="2:6">
      <c r="B81" s="16" t="s">
        <v>96</v>
      </c>
      <c r="C81" s="15" t="s">
        <v>97</v>
      </c>
      <c r="D81" s="17" t="s">
        <v>104</v>
      </c>
      <c r="E81" s="18" t="s">
        <v>1716</v>
      </c>
      <c r="F81" s="15" t="str">
        <f>_xlfn.XLOOKUP(D81,'[10]DROP POINT AKTIF'!$B:$B,'[10]DROP POINT AKTIF'!$F:$F,"-")</f>
        <v>IBNU FADILLAH</v>
      </c>
    </row>
    <row r="82" spans="2:6">
      <c r="B82" s="16" t="s">
        <v>96</v>
      </c>
      <c r="C82" s="15" t="s">
        <v>97</v>
      </c>
      <c r="D82" s="17" t="s">
        <v>105</v>
      </c>
      <c r="E82" s="18" t="s">
        <v>1716</v>
      </c>
      <c r="F82" s="15" t="str">
        <f>_xlfn.XLOOKUP(D82,'[10]DROP POINT AKTIF'!$B:$B,'[10]DROP POINT AKTIF'!$F:$F,"-")</f>
        <v>MOHAMAD JUNAEDI FIRMANSYAH</v>
      </c>
    </row>
    <row r="83" spans="2:6">
      <c r="B83" s="16" t="s">
        <v>96</v>
      </c>
      <c r="C83" s="15" t="s">
        <v>97</v>
      </c>
      <c r="D83" s="17" t="s">
        <v>106</v>
      </c>
      <c r="E83" s="18" t="s">
        <v>1716</v>
      </c>
      <c r="F83" s="15" t="str">
        <f>_xlfn.XLOOKUP(D83,'[10]DROP POINT AKTIF'!$B:$B,'[10]DROP POINT AKTIF'!$F:$F,"-")</f>
        <v>MOCH. JAJULI FAHMI</v>
      </c>
    </row>
    <row r="84" spans="2:6">
      <c r="B84" s="16" t="s">
        <v>96</v>
      </c>
      <c r="C84" s="15" t="s">
        <v>97</v>
      </c>
      <c r="D84" s="17" t="s">
        <v>107</v>
      </c>
      <c r="E84" s="18" t="s">
        <v>1716</v>
      </c>
      <c r="F84" s="15" t="str">
        <f>_xlfn.XLOOKUP(D84,'[10]DROP POINT AKTIF'!$B:$B,'[10]DROP POINT AKTIF'!$F:$F,"-")</f>
        <v>HANDOKO</v>
      </c>
    </row>
    <row r="85" spans="2:6">
      <c r="B85" s="16" t="s">
        <v>96</v>
      </c>
      <c r="C85" s="15" t="s">
        <v>97</v>
      </c>
      <c r="D85" s="17" t="s">
        <v>108</v>
      </c>
      <c r="E85" s="18" t="s">
        <v>1716</v>
      </c>
      <c r="F85" s="15" t="str">
        <f>_xlfn.XLOOKUP(D85,'[10]DROP POINT AKTIF'!$B:$B,'[10]DROP POINT AKTIF'!$F:$F,"-")</f>
        <v>MOHAMAD KAHIS</v>
      </c>
    </row>
    <row r="86" spans="2:6">
      <c r="B86" s="16" t="s">
        <v>96</v>
      </c>
      <c r="C86" s="15" t="s">
        <v>97</v>
      </c>
      <c r="D86" s="17" t="s">
        <v>109</v>
      </c>
      <c r="E86" s="18" t="s">
        <v>1716</v>
      </c>
      <c r="F86" s="15" t="str">
        <f>_xlfn.XLOOKUP(D86,'[10]DROP POINT AKTIF'!$B:$B,'[10]DROP POINT AKTIF'!$F:$F,"-")</f>
        <v>CATUR MAY ANDRIAN</v>
      </c>
    </row>
    <row r="87" spans="2:6">
      <c r="B87" s="16" t="s">
        <v>96</v>
      </c>
      <c r="C87" s="15" t="s">
        <v>97</v>
      </c>
      <c r="D87" s="17" t="s">
        <v>110</v>
      </c>
      <c r="E87" s="18" t="s">
        <v>1716</v>
      </c>
      <c r="F87" s="15" t="str">
        <f>_xlfn.XLOOKUP(D87,'[10]DROP POINT AKTIF'!$B:$B,'[10]DROP POINT AKTIF'!$F:$F,"-")</f>
        <v>NOVA ANDRIANTO</v>
      </c>
    </row>
    <row r="88" spans="2:6">
      <c r="B88" s="16" t="s">
        <v>96</v>
      </c>
      <c r="C88" s="15" t="s">
        <v>97</v>
      </c>
      <c r="D88" s="17" t="s">
        <v>111</v>
      </c>
      <c r="E88" s="18" t="s">
        <v>1716</v>
      </c>
      <c r="F88" s="15" t="str">
        <f>_xlfn.XLOOKUP(D88,'[10]DROP POINT AKTIF'!$B:$B,'[10]DROP POINT AKTIF'!$F:$F,"-")</f>
        <v>NOVA ANDRIANTO</v>
      </c>
    </row>
    <row r="89" spans="2:6">
      <c r="B89" s="16" t="s">
        <v>96</v>
      </c>
      <c r="C89" s="15" t="s">
        <v>97</v>
      </c>
      <c r="D89" s="17" t="s">
        <v>112</v>
      </c>
      <c r="E89" s="18" t="s">
        <v>1739</v>
      </c>
      <c r="F89" s="15" t="str">
        <f>_xlfn.XLOOKUP(D89,'[10]DROP POINT AKTIF'!$B:$B,'[10]DROP POINT AKTIF'!$F:$F,"-")</f>
        <v>MUHAMAD WILDAN</v>
      </c>
    </row>
    <row r="90" spans="2:6">
      <c r="B90" s="16" t="s">
        <v>96</v>
      </c>
      <c r="C90" s="15" t="s">
        <v>97</v>
      </c>
      <c r="D90" s="17" t="s">
        <v>113</v>
      </c>
      <c r="E90" s="18" t="s">
        <v>1739</v>
      </c>
      <c r="F90" s="15" t="str">
        <f>_xlfn.XLOOKUP(D90,'[10]DROP POINT AKTIF'!$B:$B,'[10]DROP POINT AKTIF'!$F:$F,"-")</f>
        <v>MUHAMMAD LUTFI</v>
      </c>
    </row>
    <row r="91" spans="2:6">
      <c r="B91" s="16" t="s">
        <v>96</v>
      </c>
      <c r="C91" s="15" t="s">
        <v>97</v>
      </c>
      <c r="D91" s="17" t="s">
        <v>114</v>
      </c>
      <c r="E91" s="18" t="s">
        <v>1716</v>
      </c>
      <c r="F91" s="15" t="str">
        <f>_xlfn.XLOOKUP(D91,'[10]DROP POINT AKTIF'!$B:$B,'[10]DROP POINT AKTIF'!$F:$F,"-")</f>
        <v>DHIAS WIKRAMA ATMAJA</v>
      </c>
    </row>
    <row r="92" spans="2:6">
      <c r="B92" s="16" t="s">
        <v>96</v>
      </c>
      <c r="C92" s="15" t="s">
        <v>97</v>
      </c>
      <c r="D92" s="17" t="s">
        <v>115</v>
      </c>
      <c r="E92" s="18" t="s">
        <v>1716</v>
      </c>
      <c r="F92" s="15" t="str">
        <f>_xlfn.XLOOKUP(D92,'[10]DROP POINT AKTIF'!$B:$B,'[10]DROP POINT AKTIF'!$F:$F,"-")</f>
        <v>ANDI WIDIARTO</v>
      </c>
    </row>
    <row r="93" spans="2:6">
      <c r="B93" s="16" t="s">
        <v>96</v>
      </c>
      <c r="C93" s="15" t="s">
        <v>97</v>
      </c>
      <c r="D93" s="17" t="s">
        <v>116</v>
      </c>
      <c r="E93" s="18" t="s">
        <v>1716</v>
      </c>
      <c r="F93" s="15" t="str">
        <f>_xlfn.XLOOKUP(D93,'[10]DROP POINT AKTIF'!$B:$B,'[10]DROP POINT AKTIF'!$F:$F,"-")</f>
        <v>SARYONO</v>
      </c>
    </row>
    <row r="94" spans="2:6">
      <c r="B94" s="16" t="s">
        <v>96</v>
      </c>
      <c r="C94" s="15" t="s">
        <v>97</v>
      </c>
      <c r="D94" s="17" t="s">
        <v>117</v>
      </c>
      <c r="E94" s="18" t="s">
        <v>1716</v>
      </c>
      <c r="F94" s="15" t="str">
        <f>_xlfn.XLOOKUP(D94,'[10]DROP POINT AKTIF'!$B:$B,'[10]DROP POINT AKTIF'!$F:$F,"-")</f>
        <v>ANGGATIO</v>
      </c>
    </row>
    <row r="95" spans="2:6">
      <c r="B95" s="16" t="s">
        <v>96</v>
      </c>
      <c r="C95" s="15" t="s">
        <v>97</v>
      </c>
      <c r="D95" s="17" t="s">
        <v>118</v>
      </c>
      <c r="E95" s="18" t="s">
        <v>1716</v>
      </c>
      <c r="F95" s="15" t="str">
        <f>_xlfn.XLOOKUP(D95,'[10]DROP POINT AKTIF'!$B:$B,'[10]DROP POINT AKTIF'!$F:$F,"-")</f>
        <v>MUHAMMAD RIFKI</v>
      </c>
    </row>
    <row r="96" spans="2:6">
      <c r="B96" s="16" t="s">
        <v>96</v>
      </c>
      <c r="C96" s="15" t="s">
        <v>97</v>
      </c>
      <c r="D96" s="17" t="s">
        <v>119</v>
      </c>
      <c r="E96" s="18" t="s">
        <v>1716</v>
      </c>
      <c r="F96" s="15" t="str">
        <f>_xlfn.XLOOKUP(D96,'[10]DROP POINT AKTIF'!$B:$B,'[10]DROP POINT AKTIF'!$F:$F,"-")</f>
        <v>SUPYAN SAURI</v>
      </c>
    </row>
    <row r="97" spans="2:6">
      <c r="B97" s="16" t="s">
        <v>96</v>
      </c>
      <c r="C97" s="15" t="s">
        <v>97</v>
      </c>
      <c r="D97" s="17" t="s">
        <v>120</v>
      </c>
      <c r="E97" s="18" t="s">
        <v>1716</v>
      </c>
      <c r="F97" s="15" t="str">
        <f>_xlfn.XLOOKUP(D97,'[10]DROP POINT AKTIF'!$B:$B,'[10]DROP POINT AKTIF'!$F:$F,"-")</f>
        <v>-</v>
      </c>
    </row>
    <row r="98" spans="2:6">
      <c r="B98" s="16" t="s">
        <v>96</v>
      </c>
      <c r="C98" s="15" t="s">
        <v>97</v>
      </c>
      <c r="D98" s="17" t="s">
        <v>121</v>
      </c>
      <c r="E98" s="18" t="s">
        <v>1739</v>
      </c>
      <c r="F98" s="15" t="str">
        <f>_xlfn.XLOOKUP(D98,'[10]DROP POINT AKTIF'!$B:$B,'[10]DROP POINT AKTIF'!$F:$F,"-")</f>
        <v>YUSTRIZA ENDISYA</v>
      </c>
    </row>
    <row r="99" spans="2:6">
      <c r="B99" s="16" t="s">
        <v>96</v>
      </c>
      <c r="C99" s="15" t="s">
        <v>97</v>
      </c>
      <c r="D99" s="17" t="s">
        <v>122</v>
      </c>
      <c r="E99" s="18" t="s">
        <v>1739</v>
      </c>
      <c r="F99" s="15" t="str">
        <f>_xlfn.XLOOKUP(D99,'[10]DROP POINT AKTIF'!$B:$B,'[10]DROP POINT AKTIF'!$F:$F,"-")</f>
        <v>YUSTRIZA ENDISYA</v>
      </c>
    </row>
    <row r="100" spans="2:6">
      <c r="B100" s="16" t="s">
        <v>96</v>
      </c>
      <c r="C100" s="15" t="s">
        <v>97</v>
      </c>
      <c r="D100" s="17" t="s">
        <v>123</v>
      </c>
      <c r="E100" s="18" t="s">
        <v>1739</v>
      </c>
      <c r="F100" s="15" t="str">
        <f>_xlfn.XLOOKUP(D100,'[10]DROP POINT AKTIF'!$B:$B,'[10]DROP POINT AKTIF'!$F:$F,"-")</f>
        <v>ARIF SETIANTO</v>
      </c>
    </row>
    <row r="101" spans="2:6">
      <c r="B101" s="16" t="s">
        <v>96</v>
      </c>
      <c r="C101" s="15" t="s">
        <v>97</v>
      </c>
      <c r="D101" s="17" t="s">
        <v>124</v>
      </c>
      <c r="E101" s="18" t="s">
        <v>1716</v>
      </c>
      <c r="F101" s="15" t="str">
        <f>_xlfn.XLOOKUP(D101,'[10]DROP POINT AKTIF'!$B:$B,'[10]DROP POINT AKTIF'!$F:$F,"-")</f>
        <v>ALFAN AZIZ</v>
      </c>
    </row>
    <row r="102" spans="2:6">
      <c r="B102" s="16" t="s">
        <v>96</v>
      </c>
      <c r="C102" s="15" t="s">
        <v>97</v>
      </c>
      <c r="D102" s="17" t="s">
        <v>125</v>
      </c>
      <c r="E102" s="18" t="s">
        <v>1716</v>
      </c>
      <c r="F102" s="15" t="str">
        <f>_xlfn.XLOOKUP(D102,'[10]DROP POINT AKTIF'!$B:$B,'[10]DROP POINT AKTIF'!$F:$F,"-")</f>
        <v>NUZUL</v>
      </c>
    </row>
    <row r="103" spans="2:6">
      <c r="B103" s="16" t="s">
        <v>96</v>
      </c>
      <c r="C103" s="15" t="s">
        <v>97</v>
      </c>
      <c r="D103" s="17" t="s">
        <v>126</v>
      </c>
      <c r="E103" s="18" t="s">
        <v>1739</v>
      </c>
      <c r="F103" s="15" t="str">
        <f>_xlfn.XLOOKUP(D103,'[10]DROP POINT AKTIF'!$B:$B,'[10]DROP POINT AKTIF'!$F:$F,"-")</f>
        <v>KOMARUDIN</v>
      </c>
    </row>
    <row r="104" spans="2:6">
      <c r="B104" s="16" t="s">
        <v>96</v>
      </c>
      <c r="C104" s="15" t="s">
        <v>97</v>
      </c>
      <c r="D104" s="17" t="s">
        <v>127</v>
      </c>
      <c r="E104" s="18" t="s">
        <v>1739</v>
      </c>
      <c r="F104" s="15" t="str">
        <f>_xlfn.XLOOKUP(D104,'[10]DROP POINT AKTIF'!$B:$B,'[10]DROP POINT AKTIF'!$F:$F,"-")</f>
        <v>TEGAR PRAKOSO</v>
      </c>
    </row>
    <row r="105" spans="2:6">
      <c r="B105" s="16" t="s">
        <v>96</v>
      </c>
      <c r="C105" s="15" t="s">
        <v>97</v>
      </c>
      <c r="D105" s="17" t="s">
        <v>128</v>
      </c>
      <c r="E105" s="18" t="s">
        <v>1716</v>
      </c>
      <c r="F105" s="15" t="str">
        <f>_xlfn.XLOOKUP(D105,'[10]DROP POINT AKTIF'!$B:$B,'[10]DROP POINT AKTIF'!$F:$F,"-")</f>
        <v>KOMARUDIN</v>
      </c>
    </row>
    <row r="106" spans="2:6">
      <c r="B106" s="16" t="s">
        <v>96</v>
      </c>
      <c r="C106" s="15" t="s">
        <v>97</v>
      </c>
      <c r="D106" s="17" t="s">
        <v>129</v>
      </c>
      <c r="E106" s="18" t="s">
        <v>1739</v>
      </c>
      <c r="F106" s="15" t="str">
        <f>_xlfn.XLOOKUP(D106,'[10]DROP POINT AKTIF'!$B:$B,'[10]DROP POINT AKTIF'!$F:$F,"-")</f>
        <v>ARIEF SOFYAN</v>
      </c>
    </row>
    <row r="107" spans="2:6">
      <c r="B107" s="16" t="s">
        <v>96</v>
      </c>
      <c r="C107" s="15" t="s">
        <v>97</v>
      </c>
      <c r="D107" s="17" t="s">
        <v>130</v>
      </c>
      <c r="E107" s="18" t="s">
        <v>1739</v>
      </c>
      <c r="F107" s="15" t="str">
        <f>_xlfn.XLOOKUP(D107,'[10]DROP POINT AKTIF'!$B:$B,'[10]DROP POINT AKTIF'!$F:$F,"-")</f>
        <v>YUSTRIZA ENDISYA</v>
      </c>
    </row>
    <row r="108" spans="2:6">
      <c r="B108" s="16" t="s">
        <v>96</v>
      </c>
      <c r="C108" s="15" t="s">
        <v>97</v>
      </c>
      <c r="D108" s="17" t="s">
        <v>131</v>
      </c>
      <c r="E108" s="18" t="s">
        <v>1739</v>
      </c>
      <c r="F108" s="15" t="str">
        <f>_xlfn.XLOOKUP(D108,'[10]DROP POINT AKTIF'!$B:$B,'[10]DROP POINT AKTIF'!$F:$F,"-")</f>
        <v>SYAHRUL RAMDANI</v>
      </c>
    </row>
    <row r="109" spans="2:6">
      <c r="B109" s="16" t="s">
        <v>96</v>
      </c>
      <c r="C109" s="15" t="s">
        <v>97</v>
      </c>
      <c r="D109" s="17" t="s">
        <v>132</v>
      </c>
      <c r="E109" s="18" t="s">
        <v>1739</v>
      </c>
      <c r="F109" s="15" t="str">
        <f>_xlfn.XLOOKUP(D109,'[10]DROP POINT AKTIF'!$B:$B,'[10]DROP POINT AKTIF'!$F:$F,"-")</f>
        <v>ANDRI ATMAJA</v>
      </c>
    </row>
    <row r="110" spans="2:6">
      <c r="B110" s="16" t="s">
        <v>96</v>
      </c>
      <c r="C110" s="15" t="s">
        <v>97</v>
      </c>
      <c r="D110" s="17" t="s">
        <v>133</v>
      </c>
      <c r="E110" s="18" t="s">
        <v>1716</v>
      </c>
      <c r="F110" s="15" t="str">
        <f>_xlfn.XLOOKUP(D110,'[10]DROP POINT AKTIF'!$B:$B,'[10]DROP POINT AKTIF'!$F:$F,"-")</f>
        <v>MUCHTAR NUR RAMDAN (AAM)</v>
      </c>
    </row>
    <row r="111" spans="2:6">
      <c r="B111" s="16" t="s">
        <v>96</v>
      </c>
      <c r="C111" s="15" t="s">
        <v>97</v>
      </c>
      <c r="D111" s="17" t="s">
        <v>134</v>
      </c>
      <c r="E111" s="18" t="s">
        <v>1739</v>
      </c>
      <c r="F111" s="15" t="str">
        <f>_xlfn.XLOOKUP(D111,'[10]DROP POINT AKTIF'!$B:$B,'[10]DROP POINT AKTIF'!$F:$F,"-")</f>
        <v>MUHAMAD DEDENG</v>
      </c>
    </row>
    <row r="112" spans="2:6">
      <c r="B112" s="16" t="s">
        <v>96</v>
      </c>
      <c r="C112" s="15" t="s">
        <v>97</v>
      </c>
      <c r="D112" s="17" t="s">
        <v>135</v>
      </c>
      <c r="E112" s="18" t="s">
        <v>1739</v>
      </c>
      <c r="F112" s="15" t="str">
        <f>_xlfn.XLOOKUP(D112,'[10]DROP POINT AKTIF'!$B:$B,'[10]DROP POINT AKTIF'!$F:$F,"-")</f>
        <v>DEDI KUMAEDI</v>
      </c>
    </row>
    <row r="113" spans="2:6">
      <c r="B113" s="16" t="s">
        <v>96</v>
      </c>
      <c r="C113" s="15" t="s">
        <v>97</v>
      </c>
      <c r="D113" s="17" t="s">
        <v>136</v>
      </c>
      <c r="E113" s="18" t="s">
        <v>1739</v>
      </c>
      <c r="F113" s="15" t="str">
        <f>_xlfn.XLOOKUP(D113,'[10]DROP POINT AKTIF'!$B:$B,'[10]DROP POINT AKTIF'!$F:$F,"-")</f>
        <v>AMDI MUBAROK</v>
      </c>
    </row>
    <row r="114" spans="2:6">
      <c r="B114" s="16" t="s">
        <v>96</v>
      </c>
      <c r="C114" s="15" t="s">
        <v>97</v>
      </c>
      <c r="D114" s="17" t="s">
        <v>137</v>
      </c>
      <c r="E114" s="18" t="s">
        <v>1739</v>
      </c>
      <c r="F114" s="15" t="str">
        <f>_xlfn.XLOOKUP(D114,'[10]DROP POINT AKTIF'!$B:$B,'[10]DROP POINT AKTIF'!$F:$F,"-")</f>
        <v>MOCH MATIN</v>
      </c>
    </row>
    <row r="115" spans="2:6">
      <c r="B115" s="16" t="s">
        <v>96</v>
      </c>
      <c r="C115" s="15" t="s">
        <v>97</v>
      </c>
      <c r="D115" s="17" t="s">
        <v>138</v>
      </c>
      <c r="E115" s="18" t="s">
        <v>1739</v>
      </c>
      <c r="F115" s="15" t="str">
        <f>_xlfn.XLOOKUP(D115,'[10]DROP POINT AKTIF'!$B:$B,'[10]DROP POINT AKTIF'!$F:$F,"-")</f>
        <v>JUHANDI</v>
      </c>
    </row>
    <row r="116" spans="2:6">
      <c r="B116" s="16" t="s">
        <v>96</v>
      </c>
      <c r="C116" s="15" t="s">
        <v>97</v>
      </c>
      <c r="D116" s="17" t="s">
        <v>139</v>
      </c>
      <c r="E116" s="18" t="s">
        <v>1739</v>
      </c>
      <c r="F116" s="15" t="str">
        <f>_xlfn.XLOOKUP(D116,'[10]DROP POINT AKTIF'!$B:$B,'[10]DROP POINT AKTIF'!$F:$F,"-")</f>
        <v>AZAT SUDRAJAT</v>
      </c>
    </row>
    <row r="117" spans="2:6">
      <c r="B117" s="16" t="s">
        <v>96</v>
      </c>
      <c r="C117" s="15" t="s">
        <v>97</v>
      </c>
      <c r="D117" s="17" t="s">
        <v>140</v>
      </c>
      <c r="E117" s="18" t="s">
        <v>1739</v>
      </c>
      <c r="F117" s="15" t="str">
        <f>_xlfn.XLOOKUP(D117,'[10]DROP POINT AKTIF'!$B:$B,'[10]DROP POINT AKTIF'!$F:$F,"-")</f>
        <v>ROHMAN</v>
      </c>
    </row>
    <row r="118" spans="2:6">
      <c r="B118" s="16" t="s">
        <v>96</v>
      </c>
      <c r="C118" s="15" t="s">
        <v>97</v>
      </c>
      <c r="D118" s="17" t="s">
        <v>141</v>
      </c>
      <c r="E118" s="18" t="s">
        <v>1739</v>
      </c>
      <c r="F118" s="15" t="str">
        <f>_xlfn.XLOOKUP(D118,'[10]DROP POINT AKTIF'!$B:$B,'[10]DROP POINT AKTIF'!$F:$F,"-")</f>
        <v>DEDI KUMAEDI</v>
      </c>
    </row>
    <row r="119" spans="2:6">
      <c r="B119" s="16" t="s">
        <v>96</v>
      </c>
      <c r="C119" s="15" t="s">
        <v>97</v>
      </c>
      <c r="D119" s="17" t="s">
        <v>142</v>
      </c>
      <c r="E119" s="18" t="s">
        <v>1739</v>
      </c>
      <c r="F119" s="15" t="str">
        <f>_xlfn.XLOOKUP(D119,'[10]DROP POINT AKTIF'!$B:$B,'[10]DROP POINT AKTIF'!$F:$F,"-")</f>
        <v>WAHYUDIN</v>
      </c>
    </row>
    <row r="120" spans="2:6">
      <c r="B120" s="16" t="s">
        <v>96</v>
      </c>
      <c r="C120" s="15" t="s">
        <v>97</v>
      </c>
      <c r="D120" s="17" t="s">
        <v>143</v>
      </c>
      <c r="E120" s="18" t="s">
        <v>1739</v>
      </c>
      <c r="F120" s="15" t="str">
        <f>_xlfn.XLOOKUP(D120,'[10]DROP POINT AKTIF'!$B:$B,'[10]DROP POINT AKTIF'!$F:$F,"-")</f>
        <v>WAHYUDIN</v>
      </c>
    </row>
    <row r="121" spans="2:6">
      <c r="B121" s="16" t="s">
        <v>96</v>
      </c>
      <c r="C121" s="15" t="s">
        <v>97</v>
      </c>
      <c r="D121" s="17" t="s">
        <v>144</v>
      </c>
      <c r="E121" s="18" t="s">
        <v>1739</v>
      </c>
      <c r="F121" s="15" t="str">
        <f>_xlfn.XLOOKUP(D121,'[10]DROP POINT AKTIF'!$B:$B,'[10]DROP POINT AKTIF'!$F:$F,"-")</f>
        <v>IRIYANTO</v>
      </c>
    </row>
    <row r="122" spans="2:6">
      <c r="B122" s="16" t="s">
        <v>96</v>
      </c>
      <c r="C122" s="15" t="s">
        <v>97</v>
      </c>
      <c r="D122" s="17" t="s">
        <v>145</v>
      </c>
      <c r="E122" s="18" t="s">
        <v>1739</v>
      </c>
      <c r="F122" s="15" t="str">
        <f>_xlfn.XLOOKUP(D122,'[10]DROP POINT AKTIF'!$B:$B,'[10]DROP POINT AKTIF'!$F:$F,"-")</f>
        <v>ADIT PURNADILATA</v>
      </c>
    </row>
    <row r="123" spans="2:6">
      <c r="B123" s="16" t="s">
        <v>96</v>
      </c>
      <c r="C123" s="15" t="s">
        <v>97</v>
      </c>
      <c r="D123" s="17" t="s">
        <v>146</v>
      </c>
      <c r="E123" s="18" t="s">
        <v>1739</v>
      </c>
      <c r="F123" s="15" t="str">
        <f>_xlfn.XLOOKUP(D123,'[10]DROP POINT AKTIF'!$B:$B,'[10]DROP POINT AKTIF'!$F:$F,"-")</f>
        <v>ROBI FARLI</v>
      </c>
    </row>
    <row r="124" spans="2:6">
      <c r="B124" s="16" t="s">
        <v>96</v>
      </c>
      <c r="C124" s="15" t="s">
        <v>97</v>
      </c>
      <c r="D124" s="17" t="s">
        <v>147</v>
      </c>
      <c r="E124" s="18" t="s">
        <v>1739</v>
      </c>
      <c r="F124" s="15" t="str">
        <f>_xlfn.XLOOKUP(D124,'[10]DROP POINT AKTIF'!$B:$B,'[10]DROP POINT AKTIF'!$F:$F,"-")</f>
        <v>WAHYUDIN</v>
      </c>
    </row>
    <row r="125" spans="2:6">
      <c r="B125" s="16" t="s">
        <v>96</v>
      </c>
      <c r="C125" s="15" t="s">
        <v>97</v>
      </c>
      <c r="D125" s="17" t="s">
        <v>148</v>
      </c>
      <c r="E125" s="18" t="s">
        <v>1739</v>
      </c>
      <c r="F125" s="15" t="str">
        <f>_xlfn.XLOOKUP(D125,'[10]DROP POINT AKTIF'!$B:$B,'[10]DROP POINT AKTIF'!$F:$F,"-")</f>
        <v>ROBI FARLI</v>
      </c>
    </row>
    <row r="126" spans="2:6">
      <c r="B126" s="16" t="s">
        <v>96</v>
      </c>
      <c r="C126" s="15" t="s">
        <v>97</v>
      </c>
      <c r="D126" s="17" t="s">
        <v>149</v>
      </c>
      <c r="E126" s="18" t="s">
        <v>1739</v>
      </c>
      <c r="F126" s="15" t="str">
        <f>_xlfn.XLOOKUP(D126,'[10]DROP POINT AKTIF'!$B:$B,'[10]DROP POINT AKTIF'!$F:$F,"-")</f>
        <v>ROBI FARLI</v>
      </c>
    </row>
    <row r="127" spans="2:6">
      <c r="B127" s="16" t="s">
        <v>96</v>
      </c>
      <c r="C127" s="15" t="s">
        <v>97</v>
      </c>
      <c r="D127" s="17" t="s">
        <v>150</v>
      </c>
      <c r="E127" s="18" t="s">
        <v>1739</v>
      </c>
      <c r="F127" s="15" t="str">
        <f>_xlfn.XLOOKUP(D127,'[10]DROP POINT AKTIF'!$B:$B,'[10]DROP POINT AKTIF'!$F:$F,"-")</f>
        <v>AMDI MUBAROK</v>
      </c>
    </row>
    <row r="128" spans="2:6">
      <c r="B128" s="16" t="s">
        <v>96</v>
      </c>
      <c r="C128" s="15" t="s">
        <v>97</v>
      </c>
      <c r="D128" s="17" t="s">
        <v>151</v>
      </c>
      <c r="E128" s="18" t="s">
        <v>1739</v>
      </c>
      <c r="F128" s="15" t="str">
        <f>_xlfn.XLOOKUP(D128,'[10]DROP POINT AKTIF'!$B:$B,'[10]DROP POINT AKTIF'!$F:$F,"-")</f>
        <v>MOCH MATIN</v>
      </c>
    </row>
    <row r="129" spans="2:6">
      <c r="B129" s="16" t="s">
        <v>96</v>
      </c>
      <c r="C129" s="15" t="s">
        <v>97</v>
      </c>
      <c r="D129" s="17" t="s">
        <v>152</v>
      </c>
      <c r="E129" s="18" t="s">
        <v>1739</v>
      </c>
      <c r="F129" s="15" t="str">
        <f>_xlfn.XLOOKUP(D129,'[10]DROP POINT AKTIF'!$B:$B,'[10]DROP POINT AKTIF'!$F:$F,"-")</f>
        <v>FAHRI PRATAMA</v>
      </c>
    </row>
    <row r="130" spans="2:6">
      <c r="B130" s="16" t="s">
        <v>96</v>
      </c>
      <c r="C130" s="15" t="s">
        <v>97</v>
      </c>
      <c r="D130" s="17" t="s">
        <v>153</v>
      </c>
      <c r="E130" s="18" t="s">
        <v>1739</v>
      </c>
      <c r="F130" s="15" t="str">
        <f>_xlfn.XLOOKUP(D130,'[10]DROP POINT AKTIF'!$B:$B,'[10]DROP POINT AKTIF'!$F:$F,"-")</f>
        <v>MUHAMAD DEDENG</v>
      </c>
    </row>
    <row r="131" spans="2:6">
      <c r="B131" s="16" t="s">
        <v>96</v>
      </c>
      <c r="C131" s="15" t="s">
        <v>97</v>
      </c>
      <c r="D131" s="17" t="s">
        <v>154</v>
      </c>
      <c r="E131" s="18" t="s">
        <v>1739</v>
      </c>
      <c r="F131" s="15" t="str">
        <f>_xlfn.XLOOKUP(D131,'[10]DROP POINT AKTIF'!$B:$B,'[10]DROP POINT AKTIF'!$F:$F,"-")</f>
        <v>ADIT PURNADILATA</v>
      </c>
    </row>
    <row r="132" spans="2:6">
      <c r="B132" s="16" t="s">
        <v>96</v>
      </c>
      <c r="C132" s="15" t="s">
        <v>97</v>
      </c>
      <c r="D132" s="17" t="s">
        <v>155</v>
      </c>
      <c r="E132" s="18" t="s">
        <v>1739</v>
      </c>
      <c r="F132" s="15" t="str">
        <f>_xlfn.XLOOKUP(D132,'[10]DROP POINT AKTIF'!$B:$B,'[10]DROP POINT AKTIF'!$F:$F,"-")</f>
        <v>ROHMAN</v>
      </c>
    </row>
    <row r="133" spans="2:6">
      <c r="B133" s="16" t="s">
        <v>96</v>
      </c>
      <c r="C133" s="15" t="s">
        <v>97</v>
      </c>
      <c r="D133" s="17" t="s">
        <v>156</v>
      </c>
      <c r="E133" s="18" t="s">
        <v>1739</v>
      </c>
      <c r="F133" s="15" t="str">
        <f>_xlfn.XLOOKUP(D133,'[10]DROP POINT AKTIF'!$B:$B,'[10]DROP POINT AKTIF'!$F:$F,"-")</f>
        <v>DEDI KUMAEDI</v>
      </c>
    </row>
    <row r="134" spans="2:6">
      <c r="B134" s="16" t="s">
        <v>96</v>
      </c>
      <c r="C134" s="15" t="s">
        <v>97</v>
      </c>
      <c r="D134" s="17" t="s">
        <v>157</v>
      </c>
      <c r="E134" s="18" t="s">
        <v>1739</v>
      </c>
      <c r="F134" s="15" t="str">
        <f>_xlfn.XLOOKUP(D134,'[10]DROP POINT AKTIF'!$B:$B,'[10]DROP POINT AKTIF'!$F:$F,"-")</f>
        <v>HENDRA SAPUTRA</v>
      </c>
    </row>
    <row r="135" spans="2:6">
      <c r="B135" s="16" t="s">
        <v>96</v>
      </c>
      <c r="C135" s="15" t="s">
        <v>97</v>
      </c>
      <c r="D135" s="17" t="s">
        <v>158</v>
      </c>
      <c r="E135" s="18" t="s">
        <v>1739</v>
      </c>
      <c r="F135" s="15" t="str">
        <f>_xlfn.XLOOKUP(D135,'[10]DROP POINT AKTIF'!$B:$B,'[10]DROP POINT AKTIF'!$F:$F,"-")</f>
        <v>AHMAD SUHENDI</v>
      </c>
    </row>
    <row r="136" spans="2:6">
      <c r="B136" s="16" t="s">
        <v>96</v>
      </c>
      <c r="C136" s="15" t="s">
        <v>97</v>
      </c>
      <c r="D136" s="17" t="s">
        <v>159</v>
      </c>
      <c r="E136" s="18" t="s">
        <v>1739</v>
      </c>
      <c r="F136" s="15" t="str">
        <f>_xlfn.XLOOKUP(D136,'[10]DROP POINT AKTIF'!$B:$B,'[10]DROP POINT AKTIF'!$F:$F,"-")</f>
        <v>MUHAMMAD USUP</v>
      </c>
    </row>
    <row r="137" spans="2:6">
      <c r="B137" s="16" t="s">
        <v>96</v>
      </c>
      <c r="C137" s="15" t="s">
        <v>97</v>
      </c>
      <c r="D137" s="17" t="s">
        <v>160</v>
      </c>
      <c r="E137" s="18" t="s">
        <v>1739</v>
      </c>
      <c r="F137" s="15" t="str">
        <f>_xlfn.XLOOKUP(D137,'[10]DROP POINT AKTIF'!$B:$B,'[10]DROP POINT AKTIF'!$F:$F,"-")</f>
        <v>ZAKARIA MAHMUD</v>
      </c>
    </row>
    <row r="138" spans="2:6">
      <c r="B138" s="16" t="s">
        <v>96</v>
      </c>
      <c r="C138" s="15" t="s">
        <v>97</v>
      </c>
      <c r="D138" s="17" t="s">
        <v>161</v>
      </c>
      <c r="E138" s="18" t="s">
        <v>1739</v>
      </c>
      <c r="F138" s="15" t="str">
        <f>_xlfn.XLOOKUP(D138,'[10]DROP POINT AKTIF'!$B:$B,'[10]DROP POINT AKTIF'!$F:$F,"-")</f>
        <v>ADE MUKLIS</v>
      </c>
    </row>
    <row r="139" spans="2:6">
      <c r="B139" s="16" t="s">
        <v>96</v>
      </c>
      <c r="C139" s="15" t="s">
        <v>97</v>
      </c>
      <c r="D139" s="17" t="s">
        <v>162</v>
      </c>
      <c r="E139" s="18" t="s">
        <v>1739</v>
      </c>
      <c r="F139" s="15" t="str">
        <f>_xlfn.XLOOKUP(D139,'[10]DROP POINT AKTIF'!$B:$B,'[10]DROP POINT AKTIF'!$F:$F,"-")</f>
        <v>WIDODO</v>
      </c>
    </row>
    <row r="140" spans="2:6">
      <c r="B140" s="16" t="s">
        <v>96</v>
      </c>
      <c r="C140" s="15" t="s">
        <v>97</v>
      </c>
      <c r="D140" s="17" t="s">
        <v>163</v>
      </c>
      <c r="E140" s="18" t="s">
        <v>1739</v>
      </c>
      <c r="F140" s="15" t="str">
        <f>_xlfn.XLOOKUP(D140,'[10]DROP POINT AKTIF'!$B:$B,'[10]DROP POINT AKTIF'!$F:$F,"-")</f>
        <v>MUHAMAD HAMDAN</v>
      </c>
    </row>
    <row r="141" spans="2:6">
      <c r="B141" s="16" t="s">
        <v>96</v>
      </c>
      <c r="C141" s="15" t="s">
        <v>97</v>
      </c>
      <c r="D141" s="17" t="s">
        <v>164</v>
      </c>
      <c r="E141" s="18" t="s">
        <v>1739</v>
      </c>
      <c r="F141" s="15" t="str">
        <f>_xlfn.XLOOKUP(D141,'[10]DROP POINT AKTIF'!$B:$B,'[10]DROP POINT AKTIF'!$F:$F,"-")</f>
        <v>MUHAMAD LUTFI SUHENDAR</v>
      </c>
    </row>
    <row r="142" spans="2:6">
      <c r="B142" s="16" t="s">
        <v>96</v>
      </c>
      <c r="C142" s="15" t="s">
        <v>97</v>
      </c>
      <c r="D142" s="17" t="s">
        <v>165</v>
      </c>
      <c r="E142" s="18" t="s">
        <v>1739</v>
      </c>
      <c r="F142" s="15" t="str">
        <f>_xlfn.XLOOKUP(D142,'[10]DROP POINT AKTIF'!$B:$B,'[10]DROP POINT AKTIF'!$F:$F,"-")</f>
        <v>MELI ROMLI</v>
      </c>
    </row>
    <row r="143" spans="2:6">
      <c r="B143" s="16" t="s">
        <v>96</v>
      </c>
      <c r="C143" s="15" t="s">
        <v>97</v>
      </c>
      <c r="D143" s="17" t="s">
        <v>166</v>
      </c>
      <c r="E143" s="18" t="s">
        <v>1739</v>
      </c>
      <c r="F143" s="15" t="str">
        <f>_xlfn.XLOOKUP(D143,'[10]DROP POINT AKTIF'!$B:$B,'[10]DROP POINT AKTIF'!$F:$F,"-")</f>
        <v>RIKIYANSAH</v>
      </c>
    </row>
    <row r="144" spans="2:6">
      <c r="B144" s="16" t="s">
        <v>96</v>
      </c>
      <c r="C144" s="15" t="s">
        <v>97</v>
      </c>
      <c r="D144" s="17" t="s">
        <v>167</v>
      </c>
      <c r="E144" s="18" t="s">
        <v>1739</v>
      </c>
      <c r="F144" s="15" t="str">
        <f>_xlfn.XLOOKUP(D144,'[10]DROP POINT AKTIF'!$B:$B,'[10]DROP POINT AKTIF'!$F:$F,"-")</f>
        <v>SUHENDRIK</v>
      </c>
    </row>
    <row r="145" spans="2:6">
      <c r="B145" s="16" t="s">
        <v>96</v>
      </c>
      <c r="C145" s="15" t="s">
        <v>97</v>
      </c>
      <c r="D145" s="17" t="s">
        <v>168</v>
      </c>
      <c r="E145" s="18" t="s">
        <v>1739</v>
      </c>
      <c r="F145" s="15" t="str">
        <f>_xlfn.XLOOKUP(D145,'[10]DROP POINT AKTIF'!$B:$B,'[10]DROP POINT AKTIF'!$F:$F,"-")</f>
        <v>MUHAMAD FICQIH</v>
      </c>
    </row>
    <row r="146" spans="2:6">
      <c r="B146" s="16" t="s">
        <v>96</v>
      </c>
      <c r="C146" s="15" t="s">
        <v>97</v>
      </c>
      <c r="D146" s="17" t="s">
        <v>169</v>
      </c>
      <c r="E146" s="18" t="s">
        <v>1739</v>
      </c>
      <c r="F146" s="15" t="str">
        <f>_xlfn.XLOOKUP(D146,'[10]DROP POINT AKTIF'!$B:$B,'[10]DROP POINT AKTIF'!$F:$F,"-")</f>
        <v>RIKIYANSAH</v>
      </c>
    </row>
    <row r="147" spans="2:6">
      <c r="B147" s="16" t="s">
        <v>96</v>
      </c>
      <c r="C147" s="15" t="s">
        <v>97</v>
      </c>
      <c r="D147" s="17" t="s">
        <v>170</v>
      </c>
      <c r="E147" s="18" t="s">
        <v>1716</v>
      </c>
      <c r="F147" s="15" t="str">
        <f>_xlfn.XLOOKUP(D147,'[10]DROP POINT AKTIF'!$B:$B,'[10]DROP POINT AKTIF'!$F:$F,"-")</f>
        <v>-</v>
      </c>
    </row>
    <row r="148" spans="2:6">
      <c r="B148" s="16" t="s">
        <v>96</v>
      </c>
      <c r="C148" s="15" t="s">
        <v>97</v>
      </c>
      <c r="D148" s="17" t="s">
        <v>171</v>
      </c>
      <c r="E148" s="18" t="s">
        <v>1739</v>
      </c>
      <c r="F148" s="15" t="str">
        <f>_xlfn.XLOOKUP(D148,'[10]DROP POINT AKTIF'!$B:$B,'[10]DROP POINT AKTIF'!$F:$F,"-")</f>
        <v>MOHAMAD TOPAN BERI FIRMAN</v>
      </c>
    </row>
    <row r="149" spans="2:6">
      <c r="B149" s="16" t="s">
        <v>96</v>
      </c>
      <c r="C149" s="15" t="s">
        <v>97</v>
      </c>
      <c r="D149" s="17" t="s">
        <v>172</v>
      </c>
      <c r="E149" s="18" t="s">
        <v>1739</v>
      </c>
      <c r="F149" s="15" t="str">
        <f>_xlfn.XLOOKUP(D149,'[10]DROP POINT AKTIF'!$B:$B,'[10]DROP POINT AKTIF'!$F:$F,"-")</f>
        <v>DIRGAHAYU</v>
      </c>
    </row>
    <row r="150" spans="2:6">
      <c r="B150" s="16" t="s">
        <v>96</v>
      </c>
      <c r="C150" s="15" t="s">
        <v>97</v>
      </c>
      <c r="D150" s="17" t="s">
        <v>173</v>
      </c>
      <c r="E150" s="18" t="s">
        <v>1716</v>
      </c>
      <c r="F150" s="15" t="str">
        <f>_xlfn.XLOOKUP(D150,'[10]DROP POINT AKTIF'!$B:$B,'[10]DROP POINT AKTIF'!$F:$F,"-")</f>
        <v>MUHAMMAD BAGUS PRATAMA</v>
      </c>
    </row>
    <row r="151" spans="2:6">
      <c r="B151" s="16" t="s">
        <v>96</v>
      </c>
      <c r="C151" s="15" t="s">
        <v>97</v>
      </c>
      <c r="D151" s="17" t="s">
        <v>174</v>
      </c>
      <c r="E151" s="18" t="s">
        <v>1739</v>
      </c>
      <c r="F151" s="15" t="str">
        <f>_xlfn.XLOOKUP(D151,'[10]DROP POINT AKTIF'!$B:$B,'[10]DROP POINT AKTIF'!$F:$F,"-")</f>
        <v>SYAMSURI</v>
      </c>
    </row>
    <row r="152" spans="2:6">
      <c r="B152" s="16" t="s">
        <v>96</v>
      </c>
      <c r="C152" s="15" t="s">
        <v>97</v>
      </c>
      <c r="D152" s="17" t="s">
        <v>175</v>
      </c>
      <c r="E152" s="18" t="s">
        <v>1716</v>
      </c>
      <c r="F152" s="15" t="str">
        <f>_xlfn.XLOOKUP(D152,'[10]DROP POINT AKTIF'!$B:$B,'[10]DROP POINT AKTIF'!$F:$F,"-")</f>
        <v>FAUZUL HUSNAN</v>
      </c>
    </row>
    <row r="153" spans="2:6">
      <c r="B153" s="16" t="s">
        <v>96</v>
      </c>
      <c r="C153" s="15" t="s">
        <v>97</v>
      </c>
      <c r="D153" s="17" t="s">
        <v>176</v>
      </c>
      <c r="E153" s="18" t="s">
        <v>1716</v>
      </c>
      <c r="F153" s="15" t="str">
        <f>_xlfn.XLOOKUP(D153,'[10]DROP POINT AKTIF'!$B:$B,'[10]DROP POINT AKTIF'!$F:$F,"-")</f>
        <v>NUR YOYO GUNARA</v>
      </c>
    </row>
    <row r="154" spans="2:6">
      <c r="B154" s="16" t="s">
        <v>96</v>
      </c>
      <c r="C154" s="15" t="s">
        <v>97</v>
      </c>
      <c r="D154" s="17" t="s">
        <v>177</v>
      </c>
      <c r="E154" s="18" t="s">
        <v>1716</v>
      </c>
      <c r="F154" s="15" t="str">
        <f>_xlfn.XLOOKUP(D154,'[10]DROP POINT AKTIF'!$B:$B,'[10]DROP POINT AKTIF'!$F:$F,"-")</f>
        <v>SANDI IRAWAN</v>
      </c>
    </row>
    <row r="155" spans="2:6">
      <c r="B155" s="16" t="s">
        <v>96</v>
      </c>
      <c r="C155" s="15" t="s">
        <v>97</v>
      </c>
      <c r="D155" s="17" t="s">
        <v>178</v>
      </c>
      <c r="E155" s="18" t="s">
        <v>1716</v>
      </c>
      <c r="F155" s="15" t="str">
        <f>_xlfn.XLOOKUP(D155,'[10]DROP POINT AKTIF'!$B:$B,'[10]DROP POINT AKTIF'!$F:$F,"-")</f>
        <v>AHMAD NURYAMAN</v>
      </c>
    </row>
    <row r="156" spans="2:6">
      <c r="B156" s="16" t="s">
        <v>96</v>
      </c>
      <c r="C156" s="15" t="s">
        <v>97</v>
      </c>
      <c r="D156" s="17" t="s">
        <v>179</v>
      </c>
      <c r="E156" s="18" t="s">
        <v>1716</v>
      </c>
      <c r="F156" s="15" t="str">
        <f>_xlfn.XLOOKUP(D156,'[10]DROP POINT AKTIF'!$B:$B,'[10]DROP POINT AKTIF'!$F:$F,"-")</f>
        <v>AHMAD RONI SAFRONI</v>
      </c>
    </row>
    <row r="157" spans="2:6">
      <c r="B157" s="16" t="s">
        <v>96</v>
      </c>
      <c r="C157" s="15" t="s">
        <v>97</v>
      </c>
      <c r="D157" s="17" t="s">
        <v>180</v>
      </c>
      <c r="E157" s="18" t="s">
        <v>1716</v>
      </c>
      <c r="F157" s="15" t="str">
        <f>_xlfn.XLOOKUP(D157,'[10]DROP POINT AKTIF'!$B:$B,'[10]DROP POINT AKTIF'!$F:$F,"-")</f>
        <v>DWI ADI SUTRISNO</v>
      </c>
    </row>
    <row r="158" spans="2:6">
      <c r="B158" s="16" t="s">
        <v>96</v>
      </c>
      <c r="C158" s="15" t="s">
        <v>97</v>
      </c>
      <c r="D158" s="17" t="s">
        <v>181</v>
      </c>
      <c r="E158" s="18" t="s">
        <v>1739</v>
      </c>
      <c r="F158" s="15" t="str">
        <f>_xlfn.XLOOKUP(D158,'[10]DROP POINT AKTIF'!$B:$B,'[10]DROP POINT AKTIF'!$F:$F,"-")</f>
        <v>SAEPI</v>
      </c>
    </row>
    <row r="159" spans="2:6">
      <c r="B159" s="16" t="s">
        <v>96</v>
      </c>
      <c r="C159" s="15" t="s">
        <v>97</v>
      </c>
      <c r="D159" s="17" t="s">
        <v>182</v>
      </c>
      <c r="E159" s="18" t="s">
        <v>1716</v>
      </c>
      <c r="F159" s="15" t="str">
        <f>_xlfn.XLOOKUP(D159,'[10]DROP POINT AKTIF'!$B:$B,'[10]DROP POINT AKTIF'!$F:$F,"-")</f>
        <v>EKO PURNAWAN SUHERI</v>
      </c>
    </row>
    <row r="160" spans="2:6">
      <c r="B160" s="16" t="s">
        <v>96</v>
      </c>
      <c r="C160" s="15" t="s">
        <v>97</v>
      </c>
      <c r="D160" s="17" t="s">
        <v>183</v>
      </c>
      <c r="E160" s="18" t="s">
        <v>1739</v>
      </c>
      <c r="F160" s="15" t="str">
        <f>_xlfn.XLOOKUP(D160,'[10]DROP POINT AKTIF'!$B:$B,'[10]DROP POINT AKTIF'!$F:$F,"-")</f>
        <v>AZIS BACHTIAR</v>
      </c>
    </row>
    <row r="161" spans="2:6">
      <c r="B161" s="16" t="s">
        <v>96</v>
      </c>
      <c r="C161" s="15" t="s">
        <v>97</v>
      </c>
      <c r="D161" s="17" t="s">
        <v>184</v>
      </c>
      <c r="E161" s="18" t="s">
        <v>1716</v>
      </c>
      <c r="F161" s="15" t="str">
        <f>_xlfn.XLOOKUP(D161,'[10]DROP POINT AKTIF'!$B:$B,'[10]DROP POINT AKTIF'!$F:$F,"-")</f>
        <v>AHMAD RONI SAFRONI</v>
      </c>
    </row>
    <row r="162" spans="2:6">
      <c r="B162" s="16" t="s">
        <v>96</v>
      </c>
      <c r="C162" s="15" t="s">
        <v>97</v>
      </c>
      <c r="D162" s="17" t="s">
        <v>185</v>
      </c>
      <c r="E162" s="18" t="s">
        <v>1739</v>
      </c>
      <c r="F162" s="15" t="str">
        <f>_xlfn.XLOOKUP(D162,'[10]DROP POINT AKTIF'!$B:$B,'[10]DROP POINT AKTIF'!$F:$F,"-")</f>
        <v>NURDIN</v>
      </c>
    </row>
    <row r="163" spans="2:6">
      <c r="B163" s="16" t="s">
        <v>96</v>
      </c>
      <c r="C163" s="15" t="s">
        <v>97</v>
      </c>
      <c r="D163" s="17" t="s">
        <v>186</v>
      </c>
      <c r="E163" s="18" t="s">
        <v>1739</v>
      </c>
      <c r="F163" s="15" t="str">
        <f>_xlfn.XLOOKUP(D163,'[10]DROP POINT AKTIF'!$B:$B,'[10]DROP POINT AKTIF'!$F:$F,"-")</f>
        <v>SYAMSURI</v>
      </c>
    </row>
    <row r="164" spans="2:6">
      <c r="B164" s="16" t="s">
        <v>96</v>
      </c>
      <c r="C164" s="15" t="s">
        <v>97</v>
      </c>
      <c r="D164" s="17" t="s">
        <v>187</v>
      </c>
      <c r="E164" s="18" t="s">
        <v>1716</v>
      </c>
      <c r="F164" s="15" t="str">
        <f>_xlfn.XLOOKUP(D164,'[10]DROP POINT AKTIF'!$B:$B,'[10]DROP POINT AKTIF'!$F:$F,"-")</f>
        <v>MULYADI</v>
      </c>
    </row>
    <row r="165" spans="2:6">
      <c r="B165" s="16" t="s">
        <v>96</v>
      </c>
      <c r="C165" s="15" t="s">
        <v>97</v>
      </c>
      <c r="D165" s="17" t="s">
        <v>188</v>
      </c>
      <c r="E165" s="18" t="s">
        <v>1716</v>
      </c>
      <c r="F165" s="15" t="str">
        <f>_xlfn.XLOOKUP(D165,'[10]DROP POINT AKTIF'!$B:$B,'[10]DROP POINT AKTIF'!$F:$F,"-")</f>
        <v>ISHAK DISTANSYAH</v>
      </c>
    </row>
    <row r="166" spans="2:6">
      <c r="B166" s="16" t="s">
        <v>96</v>
      </c>
      <c r="C166" s="15" t="s">
        <v>97</v>
      </c>
      <c r="D166" s="17" t="s">
        <v>189</v>
      </c>
      <c r="E166" s="18" t="s">
        <v>1716</v>
      </c>
      <c r="F166" s="15" t="str">
        <f>_xlfn.XLOOKUP(D166,'[10]DROP POINT AKTIF'!$B:$B,'[10]DROP POINT AKTIF'!$F:$F,"-")</f>
        <v>SOFYAN DWI SAPUTRA</v>
      </c>
    </row>
    <row r="167" spans="2:6">
      <c r="B167" s="16" t="s">
        <v>96</v>
      </c>
      <c r="C167" s="15" t="s">
        <v>97</v>
      </c>
      <c r="D167" s="17" t="s">
        <v>190</v>
      </c>
      <c r="E167" s="18" t="s">
        <v>1716</v>
      </c>
      <c r="F167" s="15" t="str">
        <f>_xlfn.XLOOKUP(D167,'[10]DROP POINT AKTIF'!$B:$B,'[10]DROP POINT AKTIF'!$F:$F,"-")</f>
        <v>ADITYA</v>
      </c>
    </row>
    <row r="168" spans="2:6">
      <c r="B168" s="16" t="s">
        <v>96</v>
      </c>
      <c r="C168" s="15" t="s">
        <v>97</v>
      </c>
      <c r="D168" s="17" t="s">
        <v>191</v>
      </c>
      <c r="E168" s="18" t="s">
        <v>1716</v>
      </c>
      <c r="F168" s="15" t="str">
        <f>_xlfn.XLOOKUP(D168,'[10]DROP POINT AKTIF'!$B:$B,'[10]DROP POINT AKTIF'!$F:$F,"-")</f>
        <v>ERIK</v>
      </c>
    </row>
    <row r="169" spans="2:6">
      <c r="B169" s="16" t="s">
        <v>96</v>
      </c>
      <c r="C169" s="15" t="s">
        <v>97</v>
      </c>
      <c r="D169" s="17" t="s">
        <v>192</v>
      </c>
      <c r="E169" s="18" t="s">
        <v>1739</v>
      </c>
      <c r="F169" s="15" t="str">
        <f>_xlfn.XLOOKUP(D169,'[10]DROP POINT AKTIF'!$B:$B,'[10]DROP POINT AKTIF'!$F:$F,"-")</f>
        <v>DONI ANGGARA</v>
      </c>
    </row>
    <row r="170" spans="2:6">
      <c r="B170" s="16" t="s">
        <v>96</v>
      </c>
      <c r="C170" s="15" t="s">
        <v>97</v>
      </c>
      <c r="D170" s="17" t="s">
        <v>193</v>
      </c>
      <c r="E170" s="18" t="s">
        <v>1739</v>
      </c>
      <c r="F170" s="15" t="str">
        <f>_xlfn.XLOOKUP(D170,'[10]DROP POINT AKTIF'!$B:$B,'[10]DROP POINT AKTIF'!$F:$F,"-")</f>
        <v>IQBAL PURWANDI</v>
      </c>
    </row>
    <row r="171" spans="2:6">
      <c r="B171" s="16" t="s">
        <v>96</v>
      </c>
      <c r="C171" s="15" t="s">
        <v>97</v>
      </c>
      <c r="D171" s="17" t="s">
        <v>194</v>
      </c>
      <c r="E171" s="18" t="s">
        <v>1716</v>
      </c>
      <c r="F171" s="15" t="str">
        <f>_xlfn.XLOOKUP(D171,'[10]DROP POINT AKTIF'!$B:$B,'[10]DROP POINT AKTIF'!$F:$F,"-")</f>
        <v>ALIZHAR</v>
      </c>
    </row>
    <row r="172" spans="2:6">
      <c r="B172" s="16" t="s">
        <v>96</v>
      </c>
      <c r="C172" s="15" t="s">
        <v>97</v>
      </c>
      <c r="D172" s="17" t="s">
        <v>195</v>
      </c>
      <c r="E172" s="18" t="s">
        <v>1739</v>
      </c>
      <c r="F172" s="15" t="str">
        <f>_xlfn.XLOOKUP(D172,'[10]DROP POINT AKTIF'!$B:$B,'[10]DROP POINT AKTIF'!$F:$F,"-")</f>
        <v>HERI LISTIANTO</v>
      </c>
    </row>
    <row r="173" spans="2:6">
      <c r="B173" s="16" t="s">
        <v>96</v>
      </c>
      <c r="C173" s="15" t="s">
        <v>97</v>
      </c>
      <c r="D173" s="17" t="s">
        <v>196</v>
      </c>
      <c r="E173" s="18" t="s">
        <v>1716</v>
      </c>
      <c r="F173" s="15" t="str">
        <f>_xlfn.XLOOKUP(D173,'[10]DROP POINT AKTIF'!$B:$B,'[10]DROP POINT AKTIF'!$F:$F,"-")</f>
        <v>DEDEN</v>
      </c>
    </row>
    <row r="174" spans="2:6">
      <c r="B174" s="16" t="s">
        <v>96</v>
      </c>
      <c r="C174" s="15" t="s">
        <v>97</v>
      </c>
      <c r="D174" s="17" t="s">
        <v>197</v>
      </c>
      <c r="E174" s="18" t="s">
        <v>1739</v>
      </c>
      <c r="F174" s="15" t="str">
        <f>_xlfn.XLOOKUP(D174,'[10]DROP POINT AKTIF'!$B:$B,'[10]DROP POINT AKTIF'!$F:$F,"-")</f>
        <v>JIDAN ALFARIZQI</v>
      </c>
    </row>
    <row r="175" spans="2:6">
      <c r="B175" s="16" t="s">
        <v>96</v>
      </c>
      <c r="C175" s="15" t="s">
        <v>97</v>
      </c>
      <c r="D175" s="17" t="s">
        <v>198</v>
      </c>
      <c r="E175" s="18" t="s">
        <v>1716</v>
      </c>
      <c r="F175" s="15" t="str">
        <f>_xlfn.XLOOKUP(D175,'[10]DROP POINT AKTIF'!$B:$B,'[10]DROP POINT AKTIF'!$F:$F,"-")</f>
        <v>-</v>
      </c>
    </row>
    <row r="176" spans="2:6">
      <c r="B176" s="16" t="s">
        <v>96</v>
      </c>
      <c r="C176" s="15" t="s">
        <v>97</v>
      </c>
      <c r="D176" s="17" t="s">
        <v>199</v>
      </c>
      <c r="E176" s="18" t="s">
        <v>1739</v>
      </c>
      <c r="F176" s="15" t="str">
        <f>_xlfn.XLOOKUP(D176,'[10]DROP POINT AKTIF'!$B:$B,'[10]DROP POINT AKTIF'!$F:$F,"-")</f>
        <v>ADI IKUN</v>
      </c>
    </row>
    <row r="177" spans="2:6">
      <c r="B177" s="16" t="s">
        <v>96</v>
      </c>
      <c r="C177" s="15" t="s">
        <v>97</v>
      </c>
      <c r="D177" s="17" t="s">
        <v>200</v>
      </c>
      <c r="E177" s="18" t="s">
        <v>1739</v>
      </c>
      <c r="F177" s="15" t="str">
        <f>_xlfn.XLOOKUP(D177,'[10]DROP POINT AKTIF'!$B:$B,'[10]DROP POINT AKTIF'!$F:$F,"-")</f>
        <v>LEGIYONO</v>
      </c>
    </row>
    <row r="178" spans="2:6">
      <c r="B178" s="16" t="s">
        <v>96</v>
      </c>
      <c r="C178" s="15" t="s">
        <v>97</v>
      </c>
      <c r="D178" s="17" t="s">
        <v>201</v>
      </c>
      <c r="E178" s="18" t="s">
        <v>1739</v>
      </c>
      <c r="F178" s="15" t="str">
        <f>_xlfn.XLOOKUP(D178,'[10]DROP POINT AKTIF'!$B:$B,'[10]DROP POINT AKTIF'!$F:$F,"-")</f>
        <v>JALALUDIN</v>
      </c>
    </row>
    <row r="179" spans="2:6">
      <c r="B179" s="16" t="s">
        <v>96</v>
      </c>
      <c r="C179" s="15" t="s">
        <v>97</v>
      </c>
      <c r="D179" s="17" t="s">
        <v>202</v>
      </c>
      <c r="E179" s="18" t="s">
        <v>1716</v>
      </c>
      <c r="F179" s="15" t="str">
        <f>_xlfn.XLOOKUP(D179,'[10]DROP POINT AKTIF'!$B:$B,'[10]DROP POINT AKTIF'!$F:$F,"-")</f>
        <v>SEPTIAN</v>
      </c>
    </row>
    <row r="180" spans="2:6">
      <c r="B180" s="16" t="s">
        <v>96</v>
      </c>
      <c r="C180" s="15" t="s">
        <v>97</v>
      </c>
      <c r="D180" s="17" t="s">
        <v>203</v>
      </c>
      <c r="E180" s="18" t="s">
        <v>1716</v>
      </c>
      <c r="F180" s="15" t="str">
        <f>_xlfn.XLOOKUP(D180,'[10]DROP POINT AKTIF'!$B:$B,'[10]DROP POINT AKTIF'!$F:$F,"-")</f>
        <v>MUHAMMAD PRASETYA</v>
      </c>
    </row>
    <row r="181" spans="2:6">
      <c r="B181" s="16" t="s">
        <v>96</v>
      </c>
      <c r="C181" s="15" t="s">
        <v>97</v>
      </c>
      <c r="D181" s="17" t="s">
        <v>204</v>
      </c>
      <c r="E181" s="18" t="s">
        <v>1716</v>
      </c>
      <c r="F181" s="15" t="str">
        <f>_xlfn.XLOOKUP(D181,'[10]DROP POINT AKTIF'!$B:$B,'[10]DROP POINT AKTIF'!$F:$F,"-")</f>
        <v>SANUSI</v>
      </c>
    </row>
    <row r="182" spans="2:6">
      <c r="B182" s="16" t="s">
        <v>96</v>
      </c>
      <c r="C182" s="15" t="s">
        <v>97</v>
      </c>
      <c r="D182" s="17" t="s">
        <v>205</v>
      </c>
      <c r="E182" s="18" t="s">
        <v>1716</v>
      </c>
      <c r="F182" s="15" t="str">
        <f>_xlfn.XLOOKUP(D182,'[10]DROP POINT AKTIF'!$B:$B,'[10]DROP POINT AKTIF'!$F:$F,"-")</f>
        <v>-</v>
      </c>
    </row>
    <row r="183" spans="2:6">
      <c r="B183" s="16" t="s">
        <v>206</v>
      </c>
      <c r="C183" s="15" t="s">
        <v>207</v>
      </c>
      <c r="D183" s="17" t="s">
        <v>208</v>
      </c>
      <c r="E183" s="18" t="s">
        <v>1716</v>
      </c>
      <c r="F183" s="15" t="str">
        <f>_xlfn.XLOOKUP(D183,'[7]DROP POINT BEKASI'!$B:$B,'[7]DROP POINT BEKASI'!$E:$E,"-")</f>
        <v>ERLANGGA ISMADYA PUTRA</v>
      </c>
    </row>
    <row r="184" spans="2:6">
      <c r="B184" s="16" t="s">
        <v>206</v>
      </c>
      <c r="C184" s="15" t="s">
        <v>207</v>
      </c>
      <c r="D184" s="17" t="s">
        <v>209</v>
      </c>
      <c r="E184" s="18" t="s">
        <v>1739</v>
      </c>
      <c r="F184" s="15" t="str">
        <f>_xlfn.XLOOKUP(D184,'[7]DROP POINT BEKASI'!$B:$B,'[7]DROP POINT BEKASI'!$E:$E,"-")</f>
        <v>RICHSON FAHMI</v>
      </c>
    </row>
    <row r="185" spans="2:6">
      <c r="B185" s="16" t="s">
        <v>206</v>
      </c>
      <c r="C185" s="15" t="s">
        <v>207</v>
      </c>
      <c r="D185" s="17" t="s">
        <v>210</v>
      </c>
      <c r="E185" s="18" t="s">
        <v>1739</v>
      </c>
      <c r="F185" s="15" t="str">
        <f>_xlfn.XLOOKUP(D185,'[7]DROP POINT BEKASI'!$B:$B,'[7]DROP POINT BEKASI'!$E:$E,"-")</f>
        <v>TITO ASWIN KARIM</v>
      </c>
    </row>
    <row r="186" spans="2:6">
      <c r="B186" s="16" t="s">
        <v>206</v>
      </c>
      <c r="C186" s="15" t="s">
        <v>207</v>
      </c>
      <c r="D186" s="17" t="s">
        <v>211</v>
      </c>
      <c r="E186" s="18" t="s">
        <v>1739</v>
      </c>
      <c r="F186" s="15" t="str">
        <f>_xlfn.XLOOKUP(D186,'[7]DROP POINT BEKASI'!$B:$B,'[7]DROP POINT BEKASI'!$E:$E,"-")</f>
        <v>AHMAD RIQBAL</v>
      </c>
    </row>
    <row r="187" spans="2:6">
      <c r="B187" s="16" t="s">
        <v>206</v>
      </c>
      <c r="C187" s="15" t="s">
        <v>207</v>
      </c>
      <c r="D187" s="17" t="s">
        <v>212</v>
      </c>
      <c r="E187" s="18" t="s">
        <v>1716</v>
      </c>
      <c r="F187" s="15" t="str">
        <f>_xlfn.XLOOKUP(D187,'[7]DROP POINT BEKASI'!$B:$B,'[7]DROP POINT BEKASI'!$E:$E,"-")</f>
        <v>NURROHIM</v>
      </c>
    </row>
    <row r="188" spans="2:6">
      <c r="B188" s="16" t="s">
        <v>206</v>
      </c>
      <c r="C188" s="15" t="s">
        <v>207</v>
      </c>
      <c r="D188" s="17" t="s">
        <v>213</v>
      </c>
      <c r="E188" s="18" t="s">
        <v>1739</v>
      </c>
      <c r="F188" s="15" t="str">
        <f>_xlfn.XLOOKUP(D188,'[7]DROP POINT BEKASI'!$B:$B,'[7]DROP POINT BEKASI'!$E:$E,"-")</f>
        <v>ACHMAD MAZIRI</v>
      </c>
    </row>
    <row r="189" spans="2:6">
      <c r="B189" s="16" t="s">
        <v>206</v>
      </c>
      <c r="C189" s="15" t="s">
        <v>207</v>
      </c>
      <c r="D189" s="17" t="s">
        <v>214</v>
      </c>
      <c r="E189" s="18" t="s">
        <v>1739</v>
      </c>
      <c r="F189" s="15" t="str">
        <f>_xlfn.XLOOKUP(D189,'[7]DROP POINT BEKASI'!$B:$B,'[7]DROP POINT BEKASI'!$E:$E,"-")</f>
        <v>SUTISNA</v>
      </c>
    </row>
    <row r="190" spans="2:6">
      <c r="B190" s="16" t="s">
        <v>206</v>
      </c>
      <c r="C190" s="15" t="s">
        <v>207</v>
      </c>
      <c r="D190" s="17" t="s">
        <v>215</v>
      </c>
      <c r="E190" s="18" t="s">
        <v>1739</v>
      </c>
      <c r="F190" s="15" t="str">
        <f>_xlfn.XLOOKUP(D190,'[7]DROP POINT BEKASI'!$B:$B,'[7]DROP POINT BEKASI'!$E:$E,"-")</f>
        <v>FAHMI AL JUFRY</v>
      </c>
    </row>
    <row r="191" spans="2:6">
      <c r="B191" s="16" t="s">
        <v>206</v>
      </c>
      <c r="C191" s="15" t="s">
        <v>207</v>
      </c>
      <c r="D191" s="17" t="s">
        <v>216</v>
      </c>
      <c r="E191" s="18" t="s">
        <v>1739</v>
      </c>
      <c r="F191" s="15" t="str">
        <f>_xlfn.XLOOKUP(D191,'[7]DROP POINT BEKASI'!$B:$B,'[7]DROP POINT BEKASI'!$E:$E,"-")</f>
        <v>YOGA WARDANA</v>
      </c>
    </row>
    <row r="192" spans="2:6">
      <c r="B192" s="16" t="s">
        <v>206</v>
      </c>
      <c r="C192" s="15" t="s">
        <v>207</v>
      </c>
      <c r="D192" s="17" t="s">
        <v>217</v>
      </c>
      <c r="E192" s="18" t="s">
        <v>1739</v>
      </c>
      <c r="F192" s="15" t="str">
        <f>_xlfn.XLOOKUP(D192,'[7]DROP POINT BEKASI'!$B:$B,'[7]DROP POINT BEKASI'!$E:$E,"-")</f>
        <v>ANGGA KUSUMA</v>
      </c>
    </row>
    <row r="193" spans="2:6">
      <c r="B193" s="16" t="s">
        <v>206</v>
      </c>
      <c r="C193" s="15" t="s">
        <v>207</v>
      </c>
      <c r="D193" s="17" t="s">
        <v>218</v>
      </c>
      <c r="E193" s="18" t="s">
        <v>1716</v>
      </c>
      <c r="F193" s="15" t="str">
        <f>_xlfn.XLOOKUP(D193,'[7]DROP POINT BEKASI'!$B:$B,'[7]DROP POINT BEKASI'!$E:$E,"-")</f>
        <v>ALI IBRAHIM</v>
      </c>
    </row>
    <row r="194" spans="2:6">
      <c r="B194" s="16" t="s">
        <v>206</v>
      </c>
      <c r="C194" s="15" t="s">
        <v>207</v>
      </c>
      <c r="D194" s="17" t="s">
        <v>219</v>
      </c>
      <c r="E194" s="18" t="s">
        <v>1716</v>
      </c>
      <c r="F194" s="15" t="str">
        <f>_xlfn.XLOOKUP(D194,'[7]DROP POINT BEKASI'!$B:$B,'[7]DROP POINT BEKASI'!$E:$E,"-")</f>
        <v>ACHMAD MAULANA PUTRA</v>
      </c>
    </row>
    <row r="195" spans="2:6">
      <c r="B195" s="16" t="s">
        <v>206</v>
      </c>
      <c r="C195" s="15" t="s">
        <v>207</v>
      </c>
      <c r="D195" s="17" t="s">
        <v>220</v>
      </c>
      <c r="E195" s="18" t="s">
        <v>1716</v>
      </c>
      <c r="F195" s="15" t="str">
        <f>_xlfn.XLOOKUP(D195,'[7]DROP POINT BEKASI'!$B:$B,'[7]DROP POINT BEKASI'!$E:$E,"-")</f>
        <v>ANNISAA NURULHUDA WAHIDIN</v>
      </c>
    </row>
    <row r="196" spans="2:6">
      <c r="B196" s="16" t="s">
        <v>206</v>
      </c>
      <c r="C196" s="15" t="s">
        <v>207</v>
      </c>
      <c r="D196" s="17" t="s">
        <v>221</v>
      </c>
      <c r="E196" s="18" t="s">
        <v>1739</v>
      </c>
      <c r="F196" s="15" t="str">
        <f>_xlfn.XLOOKUP(D196,'[7]DROP POINT BEKASI'!$B:$B,'[7]DROP POINT BEKASI'!$E:$E,"-")</f>
        <v>DIDIT JAMALUDIN</v>
      </c>
    </row>
    <row r="197" spans="2:6">
      <c r="B197" s="16" t="s">
        <v>206</v>
      </c>
      <c r="C197" s="15" t="s">
        <v>207</v>
      </c>
      <c r="D197" s="17" t="s">
        <v>222</v>
      </c>
      <c r="E197" s="18" t="s">
        <v>1739</v>
      </c>
      <c r="F197" s="15" t="str">
        <f>_xlfn.XLOOKUP(D197,'[7]DROP POINT BEKASI'!$B:$B,'[7]DROP POINT BEKASI'!$E:$E,"-")</f>
        <v>RENDY DIRGANTARA</v>
      </c>
    </row>
    <row r="198" spans="2:6">
      <c r="B198" s="16" t="s">
        <v>206</v>
      </c>
      <c r="C198" s="15" t="s">
        <v>207</v>
      </c>
      <c r="D198" s="17" t="s">
        <v>223</v>
      </c>
      <c r="E198" s="18" t="s">
        <v>1739</v>
      </c>
      <c r="F198" s="15" t="str">
        <f>_xlfn.XLOOKUP(D198,'[7]DROP POINT BEKASI'!$B:$B,'[7]DROP POINT BEKASI'!$E:$E,"-")</f>
        <v>FAUZI AKBAR</v>
      </c>
    </row>
    <row r="199" spans="2:6">
      <c r="B199" s="16" t="s">
        <v>206</v>
      </c>
      <c r="C199" s="15" t="s">
        <v>207</v>
      </c>
      <c r="D199" s="17" t="s">
        <v>224</v>
      </c>
      <c r="E199" s="18" t="s">
        <v>1739</v>
      </c>
      <c r="F199" s="15" t="str">
        <f>_xlfn.XLOOKUP(D199,'[7]DROP POINT BEKASI'!$B:$B,'[7]DROP POINT BEKASI'!$E:$E,"-")</f>
        <v>FACHRUDIN</v>
      </c>
    </row>
    <row r="200" spans="2:6">
      <c r="B200" s="16" t="s">
        <v>206</v>
      </c>
      <c r="C200" s="15" t="s">
        <v>207</v>
      </c>
      <c r="D200" s="17" t="s">
        <v>225</v>
      </c>
      <c r="E200" s="18" t="s">
        <v>1739</v>
      </c>
      <c r="F200" s="15" t="str">
        <f>_xlfn.XLOOKUP(D200,'[7]DROP POINT BEKASI'!$B:$B,'[7]DROP POINT BEKASI'!$E:$E,"-")</f>
        <v>FAJAR SAPUTRA NOVEBRYANTO</v>
      </c>
    </row>
    <row r="201" spans="2:6">
      <c r="B201" s="16" t="s">
        <v>206</v>
      </c>
      <c r="C201" s="15" t="s">
        <v>207</v>
      </c>
      <c r="D201" s="17" t="s">
        <v>226</v>
      </c>
      <c r="E201" s="18" t="s">
        <v>1739</v>
      </c>
      <c r="F201" s="15" t="str">
        <f>_xlfn.XLOOKUP(D201,'[7]DROP POINT BEKASI'!$B:$B,'[7]DROP POINT BEKASI'!$E:$E,"-")</f>
        <v>KHOIRUL ANWAR</v>
      </c>
    </row>
    <row r="202" spans="2:6">
      <c r="B202" s="16" t="s">
        <v>206</v>
      </c>
      <c r="C202" s="15" t="s">
        <v>207</v>
      </c>
      <c r="D202" s="17" t="s">
        <v>227</v>
      </c>
      <c r="E202" s="18" t="s">
        <v>1739</v>
      </c>
      <c r="F202" s="15" t="str">
        <f>_xlfn.XLOOKUP(D202,'[7]DROP POINT BEKASI'!$B:$B,'[7]DROP POINT BEKASI'!$E:$E,"-")</f>
        <v>DENI PERMANA</v>
      </c>
    </row>
    <row r="203" spans="2:6">
      <c r="B203" s="16" t="s">
        <v>206</v>
      </c>
      <c r="C203" s="15" t="s">
        <v>207</v>
      </c>
      <c r="D203" s="17" t="s">
        <v>228</v>
      </c>
      <c r="E203" s="18" t="s">
        <v>1716</v>
      </c>
      <c r="F203" s="15" t="str">
        <f>_xlfn.XLOOKUP(D203,'[7]DROP POINT BEKASI'!$B:$B,'[7]DROP POINT BEKASI'!$E:$E,"-")</f>
        <v>AROFIQ WALHIDAYAT</v>
      </c>
    </row>
    <row r="204" spans="2:6">
      <c r="B204" s="16" t="s">
        <v>206</v>
      </c>
      <c r="C204" s="15" t="s">
        <v>207</v>
      </c>
      <c r="D204" s="17" t="s">
        <v>229</v>
      </c>
      <c r="E204" s="18" t="s">
        <v>1716</v>
      </c>
      <c r="F204" s="15" t="str">
        <f>_xlfn.XLOOKUP(D204,'[7]DROP POINT BEKASI'!$B:$B,'[7]DROP POINT BEKASI'!$E:$E,"-")</f>
        <v>AAN SUPRATMAN</v>
      </c>
    </row>
    <row r="205" spans="2:6">
      <c r="B205" s="16" t="s">
        <v>206</v>
      </c>
      <c r="C205" s="15" t="s">
        <v>207</v>
      </c>
      <c r="D205" s="17" t="s">
        <v>230</v>
      </c>
      <c r="E205" s="18" t="s">
        <v>1716</v>
      </c>
      <c r="F205" s="15" t="str">
        <f>_xlfn.XLOOKUP(D205,'[7]DROP POINT BEKASI'!$B:$B,'[7]DROP POINT BEKASI'!$E:$E,"-")</f>
        <v>JHENIS ATHA NANDA</v>
      </c>
    </row>
    <row r="206" spans="2:6">
      <c r="B206" s="16" t="s">
        <v>206</v>
      </c>
      <c r="C206" s="15" t="s">
        <v>207</v>
      </c>
      <c r="D206" s="17" t="s">
        <v>231</v>
      </c>
      <c r="E206" s="18" t="s">
        <v>1716</v>
      </c>
      <c r="F206" s="15" t="str">
        <f>_xlfn.XLOOKUP(D206,'[7]DROP POINT BEKASI'!$B:$B,'[7]DROP POINT BEKASI'!$E:$E,"-")</f>
        <v>SELAMET DARSIYO</v>
      </c>
    </row>
    <row r="207" spans="2:6">
      <c r="B207" s="16" t="s">
        <v>206</v>
      </c>
      <c r="C207" s="15" t="s">
        <v>207</v>
      </c>
      <c r="D207" s="17" t="s">
        <v>232</v>
      </c>
      <c r="E207" s="18" t="s">
        <v>1716</v>
      </c>
      <c r="F207" s="15" t="str">
        <f>_xlfn.XLOOKUP(D207,'[7]DROP POINT BEKASI'!$B:$B,'[7]DROP POINT BEKASI'!$E:$E,"-")</f>
        <v>NANDA ARIS WANDI</v>
      </c>
    </row>
    <row r="208" spans="2:6">
      <c r="B208" s="16" t="s">
        <v>206</v>
      </c>
      <c r="C208" s="15" t="s">
        <v>207</v>
      </c>
      <c r="D208" s="17" t="s">
        <v>233</v>
      </c>
      <c r="E208" s="18" t="s">
        <v>1739</v>
      </c>
      <c r="F208" s="15" t="str">
        <f>_xlfn.XLOOKUP(D208,'[7]DROP POINT BEKASI'!$B:$B,'[7]DROP POINT BEKASI'!$E:$E,"-")</f>
        <v>IHWAN RAMADHAN</v>
      </c>
    </row>
    <row r="209" spans="2:6">
      <c r="B209" s="16" t="s">
        <v>206</v>
      </c>
      <c r="C209" s="15" t="s">
        <v>207</v>
      </c>
      <c r="D209" s="17" t="s">
        <v>234</v>
      </c>
      <c r="E209" s="18" t="s">
        <v>1716</v>
      </c>
      <c r="F209" s="15" t="str">
        <f>_xlfn.XLOOKUP(D209,'[7]DROP POINT BEKASI'!$B:$B,'[7]DROP POINT BEKASI'!$E:$E,"-")</f>
        <v>APRIYANTO</v>
      </c>
    </row>
    <row r="210" spans="2:6">
      <c r="B210" s="16" t="s">
        <v>206</v>
      </c>
      <c r="C210" s="15" t="s">
        <v>207</v>
      </c>
      <c r="D210" s="17" t="s">
        <v>235</v>
      </c>
      <c r="E210" s="18" t="s">
        <v>1739</v>
      </c>
      <c r="F210" s="15" t="str">
        <f>_xlfn.XLOOKUP(D210,'[7]DROP POINT BEKASI'!$B:$B,'[7]DROP POINT BEKASI'!$E:$E,"-")</f>
        <v>ANDI RACHMANSYAH</v>
      </c>
    </row>
    <row r="211" spans="2:6">
      <c r="B211" s="16" t="s">
        <v>206</v>
      </c>
      <c r="C211" s="15" t="s">
        <v>207</v>
      </c>
      <c r="D211" s="17" t="s">
        <v>236</v>
      </c>
      <c r="E211" s="18" t="s">
        <v>1739</v>
      </c>
      <c r="F211" s="15" t="str">
        <f>_xlfn.XLOOKUP(D211,'[7]DROP POINT BEKASI'!$B:$B,'[7]DROP POINT BEKASI'!$E:$E,"-")</f>
        <v>SARYONO</v>
      </c>
    </row>
    <row r="212" spans="2:6">
      <c r="B212" s="16" t="s">
        <v>206</v>
      </c>
      <c r="C212" s="15" t="s">
        <v>207</v>
      </c>
      <c r="D212" s="17" t="s">
        <v>237</v>
      </c>
      <c r="E212" s="18" t="s">
        <v>1739</v>
      </c>
      <c r="F212" s="15" t="str">
        <f>_xlfn.XLOOKUP(D212,'[7]DROP POINT BEKASI'!$B:$B,'[7]DROP POINT BEKASI'!$E:$E,"-")</f>
        <v>ARI SABANDI</v>
      </c>
    </row>
    <row r="213" spans="2:6">
      <c r="B213" s="16" t="s">
        <v>206</v>
      </c>
      <c r="C213" s="15" t="s">
        <v>207</v>
      </c>
      <c r="D213" s="17" t="s">
        <v>238</v>
      </c>
      <c r="E213" s="18" t="s">
        <v>1716</v>
      </c>
      <c r="F213" s="15" t="str">
        <f>_xlfn.XLOOKUP(D213,'[7]DROP POINT BEKASI'!$B:$B,'[7]DROP POINT BEKASI'!$E:$E,"-")</f>
        <v>FAHMI</v>
      </c>
    </row>
    <row r="214" spans="2:6">
      <c r="B214" s="16" t="s">
        <v>206</v>
      </c>
      <c r="C214" s="15" t="s">
        <v>207</v>
      </c>
      <c r="D214" s="17" t="s">
        <v>239</v>
      </c>
      <c r="E214" s="18" t="s">
        <v>1716</v>
      </c>
      <c r="F214" s="15" t="str">
        <f>_xlfn.XLOOKUP(D214,'[7]DROP POINT BEKASI'!$B:$B,'[7]DROP POINT BEKASI'!$E:$E,"-")</f>
        <v>NOVA ANDRIANTO</v>
      </c>
    </row>
    <row r="215" spans="2:6">
      <c r="B215" s="16" t="s">
        <v>206</v>
      </c>
      <c r="C215" s="15" t="s">
        <v>207</v>
      </c>
      <c r="D215" s="17" t="s">
        <v>240</v>
      </c>
      <c r="E215" s="18" t="s">
        <v>1716</v>
      </c>
      <c r="F215" s="15" t="str">
        <f>_xlfn.XLOOKUP(D215,'[7]DROP POINT BEKASI'!$B:$B,'[7]DROP POINT BEKASI'!$E:$E,"-")</f>
        <v>AGUNG HARTANTO</v>
      </c>
    </row>
    <row r="216" spans="2:6">
      <c r="B216" s="16" t="s">
        <v>206</v>
      </c>
      <c r="C216" s="15" t="s">
        <v>207</v>
      </c>
      <c r="D216" s="17" t="s">
        <v>241</v>
      </c>
      <c r="E216" s="18" t="s">
        <v>1716</v>
      </c>
      <c r="F216" s="15" t="str">
        <f>_xlfn.XLOOKUP(D216,'[7]DROP POINT BEKASI'!$B:$B,'[7]DROP POINT BEKASI'!$E:$E,"-")</f>
        <v>SAFRIN PRIGIYANTO</v>
      </c>
    </row>
    <row r="217" spans="2:6">
      <c r="B217" s="16" t="s">
        <v>206</v>
      </c>
      <c r="C217" s="15" t="s">
        <v>207</v>
      </c>
      <c r="D217" s="17" t="s">
        <v>242</v>
      </c>
      <c r="E217" s="18" t="s">
        <v>1739</v>
      </c>
      <c r="F217" s="15" t="str">
        <f>_xlfn.XLOOKUP(D217,'[7]DROP POINT BEKASI'!$B:$B,'[7]DROP POINT BEKASI'!$E:$E,"-")</f>
        <v>KHAIRUL WILDAN UMAM</v>
      </c>
    </row>
    <row r="218" spans="2:6">
      <c r="B218" s="16" t="s">
        <v>206</v>
      </c>
      <c r="C218" s="15" t="s">
        <v>207</v>
      </c>
      <c r="D218" s="17" t="s">
        <v>243</v>
      </c>
      <c r="E218" s="18" t="s">
        <v>1739</v>
      </c>
      <c r="F218" s="15" t="str">
        <f>_xlfn.XLOOKUP(D218,'[7]DROP POINT BEKASI'!$B:$B,'[7]DROP POINT BEKASI'!$E:$E,"-")</f>
        <v>AEP BOIS</v>
      </c>
    </row>
    <row r="219" spans="2:6">
      <c r="B219" s="16" t="s">
        <v>206</v>
      </c>
      <c r="C219" s="15" t="s">
        <v>207</v>
      </c>
      <c r="D219" s="17" t="s">
        <v>244</v>
      </c>
      <c r="E219" s="18" t="s">
        <v>1739</v>
      </c>
      <c r="F219" s="15" t="str">
        <f>_xlfn.XLOOKUP(D219,'[7]DROP POINT BEKASI'!$B:$B,'[7]DROP POINT BEKASI'!$E:$E,"-")</f>
        <v>FIRDAUS</v>
      </c>
    </row>
    <row r="220" spans="2:6">
      <c r="B220" s="16" t="s">
        <v>206</v>
      </c>
      <c r="C220" s="15" t="s">
        <v>207</v>
      </c>
      <c r="D220" s="17" t="s">
        <v>245</v>
      </c>
      <c r="E220" s="18" t="s">
        <v>1739</v>
      </c>
      <c r="F220" s="15" t="str">
        <f>_xlfn.XLOOKUP(D220,'[7]DROP POINT BEKASI'!$B:$B,'[7]DROP POINT BEKASI'!$E:$E,"-")</f>
        <v>ZAKI RACHMADI NASUTION</v>
      </c>
    </row>
    <row r="221" spans="2:6">
      <c r="B221" s="16" t="s">
        <v>206</v>
      </c>
      <c r="C221" s="15" t="s">
        <v>207</v>
      </c>
      <c r="D221" s="17" t="s">
        <v>246</v>
      </c>
      <c r="E221" s="18" t="s">
        <v>1716</v>
      </c>
      <c r="F221" s="15" t="str">
        <f>_xlfn.XLOOKUP(D221,'[7]DROP POINT BEKASI'!$B:$B,'[7]DROP POINT BEKASI'!$E:$E,"-")</f>
        <v>MUKHAMAD NOFANA ABDULLAH</v>
      </c>
    </row>
    <row r="222" spans="2:6">
      <c r="B222" s="16" t="s">
        <v>206</v>
      </c>
      <c r="C222" s="15" t="s">
        <v>207</v>
      </c>
      <c r="D222" s="17" t="s">
        <v>247</v>
      </c>
      <c r="E222" s="18" t="s">
        <v>1739</v>
      </c>
      <c r="F222" s="15" t="str">
        <f>_xlfn.XLOOKUP(D222,'[7]DROP POINT BEKASI'!$B:$B,'[7]DROP POINT BEKASI'!$E:$E,"-")</f>
        <v>TIDAK ADA</v>
      </c>
    </row>
    <row r="223" spans="2:6">
      <c r="B223" s="16" t="s">
        <v>206</v>
      </c>
      <c r="C223" s="15" t="s">
        <v>207</v>
      </c>
      <c r="D223" s="17" t="s">
        <v>248</v>
      </c>
      <c r="E223" s="18" t="s">
        <v>1739</v>
      </c>
      <c r="F223" s="15" t="str">
        <f>_xlfn.XLOOKUP(D223,'[7]DROP POINT BEKASI'!$B:$B,'[7]DROP POINT BEKASI'!$E:$E,"-")</f>
        <v>KIKIH RIJKI APNUR CAHYA</v>
      </c>
    </row>
    <row r="224" spans="2:6">
      <c r="B224" s="16" t="s">
        <v>206</v>
      </c>
      <c r="C224" s="15" t="s">
        <v>207</v>
      </c>
      <c r="D224" s="17" t="s">
        <v>249</v>
      </c>
      <c r="E224" s="18" t="s">
        <v>1716</v>
      </c>
      <c r="F224" s="15" t="str">
        <f>_xlfn.XLOOKUP(D224,'[7]DROP POINT BEKASI'!$B:$B,'[7]DROP POINT BEKASI'!$E:$E,"-")</f>
        <v>HARRI SWANDI NAINGGOLAN</v>
      </c>
    </row>
    <row r="225" spans="2:6">
      <c r="B225" s="16" t="s">
        <v>206</v>
      </c>
      <c r="C225" s="15" t="s">
        <v>207</v>
      </c>
      <c r="D225" s="17" t="s">
        <v>250</v>
      </c>
      <c r="E225" s="18" t="s">
        <v>1739</v>
      </c>
      <c r="F225" s="15" t="str">
        <f>_xlfn.XLOOKUP(D225,'[7]DROP POINT BEKASI'!$B:$B,'[7]DROP POINT BEKASI'!$E:$E,"-")</f>
        <v>IRFAN FAUZI</v>
      </c>
    </row>
    <row r="226" spans="2:6">
      <c r="B226" s="16" t="s">
        <v>206</v>
      </c>
      <c r="C226" s="15" t="s">
        <v>207</v>
      </c>
      <c r="D226" s="17" t="s">
        <v>251</v>
      </c>
      <c r="E226" s="18" t="s">
        <v>1716</v>
      </c>
      <c r="F226" s="15" t="str">
        <f>_xlfn.XLOOKUP(D226,'[7]DROP POINT BEKASI'!$B:$B,'[7]DROP POINT BEKASI'!$E:$E,"-")</f>
        <v>M DAFIT SUHERLI</v>
      </c>
    </row>
    <row r="227" spans="2:6">
      <c r="B227" s="16" t="s">
        <v>206</v>
      </c>
      <c r="C227" s="15" t="s">
        <v>207</v>
      </c>
      <c r="D227" s="17" t="s">
        <v>252</v>
      </c>
      <c r="E227" s="18" t="s">
        <v>1739</v>
      </c>
      <c r="F227" s="15" t="str">
        <f>_xlfn.XLOOKUP(D227,'[7]DROP POINT BEKASI'!$B:$B,'[7]DROP POINT BEKASI'!$E:$E,"-")</f>
        <v>DENI SETIAWAN</v>
      </c>
    </row>
    <row r="228" spans="2:6">
      <c r="B228" s="16" t="s">
        <v>206</v>
      </c>
      <c r="C228" s="15" t="s">
        <v>207</v>
      </c>
      <c r="D228" s="17" t="s">
        <v>253</v>
      </c>
      <c r="E228" s="18" t="s">
        <v>1716</v>
      </c>
      <c r="F228" s="15" t="str">
        <f>_xlfn.XLOOKUP(D228,'[7]DROP POINT BEKASI'!$B:$B,'[7]DROP POINT BEKASI'!$E:$E,"-")</f>
        <v>IRZAN EFRIANSYAH</v>
      </c>
    </row>
    <row r="229" spans="2:6">
      <c r="B229" s="16" t="s">
        <v>206</v>
      </c>
      <c r="C229" s="15" t="s">
        <v>207</v>
      </c>
      <c r="D229" s="17" t="s">
        <v>254</v>
      </c>
      <c r="E229" s="18" t="s">
        <v>1739</v>
      </c>
      <c r="F229" s="15" t="str">
        <f>_xlfn.XLOOKUP(D229,'[7]DROP POINT BEKASI'!$B:$B,'[7]DROP POINT BEKASI'!$E:$E,"-")</f>
        <v>FITRAH TEGAR RAMADHAN</v>
      </c>
    </row>
    <row r="230" spans="2:6">
      <c r="B230" s="16" t="s">
        <v>206</v>
      </c>
      <c r="C230" s="15" t="s">
        <v>207</v>
      </c>
      <c r="D230" s="17" t="s">
        <v>255</v>
      </c>
      <c r="E230" s="18" t="s">
        <v>1739</v>
      </c>
      <c r="F230" s="15" t="str">
        <f>_xlfn.XLOOKUP(D230,'[7]DROP POINT BEKASI'!$B:$B,'[7]DROP POINT BEKASI'!$E:$E,"-")</f>
        <v>SARIFPUDIN</v>
      </c>
    </row>
    <row r="231" spans="2:6">
      <c r="B231" s="16" t="s">
        <v>256</v>
      </c>
      <c r="C231" s="15" t="s">
        <v>257</v>
      </c>
      <c r="D231" s="17" t="s">
        <v>258</v>
      </c>
      <c r="E231" s="18" t="s">
        <v>1716</v>
      </c>
      <c r="F231" s="15" t="str">
        <f>_xlfn.XLOOKUP(D231,[9]Sheet1!$B:$B,[9]Sheet1!$E:$E,"-")</f>
        <v>AHMAD TOFIK YULFIKAR</v>
      </c>
    </row>
    <row r="232" spans="2:6">
      <c r="B232" s="16" t="s">
        <v>256</v>
      </c>
      <c r="C232" s="15" t="s">
        <v>257</v>
      </c>
      <c r="D232" s="17" t="s">
        <v>259</v>
      </c>
      <c r="E232" s="18" t="s">
        <v>1716</v>
      </c>
      <c r="F232" s="15" t="str">
        <f>_xlfn.XLOOKUP(D232,[9]Sheet1!$B:$B,[9]Sheet1!$E:$E,"-")</f>
        <v>AHMAD TOFIK YULFIKAR</v>
      </c>
    </row>
    <row r="233" spans="2:6">
      <c r="B233" s="16" t="s">
        <v>256</v>
      </c>
      <c r="C233" s="15" t="s">
        <v>257</v>
      </c>
      <c r="D233" s="17" t="s">
        <v>260</v>
      </c>
      <c r="E233" s="18" t="s">
        <v>1716</v>
      </c>
      <c r="F233" s="15" t="str">
        <f>_xlfn.XLOOKUP(D233,[9]Sheet1!$B:$B,[9]Sheet1!$E:$E,"-")</f>
        <v>AHMAD TOFIK YULFIKAR</v>
      </c>
    </row>
    <row r="234" spans="2:6">
      <c r="B234" s="16" t="s">
        <v>256</v>
      </c>
      <c r="C234" s="15" t="s">
        <v>257</v>
      </c>
      <c r="D234" s="17" t="s">
        <v>261</v>
      </c>
      <c r="E234" s="18" t="s">
        <v>1716</v>
      </c>
      <c r="F234" s="15" t="str">
        <f>_xlfn.XLOOKUP(D234,[9]Sheet1!$B:$B,[9]Sheet1!$E:$E,"-")</f>
        <v>AHMAD TOFIK YULFIKAR</v>
      </c>
    </row>
    <row r="235" spans="2:6">
      <c r="B235" s="16" t="s">
        <v>256</v>
      </c>
      <c r="C235" s="15" t="s">
        <v>257</v>
      </c>
      <c r="D235" s="17" t="s">
        <v>262</v>
      </c>
      <c r="E235" s="18" t="s">
        <v>1716</v>
      </c>
      <c r="F235" s="15" t="str">
        <f>_xlfn.XLOOKUP(D235,[9]Sheet1!$B:$B,[9]Sheet1!$E:$E,"-")</f>
        <v>AHMAD TOFIK YULFIKAR</v>
      </c>
    </row>
    <row r="236" spans="2:6">
      <c r="B236" s="16" t="s">
        <v>256</v>
      </c>
      <c r="C236" s="15" t="s">
        <v>257</v>
      </c>
      <c r="D236" s="17" t="s">
        <v>263</v>
      </c>
      <c r="E236" s="18" t="s">
        <v>1739</v>
      </c>
      <c r="F236" s="15" t="str">
        <f>_xlfn.XLOOKUP(D236,[9]Sheet1!$B:$B,[9]Sheet1!$E:$E,"-")</f>
        <v>AHMAD TOFIK YULFIKAR</v>
      </c>
    </row>
    <row r="237" spans="2:6">
      <c r="B237" s="16" t="s">
        <v>256</v>
      </c>
      <c r="C237" s="15" t="s">
        <v>257</v>
      </c>
      <c r="D237" s="17" t="s">
        <v>264</v>
      </c>
      <c r="E237" s="18" t="s">
        <v>1716</v>
      </c>
      <c r="F237" s="15" t="str">
        <f>_xlfn.XLOOKUP(D237,[9]Sheet1!$B:$B,[9]Sheet1!$E:$E,"-")</f>
        <v>AHMAD TOFIK YULFIKAR</v>
      </c>
    </row>
    <row r="238" spans="2:6">
      <c r="B238" s="16" t="s">
        <v>256</v>
      </c>
      <c r="C238" s="15" t="s">
        <v>257</v>
      </c>
      <c r="D238" s="17" t="s">
        <v>265</v>
      </c>
      <c r="E238" s="18" t="s">
        <v>1716</v>
      </c>
      <c r="F238" s="15" t="str">
        <f>_xlfn.XLOOKUP(D238,[9]Sheet1!$B:$B,[9]Sheet1!$E:$E,"-")</f>
        <v>AHMAD TOFIK YULFIKAR</v>
      </c>
    </row>
    <row r="239" spans="2:6">
      <c r="B239" s="16" t="s">
        <v>256</v>
      </c>
      <c r="C239" s="15" t="s">
        <v>257</v>
      </c>
      <c r="D239" s="17" t="s">
        <v>266</v>
      </c>
      <c r="E239" s="18" t="s">
        <v>1716</v>
      </c>
      <c r="F239" s="15" t="str">
        <f>_xlfn.XLOOKUP(D239,[9]Sheet1!$B:$B,[9]Sheet1!$E:$E,"-")</f>
        <v>AHMAD TOFIK YULFIKAR</v>
      </c>
    </row>
    <row r="240" spans="2:6">
      <c r="B240" s="16" t="s">
        <v>256</v>
      </c>
      <c r="C240" s="15" t="s">
        <v>257</v>
      </c>
      <c r="D240" s="17" t="s">
        <v>267</v>
      </c>
      <c r="E240" s="18" t="s">
        <v>1739</v>
      </c>
      <c r="F240" s="15" t="str">
        <f>_xlfn.XLOOKUP(D240,[9]Sheet1!$B:$B,[9]Sheet1!$E:$E,"-")</f>
        <v>AHMAD TOFIK YULFIKAR</v>
      </c>
    </row>
    <row r="241" spans="2:6">
      <c r="B241" s="16" t="s">
        <v>256</v>
      </c>
      <c r="C241" s="15" t="s">
        <v>257</v>
      </c>
      <c r="D241" s="17" t="s">
        <v>268</v>
      </c>
      <c r="E241" s="18" t="s">
        <v>1739</v>
      </c>
      <c r="F241" s="15" t="str">
        <f>_xlfn.XLOOKUP(D241,[9]Sheet1!$B:$B,[9]Sheet1!$E:$E,"-")</f>
        <v>AHMAD TOFIK YULFIKAR</v>
      </c>
    </row>
    <row r="242" spans="2:6">
      <c r="B242" s="16" t="s">
        <v>256</v>
      </c>
      <c r="C242" s="15" t="s">
        <v>257</v>
      </c>
      <c r="D242" s="17" t="s">
        <v>269</v>
      </c>
      <c r="E242" s="18" t="s">
        <v>1739</v>
      </c>
      <c r="F242" s="15" t="str">
        <f>_xlfn.XLOOKUP(D242,[9]Sheet1!$B:$B,[9]Sheet1!$E:$E,"-")</f>
        <v>AHMAD TOFIK YULFIKAR</v>
      </c>
    </row>
    <row r="243" spans="2:6">
      <c r="B243" s="16" t="s">
        <v>256</v>
      </c>
      <c r="C243" s="15" t="s">
        <v>257</v>
      </c>
      <c r="D243" s="17" t="s">
        <v>270</v>
      </c>
      <c r="E243" s="18" t="s">
        <v>1739</v>
      </c>
      <c r="F243" s="15" t="str">
        <f>_xlfn.XLOOKUP(D243,[9]Sheet1!$B:$B,[9]Sheet1!$E:$E,"-")</f>
        <v>AHMAD TOFIK YULFIKAR</v>
      </c>
    </row>
    <row r="244" spans="2:6">
      <c r="B244" s="16" t="s">
        <v>256</v>
      </c>
      <c r="C244" s="15" t="s">
        <v>257</v>
      </c>
      <c r="D244" s="17" t="s">
        <v>271</v>
      </c>
      <c r="E244" s="18" t="s">
        <v>1739</v>
      </c>
      <c r="F244" s="15" t="str">
        <f>_xlfn.XLOOKUP(D244,[9]Sheet1!$B:$B,[9]Sheet1!$E:$E,"-")</f>
        <v>AHMAD TOFIK YULFIKAR</v>
      </c>
    </row>
    <row r="245" spans="2:6">
      <c r="B245" s="16" t="s">
        <v>256</v>
      </c>
      <c r="C245" s="15" t="s">
        <v>257</v>
      </c>
      <c r="D245" s="17" t="s">
        <v>272</v>
      </c>
      <c r="E245" s="18" t="s">
        <v>1716</v>
      </c>
      <c r="F245" s="15" t="str">
        <f>_xlfn.XLOOKUP(D245,[9]Sheet1!$B:$B,[9]Sheet1!$E:$E,"-")</f>
        <v>FALDY FEDIANSYAH</v>
      </c>
    </row>
    <row r="246" spans="2:6">
      <c r="B246" s="16" t="s">
        <v>256</v>
      </c>
      <c r="C246" s="15" t="s">
        <v>257</v>
      </c>
      <c r="D246" s="17" t="s">
        <v>273</v>
      </c>
      <c r="E246" s="18" t="s">
        <v>1716</v>
      </c>
      <c r="F246" s="15" t="str">
        <f>_xlfn.XLOOKUP(D246,[9]Sheet1!$B:$B,[9]Sheet1!$E:$E,"-")</f>
        <v>FALDY FEDIANSYAH</v>
      </c>
    </row>
    <row r="247" spans="2:6">
      <c r="B247" s="16" t="s">
        <v>256</v>
      </c>
      <c r="C247" s="15" t="s">
        <v>257</v>
      </c>
      <c r="D247" s="17" t="s">
        <v>274</v>
      </c>
      <c r="E247" s="18" t="s">
        <v>1716</v>
      </c>
      <c r="F247" s="15" t="str">
        <f>_xlfn.XLOOKUP(D247,[9]Sheet1!$B:$B,[9]Sheet1!$E:$E,"-")</f>
        <v>FALDY FEDIANSYAH</v>
      </c>
    </row>
    <row r="248" spans="2:6">
      <c r="B248" s="16" t="s">
        <v>256</v>
      </c>
      <c r="C248" s="15" t="s">
        <v>257</v>
      </c>
      <c r="D248" s="17" t="s">
        <v>275</v>
      </c>
      <c r="E248" s="18" t="s">
        <v>1716</v>
      </c>
      <c r="F248" s="15" t="str">
        <f>_xlfn.XLOOKUP(D248,[9]Sheet1!$B:$B,[9]Sheet1!$E:$E,"-")</f>
        <v>FALDY FEDIANSYAH</v>
      </c>
    </row>
    <row r="249" spans="2:6">
      <c r="B249" s="16" t="s">
        <v>256</v>
      </c>
      <c r="C249" s="15" t="s">
        <v>257</v>
      </c>
      <c r="D249" s="17" t="s">
        <v>276</v>
      </c>
      <c r="E249" s="18" t="s">
        <v>1716</v>
      </c>
      <c r="F249" s="15" t="str">
        <f>_xlfn.XLOOKUP(D249,[9]Sheet1!$B:$B,[9]Sheet1!$E:$E,"-")</f>
        <v>FALDY FEDIANSYAH</v>
      </c>
    </row>
    <row r="250" spans="2:6">
      <c r="B250" s="16" t="s">
        <v>256</v>
      </c>
      <c r="C250" s="15" t="s">
        <v>257</v>
      </c>
      <c r="D250" s="17" t="s">
        <v>277</v>
      </c>
      <c r="E250" s="18" t="s">
        <v>1739</v>
      </c>
      <c r="F250" s="15" t="str">
        <f>_xlfn.XLOOKUP(D250,[9]Sheet1!$B:$B,[9]Sheet1!$E:$E,"-")</f>
        <v>FALDY FEDIANSYAH</v>
      </c>
    </row>
    <row r="251" spans="2:6">
      <c r="B251" s="16" t="s">
        <v>256</v>
      </c>
      <c r="C251" s="15" t="s">
        <v>257</v>
      </c>
      <c r="D251" s="17" t="s">
        <v>278</v>
      </c>
      <c r="E251" s="18" t="s">
        <v>1739</v>
      </c>
      <c r="F251" s="15" t="str">
        <f>_xlfn.XLOOKUP(D251,[9]Sheet1!$B:$B,[9]Sheet1!$E:$E,"-")</f>
        <v>FALDY FEDIANSYAH</v>
      </c>
    </row>
    <row r="252" spans="2:6">
      <c r="B252" s="16" t="s">
        <v>256</v>
      </c>
      <c r="C252" s="15" t="s">
        <v>257</v>
      </c>
      <c r="D252" s="17" t="s">
        <v>279</v>
      </c>
      <c r="E252" s="18" t="s">
        <v>1739</v>
      </c>
      <c r="F252" s="15" t="str">
        <f>_xlfn.XLOOKUP(D252,[9]Sheet1!$B:$B,[9]Sheet1!$E:$E,"-")</f>
        <v>FALDY FEDIANSYAH</v>
      </c>
    </row>
    <row r="253" spans="2:6">
      <c r="B253" s="16" t="s">
        <v>256</v>
      </c>
      <c r="C253" s="15" t="s">
        <v>257</v>
      </c>
      <c r="D253" s="17" t="s">
        <v>280</v>
      </c>
      <c r="E253" s="18" t="s">
        <v>1739</v>
      </c>
      <c r="F253" s="15" t="str">
        <f>_xlfn.XLOOKUP(D253,[9]Sheet1!$B:$B,[9]Sheet1!$E:$E,"-")</f>
        <v>FALDY FEDIANSYAH</v>
      </c>
    </row>
    <row r="254" spans="2:6">
      <c r="B254" s="16" t="s">
        <v>256</v>
      </c>
      <c r="C254" s="15" t="s">
        <v>257</v>
      </c>
      <c r="D254" s="17" t="s">
        <v>281</v>
      </c>
      <c r="E254" s="18" t="s">
        <v>1739</v>
      </c>
      <c r="F254" s="15" t="str">
        <f>_xlfn.XLOOKUP(D254,[9]Sheet1!$B:$B,[9]Sheet1!$E:$E,"-")</f>
        <v>FALDY FEDIANSYAH</v>
      </c>
    </row>
    <row r="255" spans="2:6">
      <c r="B255" s="16" t="s">
        <v>256</v>
      </c>
      <c r="C255" s="15" t="s">
        <v>257</v>
      </c>
      <c r="D255" s="17" t="s">
        <v>282</v>
      </c>
      <c r="E255" s="18" t="s">
        <v>1739</v>
      </c>
      <c r="F255" s="15" t="str">
        <f>_xlfn.XLOOKUP(D255,[9]Sheet1!$B:$B,[9]Sheet1!$E:$E,"-")</f>
        <v>FALDY FEDIANSYAH</v>
      </c>
    </row>
    <row r="256" spans="2:6">
      <c r="B256" s="16" t="s">
        <v>256</v>
      </c>
      <c r="C256" s="15" t="s">
        <v>257</v>
      </c>
      <c r="D256" s="17" t="s">
        <v>283</v>
      </c>
      <c r="E256" s="18" t="s">
        <v>1739</v>
      </c>
      <c r="F256" s="15" t="str">
        <f>_xlfn.XLOOKUP(D256,[9]Sheet1!$B:$B,[9]Sheet1!$E:$E,"-")</f>
        <v>FALDY FEDIANSYAH</v>
      </c>
    </row>
    <row r="257" spans="2:6">
      <c r="B257" s="16" t="s">
        <v>256</v>
      </c>
      <c r="C257" s="15" t="s">
        <v>257</v>
      </c>
      <c r="D257" s="17" t="s">
        <v>284</v>
      </c>
      <c r="E257" s="18" t="s">
        <v>1739</v>
      </c>
      <c r="F257" s="15" t="str">
        <f>_xlfn.XLOOKUP(D257,[9]Sheet1!$B:$B,[9]Sheet1!$E:$E,"-")</f>
        <v>FALDY FEDIANSYAH</v>
      </c>
    </row>
    <row r="258" spans="2:6">
      <c r="B258" s="16" t="s">
        <v>256</v>
      </c>
      <c r="C258" s="15" t="s">
        <v>257</v>
      </c>
      <c r="D258" s="17" t="s">
        <v>285</v>
      </c>
      <c r="E258" s="18" t="s">
        <v>1739</v>
      </c>
      <c r="F258" s="15" t="str">
        <f>_xlfn.XLOOKUP(D258,[9]Sheet1!$B:$B,[9]Sheet1!$E:$E,"-")</f>
        <v>FALDY FEDIANSYAH</v>
      </c>
    </row>
    <row r="259" spans="2:6">
      <c r="B259" s="16" t="s">
        <v>256</v>
      </c>
      <c r="C259" s="15" t="s">
        <v>257</v>
      </c>
      <c r="D259" s="17" t="s">
        <v>286</v>
      </c>
      <c r="E259" s="18" t="s">
        <v>1716</v>
      </c>
      <c r="F259" s="15" t="str">
        <f>_xlfn.XLOOKUP(D259,[9]Sheet1!$B:$B,[9]Sheet1!$E:$E,"-")</f>
        <v>FALDY FEDIANSYAH</v>
      </c>
    </row>
    <row r="260" spans="2:6">
      <c r="B260" s="16" t="s">
        <v>256</v>
      </c>
      <c r="C260" s="15" t="s">
        <v>257</v>
      </c>
      <c r="D260" s="17" t="s">
        <v>287</v>
      </c>
      <c r="E260" s="18" t="s">
        <v>1716</v>
      </c>
      <c r="F260" s="15" t="str">
        <f>_xlfn.XLOOKUP(D260,[9]Sheet1!$B:$B,[9]Sheet1!$E:$E,"-")</f>
        <v>FALDY FEDIANSYAH</v>
      </c>
    </row>
    <row r="261" spans="2:6">
      <c r="B261" s="16" t="s">
        <v>256</v>
      </c>
      <c r="C261" s="15" t="s">
        <v>257</v>
      </c>
      <c r="D261" s="17" t="s">
        <v>288</v>
      </c>
      <c r="E261" s="18" t="s">
        <v>1716</v>
      </c>
      <c r="F261" s="15" t="str">
        <f>_xlfn.XLOOKUP(D261,[9]Sheet1!$B:$B,[9]Sheet1!$E:$E,"-")</f>
        <v>FALDY FEDIANSYAH</v>
      </c>
    </row>
    <row r="262" spans="2:6">
      <c r="B262" s="16" t="s">
        <v>256</v>
      </c>
      <c r="C262" s="15" t="s">
        <v>257</v>
      </c>
      <c r="D262" s="17" t="s">
        <v>289</v>
      </c>
      <c r="E262" s="18" t="s">
        <v>1739</v>
      </c>
      <c r="F262" s="15" t="str">
        <f>_xlfn.XLOOKUP(D262,[9]Sheet1!$B:$B,[9]Sheet1!$E:$E,"-")</f>
        <v>FALDY FEDIANSYAH</v>
      </c>
    </row>
    <row r="263" spans="2:6">
      <c r="B263" s="16" t="s">
        <v>256</v>
      </c>
      <c r="C263" s="15" t="s">
        <v>257</v>
      </c>
      <c r="D263" s="17" t="s">
        <v>290</v>
      </c>
      <c r="E263" s="18" t="s">
        <v>1716</v>
      </c>
      <c r="F263" s="15" t="str">
        <f>_xlfn.XLOOKUP(D263,[9]Sheet1!$B:$B,[9]Sheet1!$E:$E,"-")</f>
        <v>HERI SUSANTO</v>
      </c>
    </row>
    <row r="264" spans="2:6">
      <c r="B264" s="16" t="s">
        <v>256</v>
      </c>
      <c r="C264" s="15" t="s">
        <v>257</v>
      </c>
      <c r="D264" s="17" t="s">
        <v>291</v>
      </c>
      <c r="E264" s="18" t="s">
        <v>1716</v>
      </c>
      <c r="F264" s="15" t="str">
        <f>_xlfn.XLOOKUP(D264,[9]Sheet1!$B:$B,[9]Sheet1!$E:$E,"-")</f>
        <v>HERI SUSANTO</v>
      </c>
    </row>
    <row r="265" spans="2:6">
      <c r="B265" s="16" t="s">
        <v>256</v>
      </c>
      <c r="C265" s="15" t="s">
        <v>257</v>
      </c>
      <c r="D265" s="17" t="s">
        <v>292</v>
      </c>
      <c r="E265" s="18" t="s">
        <v>1716</v>
      </c>
      <c r="F265" s="15" t="str">
        <f>_xlfn.XLOOKUP(D265,[9]Sheet1!$B:$B,[9]Sheet1!$E:$E,"-")</f>
        <v>HERI SUSANTO</v>
      </c>
    </row>
    <row r="266" spans="2:6">
      <c r="B266" s="16" t="s">
        <v>256</v>
      </c>
      <c r="C266" s="15" t="s">
        <v>257</v>
      </c>
      <c r="D266" s="17" t="s">
        <v>293</v>
      </c>
      <c r="E266" s="18" t="s">
        <v>1716</v>
      </c>
      <c r="F266" s="15" t="str">
        <f>_xlfn.XLOOKUP(D266,[9]Sheet1!$B:$B,[9]Sheet1!$E:$E,"-")</f>
        <v>HERI SUSANTO</v>
      </c>
    </row>
    <row r="267" spans="2:6">
      <c r="B267" s="16" t="s">
        <v>256</v>
      </c>
      <c r="C267" s="15" t="s">
        <v>257</v>
      </c>
      <c r="D267" s="17" t="s">
        <v>294</v>
      </c>
      <c r="E267" s="18" t="s">
        <v>1716</v>
      </c>
      <c r="F267" s="15" t="str">
        <f>_xlfn.XLOOKUP(D267,[9]Sheet1!$B:$B,[9]Sheet1!$E:$E,"-")</f>
        <v>HERI SUSANTO</v>
      </c>
    </row>
    <row r="268" spans="2:6">
      <c r="B268" s="16" t="s">
        <v>256</v>
      </c>
      <c r="C268" s="15" t="s">
        <v>257</v>
      </c>
      <c r="D268" s="17" t="s">
        <v>295</v>
      </c>
      <c r="E268" s="18" t="s">
        <v>1716</v>
      </c>
      <c r="F268" s="15" t="str">
        <f>_xlfn.XLOOKUP(D268,[9]Sheet1!$B:$B,[9]Sheet1!$E:$E,"-")</f>
        <v>HERI SUSANTO</v>
      </c>
    </row>
    <row r="269" spans="2:6">
      <c r="B269" s="16" t="s">
        <v>256</v>
      </c>
      <c r="C269" s="15" t="s">
        <v>257</v>
      </c>
      <c r="D269" s="17" t="s">
        <v>296</v>
      </c>
      <c r="E269" s="18" t="s">
        <v>1716</v>
      </c>
      <c r="F269" s="15" t="str">
        <f>_xlfn.XLOOKUP(D269,[9]Sheet1!$B:$B,[9]Sheet1!$E:$E,"-")</f>
        <v>HERI SUSANTO</v>
      </c>
    </row>
    <row r="270" spans="2:6">
      <c r="B270" s="16" t="s">
        <v>256</v>
      </c>
      <c r="C270" s="15" t="s">
        <v>257</v>
      </c>
      <c r="D270" s="17" t="s">
        <v>297</v>
      </c>
      <c r="E270" s="18" t="s">
        <v>1716</v>
      </c>
      <c r="F270" s="15" t="str">
        <f>_xlfn.XLOOKUP(D270,[9]Sheet1!$B:$B,[9]Sheet1!$E:$E,"-")</f>
        <v>HERI SUSANTO</v>
      </c>
    </row>
    <row r="271" spans="2:6">
      <c r="B271" s="16" t="s">
        <v>256</v>
      </c>
      <c r="C271" s="15" t="s">
        <v>257</v>
      </c>
      <c r="D271" s="17" t="s">
        <v>298</v>
      </c>
      <c r="E271" s="18" t="s">
        <v>1716</v>
      </c>
      <c r="F271" s="15" t="str">
        <f>_xlfn.XLOOKUP(D271,[9]Sheet1!$B:$B,[9]Sheet1!$E:$E,"-")</f>
        <v>HERI SUSANTO</v>
      </c>
    </row>
    <row r="272" spans="2:6">
      <c r="B272" s="16" t="s">
        <v>256</v>
      </c>
      <c r="C272" s="15" t="s">
        <v>257</v>
      </c>
      <c r="D272" s="17" t="s">
        <v>299</v>
      </c>
      <c r="E272" s="18" t="s">
        <v>1716</v>
      </c>
      <c r="F272" s="15" t="str">
        <f>_xlfn.XLOOKUP(D272,[9]Sheet1!$B:$B,[9]Sheet1!$E:$E,"-")</f>
        <v>HERI SUSANTO</v>
      </c>
    </row>
    <row r="273" spans="2:6">
      <c r="B273" s="16" t="s">
        <v>256</v>
      </c>
      <c r="C273" s="15" t="s">
        <v>257</v>
      </c>
      <c r="D273" s="17" t="s">
        <v>300</v>
      </c>
      <c r="E273" s="18" t="s">
        <v>1716</v>
      </c>
      <c r="F273" s="15" t="str">
        <f>_xlfn.XLOOKUP(D273,[9]Sheet1!$B:$B,[9]Sheet1!$E:$E,"-")</f>
        <v>HERI SUSANTO</v>
      </c>
    </row>
    <row r="274" spans="2:6">
      <c r="B274" s="16" t="s">
        <v>256</v>
      </c>
      <c r="C274" s="15" t="s">
        <v>257</v>
      </c>
      <c r="D274" s="17" t="s">
        <v>301</v>
      </c>
      <c r="E274" s="18" t="s">
        <v>1739</v>
      </c>
      <c r="F274" s="15" t="str">
        <f>_xlfn.XLOOKUP(D274,[9]Sheet1!$B:$B,[9]Sheet1!$E:$E,"-")</f>
        <v>HERI SUSANTO</v>
      </c>
    </row>
    <row r="275" spans="2:6">
      <c r="B275" s="16" t="s">
        <v>256</v>
      </c>
      <c r="C275" s="15" t="s">
        <v>257</v>
      </c>
      <c r="D275" s="17" t="s">
        <v>302</v>
      </c>
      <c r="E275" s="18" t="s">
        <v>1739</v>
      </c>
      <c r="F275" s="15" t="str">
        <f>_xlfn.XLOOKUP(D275,[9]Sheet1!$B:$B,[9]Sheet1!$E:$E,"-")</f>
        <v>HERI SUSANTO</v>
      </c>
    </row>
    <row r="276" spans="2:6">
      <c r="B276" s="16" t="s">
        <v>256</v>
      </c>
      <c r="C276" s="15" t="s">
        <v>257</v>
      </c>
      <c r="D276" s="17" t="s">
        <v>303</v>
      </c>
      <c r="E276" s="18" t="s">
        <v>1716</v>
      </c>
      <c r="F276" s="15" t="str">
        <f>_xlfn.XLOOKUP(D276,[9]Sheet1!$B:$B,[9]Sheet1!$E:$E,"-")</f>
        <v>HERI SUSANTO</v>
      </c>
    </row>
    <row r="277" spans="2:6">
      <c r="B277" s="16" t="s">
        <v>256</v>
      </c>
      <c r="C277" s="15" t="s">
        <v>257</v>
      </c>
      <c r="D277" s="17" t="s">
        <v>304</v>
      </c>
      <c r="E277" s="18" t="s">
        <v>1716</v>
      </c>
      <c r="F277" s="15" t="str">
        <f>_xlfn.XLOOKUP(D277,[9]Sheet1!$B:$B,[9]Sheet1!$E:$E,"-")</f>
        <v>NOVIAN</v>
      </c>
    </row>
    <row r="278" spans="2:6">
      <c r="B278" s="16" t="s">
        <v>256</v>
      </c>
      <c r="C278" s="15" t="s">
        <v>257</v>
      </c>
      <c r="D278" s="17" t="s">
        <v>305</v>
      </c>
      <c r="E278" s="18" t="s">
        <v>1716</v>
      </c>
      <c r="F278" s="15" t="str">
        <f>_xlfn.XLOOKUP(D278,[9]Sheet1!$B:$B,[9]Sheet1!$E:$E,"-")</f>
        <v>NOVIAN</v>
      </c>
    </row>
    <row r="279" spans="2:6">
      <c r="B279" s="16" t="s">
        <v>256</v>
      </c>
      <c r="C279" s="15" t="s">
        <v>257</v>
      </c>
      <c r="D279" s="17" t="s">
        <v>306</v>
      </c>
      <c r="E279" s="18" t="s">
        <v>1716</v>
      </c>
      <c r="F279" s="15" t="str">
        <f>_xlfn.XLOOKUP(D279,[9]Sheet1!$B:$B,[9]Sheet1!$E:$E,"-")</f>
        <v>NOVIAN</v>
      </c>
    </row>
    <row r="280" spans="2:6">
      <c r="B280" s="16" t="s">
        <v>256</v>
      </c>
      <c r="C280" s="15" t="s">
        <v>257</v>
      </c>
      <c r="D280" s="17" t="s">
        <v>307</v>
      </c>
      <c r="E280" s="18" t="s">
        <v>1716</v>
      </c>
      <c r="F280" s="15" t="str">
        <f>_xlfn.XLOOKUP(D280,[9]Sheet1!$B:$B,[9]Sheet1!$E:$E,"-")</f>
        <v>NOVIAN</v>
      </c>
    </row>
    <row r="281" spans="2:6">
      <c r="B281" s="16" t="s">
        <v>256</v>
      </c>
      <c r="C281" s="15" t="s">
        <v>257</v>
      </c>
      <c r="D281" s="17" t="s">
        <v>308</v>
      </c>
      <c r="E281" s="18" t="s">
        <v>1716</v>
      </c>
      <c r="F281" s="15" t="str">
        <f>_xlfn.XLOOKUP(D281,[9]Sheet1!$B:$B,[9]Sheet1!$E:$E,"-")</f>
        <v>NOVIAN</v>
      </c>
    </row>
    <row r="282" spans="2:6">
      <c r="B282" s="16" t="s">
        <v>256</v>
      </c>
      <c r="C282" s="15" t="s">
        <v>257</v>
      </c>
      <c r="D282" s="17" t="s">
        <v>309</v>
      </c>
      <c r="E282" s="18" t="s">
        <v>1716</v>
      </c>
      <c r="F282" s="15" t="str">
        <f>_xlfn.XLOOKUP(D282,[9]Sheet1!$B:$B,[9]Sheet1!$E:$E,"-")</f>
        <v>NOVIAN</v>
      </c>
    </row>
    <row r="283" spans="2:6">
      <c r="B283" s="16" t="s">
        <v>256</v>
      </c>
      <c r="C283" s="15" t="s">
        <v>257</v>
      </c>
      <c r="D283" s="17" t="s">
        <v>310</v>
      </c>
      <c r="E283" s="18" t="s">
        <v>1716</v>
      </c>
      <c r="F283" s="15" t="str">
        <f>_xlfn.XLOOKUP(D283,[9]Sheet1!$B:$B,[9]Sheet1!$E:$E,"-")</f>
        <v>NOVIAN</v>
      </c>
    </row>
    <row r="284" spans="2:6">
      <c r="B284" s="16" t="s">
        <v>256</v>
      </c>
      <c r="C284" s="15" t="s">
        <v>257</v>
      </c>
      <c r="D284" s="17" t="s">
        <v>311</v>
      </c>
      <c r="E284" s="18" t="s">
        <v>1739</v>
      </c>
      <c r="F284" s="15" t="str">
        <f>_xlfn.XLOOKUP(D284,[9]Sheet1!$B:$B,[9]Sheet1!$E:$E,"-")</f>
        <v>NOVIAN</v>
      </c>
    </row>
    <row r="285" spans="2:6">
      <c r="B285" s="16" t="s">
        <v>256</v>
      </c>
      <c r="C285" s="15" t="s">
        <v>257</v>
      </c>
      <c r="D285" s="17" t="s">
        <v>312</v>
      </c>
      <c r="E285" s="18" t="s">
        <v>1739</v>
      </c>
      <c r="F285" s="15" t="str">
        <f>_xlfn.XLOOKUP(D285,[9]Sheet1!$B:$B,[9]Sheet1!$E:$E,"-")</f>
        <v>NOVIAN</v>
      </c>
    </row>
    <row r="286" spans="2:6">
      <c r="B286" s="16" t="s">
        <v>256</v>
      </c>
      <c r="C286" s="15" t="s">
        <v>257</v>
      </c>
      <c r="D286" s="17" t="s">
        <v>313</v>
      </c>
      <c r="E286" s="18" t="s">
        <v>1739</v>
      </c>
      <c r="F286" s="15" t="str">
        <f>_xlfn.XLOOKUP(D286,[9]Sheet1!$B:$B,[9]Sheet1!$E:$E,"-")</f>
        <v>NOVIAN</v>
      </c>
    </row>
    <row r="287" spans="2:6">
      <c r="B287" s="16" t="s">
        <v>256</v>
      </c>
      <c r="C287" s="15" t="s">
        <v>257</v>
      </c>
      <c r="D287" s="17" t="s">
        <v>314</v>
      </c>
      <c r="E287" s="18" t="s">
        <v>1739</v>
      </c>
      <c r="F287" s="15" t="str">
        <f>_xlfn.XLOOKUP(D287,[9]Sheet1!$B:$B,[9]Sheet1!$E:$E,"-")</f>
        <v>NOVIAN</v>
      </c>
    </row>
    <row r="288" spans="2:6">
      <c r="B288" s="16" t="s">
        <v>256</v>
      </c>
      <c r="C288" s="15" t="s">
        <v>257</v>
      </c>
      <c r="D288" s="17" t="s">
        <v>315</v>
      </c>
      <c r="E288" s="18" t="s">
        <v>1739</v>
      </c>
      <c r="F288" s="15" t="str">
        <f>_xlfn.XLOOKUP(D288,[9]Sheet1!$B:$B,[9]Sheet1!$E:$E,"-")</f>
        <v>NOVIAN</v>
      </c>
    </row>
    <row r="289" spans="2:6">
      <c r="B289" s="16" t="s">
        <v>256</v>
      </c>
      <c r="C289" s="15" t="s">
        <v>257</v>
      </c>
      <c r="D289" s="17" t="s">
        <v>316</v>
      </c>
      <c r="E289" s="18" t="s">
        <v>1716</v>
      </c>
      <c r="F289" s="15" t="str">
        <f>_xlfn.XLOOKUP(D289,[9]Sheet1!$B:$B,[9]Sheet1!$E:$E,"-")</f>
        <v>NOVIAN</v>
      </c>
    </row>
    <row r="290" spans="2:6">
      <c r="B290" s="16" t="s">
        <v>256</v>
      </c>
      <c r="C290" s="15" t="s">
        <v>257</v>
      </c>
      <c r="D290" s="17" t="s">
        <v>317</v>
      </c>
      <c r="E290" s="18" t="s">
        <v>1716</v>
      </c>
      <c r="F290" s="15" t="str">
        <f>_xlfn.XLOOKUP(D290,[9]Sheet1!$B:$B,[9]Sheet1!$E:$E,"-")</f>
        <v>M PAREZA NOVIK</v>
      </c>
    </row>
    <row r="291" spans="2:6">
      <c r="B291" s="16" t="s">
        <v>256</v>
      </c>
      <c r="C291" s="15" t="s">
        <v>257</v>
      </c>
      <c r="D291" s="17" t="s">
        <v>318</v>
      </c>
      <c r="E291" s="18" t="s">
        <v>1716</v>
      </c>
      <c r="F291" s="15" t="str">
        <f>_xlfn.XLOOKUP(D291,[9]Sheet1!$B:$B,[9]Sheet1!$E:$E,"-")</f>
        <v>M PAREZA NOVIK</v>
      </c>
    </row>
    <row r="292" spans="2:6">
      <c r="B292" s="16" t="s">
        <v>256</v>
      </c>
      <c r="C292" s="15" t="s">
        <v>257</v>
      </c>
      <c r="D292" s="17" t="s">
        <v>319</v>
      </c>
      <c r="E292" s="18" t="s">
        <v>1716</v>
      </c>
      <c r="F292" s="15" t="str">
        <f>_xlfn.XLOOKUP(D292,[9]Sheet1!$B:$B,[9]Sheet1!$E:$E,"-")</f>
        <v>M PAREZA NOVIK</v>
      </c>
    </row>
    <row r="293" spans="2:6">
      <c r="B293" s="16" t="s">
        <v>256</v>
      </c>
      <c r="C293" s="15" t="s">
        <v>257</v>
      </c>
      <c r="D293" s="17" t="s">
        <v>320</v>
      </c>
      <c r="E293" s="18" t="s">
        <v>1716</v>
      </c>
      <c r="F293" s="15" t="str">
        <f>_xlfn.XLOOKUP(D293,[9]Sheet1!$B:$B,[9]Sheet1!$E:$E,"-")</f>
        <v>M PAREZA NOVIK</v>
      </c>
    </row>
    <row r="294" spans="2:6">
      <c r="B294" s="16" t="s">
        <v>256</v>
      </c>
      <c r="C294" s="15" t="s">
        <v>257</v>
      </c>
      <c r="D294" s="17" t="s">
        <v>321</v>
      </c>
      <c r="E294" s="18" t="s">
        <v>1716</v>
      </c>
      <c r="F294" s="15" t="str">
        <f>_xlfn.XLOOKUP(D294,[9]Sheet1!$B:$B,[9]Sheet1!$E:$E,"-")</f>
        <v>M PAREZA NOVIK</v>
      </c>
    </row>
    <row r="295" spans="2:6">
      <c r="B295" s="16" t="s">
        <v>256</v>
      </c>
      <c r="C295" s="15" t="s">
        <v>257</v>
      </c>
      <c r="D295" s="17" t="s">
        <v>322</v>
      </c>
      <c r="E295" s="18" t="s">
        <v>1739</v>
      </c>
      <c r="F295" s="15" t="str">
        <f>_xlfn.XLOOKUP(D295,[9]Sheet1!$B:$B,[9]Sheet1!$E:$E,"-")</f>
        <v>M PAREZA NOVIK</v>
      </c>
    </row>
    <row r="296" spans="2:6">
      <c r="B296" s="16" t="s">
        <v>256</v>
      </c>
      <c r="C296" s="15" t="s">
        <v>257</v>
      </c>
      <c r="D296" s="17" t="s">
        <v>323</v>
      </c>
      <c r="E296" s="18" t="s">
        <v>1739</v>
      </c>
      <c r="F296" s="15" t="str">
        <f>_xlfn.XLOOKUP(D296,[9]Sheet1!$B:$B,[9]Sheet1!$E:$E,"-")</f>
        <v>M PAREZA NOVIK</v>
      </c>
    </row>
    <row r="297" spans="2:6">
      <c r="B297" s="16" t="s">
        <v>256</v>
      </c>
      <c r="C297" s="15" t="s">
        <v>257</v>
      </c>
      <c r="D297" s="17" t="s">
        <v>324</v>
      </c>
      <c r="E297" s="18" t="s">
        <v>1739</v>
      </c>
      <c r="F297" s="15" t="str">
        <f>_xlfn.XLOOKUP(D297,[9]Sheet1!$B:$B,[9]Sheet1!$E:$E,"-")</f>
        <v>M PAREZA NOVIK</v>
      </c>
    </row>
    <row r="298" spans="2:6">
      <c r="B298" s="16" t="s">
        <v>256</v>
      </c>
      <c r="C298" s="15" t="s">
        <v>257</v>
      </c>
      <c r="D298" s="17" t="s">
        <v>325</v>
      </c>
      <c r="E298" s="18" t="s">
        <v>1739</v>
      </c>
      <c r="F298" s="15" t="str">
        <f>_xlfn.XLOOKUP(D298,[9]Sheet1!$B:$B,[9]Sheet1!$E:$E,"-")</f>
        <v>M PAREZA NOVIK</v>
      </c>
    </row>
    <row r="299" spans="2:6">
      <c r="B299" s="16" t="s">
        <v>256</v>
      </c>
      <c r="C299" s="15" t="s">
        <v>257</v>
      </c>
      <c r="D299" s="17" t="s">
        <v>326</v>
      </c>
      <c r="E299" s="18" t="s">
        <v>1739</v>
      </c>
      <c r="F299" s="15" t="str">
        <f>_xlfn.XLOOKUP(D299,[9]Sheet1!$B:$B,[9]Sheet1!$E:$E,"-")</f>
        <v>M PAREZA NOVIK</v>
      </c>
    </row>
    <row r="300" spans="2:6">
      <c r="B300" s="16" t="s">
        <v>256</v>
      </c>
      <c r="C300" s="15" t="s">
        <v>257</v>
      </c>
      <c r="D300" s="17" t="s">
        <v>327</v>
      </c>
      <c r="E300" s="18" t="s">
        <v>1716</v>
      </c>
      <c r="F300" s="15" t="str">
        <f>_xlfn.XLOOKUP(D300,[9]Sheet1!$B:$B,[9]Sheet1!$E:$E,"-")</f>
        <v>M PAREZA NOVIK</v>
      </c>
    </row>
    <row r="301" spans="2:6">
      <c r="B301" s="16" t="s">
        <v>256</v>
      </c>
      <c r="C301" s="15" t="s">
        <v>257</v>
      </c>
      <c r="D301" s="17" t="s">
        <v>328</v>
      </c>
      <c r="E301" s="18" t="s">
        <v>1716</v>
      </c>
      <c r="F301" s="15" t="str">
        <f>_xlfn.XLOOKUP(D301,[9]Sheet1!$B:$B,[9]Sheet1!$E:$E,"-")</f>
        <v>M PAREZA NOVIK</v>
      </c>
    </row>
    <row r="302" spans="2:6">
      <c r="B302" s="16" t="s">
        <v>256</v>
      </c>
      <c r="C302" s="15" t="s">
        <v>257</v>
      </c>
      <c r="D302" s="17" t="s">
        <v>329</v>
      </c>
      <c r="E302" s="18" t="s">
        <v>1739</v>
      </c>
      <c r="F302" s="15" t="str">
        <f>_xlfn.XLOOKUP(D302,[9]Sheet1!$B:$B,[9]Sheet1!$E:$E,"-")</f>
        <v>M PAREZA NOVIK</v>
      </c>
    </row>
    <row r="303" spans="2:6">
      <c r="B303" s="16" t="s">
        <v>256</v>
      </c>
      <c r="C303" s="15" t="s">
        <v>257</v>
      </c>
      <c r="D303" s="17" t="s">
        <v>330</v>
      </c>
      <c r="E303" s="18" t="s">
        <v>1716</v>
      </c>
      <c r="F303" s="15" t="str">
        <f>_xlfn.XLOOKUP(D303,[9]Sheet1!$B:$B,[9]Sheet1!$E:$E,"-")</f>
        <v>M PAREZA NOVIK</v>
      </c>
    </row>
    <row r="304" spans="2:6">
      <c r="B304" s="16" t="s">
        <v>256</v>
      </c>
      <c r="C304" s="15" t="s">
        <v>257</v>
      </c>
      <c r="D304" s="17" t="s">
        <v>331</v>
      </c>
      <c r="E304" s="18" t="s">
        <v>1716</v>
      </c>
      <c r="F304" s="15" t="str">
        <f>_xlfn.XLOOKUP(D304,[9]Sheet1!$B:$B,[9]Sheet1!$E:$E,"-")</f>
        <v>WIN KARYADI H P</v>
      </c>
    </row>
    <row r="305" spans="2:6">
      <c r="B305" s="16" t="s">
        <v>256</v>
      </c>
      <c r="C305" s="15" t="s">
        <v>257</v>
      </c>
      <c r="D305" s="17" t="s">
        <v>332</v>
      </c>
      <c r="E305" s="18" t="s">
        <v>1716</v>
      </c>
      <c r="F305" s="15" t="str">
        <f>_xlfn.XLOOKUP(D305,[9]Sheet1!$B:$B,[9]Sheet1!$E:$E,"-")</f>
        <v>WIN KARYADI H P</v>
      </c>
    </row>
    <row r="306" spans="2:6">
      <c r="B306" s="16" t="s">
        <v>256</v>
      </c>
      <c r="C306" s="15" t="s">
        <v>257</v>
      </c>
      <c r="D306" s="17" t="s">
        <v>333</v>
      </c>
      <c r="E306" s="18" t="s">
        <v>1716</v>
      </c>
      <c r="F306" s="15" t="str">
        <f>_xlfn.XLOOKUP(D306,[9]Sheet1!$B:$B,[9]Sheet1!$E:$E,"-")</f>
        <v>WIN KARYADI H P</v>
      </c>
    </row>
    <row r="307" spans="2:6">
      <c r="B307" s="16" t="s">
        <v>256</v>
      </c>
      <c r="C307" s="15" t="s">
        <v>257</v>
      </c>
      <c r="D307" s="17" t="s">
        <v>334</v>
      </c>
      <c r="E307" s="18" t="s">
        <v>1716</v>
      </c>
      <c r="F307" s="15" t="str">
        <f>_xlfn.XLOOKUP(D307,[9]Sheet1!$B:$B,[9]Sheet1!$E:$E,"-")</f>
        <v>WIN KARYADI H P</v>
      </c>
    </row>
    <row r="308" spans="2:6">
      <c r="B308" s="16" t="s">
        <v>256</v>
      </c>
      <c r="C308" s="15" t="s">
        <v>257</v>
      </c>
      <c r="D308" s="17" t="s">
        <v>335</v>
      </c>
      <c r="E308" s="18" t="s">
        <v>1716</v>
      </c>
      <c r="F308" s="15" t="str">
        <f>_xlfn.XLOOKUP(D308,[9]Sheet1!$B:$B,[9]Sheet1!$E:$E,"-")</f>
        <v>WIN KARYADI H P</v>
      </c>
    </row>
    <row r="309" spans="2:6">
      <c r="B309" s="16" t="s">
        <v>256</v>
      </c>
      <c r="C309" s="15" t="s">
        <v>257</v>
      </c>
      <c r="D309" s="17" t="s">
        <v>336</v>
      </c>
      <c r="E309" s="18" t="s">
        <v>1739</v>
      </c>
      <c r="F309" s="15" t="str">
        <f>_xlfn.XLOOKUP(D309,[9]Sheet1!$B:$B,[9]Sheet1!$E:$E,"-")</f>
        <v>WIN KARYADI H P</v>
      </c>
    </row>
    <row r="310" spans="2:6">
      <c r="B310" s="16" t="s">
        <v>256</v>
      </c>
      <c r="C310" s="15" t="s">
        <v>257</v>
      </c>
      <c r="D310" s="17" t="s">
        <v>337</v>
      </c>
      <c r="E310" s="18" t="s">
        <v>1739</v>
      </c>
      <c r="F310" s="15" t="str">
        <f>_xlfn.XLOOKUP(D310,[9]Sheet1!$B:$B,[9]Sheet1!$E:$E,"-")</f>
        <v>WIN KARYADI H P</v>
      </c>
    </row>
    <row r="311" spans="2:6">
      <c r="B311" s="16" t="s">
        <v>256</v>
      </c>
      <c r="C311" s="15" t="s">
        <v>257</v>
      </c>
      <c r="D311" s="17" t="s">
        <v>338</v>
      </c>
      <c r="E311" s="18" t="s">
        <v>1739</v>
      </c>
      <c r="F311" s="15" t="str">
        <f>_xlfn.XLOOKUP(D311,[9]Sheet1!$B:$B,[9]Sheet1!$E:$E,"-")</f>
        <v>WIN KARYADI H P</v>
      </c>
    </row>
    <row r="312" spans="2:6">
      <c r="B312" s="16" t="s">
        <v>256</v>
      </c>
      <c r="C312" s="15" t="s">
        <v>257</v>
      </c>
      <c r="D312" s="17" t="s">
        <v>339</v>
      </c>
      <c r="E312" s="18" t="s">
        <v>1739</v>
      </c>
      <c r="F312" s="15" t="str">
        <f>_xlfn.XLOOKUP(D312,[9]Sheet1!$B:$B,[9]Sheet1!$E:$E,"-")</f>
        <v>WIN KARYADI H P</v>
      </c>
    </row>
    <row r="313" spans="2:6">
      <c r="B313" s="16" t="s">
        <v>256</v>
      </c>
      <c r="C313" s="15" t="s">
        <v>257</v>
      </c>
      <c r="D313" s="17" t="s">
        <v>340</v>
      </c>
      <c r="E313" s="18" t="s">
        <v>1739</v>
      </c>
      <c r="F313" s="15" t="str">
        <f>_xlfn.XLOOKUP(D313,[9]Sheet1!$B:$B,[9]Sheet1!$E:$E,"-")</f>
        <v>WIN KARYADI H P</v>
      </c>
    </row>
    <row r="314" spans="2:6">
      <c r="B314" s="16" t="s">
        <v>256</v>
      </c>
      <c r="C314" s="15" t="s">
        <v>257</v>
      </c>
      <c r="D314" s="17" t="s">
        <v>341</v>
      </c>
      <c r="E314" s="18" t="s">
        <v>1716</v>
      </c>
      <c r="F314" s="15" t="str">
        <f>_xlfn.XLOOKUP(D314,[9]Sheet1!$B:$B,[9]Sheet1!$E:$E,"-")</f>
        <v>WIN KARYADI H P</v>
      </c>
    </row>
    <row r="315" spans="2:6">
      <c r="B315" s="16" t="s">
        <v>256</v>
      </c>
      <c r="C315" s="15" t="s">
        <v>257</v>
      </c>
      <c r="D315" s="17" t="s">
        <v>342</v>
      </c>
      <c r="E315" s="18" t="s">
        <v>1739</v>
      </c>
      <c r="F315" s="15" t="str">
        <f>_xlfn.XLOOKUP(D315,[9]Sheet1!$B:$B,[9]Sheet1!$E:$E,"-")</f>
        <v>WIN KARYADI H P</v>
      </c>
    </row>
    <row r="316" spans="2:6">
      <c r="B316" s="16" t="s">
        <v>256</v>
      </c>
      <c r="C316" s="15" t="s">
        <v>257</v>
      </c>
      <c r="D316" s="17" t="s">
        <v>343</v>
      </c>
      <c r="E316" s="18" t="s">
        <v>1739</v>
      </c>
      <c r="F316" s="15" t="str">
        <f>_xlfn.XLOOKUP(D316,[9]Sheet1!$B:$B,[9]Sheet1!$E:$E,"-")</f>
        <v>WIN KARYADI H P</v>
      </c>
    </row>
    <row r="317" spans="2:6">
      <c r="B317" s="16" t="s">
        <v>256</v>
      </c>
      <c r="C317" s="15" t="s">
        <v>257</v>
      </c>
      <c r="D317" s="17" t="s">
        <v>344</v>
      </c>
      <c r="E317" s="18" t="s">
        <v>1739</v>
      </c>
      <c r="F317" s="15" t="str">
        <f>_xlfn.XLOOKUP(D317,[9]Sheet1!$B:$B,[9]Sheet1!$E:$E,"-")</f>
        <v>WIN KARYADI H P</v>
      </c>
    </row>
    <row r="318" spans="2:6">
      <c r="B318" s="16" t="s">
        <v>256</v>
      </c>
      <c r="C318" s="15" t="s">
        <v>257</v>
      </c>
      <c r="D318" s="17" t="s">
        <v>345</v>
      </c>
      <c r="E318" s="18" t="s">
        <v>1739</v>
      </c>
      <c r="F318" s="15" t="str">
        <f>_xlfn.XLOOKUP(D318,[9]Sheet1!$B:$B,[9]Sheet1!$E:$E,"-")</f>
        <v>WIN KARYADI H P</v>
      </c>
    </row>
    <row r="319" spans="2:6">
      <c r="B319" s="16" t="s">
        <v>346</v>
      </c>
      <c r="C319" s="15" t="s">
        <v>347</v>
      </c>
      <c r="D319" s="17" t="s">
        <v>348</v>
      </c>
      <c r="E319" s="18" t="s">
        <v>1716</v>
      </c>
      <c r="F319" s="15" t="s">
        <v>1740</v>
      </c>
    </row>
    <row r="320" spans="2:6">
      <c r="B320" s="16" t="s">
        <v>346</v>
      </c>
      <c r="C320" s="15" t="s">
        <v>347</v>
      </c>
      <c r="D320" s="17" t="s">
        <v>349</v>
      </c>
      <c r="E320" s="18" t="s">
        <v>1716</v>
      </c>
      <c r="F320" s="15"/>
    </row>
    <row r="321" spans="2:6">
      <c r="B321" s="16" t="s">
        <v>346</v>
      </c>
      <c r="C321" s="15" t="s">
        <v>347</v>
      </c>
      <c r="D321" s="17" t="s">
        <v>350</v>
      </c>
      <c r="E321" s="18" t="s">
        <v>1716</v>
      </c>
      <c r="F321" s="15" t="s">
        <v>1741</v>
      </c>
    </row>
    <row r="322" spans="2:6">
      <c r="B322" s="16" t="s">
        <v>346</v>
      </c>
      <c r="C322" s="15" t="s">
        <v>347</v>
      </c>
      <c r="D322" s="17" t="s">
        <v>351</v>
      </c>
      <c r="E322" s="18" t="s">
        <v>1716</v>
      </c>
      <c r="F322" s="15"/>
    </row>
    <row r="323" spans="2:6">
      <c r="B323" s="16" t="s">
        <v>346</v>
      </c>
      <c r="C323" s="15" t="s">
        <v>347</v>
      </c>
      <c r="D323" s="17" t="s">
        <v>352</v>
      </c>
      <c r="E323" s="18" t="s">
        <v>1716</v>
      </c>
      <c r="F323" s="15" t="s">
        <v>1742</v>
      </c>
    </row>
    <row r="324" spans="2:6">
      <c r="B324" s="16" t="s">
        <v>346</v>
      </c>
      <c r="C324" s="15" t="s">
        <v>347</v>
      </c>
      <c r="D324" s="17" t="s">
        <v>353</v>
      </c>
      <c r="E324" s="18" t="s">
        <v>1716</v>
      </c>
      <c r="F324" s="15" t="s">
        <v>1743</v>
      </c>
    </row>
    <row r="325" spans="2:6">
      <c r="B325" s="16" t="s">
        <v>346</v>
      </c>
      <c r="C325" s="15" t="s">
        <v>347</v>
      </c>
      <c r="D325" s="17" t="s">
        <v>354</v>
      </c>
      <c r="E325" s="18" t="s">
        <v>1716</v>
      </c>
      <c r="F325" s="15" t="s">
        <v>1743</v>
      </c>
    </row>
    <row r="326" spans="2:6">
      <c r="B326" s="16" t="s">
        <v>346</v>
      </c>
      <c r="C326" s="15" t="s">
        <v>347</v>
      </c>
      <c r="D326" s="17" t="s">
        <v>355</v>
      </c>
      <c r="E326" s="18" t="s">
        <v>1716</v>
      </c>
      <c r="F326" s="15" t="s">
        <v>1744</v>
      </c>
    </row>
    <row r="327" spans="2:6">
      <c r="B327" s="16" t="s">
        <v>346</v>
      </c>
      <c r="C327" s="15" t="s">
        <v>347</v>
      </c>
      <c r="D327" s="17" t="s">
        <v>356</v>
      </c>
      <c r="E327" s="18" t="s">
        <v>1716</v>
      </c>
      <c r="F327" s="15" t="s">
        <v>1745</v>
      </c>
    </row>
    <row r="328" spans="2:6">
      <c r="B328" s="16" t="s">
        <v>346</v>
      </c>
      <c r="C328" s="15" t="s">
        <v>347</v>
      </c>
      <c r="D328" s="17" t="s">
        <v>357</v>
      </c>
      <c r="E328" s="18" t="s">
        <v>1716</v>
      </c>
      <c r="F328" s="15" t="s">
        <v>1746</v>
      </c>
    </row>
    <row r="329" spans="2:6">
      <c r="B329" s="16" t="s">
        <v>346</v>
      </c>
      <c r="C329" s="15" t="s">
        <v>347</v>
      </c>
      <c r="D329" s="17" t="s">
        <v>358</v>
      </c>
      <c r="E329" s="18" t="s">
        <v>1716</v>
      </c>
      <c r="F329" s="15" t="s">
        <v>1747</v>
      </c>
    </row>
    <row r="330" spans="2:6">
      <c r="B330" s="16" t="s">
        <v>346</v>
      </c>
      <c r="C330" s="15" t="s">
        <v>347</v>
      </c>
      <c r="D330" s="17" t="s">
        <v>359</v>
      </c>
      <c r="E330" s="18" t="s">
        <v>1716</v>
      </c>
      <c r="F330" s="15" t="s">
        <v>1748</v>
      </c>
    </row>
    <row r="331" spans="2:6">
      <c r="B331" s="16" t="s">
        <v>346</v>
      </c>
      <c r="C331" s="15" t="s">
        <v>347</v>
      </c>
      <c r="D331" s="17" t="s">
        <v>360</v>
      </c>
      <c r="E331" s="18" t="s">
        <v>1716</v>
      </c>
      <c r="F331" s="15" t="s">
        <v>1748</v>
      </c>
    </row>
    <row r="332" spans="2:6">
      <c r="B332" s="16" t="s">
        <v>346</v>
      </c>
      <c r="C332" s="15" t="s">
        <v>347</v>
      </c>
      <c r="D332" s="17" t="s">
        <v>361</v>
      </c>
      <c r="E332" s="18" t="s">
        <v>1716</v>
      </c>
      <c r="F332" s="15" t="s">
        <v>1749</v>
      </c>
    </row>
    <row r="333" spans="2:6">
      <c r="B333" s="16" t="s">
        <v>346</v>
      </c>
      <c r="C333" s="15" t="s">
        <v>347</v>
      </c>
      <c r="D333" s="17" t="s">
        <v>362</v>
      </c>
      <c r="E333" s="18" t="s">
        <v>1716</v>
      </c>
      <c r="F333" s="15" t="s">
        <v>1749</v>
      </c>
    </row>
    <row r="334" spans="2:6">
      <c r="B334" s="16" t="s">
        <v>346</v>
      </c>
      <c r="C334" s="15" t="s">
        <v>347</v>
      </c>
      <c r="D334" s="17" t="s">
        <v>363</v>
      </c>
      <c r="E334" s="18" t="s">
        <v>1716</v>
      </c>
      <c r="F334" s="15" t="s">
        <v>1750</v>
      </c>
    </row>
    <row r="335" spans="2:6">
      <c r="B335" s="16" t="s">
        <v>346</v>
      </c>
      <c r="C335" s="15" t="s">
        <v>347</v>
      </c>
      <c r="D335" s="17" t="s">
        <v>364</v>
      </c>
      <c r="E335" s="18" t="s">
        <v>1716</v>
      </c>
      <c r="F335" s="15" t="s">
        <v>1750</v>
      </c>
    </row>
    <row r="336" spans="2:6">
      <c r="B336" s="16" t="s">
        <v>346</v>
      </c>
      <c r="C336" s="15" t="s">
        <v>347</v>
      </c>
      <c r="D336" s="17" t="s">
        <v>365</v>
      </c>
      <c r="E336" s="18" t="s">
        <v>1716</v>
      </c>
      <c r="F336" s="15" t="s">
        <v>1751</v>
      </c>
    </row>
    <row r="337" spans="2:6">
      <c r="B337" s="16" t="s">
        <v>346</v>
      </c>
      <c r="C337" s="15" t="s">
        <v>347</v>
      </c>
      <c r="D337" s="17" t="s">
        <v>366</v>
      </c>
      <c r="E337" s="18" t="s">
        <v>1739</v>
      </c>
      <c r="F337" s="15" t="s">
        <v>1752</v>
      </c>
    </row>
    <row r="338" spans="2:6">
      <c r="B338" s="16" t="s">
        <v>346</v>
      </c>
      <c r="C338" s="15" t="s">
        <v>347</v>
      </c>
      <c r="D338" s="17" t="s">
        <v>367</v>
      </c>
      <c r="E338" s="18" t="s">
        <v>1739</v>
      </c>
      <c r="F338" s="15" t="s">
        <v>1753</v>
      </c>
    </row>
    <row r="339" spans="2:6">
      <c r="B339" s="16" t="s">
        <v>346</v>
      </c>
      <c r="C339" s="15" t="s">
        <v>347</v>
      </c>
      <c r="D339" s="17" t="s">
        <v>368</v>
      </c>
      <c r="E339" s="18" t="s">
        <v>1739</v>
      </c>
      <c r="F339" s="15" t="s">
        <v>1754</v>
      </c>
    </row>
    <row r="340" spans="2:6">
      <c r="B340" s="16" t="s">
        <v>346</v>
      </c>
      <c r="C340" s="15" t="s">
        <v>347</v>
      </c>
      <c r="D340" s="17" t="s">
        <v>369</v>
      </c>
      <c r="E340" s="18" t="s">
        <v>1739</v>
      </c>
      <c r="F340" s="15" t="s">
        <v>1755</v>
      </c>
    </row>
    <row r="341" spans="2:6">
      <c r="B341" s="16" t="s">
        <v>346</v>
      </c>
      <c r="C341" s="15" t="s">
        <v>347</v>
      </c>
      <c r="D341" s="17" t="s">
        <v>370</v>
      </c>
      <c r="E341" s="18" t="s">
        <v>1716</v>
      </c>
      <c r="F341" s="15" t="s">
        <v>1756</v>
      </c>
    </row>
    <row r="342" spans="2:6">
      <c r="B342" s="19" t="s">
        <v>371</v>
      </c>
      <c r="C342" s="20" t="s">
        <v>372</v>
      </c>
      <c r="D342" s="21" t="s">
        <v>373</v>
      </c>
      <c r="E342" s="22" t="s">
        <v>1716</v>
      </c>
      <c r="F342" s="15" t="str">
        <f>_xlfn.XLOOKUP(D342,[6]Sheet1!$C:$C,[6]Sheet1!$F:$F,"-")</f>
        <v>Adang Suhara</v>
      </c>
    </row>
    <row r="343" spans="2:6">
      <c r="B343" s="19" t="s">
        <v>371</v>
      </c>
      <c r="C343" s="20" t="s">
        <v>372</v>
      </c>
      <c r="D343" s="21" t="s">
        <v>374</v>
      </c>
      <c r="E343" s="22" t="s">
        <v>1716</v>
      </c>
      <c r="F343" s="15" t="str">
        <f>_xlfn.XLOOKUP(D343,[6]Sheet1!$C:$C,[6]Sheet1!$F:$F,"-")</f>
        <v>Aries Yudie Ahmadi, S.Kesos</v>
      </c>
    </row>
    <row r="344" spans="2:6">
      <c r="B344" s="19" t="s">
        <v>371</v>
      </c>
      <c r="C344" s="20" t="s">
        <v>372</v>
      </c>
      <c r="D344" s="21" t="s">
        <v>375</v>
      </c>
      <c r="E344" s="22" t="s">
        <v>1716</v>
      </c>
      <c r="F344" s="15" t="str">
        <f>_xlfn.XLOOKUP(D344,[6]Sheet1!$C:$C,[6]Sheet1!$F:$F,"-")</f>
        <v>Budi Mulyana</v>
      </c>
    </row>
    <row r="345" spans="2:6">
      <c r="B345" s="19" t="s">
        <v>371</v>
      </c>
      <c r="C345" s="20" t="s">
        <v>372</v>
      </c>
      <c r="D345" s="21" t="s">
        <v>376</v>
      </c>
      <c r="E345" s="22" t="s">
        <v>1716</v>
      </c>
      <c r="F345" s="15" t="str">
        <f>_xlfn.XLOOKUP(D345,[6]Sheet1!$C:$C,[6]Sheet1!$F:$F,"-")</f>
        <v>Deni Fathurrohman</v>
      </c>
    </row>
    <row r="346" spans="2:6">
      <c r="B346" s="19" t="s">
        <v>371</v>
      </c>
      <c r="C346" s="20" t="s">
        <v>372</v>
      </c>
      <c r="D346" s="21" t="s">
        <v>377</v>
      </c>
      <c r="E346" s="22" t="s">
        <v>1716</v>
      </c>
      <c r="F346" s="15" t="str">
        <f>_xlfn.XLOOKUP(D346,[6]Sheet1!$C:$C,[6]Sheet1!$F:$F,"-")</f>
        <v>Didi Supriadi</v>
      </c>
    </row>
    <row r="347" spans="2:6">
      <c r="B347" s="19" t="s">
        <v>371</v>
      </c>
      <c r="C347" s="20" t="s">
        <v>372</v>
      </c>
      <c r="D347" s="21" t="s">
        <v>378</v>
      </c>
      <c r="E347" s="22" t="s">
        <v>1716</v>
      </c>
      <c r="F347" s="15" t="str">
        <f>_xlfn.XLOOKUP(D347,[6]Sheet1!$C:$C,[6]Sheet1!$F:$F,"-")</f>
        <v>Dudin Joharudin</v>
      </c>
    </row>
    <row r="348" spans="2:6">
      <c r="B348" s="19" t="s">
        <v>371</v>
      </c>
      <c r="C348" s="20" t="s">
        <v>372</v>
      </c>
      <c r="D348" s="21" t="s">
        <v>379</v>
      </c>
      <c r="E348" s="22" t="s">
        <v>1716</v>
      </c>
      <c r="F348" s="15" t="str">
        <f>_xlfn.XLOOKUP(D348,[6]Sheet1!$C:$C,[6]Sheet1!$F:$F,"-")</f>
        <v>Hikmat Maulana</v>
      </c>
    </row>
    <row r="349" spans="2:6">
      <c r="B349" s="19" t="s">
        <v>371</v>
      </c>
      <c r="C349" s="20" t="s">
        <v>372</v>
      </c>
      <c r="D349" s="21" t="s">
        <v>380</v>
      </c>
      <c r="E349" s="22" t="s">
        <v>1716</v>
      </c>
      <c r="F349" s="15" t="str">
        <f>_xlfn.XLOOKUP(D349,[6]Sheet1!$C:$C,[6]Sheet1!$F:$F,"-")</f>
        <v>Iqbal Permana</v>
      </c>
    </row>
    <row r="350" spans="2:6">
      <c r="B350" s="19" t="s">
        <v>371</v>
      </c>
      <c r="C350" s="20" t="s">
        <v>372</v>
      </c>
      <c r="D350" s="21" t="s">
        <v>381</v>
      </c>
      <c r="E350" s="22" t="s">
        <v>1716</v>
      </c>
      <c r="F350" s="15" t="str">
        <f>_xlfn.XLOOKUP(D350,[6]Sheet1!$C:$C,[6]Sheet1!$F:$F,"-")</f>
        <v>Nana suryana</v>
      </c>
    </row>
    <row r="351" spans="2:6">
      <c r="B351" s="19" t="s">
        <v>371</v>
      </c>
      <c r="C351" s="20" t="s">
        <v>372</v>
      </c>
      <c r="D351" s="21" t="s">
        <v>382</v>
      </c>
      <c r="E351" s="22" t="s">
        <v>1716</v>
      </c>
      <c r="F351" s="15" t="str">
        <f>_xlfn.XLOOKUP(D351,[6]Sheet1!$C:$C,[6]Sheet1!$F:$F,"-")</f>
        <v>Paryono</v>
      </c>
    </row>
    <row r="352" spans="2:6">
      <c r="B352" s="19" t="s">
        <v>371</v>
      </c>
      <c r="C352" s="20" t="s">
        <v>372</v>
      </c>
      <c r="D352" s="21" t="s">
        <v>383</v>
      </c>
      <c r="E352" s="22" t="s">
        <v>1716</v>
      </c>
      <c r="F352" s="15" t="str">
        <f>_xlfn.XLOOKUP(D352,[6]Sheet1!$C:$C,[6]Sheet1!$F:$F,"-")</f>
        <v>Vichi Ramadhan</v>
      </c>
    </row>
    <row r="353" spans="2:6">
      <c r="B353" s="19" t="s">
        <v>371</v>
      </c>
      <c r="C353" s="20" t="s">
        <v>372</v>
      </c>
      <c r="D353" s="21" t="s">
        <v>384</v>
      </c>
      <c r="E353" s="22" t="s">
        <v>1716</v>
      </c>
      <c r="F353" s="15" t="str">
        <f>_xlfn.XLOOKUP(D353,[6]Sheet1!$C:$C,[6]Sheet1!$F:$F,"-")</f>
        <v>Yandi Cahyadi, SE</v>
      </c>
    </row>
    <row r="354" spans="2:6">
      <c r="B354" s="19" t="s">
        <v>371</v>
      </c>
      <c r="C354" s="20" t="s">
        <v>372</v>
      </c>
      <c r="D354" s="21" t="s">
        <v>385</v>
      </c>
      <c r="E354" s="22" t="s">
        <v>1716</v>
      </c>
      <c r="F354" s="15" t="str">
        <f>_xlfn.XLOOKUP(D354,[6]Sheet1!$C:$C,[6]Sheet1!$F:$F,"-")</f>
        <v>-</v>
      </c>
    </row>
    <row r="355" spans="2:6">
      <c r="B355" s="19" t="s">
        <v>371</v>
      </c>
      <c r="C355" s="20" t="s">
        <v>372</v>
      </c>
      <c r="D355" s="21" t="s">
        <v>386</v>
      </c>
      <c r="E355" s="22" t="s">
        <v>1739</v>
      </c>
      <c r="F355" s="15" t="str">
        <f>_xlfn.XLOOKUP(D355,[6]Sheet1!$C:$C,[6]Sheet1!$F:$F,"-")</f>
        <v>Bayu Triguna Putra</v>
      </c>
    </row>
    <row r="356" spans="2:6">
      <c r="B356" s="19" t="s">
        <v>371</v>
      </c>
      <c r="C356" s="20" t="s">
        <v>372</v>
      </c>
      <c r="D356" s="21" t="s">
        <v>387</v>
      </c>
      <c r="E356" s="22" t="s">
        <v>1739</v>
      </c>
      <c r="F356" s="15" t="str">
        <f>_xlfn.XLOOKUP(D356,[6]Sheet1!$C:$C,[6]Sheet1!$F:$F,"-")</f>
        <v>Dadan Maulana</v>
      </c>
    </row>
    <row r="357" spans="2:6">
      <c r="B357" s="19" t="s">
        <v>371</v>
      </c>
      <c r="C357" s="20" t="s">
        <v>372</v>
      </c>
      <c r="D357" s="21" t="s">
        <v>388</v>
      </c>
      <c r="E357" s="22" t="s">
        <v>1739</v>
      </c>
      <c r="F357" s="15" t="str">
        <f>_xlfn.XLOOKUP(D357,[6]Sheet1!$C:$C,[6]Sheet1!$F:$F,"-")</f>
        <v>Dandi Pardamean Nababan</v>
      </c>
    </row>
    <row r="358" spans="2:6">
      <c r="B358" s="19" t="s">
        <v>371</v>
      </c>
      <c r="C358" s="20" t="s">
        <v>372</v>
      </c>
      <c r="D358" s="21" t="s">
        <v>389</v>
      </c>
      <c r="E358" s="22" t="s">
        <v>1739</v>
      </c>
      <c r="F358" s="15" t="str">
        <f>_xlfn.XLOOKUP(D358,[6]Sheet1!$C:$C,[6]Sheet1!$F:$F,"-")</f>
        <v>Danis</v>
      </c>
    </row>
    <row r="359" spans="2:6">
      <c r="B359" s="19" t="s">
        <v>371</v>
      </c>
      <c r="C359" s="20" t="s">
        <v>372</v>
      </c>
      <c r="D359" s="21" t="s">
        <v>390</v>
      </c>
      <c r="E359" s="22" t="s">
        <v>1739</v>
      </c>
      <c r="F359" s="15" t="str">
        <f>_xlfn.XLOOKUP(D359,[6]Sheet1!$C:$C,[6]Sheet1!$F:$F,"-")</f>
        <v>Dicki Prayoga Irawan</v>
      </c>
    </row>
    <row r="360" spans="2:6">
      <c r="B360" s="19" t="s">
        <v>371</v>
      </c>
      <c r="C360" s="20" t="s">
        <v>372</v>
      </c>
      <c r="D360" s="21" t="s">
        <v>391</v>
      </c>
      <c r="E360" s="22" t="s">
        <v>1739</v>
      </c>
      <c r="F360" s="15" t="str">
        <f>_xlfn.XLOOKUP(D360,[6]Sheet1!$C:$C,[6]Sheet1!$F:$F,"-")</f>
        <v>Eka Setiawan</v>
      </c>
    </row>
    <row r="361" spans="2:6">
      <c r="B361" s="19" t="s">
        <v>371</v>
      </c>
      <c r="C361" s="20" t="s">
        <v>372</v>
      </c>
      <c r="D361" s="21" t="s">
        <v>392</v>
      </c>
      <c r="E361" s="22" t="s">
        <v>1739</v>
      </c>
      <c r="F361" s="15" t="str">
        <f>_xlfn.XLOOKUP(D361,[6]Sheet1!$C:$C,[6]Sheet1!$F:$F,"-")</f>
        <v>Luki Hardiyana</v>
      </c>
    </row>
    <row r="362" spans="2:6">
      <c r="B362" s="19" t="s">
        <v>371</v>
      </c>
      <c r="C362" s="20" t="s">
        <v>372</v>
      </c>
      <c r="D362" s="21" t="s">
        <v>393</v>
      </c>
      <c r="E362" s="22" t="s">
        <v>1716</v>
      </c>
      <c r="F362" s="15" t="str">
        <f>_xlfn.XLOOKUP(D362,[6]Sheet1!$C:$C,[6]Sheet1!$F:$F,"-")</f>
        <v>Ade Ahmad Sail</v>
      </c>
    </row>
    <row r="363" spans="2:6">
      <c r="B363" s="19" t="s">
        <v>371</v>
      </c>
      <c r="C363" s="20" t="s">
        <v>372</v>
      </c>
      <c r="D363" s="21" t="s">
        <v>394</v>
      </c>
      <c r="E363" s="22" t="s">
        <v>1716</v>
      </c>
      <c r="F363" s="15" t="str">
        <f>_xlfn.XLOOKUP(D363,[6]Sheet1!$C:$C,[6]Sheet1!$F:$F,"-")</f>
        <v>Dicki Setiawan</v>
      </c>
    </row>
    <row r="364" spans="2:6">
      <c r="B364" s="19" t="s">
        <v>371</v>
      </c>
      <c r="C364" s="20" t="s">
        <v>372</v>
      </c>
      <c r="D364" s="21" t="s">
        <v>395</v>
      </c>
      <c r="E364" s="22" t="s">
        <v>1716</v>
      </c>
      <c r="F364" s="15" t="str">
        <f>_xlfn.XLOOKUP(D364,[6]Sheet1!$C:$C,[6]Sheet1!$F:$F,"-")</f>
        <v>Elvan Ihdinansyah Setiawan</v>
      </c>
    </row>
    <row r="365" spans="2:6">
      <c r="B365" s="19" t="s">
        <v>371</v>
      </c>
      <c r="C365" s="20" t="s">
        <v>372</v>
      </c>
      <c r="D365" s="21" t="s">
        <v>396</v>
      </c>
      <c r="E365" s="22" t="s">
        <v>1716</v>
      </c>
      <c r="F365" s="15" t="str">
        <f>_xlfn.XLOOKUP(D365,[6]Sheet1!$C:$C,[6]Sheet1!$F:$F,"-")</f>
        <v>Febri Maulana</v>
      </c>
    </row>
    <row r="366" spans="2:6">
      <c r="B366" s="19" t="s">
        <v>371</v>
      </c>
      <c r="C366" s="20" t="s">
        <v>372</v>
      </c>
      <c r="D366" s="21" t="s">
        <v>397</v>
      </c>
      <c r="E366" s="22" t="s">
        <v>1716</v>
      </c>
      <c r="F366" s="15" t="str">
        <f>_xlfn.XLOOKUP(D366,[6]Sheet1!$C:$C,[6]Sheet1!$F:$F,"-")</f>
        <v>Heri Kuswanto, S.Pd.</v>
      </c>
    </row>
    <row r="367" spans="2:6">
      <c r="B367" s="19" t="s">
        <v>371</v>
      </c>
      <c r="C367" s="20" t="s">
        <v>372</v>
      </c>
      <c r="D367" s="21" t="s">
        <v>398</v>
      </c>
      <c r="E367" s="22" t="s">
        <v>1716</v>
      </c>
      <c r="F367" s="15" t="str">
        <f>_xlfn.XLOOKUP(D367,[6]Sheet1!$C:$C,[6]Sheet1!$F:$F,"-")</f>
        <v>Iqbal Aulia Rachman</v>
      </c>
    </row>
    <row r="368" spans="2:6">
      <c r="B368" s="19" t="s">
        <v>371</v>
      </c>
      <c r="C368" s="20" t="s">
        <v>372</v>
      </c>
      <c r="D368" s="21" t="s">
        <v>399</v>
      </c>
      <c r="E368" s="22" t="s">
        <v>1716</v>
      </c>
      <c r="F368" s="15" t="str">
        <f>_xlfn.XLOOKUP(D368,[6]Sheet1!$C:$C,[6]Sheet1!$F:$F,"-")</f>
        <v>Muhamad Adit Nurcita</v>
      </c>
    </row>
    <row r="369" spans="2:6">
      <c r="B369" s="19" t="s">
        <v>371</v>
      </c>
      <c r="C369" s="20" t="s">
        <v>372</v>
      </c>
      <c r="D369" s="21" t="s">
        <v>400</v>
      </c>
      <c r="E369" s="22" t="s">
        <v>1716</v>
      </c>
      <c r="F369" s="15" t="str">
        <f>_xlfn.XLOOKUP(D369,[6]Sheet1!$C:$C,[6]Sheet1!$F:$F,"-")</f>
        <v>Nur Fajar Abiyanto</v>
      </c>
    </row>
    <row r="370" spans="2:6">
      <c r="B370" s="19" t="s">
        <v>371</v>
      </c>
      <c r="C370" s="20" t="s">
        <v>372</v>
      </c>
      <c r="D370" s="21" t="s">
        <v>401</v>
      </c>
      <c r="E370" s="22" t="s">
        <v>1716</v>
      </c>
      <c r="F370" s="15" t="str">
        <f>_xlfn.XLOOKUP(D370,[6]Sheet1!$C:$C,[6]Sheet1!$F:$F,"-")</f>
        <v>Romi Ajromi</v>
      </c>
    </row>
    <row r="371" spans="2:6">
      <c r="B371" s="19" t="s">
        <v>371</v>
      </c>
      <c r="C371" s="20" t="s">
        <v>372</v>
      </c>
      <c r="D371" s="21" t="s">
        <v>402</v>
      </c>
      <c r="E371" s="22" t="s">
        <v>1716</v>
      </c>
      <c r="F371" s="15" t="str">
        <f>_xlfn.XLOOKUP(D371,[6]Sheet1!$C:$C,[6]Sheet1!$F:$F,"-")</f>
        <v>Sigit Prastio</v>
      </c>
    </row>
    <row r="372" spans="2:6">
      <c r="B372" s="19" t="s">
        <v>371</v>
      </c>
      <c r="C372" s="20" t="s">
        <v>372</v>
      </c>
      <c r="D372" s="21" t="s">
        <v>403</v>
      </c>
      <c r="E372" s="22" t="s">
        <v>1716</v>
      </c>
      <c r="F372" s="15" t="str">
        <f>_xlfn.XLOOKUP(D372,[6]Sheet1!$C:$C,[6]Sheet1!$F:$F,"-")</f>
        <v>Yogi Faturahman</v>
      </c>
    </row>
    <row r="373" spans="2:6">
      <c r="B373" s="19" t="s">
        <v>371</v>
      </c>
      <c r="C373" s="20" t="s">
        <v>372</v>
      </c>
      <c r="D373" s="21" t="s">
        <v>404</v>
      </c>
      <c r="E373" s="22" t="s">
        <v>1716</v>
      </c>
      <c r="F373" s="15" t="str">
        <f>_xlfn.XLOOKUP(D373,[6]Sheet1!$C:$C,[6]Sheet1!$F:$F,"-")</f>
        <v>Zaini Miftah</v>
      </c>
    </row>
    <row r="374" spans="2:6">
      <c r="B374" s="19" t="s">
        <v>371</v>
      </c>
      <c r="C374" s="20" t="s">
        <v>372</v>
      </c>
      <c r="D374" s="21" t="s">
        <v>405</v>
      </c>
      <c r="E374" s="22" t="s">
        <v>1716</v>
      </c>
      <c r="F374" s="15" t="str">
        <f>_xlfn.XLOOKUP(D374,[6]Sheet1!$C:$C,[6]Sheet1!$F:$F,"-")</f>
        <v>Dian Wunandar</v>
      </c>
    </row>
    <row r="375" spans="2:6">
      <c r="B375" s="19" t="s">
        <v>371</v>
      </c>
      <c r="C375" s="20" t="s">
        <v>372</v>
      </c>
      <c r="D375" s="21" t="s">
        <v>406</v>
      </c>
      <c r="E375" s="22" t="s">
        <v>1739</v>
      </c>
      <c r="F375" s="15" t="str">
        <f>_xlfn.XLOOKUP(D375,[6]Sheet1!$C:$C,[6]Sheet1!$F:$F,"-")</f>
        <v>Adam Supriatna</v>
      </c>
    </row>
    <row r="376" spans="2:6">
      <c r="B376" s="19" t="s">
        <v>371</v>
      </c>
      <c r="C376" s="20" t="s">
        <v>372</v>
      </c>
      <c r="D376" s="21" t="s">
        <v>407</v>
      </c>
      <c r="E376" s="22" t="s">
        <v>1739</v>
      </c>
      <c r="F376" s="15" t="str">
        <f>_xlfn.XLOOKUP(D376,[6]Sheet1!$C:$C,[6]Sheet1!$F:$F,"-")</f>
        <v>Adi Firmansyah</v>
      </c>
    </row>
    <row r="377" spans="2:6">
      <c r="B377" s="19" t="s">
        <v>371</v>
      </c>
      <c r="C377" s="20" t="s">
        <v>372</v>
      </c>
      <c r="D377" s="21" t="s">
        <v>408</v>
      </c>
      <c r="E377" s="22" t="s">
        <v>1739</v>
      </c>
      <c r="F377" s="15" t="str">
        <f>_xlfn.XLOOKUP(D377,[6]Sheet1!$C:$C,[6]Sheet1!$F:$F,"-")</f>
        <v>Adi Firmansyah</v>
      </c>
    </row>
    <row r="378" spans="2:6">
      <c r="B378" s="19" t="s">
        <v>371</v>
      </c>
      <c r="C378" s="20" t="s">
        <v>372</v>
      </c>
      <c r="D378" s="21" t="s">
        <v>409</v>
      </c>
      <c r="E378" s="22" t="s">
        <v>1739</v>
      </c>
      <c r="F378" s="15" t="str">
        <f>_xlfn.XLOOKUP(D378,[6]Sheet1!$C:$C,[6]Sheet1!$F:$F,"-")</f>
        <v>Andri Henriyana</v>
      </c>
    </row>
    <row r="379" spans="2:6">
      <c r="B379" s="19" t="s">
        <v>371</v>
      </c>
      <c r="C379" s="20" t="s">
        <v>372</v>
      </c>
      <c r="D379" s="21" t="s">
        <v>410</v>
      </c>
      <c r="E379" s="22" t="s">
        <v>1739</v>
      </c>
      <c r="F379" s="15" t="str">
        <f>_xlfn.XLOOKUP(D379,[6]Sheet1!$C:$C,[6]Sheet1!$F:$F,"-")</f>
        <v>Dedi Martin</v>
      </c>
    </row>
    <row r="380" spans="2:6">
      <c r="B380" s="19" t="s">
        <v>371</v>
      </c>
      <c r="C380" s="20" t="s">
        <v>372</v>
      </c>
      <c r="D380" s="21" t="s">
        <v>411</v>
      </c>
      <c r="E380" s="22" t="s">
        <v>1739</v>
      </c>
      <c r="F380" s="15" t="str">
        <f>_xlfn.XLOOKUP(D380,[6]Sheet1!$C:$C,[6]Sheet1!$F:$F,"-")</f>
        <v>Deni Jaelani</v>
      </c>
    </row>
    <row r="381" spans="2:6">
      <c r="B381" s="19" t="s">
        <v>371</v>
      </c>
      <c r="C381" s="20" t="s">
        <v>372</v>
      </c>
      <c r="D381" s="21" t="s">
        <v>412</v>
      </c>
      <c r="E381" s="22" t="s">
        <v>1739</v>
      </c>
      <c r="F381" s="15" t="str">
        <f>_xlfn.XLOOKUP(D381,[6]Sheet1!$C:$C,[6]Sheet1!$F:$F,"-")</f>
        <v>Edwin Iskandar</v>
      </c>
    </row>
    <row r="382" spans="2:6">
      <c r="B382" s="19" t="s">
        <v>371</v>
      </c>
      <c r="C382" s="20" t="s">
        <v>372</v>
      </c>
      <c r="D382" s="21" t="s">
        <v>413</v>
      </c>
      <c r="E382" s="22" t="s">
        <v>1739</v>
      </c>
      <c r="F382" s="15" t="str">
        <f>_xlfn.XLOOKUP(D382,[6]Sheet1!$C:$C,[6]Sheet1!$F:$F,"-")</f>
        <v>Hasan Bisri</v>
      </c>
    </row>
    <row r="383" spans="2:6">
      <c r="B383" s="19" t="s">
        <v>371</v>
      </c>
      <c r="C383" s="20" t="s">
        <v>372</v>
      </c>
      <c r="D383" s="21" t="s">
        <v>414</v>
      </c>
      <c r="E383" s="22" t="s">
        <v>1739</v>
      </c>
      <c r="F383" s="15" t="str">
        <f>_xlfn.XLOOKUP(D383,[6]Sheet1!$C:$C,[6]Sheet1!$F:$F,"-")</f>
        <v>Ichsan Purnama</v>
      </c>
    </row>
    <row r="384" spans="2:6">
      <c r="B384" s="19" t="s">
        <v>371</v>
      </c>
      <c r="C384" s="20" t="s">
        <v>372</v>
      </c>
      <c r="D384" s="21" t="s">
        <v>415</v>
      </c>
      <c r="E384" s="22" t="s">
        <v>1739</v>
      </c>
      <c r="F384" s="15" t="str">
        <f>_xlfn.XLOOKUP(D384,[6]Sheet1!$C:$C,[6]Sheet1!$F:$F,"-")</f>
        <v>Kemal Nurjaman</v>
      </c>
    </row>
    <row r="385" spans="2:6">
      <c r="B385" s="19" t="s">
        <v>371</v>
      </c>
      <c r="C385" s="20" t="s">
        <v>372</v>
      </c>
      <c r="D385" s="21" t="s">
        <v>416</v>
      </c>
      <c r="E385" s="22" t="s">
        <v>1739</v>
      </c>
      <c r="F385" s="15" t="str">
        <f>_xlfn.XLOOKUP(D385,[6]Sheet1!$C:$C,[6]Sheet1!$F:$F,"-")</f>
        <v>Lyusi Fathan Mubiena</v>
      </c>
    </row>
    <row r="386" spans="2:6">
      <c r="B386" s="19" t="s">
        <v>371</v>
      </c>
      <c r="C386" s="20" t="s">
        <v>372</v>
      </c>
      <c r="D386" s="21" t="s">
        <v>417</v>
      </c>
      <c r="E386" s="22" t="s">
        <v>1739</v>
      </c>
      <c r="F386" s="15" t="str">
        <f>_xlfn.XLOOKUP(D386,[6]Sheet1!$C:$C,[6]Sheet1!$F:$F,"-")</f>
        <v>Maulana Hisbulloh</v>
      </c>
    </row>
    <row r="387" spans="2:6">
      <c r="B387" s="19" t="s">
        <v>371</v>
      </c>
      <c r="C387" s="20" t="s">
        <v>372</v>
      </c>
      <c r="D387" s="21" t="s">
        <v>418</v>
      </c>
      <c r="E387" s="22" t="s">
        <v>1739</v>
      </c>
      <c r="F387" s="15" t="str">
        <f>_xlfn.XLOOKUP(D387,[6]Sheet1!$C:$C,[6]Sheet1!$F:$F,"-")</f>
        <v>Muhamad Ikhsan</v>
      </c>
    </row>
    <row r="388" spans="2:6">
      <c r="B388" s="19" t="s">
        <v>371</v>
      </c>
      <c r="C388" s="20" t="s">
        <v>372</v>
      </c>
      <c r="D388" s="21" t="s">
        <v>419</v>
      </c>
      <c r="E388" s="22" t="s">
        <v>1739</v>
      </c>
      <c r="F388" s="15" t="str">
        <f>_xlfn.XLOOKUP(D388,[6]Sheet1!$C:$C,[6]Sheet1!$F:$F,"-")</f>
        <v>Neri Hidayat</v>
      </c>
    </row>
    <row r="389" spans="2:6">
      <c r="B389" s="19" t="s">
        <v>371</v>
      </c>
      <c r="C389" s="20" t="s">
        <v>372</v>
      </c>
      <c r="D389" s="21" t="s">
        <v>420</v>
      </c>
      <c r="E389" s="22" t="s">
        <v>1739</v>
      </c>
      <c r="F389" s="15" t="str">
        <f>_xlfn.XLOOKUP(D389,[6]Sheet1!$C:$C,[6]Sheet1!$F:$F,"-")</f>
        <v>Regi Firmansyah</v>
      </c>
    </row>
    <row r="390" spans="2:6">
      <c r="B390" s="19" t="s">
        <v>371</v>
      </c>
      <c r="C390" s="20" t="s">
        <v>372</v>
      </c>
      <c r="D390" s="21" t="s">
        <v>421</v>
      </c>
      <c r="E390" s="22" t="s">
        <v>1739</v>
      </c>
      <c r="F390" s="15" t="str">
        <f>_xlfn.XLOOKUP(D390,[6]Sheet1!$C:$C,[6]Sheet1!$F:$F,"-")</f>
        <v>Rifki Shafik Fadillah</v>
      </c>
    </row>
    <row r="391" spans="2:6">
      <c r="B391" s="19" t="s">
        <v>371</v>
      </c>
      <c r="C391" s="20" t="s">
        <v>372</v>
      </c>
      <c r="D391" s="21" t="s">
        <v>422</v>
      </c>
      <c r="E391" s="22" t="s">
        <v>1739</v>
      </c>
      <c r="F391" s="15" t="str">
        <f>_xlfn.XLOOKUP(D391,[6]Sheet1!$C:$C,[6]Sheet1!$F:$F,"-")</f>
        <v>Rifki Shafik Fadillah</v>
      </c>
    </row>
    <row r="392" spans="2:6">
      <c r="B392" s="19" t="s">
        <v>371</v>
      </c>
      <c r="C392" s="20" t="s">
        <v>372</v>
      </c>
      <c r="D392" s="21" t="s">
        <v>423</v>
      </c>
      <c r="E392" s="22" t="s">
        <v>1739</v>
      </c>
      <c r="F392" s="15" t="str">
        <f>_xlfn.XLOOKUP(D392,[6]Sheet1!$C:$C,[6]Sheet1!$F:$F,"-")</f>
        <v>Robi Ta'dim Nurdiansyah</v>
      </c>
    </row>
    <row r="393" spans="2:6">
      <c r="B393" s="19" t="s">
        <v>371</v>
      </c>
      <c r="C393" s="20" t="s">
        <v>372</v>
      </c>
      <c r="D393" s="21" t="s">
        <v>424</v>
      </c>
      <c r="E393" s="22" t="s">
        <v>1739</v>
      </c>
      <c r="F393" s="15" t="str">
        <f>_xlfn.XLOOKUP(D393,[6]Sheet1!$C:$C,[6]Sheet1!$F:$F,"-")</f>
        <v>Rosi Riswanto</v>
      </c>
    </row>
    <row r="394" spans="2:6">
      <c r="B394" s="19" t="s">
        <v>371</v>
      </c>
      <c r="C394" s="20" t="s">
        <v>372</v>
      </c>
      <c r="D394" s="21" t="s">
        <v>425</v>
      </c>
      <c r="E394" s="22" t="s">
        <v>1739</v>
      </c>
      <c r="F394" s="15" t="str">
        <f>_xlfn.XLOOKUP(D394,[6]Sheet1!$C:$C,[6]Sheet1!$F:$F,"-")</f>
        <v>Sayu Mulhasyim</v>
      </c>
    </row>
    <row r="395" spans="2:6">
      <c r="B395" s="19" t="s">
        <v>371</v>
      </c>
      <c r="C395" s="20" t="s">
        <v>372</v>
      </c>
      <c r="D395" s="21" t="s">
        <v>426</v>
      </c>
      <c r="E395" s="22" t="s">
        <v>1739</v>
      </c>
      <c r="F395" s="15" t="str">
        <f>_xlfn.XLOOKUP(D395,[6]Sheet1!$C:$C,[6]Sheet1!$F:$F,"-")</f>
        <v>Syahrul Abu Bakar</v>
      </c>
    </row>
    <row r="396" spans="2:6">
      <c r="B396" s="19" t="s">
        <v>371</v>
      </c>
      <c r="C396" s="20" t="s">
        <v>372</v>
      </c>
      <c r="D396" s="21" t="s">
        <v>427</v>
      </c>
      <c r="E396" s="22" t="s">
        <v>1739</v>
      </c>
      <c r="F396" s="15" t="str">
        <f>_xlfn.XLOOKUP(D396,[6]Sheet1!$C:$C,[6]Sheet1!$F:$F,"-")</f>
        <v>Undang Ramdani</v>
      </c>
    </row>
    <row r="397" spans="2:6">
      <c r="B397" s="19" t="s">
        <v>371</v>
      </c>
      <c r="C397" s="20" t="s">
        <v>372</v>
      </c>
      <c r="D397" s="21" t="s">
        <v>428</v>
      </c>
      <c r="E397" s="22" t="s">
        <v>1739</v>
      </c>
      <c r="F397" s="15" t="str">
        <f>_xlfn.XLOOKUP(D397,[6]Sheet1!$C:$C,[6]Sheet1!$F:$F,"-")</f>
        <v>Undang Ramdani</v>
      </c>
    </row>
    <row r="398" spans="2:6">
      <c r="B398" s="19" t="s">
        <v>371</v>
      </c>
      <c r="C398" s="20" t="s">
        <v>372</v>
      </c>
      <c r="D398" s="21" t="s">
        <v>429</v>
      </c>
      <c r="E398" s="22" t="s">
        <v>1739</v>
      </c>
      <c r="F398" s="15" t="str">
        <f>_xlfn.XLOOKUP(D398,[6]Sheet1!$C:$C,[6]Sheet1!$F:$F,"-")</f>
        <v>Usep kamaludin</v>
      </c>
    </row>
    <row r="399" spans="2:6">
      <c r="B399" s="19" t="s">
        <v>371</v>
      </c>
      <c r="C399" s="20" t="s">
        <v>372</v>
      </c>
      <c r="D399" s="21" t="s">
        <v>430</v>
      </c>
      <c r="E399" s="22" t="s">
        <v>1739</v>
      </c>
      <c r="F399" s="15" t="str">
        <f>_xlfn.XLOOKUP(D399,[6]Sheet1!$C:$C,[6]Sheet1!$F:$F,"-")</f>
        <v>Ade Rahmat</v>
      </c>
    </row>
    <row r="400" spans="2:6">
      <c r="B400" s="19" t="s">
        <v>371</v>
      </c>
      <c r="C400" s="20" t="s">
        <v>372</v>
      </c>
      <c r="D400" s="21" t="s">
        <v>431</v>
      </c>
      <c r="E400" s="22" t="s">
        <v>1739</v>
      </c>
      <c r="F400" s="15" t="str">
        <f>_xlfn.XLOOKUP(D400,[6]Sheet1!$C:$C,[6]Sheet1!$F:$F,"-")</f>
        <v>Anas Nazal Huda</v>
      </c>
    </row>
    <row r="401" spans="2:6">
      <c r="B401" s="19" t="s">
        <v>371</v>
      </c>
      <c r="C401" s="20" t="s">
        <v>372</v>
      </c>
      <c r="D401" s="21" t="s">
        <v>432</v>
      </c>
      <c r="E401" s="22" t="s">
        <v>1739</v>
      </c>
      <c r="F401" s="15" t="str">
        <f>_xlfn.XLOOKUP(D401,[6]Sheet1!$C:$C,[6]Sheet1!$F:$F,"-")</f>
        <v>Andi Herdiansyah</v>
      </c>
    </row>
    <row r="402" spans="2:6">
      <c r="B402" s="19" t="s">
        <v>371</v>
      </c>
      <c r="C402" s="20" t="s">
        <v>372</v>
      </c>
      <c r="D402" s="21" t="s">
        <v>433</v>
      </c>
      <c r="E402" s="22" t="s">
        <v>1739</v>
      </c>
      <c r="F402" s="15" t="str">
        <f>_xlfn.XLOOKUP(D402,[6]Sheet1!$C:$C,[6]Sheet1!$F:$F,"-")</f>
        <v>Andi Saeful Rahman</v>
      </c>
    </row>
    <row r="403" spans="2:6">
      <c r="B403" s="19" t="s">
        <v>371</v>
      </c>
      <c r="C403" s="20" t="s">
        <v>372</v>
      </c>
      <c r="D403" s="21" t="s">
        <v>434</v>
      </c>
      <c r="E403" s="22" t="s">
        <v>1739</v>
      </c>
      <c r="F403" s="15" t="str">
        <f>_xlfn.XLOOKUP(D403,[6]Sheet1!$C:$C,[6]Sheet1!$F:$F,"-")</f>
        <v>Asep Romli</v>
      </c>
    </row>
    <row r="404" spans="2:6">
      <c r="B404" s="19" t="s">
        <v>371</v>
      </c>
      <c r="C404" s="20" t="s">
        <v>372</v>
      </c>
      <c r="D404" s="21" t="s">
        <v>435</v>
      </c>
      <c r="E404" s="22" t="s">
        <v>1739</v>
      </c>
      <c r="F404" s="15" t="str">
        <f>_xlfn.XLOOKUP(D404,[6]Sheet1!$C:$C,[6]Sheet1!$F:$F,"-")</f>
        <v>Dani Alvin</v>
      </c>
    </row>
    <row r="405" spans="2:6">
      <c r="B405" s="19" t="s">
        <v>371</v>
      </c>
      <c r="C405" s="20" t="s">
        <v>372</v>
      </c>
      <c r="D405" s="21" t="s">
        <v>436</v>
      </c>
      <c r="E405" s="22" t="s">
        <v>1739</v>
      </c>
      <c r="F405" s="15" t="str">
        <f>_xlfn.XLOOKUP(D405,[6]Sheet1!$C:$C,[6]Sheet1!$F:$F,"-")</f>
        <v>Denira Novalita</v>
      </c>
    </row>
    <row r="406" spans="2:6">
      <c r="B406" s="19" t="s">
        <v>371</v>
      </c>
      <c r="C406" s="20" t="s">
        <v>372</v>
      </c>
      <c r="D406" s="21" t="s">
        <v>437</v>
      </c>
      <c r="E406" s="22" t="s">
        <v>1739</v>
      </c>
      <c r="F406" s="15" t="str">
        <f>_xlfn.XLOOKUP(D406,[6]Sheet1!$C:$C,[6]Sheet1!$F:$F,"-")</f>
        <v>Dionofan Kurnia Pratama</v>
      </c>
    </row>
    <row r="407" spans="2:6">
      <c r="B407" s="19" t="s">
        <v>371</v>
      </c>
      <c r="C407" s="20" t="s">
        <v>372</v>
      </c>
      <c r="D407" s="21" t="s">
        <v>438</v>
      </c>
      <c r="E407" s="22" t="s">
        <v>1739</v>
      </c>
      <c r="F407" s="15" t="str">
        <f>_xlfn.XLOOKUP(D407,[6]Sheet1!$C:$C,[6]Sheet1!$F:$F,"-")</f>
        <v>Faisal Maisandi</v>
      </c>
    </row>
    <row r="408" spans="2:6">
      <c r="B408" s="19" t="s">
        <v>371</v>
      </c>
      <c r="C408" s="20" t="s">
        <v>372</v>
      </c>
      <c r="D408" s="21" t="s">
        <v>439</v>
      </c>
      <c r="E408" s="22" t="s">
        <v>1739</v>
      </c>
      <c r="F408" s="15" t="str">
        <f>_xlfn.XLOOKUP(D408,[6]Sheet1!$C:$C,[6]Sheet1!$F:$F,"-")</f>
        <v>Ilham Achmad Muhadzir</v>
      </c>
    </row>
    <row r="409" spans="2:6">
      <c r="B409" s="19" t="s">
        <v>371</v>
      </c>
      <c r="C409" s="20" t="s">
        <v>372</v>
      </c>
      <c r="D409" s="21" t="s">
        <v>440</v>
      </c>
      <c r="E409" s="22" t="s">
        <v>1739</v>
      </c>
      <c r="F409" s="15" t="str">
        <f>_xlfn.XLOOKUP(D409,[6]Sheet1!$C:$C,[6]Sheet1!$F:$F,"-")</f>
        <v>Mario Aditya Firmansyah</v>
      </c>
    </row>
    <row r="410" spans="2:6">
      <c r="B410" s="19" t="s">
        <v>371</v>
      </c>
      <c r="C410" s="20" t="s">
        <v>372</v>
      </c>
      <c r="D410" s="21" t="s">
        <v>441</v>
      </c>
      <c r="E410" s="22" t="s">
        <v>1739</v>
      </c>
      <c r="F410" s="15" t="str">
        <f>_xlfn.XLOOKUP(D410,[6]Sheet1!$C:$C,[6]Sheet1!$F:$F,"-")</f>
        <v>Muhammad Salim Riyadul Gupron</v>
      </c>
    </row>
    <row r="411" spans="2:6">
      <c r="B411" s="19" t="s">
        <v>371</v>
      </c>
      <c r="C411" s="20" t="s">
        <v>372</v>
      </c>
      <c r="D411" s="21" t="s">
        <v>442</v>
      </c>
      <c r="E411" s="22" t="s">
        <v>1739</v>
      </c>
      <c r="F411" s="15" t="str">
        <f>_xlfn.XLOOKUP(D411,[6]Sheet1!$C:$C,[6]Sheet1!$F:$F,"-")</f>
        <v>Novi Septriani</v>
      </c>
    </row>
    <row r="412" spans="2:6">
      <c r="B412" s="19" t="s">
        <v>371</v>
      </c>
      <c r="C412" s="20" t="s">
        <v>372</v>
      </c>
      <c r="D412" s="21" t="s">
        <v>443</v>
      </c>
      <c r="E412" s="22" t="s">
        <v>1739</v>
      </c>
      <c r="F412" s="15" t="str">
        <f>_xlfn.XLOOKUP(D412,[6]Sheet1!$C:$C,[6]Sheet1!$F:$F,"-")</f>
        <v>Rizky Zidan Haris Muharomi</v>
      </c>
    </row>
    <row r="413" spans="2:6">
      <c r="B413" s="19" t="s">
        <v>371</v>
      </c>
      <c r="C413" s="20" t="s">
        <v>372</v>
      </c>
      <c r="D413" s="21" t="s">
        <v>444</v>
      </c>
      <c r="E413" s="22" t="s">
        <v>1739</v>
      </c>
      <c r="F413" s="15" t="str">
        <f>_xlfn.XLOOKUP(D413,[6]Sheet1!$C:$C,[6]Sheet1!$F:$F,"-")</f>
        <v>Sendi Moh Rahayu</v>
      </c>
    </row>
    <row r="414" spans="2:6">
      <c r="B414" s="19" t="s">
        <v>371</v>
      </c>
      <c r="C414" s="20" t="s">
        <v>372</v>
      </c>
      <c r="D414" s="21" t="s">
        <v>445</v>
      </c>
      <c r="E414" s="22" t="s">
        <v>1739</v>
      </c>
      <c r="F414" s="15" t="str">
        <f>_xlfn.XLOOKUP(D414,[6]Sheet1!$C:$C,[6]Sheet1!$F:$F,"-")</f>
        <v>Soni</v>
      </c>
    </row>
    <row r="415" spans="2:6">
      <c r="B415" s="19" t="s">
        <v>371</v>
      </c>
      <c r="C415" s="20" t="s">
        <v>372</v>
      </c>
      <c r="D415" s="21" t="s">
        <v>446</v>
      </c>
      <c r="E415" s="22" t="s">
        <v>1739</v>
      </c>
      <c r="F415" s="15" t="str">
        <f>_xlfn.XLOOKUP(D415,[6]Sheet1!$C:$C,[6]Sheet1!$F:$F,"-")</f>
        <v>Soni</v>
      </c>
    </row>
    <row r="416" spans="2:6">
      <c r="B416" s="19" t="s">
        <v>371</v>
      </c>
      <c r="C416" s="20" t="s">
        <v>372</v>
      </c>
      <c r="D416" s="21" t="s">
        <v>447</v>
      </c>
      <c r="E416" s="22" t="s">
        <v>1739</v>
      </c>
      <c r="F416" s="15" t="str">
        <f>_xlfn.XLOOKUP(D416,[6]Sheet1!$C:$C,[6]Sheet1!$F:$F,"-")</f>
        <v>Syifa Agustian</v>
      </c>
    </row>
    <row r="417" spans="2:6">
      <c r="B417" s="19" t="s">
        <v>371</v>
      </c>
      <c r="C417" s="20" t="s">
        <v>372</v>
      </c>
      <c r="D417" s="21" t="s">
        <v>448</v>
      </c>
      <c r="E417" s="22" t="s">
        <v>1739</v>
      </c>
      <c r="F417" s="15" t="str">
        <f>_xlfn.XLOOKUP(D417,[6]Sheet1!$C:$C,[6]Sheet1!$F:$F,"-")</f>
        <v>Ansor Fauzi Fadillah</v>
      </c>
    </row>
    <row r="418" spans="2:6">
      <c r="B418" s="19" t="s">
        <v>371</v>
      </c>
      <c r="C418" s="20" t="s">
        <v>372</v>
      </c>
      <c r="D418" s="21" t="s">
        <v>449</v>
      </c>
      <c r="E418" s="22" t="s">
        <v>1739</v>
      </c>
      <c r="F418" s="15" t="str">
        <f>_xlfn.XLOOKUP(D418,[6]Sheet1!$C:$C,[6]Sheet1!$F:$F,"-")</f>
        <v>Ansor Fauzi Fadillah</v>
      </c>
    </row>
    <row r="419" spans="2:6">
      <c r="B419" s="19" t="s">
        <v>371</v>
      </c>
      <c r="C419" s="20" t="s">
        <v>372</v>
      </c>
      <c r="D419" s="21" t="s">
        <v>450</v>
      </c>
      <c r="E419" s="22" t="s">
        <v>1739</v>
      </c>
      <c r="F419" s="15" t="str">
        <f>_xlfn.XLOOKUP(D419,[6]Sheet1!$C:$C,[6]Sheet1!$F:$F,"-")</f>
        <v>Ari Budaeri Addawami</v>
      </c>
    </row>
    <row r="420" spans="2:6">
      <c r="B420" s="19" t="s">
        <v>371</v>
      </c>
      <c r="C420" s="20" t="s">
        <v>372</v>
      </c>
      <c r="D420" s="21" t="s">
        <v>451</v>
      </c>
      <c r="E420" s="22" t="s">
        <v>1739</v>
      </c>
      <c r="F420" s="15" t="str">
        <f>_xlfn.XLOOKUP(D420,[6]Sheet1!$C:$C,[6]Sheet1!$F:$F,"-")</f>
        <v>Aril Ardiansyah</v>
      </c>
    </row>
    <row r="421" spans="2:6">
      <c r="B421" s="19" t="s">
        <v>371</v>
      </c>
      <c r="C421" s="20" t="s">
        <v>372</v>
      </c>
      <c r="D421" s="21" t="s">
        <v>452</v>
      </c>
      <c r="E421" s="22" t="s">
        <v>1739</v>
      </c>
      <c r="F421" s="15" t="str">
        <f>_xlfn.XLOOKUP(D421,[6]Sheet1!$C:$C,[6]Sheet1!$F:$F,"-")</f>
        <v>Asep</v>
      </c>
    </row>
    <row r="422" spans="2:6">
      <c r="B422" s="19" t="s">
        <v>371</v>
      </c>
      <c r="C422" s="20" t="s">
        <v>372</v>
      </c>
      <c r="D422" s="21" t="s">
        <v>453</v>
      </c>
      <c r="E422" s="22" t="s">
        <v>1739</v>
      </c>
      <c r="F422" s="15" t="str">
        <f>_xlfn.XLOOKUP(D422,[6]Sheet1!$C:$C,[6]Sheet1!$F:$F,"-")</f>
        <v>Dede Asikin</v>
      </c>
    </row>
    <row r="423" spans="2:6">
      <c r="B423" s="19" t="s">
        <v>371</v>
      </c>
      <c r="C423" s="20" t="s">
        <v>372</v>
      </c>
      <c r="D423" s="21" t="s">
        <v>454</v>
      </c>
      <c r="E423" s="22" t="s">
        <v>1739</v>
      </c>
      <c r="F423" s="15" t="str">
        <f>_xlfn.XLOOKUP(D423,[6]Sheet1!$C:$C,[6]Sheet1!$F:$F,"-")</f>
        <v>Fauzi Alimashyar</v>
      </c>
    </row>
    <row r="424" spans="2:6">
      <c r="B424" s="19" t="s">
        <v>371</v>
      </c>
      <c r="C424" s="20" t="s">
        <v>372</v>
      </c>
      <c r="D424" s="21" t="s">
        <v>455</v>
      </c>
      <c r="E424" s="22" t="s">
        <v>1739</v>
      </c>
      <c r="F424" s="15" t="str">
        <f>_xlfn.XLOOKUP(D424,[6]Sheet1!$C:$C,[6]Sheet1!$F:$F,"-")</f>
        <v>Indra Rukmana</v>
      </c>
    </row>
    <row r="425" spans="2:6">
      <c r="B425" s="19" t="s">
        <v>371</v>
      </c>
      <c r="C425" s="20" t="s">
        <v>372</v>
      </c>
      <c r="D425" s="21" t="s">
        <v>456</v>
      </c>
      <c r="E425" s="22" t="s">
        <v>1739</v>
      </c>
      <c r="F425" s="15" t="str">
        <f>_xlfn.XLOOKUP(D425,[6]Sheet1!$C:$C,[6]Sheet1!$F:$F,"-")</f>
        <v>Indra Rukmana</v>
      </c>
    </row>
    <row r="426" spans="2:6">
      <c r="B426" s="19" t="s">
        <v>371</v>
      </c>
      <c r="C426" s="20" t="s">
        <v>372</v>
      </c>
      <c r="D426" s="21" t="s">
        <v>457</v>
      </c>
      <c r="E426" s="22" t="s">
        <v>1739</v>
      </c>
      <c r="F426" s="15" t="str">
        <f>_xlfn.XLOOKUP(D426,[6]Sheet1!$C:$C,[6]Sheet1!$F:$F,"-")</f>
        <v>Januar Egy Panjayu</v>
      </c>
    </row>
    <row r="427" spans="2:6">
      <c r="B427" s="19" t="s">
        <v>371</v>
      </c>
      <c r="C427" s="20" t="s">
        <v>372</v>
      </c>
      <c r="D427" s="21" t="s">
        <v>458</v>
      </c>
      <c r="E427" s="22" t="s">
        <v>1739</v>
      </c>
      <c r="F427" s="15" t="str">
        <f>_xlfn.XLOOKUP(D427,[6]Sheet1!$C:$C,[6]Sheet1!$F:$F,"-")</f>
        <v>Khoeruman Sunjaya</v>
      </c>
    </row>
    <row r="428" spans="2:6">
      <c r="B428" s="19" t="s">
        <v>371</v>
      </c>
      <c r="C428" s="20" t="s">
        <v>372</v>
      </c>
      <c r="D428" s="21" t="s">
        <v>459</v>
      </c>
      <c r="E428" s="22" t="s">
        <v>1739</v>
      </c>
      <c r="F428" s="15" t="str">
        <f>_xlfn.XLOOKUP(D428,[6]Sheet1!$C:$C,[6]Sheet1!$F:$F,"-")</f>
        <v>Muhammad Agung Maulidia</v>
      </c>
    </row>
    <row r="429" spans="2:6">
      <c r="B429" s="19" t="s">
        <v>371</v>
      </c>
      <c r="C429" s="20" t="s">
        <v>372</v>
      </c>
      <c r="D429" s="21" t="s">
        <v>460</v>
      </c>
      <c r="E429" s="22" t="s">
        <v>1739</v>
      </c>
      <c r="F429" s="15" t="str">
        <f>_xlfn.XLOOKUP(D429,[6]Sheet1!$C:$C,[6]Sheet1!$F:$F,"-")</f>
        <v>Muhammad Bagus Rifa'i</v>
      </c>
    </row>
    <row r="430" spans="2:6">
      <c r="B430" s="19" t="s">
        <v>371</v>
      </c>
      <c r="C430" s="20" t="s">
        <v>372</v>
      </c>
      <c r="D430" s="21" t="s">
        <v>461</v>
      </c>
      <c r="E430" s="22" t="s">
        <v>1739</v>
      </c>
      <c r="F430" s="15" t="str">
        <f>_xlfn.XLOOKUP(D430,[6]Sheet1!$C:$C,[6]Sheet1!$F:$F,"-")</f>
        <v>Muhammad Rusdiyanto Dinata</v>
      </c>
    </row>
    <row r="431" spans="2:6">
      <c r="B431" s="19" t="s">
        <v>371</v>
      </c>
      <c r="C431" s="20" t="s">
        <v>372</v>
      </c>
      <c r="D431" s="21" t="s">
        <v>462</v>
      </c>
      <c r="E431" s="22" t="s">
        <v>1739</v>
      </c>
      <c r="F431" s="15" t="str">
        <f>_xlfn.XLOOKUP(D431,[6]Sheet1!$C:$C,[6]Sheet1!$F:$F,"-")</f>
        <v>Nur Maulana Hasan</v>
      </c>
    </row>
    <row r="432" spans="2:6">
      <c r="B432" s="19" t="s">
        <v>371</v>
      </c>
      <c r="C432" s="20" t="s">
        <v>372</v>
      </c>
      <c r="D432" s="21" t="s">
        <v>463</v>
      </c>
      <c r="E432" s="22" t="s">
        <v>1739</v>
      </c>
      <c r="F432" s="15" t="str">
        <f>_xlfn.XLOOKUP(D432,[6]Sheet1!$C:$C,[6]Sheet1!$F:$F,"-")</f>
        <v>Reza Zaqiyuddin</v>
      </c>
    </row>
    <row r="433" spans="2:6">
      <c r="B433" s="19" t="s">
        <v>371</v>
      </c>
      <c r="C433" s="20" t="s">
        <v>372</v>
      </c>
      <c r="D433" s="21" t="s">
        <v>464</v>
      </c>
      <c r="E433" s="22" t="s">
        <v>1739</v>
      </c>
      <c r="F433" s="15" t="str">
        <f>_xlfn.XLOOKUP(D433,[6]Sheet1!$C:$C,[6]Sheet1!$F:$F,"-")</f>
        <v>Reza Zaqiyuddin</v>
      </c>
    </row>
    <row r="434" spans="2:6">
      <c r="B434" s="19" t="s">
        <v>371</v>
      </c>
      <c r="C434" s="20" t="s">
        <v>372</v>
      </c>
      <c r="D434" s="21" t="s">
        <v>465</v>
      </c>
      <c r="E434" s="22" t="s">
        <v>1739</v>
      </c>
      <c r="F434" s="15" t="str">
        <f>_xlfn.XLOOKUP(D434,[6]Sheet1!$C:$C,[6]Sheet1!$F:$F,"-")</f>
        <v>Toni Anwar</v>
      </c>
    </row>
    <row r="435" spans="2:6">
      <c r="B435" s="19" t="s">
        <v>371</v>
      </c>
      <c r="C435" s="20" t="s">
        <v>372</v>
      </c>
      <c r="D435" s="21" t="s">
        <v>466</v>
      </c>
      <c r="E435" s="22" t="s">
        <v>1739</v>
      </c>
      <c r="F435" s="15" t="str">
        <f>_xlfn.XLOOKUP(D435,[6]Sheet1!$C:$C,[6]Sheet1!$F:$F,"-")</f>
        <v>Yandi Sutardi</v>
      </c>
    </row>
    <row r="436" spans="2:6">
      <c r="B436" s="19" t="s">
        <v>371</v>
      </c>
      <c r="C436" s="20" t="s">
        <v>372</v>
      </c>
      <c r="D436" s="21" t="s">
        <v>467</v>
      </c>
      <c r="E436" s="22" t="s">
        <v>1739</v>
      </c>
      <c r="F436" s="15" t="str">
        <f>_xlfn.XLOOKUP(D436,[6]Sheet1!$C:$C,[6]Sheet1!$F:$F,"-")</f>
        <v>Zezen Zaenul Arip</v>
      </c>
    </row>
    <row r="437" spans="2:6">
      <c r="B437" s="19" t="s">
        <v>371</v>
      </c>
      <c r="C437" s="20" t="s">
        <v>372</v>
      </c>
      <c r="D437" s="21" t="s">
        <v>468</v>
      </c>
      <c r="E437" s="22" t="s">
        <v>1739</v>
      </c>
      <c r="F437" s="15" t="str">
        <f>_xlfn.XLOOKUP(D437,[6]Sheet1!$C:$C,[6]Sheet1!$F:$F,"-")</f>
        <v>Andriana Susanto</v>
      </c>
    </row>
    <row r="438" spans="2:6">
      <c r="B438" s="19" t="s">
        <v>371</v>
      </c>
      <c r="C438" s="20" t="s">
        <v>372</v>
      </c>
      <c r="D438" s="21" t="s">
        <v>469</v>
      </c>
      <c r="E438" s="22" t="s">
        <v>1739</v>
      </c>
      <c r="F438" s="15" t="str">
        <f>_xlfn.XLOOKUP(D438,[6]Sheet1!$C:$C,[6]Sheet1!$F:$F,"-")</f>
        <v>Danil Sutiarso</v>
      </c>
    </row>
    <row r="439" spans="2:6">
      <c r="B439" s="19" t="s">
        <v>371</v>
      </c>
      <c r="C439" s="20" t="s">
        <v>372</v>
      </c>
      <c r="D439" s="21" t="s">
        <v>470</v>
      </c>
      <c r="E439" s="22" t="s">
        <v>1739</v>
      </c>
      <c r="F439" s="15" t="str">
        <f>_xlfn.XLOOKUP(D439,[6]Sheet1!$C:$C,[6]Sheet1!$F:$F,"-")</f>
        <v>Dindin Irawan</v>
      </c>
    </row>
    <row r="440" spans="2:6">
      <c r="B440" s="19" t="s">
        <v>371</v>
      </c>
      <c r="C440" s="20" t="s">
        <v>372</v>
      </c>
      <c r="D440" s="21" t="s">
        <v>471</v>
      </c>
      <c r="E440" s="22" t="s">
        <v>1739</v>
      </c>
      <c r="F440" s="15" t="str">
        <f>_xlfn.XLOOKUP(D440,[6]Sheet1!$C:$C,[6]Sheet1!$F:$F,"-")</f>
        <v>Faiz Achmad Yasin</v>
      </c>
    </row>
    <row r="441" spans="2:6">
      <c r="B441" s="19" t="s">
        <v>371</v>
      </c>
      <c r="C441" s="20" t="s">
        <v>372</v>
      </c>
      <c r="D441" s="21" t="s">
        <v>472</v>
      </c>
      <c r="E441" s="22" t="s">
        <v>1739</v>
      </c>
      <c r="F441" s="15" t="str">
        <f>_xlfn.XLOOKUP(D441,[6]Sheet1!$C:$C,[6]Sheet1!$F:$F,"-")</f>
        <v>Faiz Achmad Yasin</v>
      </c>
    </row>
    <row r="442" spans="2:6">
      <c r="B442" s="19" t="s">
        <v>371</v>
      </c>
      <c r="C442" s="20" t="s">
        <v>372</v>
      </c>
      <c r="D442" s="21" t="s">
        <v>473</v>
      </c>
      <c r="E442" s="22" t="s">
        <v>1739</v>
      </c>
      <c r="F442" s="15" t="str">
        <f>_xlfn.XLOOKUP(D442,[6]Sheet1!$C:$C,[6]Sheet1!$F:$F,"-")</f>
        <v>Hari Pardian</v>
      </c>
    </row>
    <row r="443" spans="2:6">
      <c r="B443" s="19" t="s">
        <v>371</v>
      </c>
      <c r="C443" s="20" t="s">
        <v>372</v>
      </c>
      <c r="D443" s="21" t="s">
        <v>474</v>
      </c>
      <c r="E443" s="22" t="s">
        <v>1739</v>
      </c>
      <c r="F443" s="15" t="str">
        <f>_xlfn.XLOOKUP(D443,[6]Sheet1!$C:$C,[6]Sheet1!$F:$F,"-")</f>
        <v>Herdi Kurniawan</v>
      </c>
    </row>
    <row r="444" spans="2:6">
      <c r="B444" s="19" t="s">
        <v>371</v>
      </c>
      <c r="C444" s="20" t="s">
        <v>372</v>
      </c>
      <c r="D444" s="21" t="s">
        <v>475</v>
      </c>
      <c r="E444" s="22" t="s">
        <v>1739</v>
      </c>
      <c r="F444" s="15" t="str">
        <f>_xlfn.XLOOKUP(D444,[6]Sheet1!$C:$C,[6]Sheet1!$F:$F,"-")</f>
        <v>Ipan Pathurrahman</v>
      </c>
    </row>
    <row r="445" spans="2:6">
      <c r="B445" s="19" t="s">
        <v>371</v>
      </c>
      <c r="C445" s="20" t="s">
        <v>372</v>
      </c>
      <c r="D445" s="21" t="s">
        <v>476</v>
      </c>
      <c r="E445" s="22" t="s">
        <v>1739</v>
      </c>
      <c r="F445" s="15" t="str">
        <f>_xlfn.XLOOKUP(D445,[6]Sheet1!$C:$C,[6]Sheet1!$F:$F,"-")</f>
        <v>Jamjam ramdani</v>
      </c>
    </row>
    <row r="446" spans="2:6">
      <c r="B446" s="19" t="s">
        <v>371</v>
      </c>
      <c r="C446" s="20" t="s">
        <v>372</v>
      </c>
      <c r="D446" s="21" t="s">
        <v>477</v>
      </c>
      <c r="E446" s="22" t="s">
        <v>1739</v>
      </c>
      <c r="F446" s="15" t="str">
        <f>_xlfn.XLOOKUP(D446,[6]Sheet1!$C:$C,[6]Sheet1!$F:$F,"-")</f>
        <v>Muhammad Abdul Rozi</v>
      </c>
    </row>
    <row r="447" spans="2:6">
      <c r="B447" s="19" t="s">
        <v>371</v>
      </c>
      <c r="C447" s="20" t="s">
        <v>372</v>
      </c>
      <c r="D447" s="21" t="s">
        <v>478</v>
      </c>
      <c r="E447" s="22" t="s">
        <v>1739</v>
      </c>
      <c r="F447" s="15" t="str">
        <f>_xlfn.XLOOKUP(D447,[6]Sheet1!$C:$C,[6]Sheet1!$F:$F,"-")</f>
        <v>Muhammad Abdul Rozi</v>
      </c>
    </row>
    <row r="448" spans="2:6">
      <c r="B448" s="19" t="s">
        <v>371</v>
      </c>
      <c r="C448" s="20" t="s">
        <v>372</v>
      </c>
      <c r="D448" s="21" t="s">
        <v>479</v>
      </c>
      <c r="E448" s="22" t="s">
        <v>1739</v>
      </c>
      <c r="F448" s="15" t="str">
        <f>_xlfn.XLOOKUP(D448,[6]Sheet1!$C:$C,[6]Sheet1!$F:$F,"-")</f>
        <v>Ridwan Ginanjar</v>
      </c>
    </row>
    <row r="449" spans="2:6">
      <c r="B449" s="19" t="s">
        <v>371</v>
      </c>
      <c r="C449" s="20" t="s">
        <v>372</v>
      </c>
      <c r="D449" s="21" t="s">
        <v>480</v>
      </c>
      <c r="E449" s="22" t="s">
        <v>1739</v>
      </c>
      <c r="F449" s="15" t="str">
        <f>_xlfn.XLOOKUP(D449,[6]Sheet1!$C:$C,[6]Sheet1!$F:$F,"-")</f>
        <v>Sandi Mutakin</v>
      </c>
    </row>
    <row r="450" spans="2:6">
      <c r="B450" s="19" t="s">
        <v>371</v>
      </c>
      <c r="C450" s="20" t="s">
        <v>372</v>
      </c>
      <c r="D450" s="21" t="s">
        <v>481</v>
      </c>
      <c r="E450" s="22" t="s">
        <v>1739</v>
      </c>
      <c r="F450" s="15" t="str">
        <f>_xlfn.XLOOKUP(D450,[6]Sheet1!$C:$C,[6]Sheet1!$F:$F,"-")</f>
        <v>Sandra Cahya Permana</v>
      </c>
    </row>
    <row r="451" spans="2:6">
      <c r="B451" s="19" t="s">
        <v>371</v>
      </c>
      <c r="C451" s="20" t="s">
        <v>372</v>
      </c>
      <c r="D451" s="21" t="s">
        <v>482</v>
      </c>
      <c r="E451" s="22" t="s">
        <v>1739</v>
      </c>
      <c r="F451" s="15" t="str">
        <f>_xlfn.XLOOKUP(D451,[6]Sheet1!$C:$C,[6]Sheet1!$F:$F,"-")</f>
        <v>Tresha Oktariana</v>
      </c>
    </row>
    <row r="452" spans="2:6">
      <c r="B452" s="19" t="s">
        <v>371</v>
      </c>
      <c r="C452" s="20" t="s">
        <v>372</v>
      </c>
      <c r="D452" s="21" t="s">
        <v>483</v>
      </c>
      <c r="E452" s="22" t="s">
        <v>1739</v>
      </c>
      <c r="F452" s="15" t="str">
        <f>_xlfn.XLOOKUP(D452,[6]Sheet1!$C:$C,[6]Sheet1!$F:$F,"-")</f>
        <v>Akbar Rizki Mulyana</v>
      </c>
    </row>
    <row r="453" spans="2:6">
      <c r="B453" s="19" t="s">
        <v>371</v>
      </c>
      <c r="C453" s="20" t="s">
        <v>372</v>
      </c>
      <c r="D453" s="21" t="s">
        <v>484</v>
      </c>
      <c r="E453" s="22" t="s">
        <v>1739</v>
      </c>
      <c r="F453" s="15" t="str">
        <f>_xlfn.XLOOKUP(D453,[6]Sheet1!$C:$C,[6]Sheet1!$F:$F,"-")</f>
        <v>Deni Purnama</v>
      </c>
    </row>
    <row r="454" spans="2:6">
      <c r="B454" s="19" t="s">
        <v>371</v>
      </c>
      <c r="C454" s="20" t="s">
        <v>372</v>
      </c>
      <c r="D454" s="21" t="s">
        <v>485</v>
      </c>
      <c r="E454" s="22" t="s">
        <v>1739</v>
      </c>
      <c r="F454" s="15" t="str">
        <f>_xlfn.XLOOKUP(D454,[6]Sheet1!$C:$C,[6]Sheet1!$F:$F,"-")</f>
        <v>Dicky Aditia</v>
      </c>
    </row>
    <row r="455" spans="2:6">
      <c r="B455" s="19" t="s">
        <v>371</v>
      </c>
      <c r="C455" s="20" t="s">
        <v>372</v>
      </c>
      <c r="D455" s="21" t="s">
        <v>486</v>
      </c>
      <c r="E455" s="22" t="s">
        <v>1739</v>
      </c>
      <c r="F455" s="15" t="str">
        <f>_xlfn.XLOOKUP(D455,[6]Sheet1!$C:$C,[6]Sheet1!$F:$F,"-")</f>
        <v>Fikri Nurhidayat</v>
      </c>
    </row>
    <row r="456" spans="2:6">
      <c r="B456" s="19" t="s">
        <v>371</v>
      </c>
      <c r="C456" s="20" t="s">
        <v>372</v>
      </c>
      <c r="D456" s="21" t="s">
        <v>487</v>
      </c>
      <c r="E456" s="22" t="s">
        <v>1739</v>
      </c>
      <c r="F456" s="15" t="str">
        <f>_xlfn.XLOOKUP(D456,[6]Sheet1!$C:$C,[6]Sheet1!$F:$F,"-")</f>
        <v>Irfan Abdur Rochim</v>
      </c>
    </row>
    <row r="457" spans="2:6">
      <c r="B457" s="19" t="s">
        <v>371</v>
      </c>
      <c r="C457" s="20" t="s">
        <v>372</v>
      </c>
      <c r="D457" s="21" t="s">
        <v>488</v>
      </c>
      <c r="E457" s="22" t="s">
        <v>1739</v>
      </c>
      <c r="F457" s="15" t="str">
        <f>_xlfn.XLOOKUP(D457,[6]Sheet1!$C:$C,[6]Sheet1!$F:$F,"-")</f>
        <v>Irfan Abdur Rochim</v>
      </c>
    </row>
    <row r="458" spans="2:6">
      <c r="B458" s="19" t="s">
        <v>371</v>
      </c>
      <c r="C458" s="20" t="s">
        <v>372</v>
      </c>
      <c r="D458" s="21" t="s">
        <v>489</v>
      </c>
      <c r="E458" s="22" t="s">
        <v>1739</v>
      </c>
      <c r="F458" s="15" t="str">
        <f>_xlfn.XLOOKUP(D458,[6]Sheet1!$C:$C,[6]Sheet1!$F:$F,"-")</f>
        <v>Iyan Diana</v>
      </c>
    </row>
    <row r="459" spans="2:6">
      <c r="B459" s="19" t="s">
        <v>371</v>
      </c>
      <c r="C459" s="20" t="s">
        <v>372</v>
      </c>
      <c r="D459" s="21" t="s">
        <v>490</v>
      </c>
      <c r="E459" s="22" t="s">
        <v>1739</v>
      </c>
      <c r="F459" s="15" t="str">
        <f>_xlfn.XLOOKUP(D459,[6]Sheet1!$C:$C,[6]Sheet1!$F:$F,"-")</f>
        <v>Nunu Nugraha</v>
      </c>
    </row>
    <row r="460" spans="2:6">
      <c r="B460" s="19" t="s">
        <v>371</v>
      </c>
      <c r="C460" s="20" t="s">
        <v>372</v>
      </c>
      <c r="D460" s="21" t="s">
        <v>491</v>
      </c>
      <c r="E460" s="22" t="s">
        <v>1739</v>
      </c>
      <c r="F460" s="15" t="str">
        <f>_xlfn.XLOOKUP(D460,[6]Sheet1!$C:$C,[6]Sheet1!$F:$F,"-")</f>
        <v>Nuralamsah</v>
      </c>
    </row>
    <row r="461" spans="2:6">
      <c r="B461" s="19" t="s">
        <v>371</v>
      </c>
      <c r="C461" s="20" t="s">
        <v>372</v>
      </c>
      <c r="D461" s="21" t="s">
        <v>492</v>
      </c>
      <c r="E461" s="22" t="s">
        <v>1739</v>
      </c>
      <c r="F461" s="15" t="str">
        <f>_xlfn.XLOOKUP(D461,[6]Sheet1!$C:$C,[6]Sheet1!$F:$F,"-")</f>
        <v>Opie Gustriana</v>
      </c>
    </row>
    <row r="462" spans="2:6">
      <c r="B462" s="19" t="s">
        <v>371</v>
      </c>
      <c r="C462" s="20" t="s">
        <v>372</v>
      </c>
      <c r="D462" s="21" t="s">
        <v>493</v>
      </c>
      <c r="E462" s="22" t="s">
        <v>1739</v>
      </c>
      <c r="F462" s="15" t="str">
        <f>_xlfn.XLOOKUP(D462,[6]Sheet1!$C:$C,[6]Sheet1!$F:$F,"-")</f>
        <v>Opie Gustriana</v>
      </c>
    </row>
    <row r="463" spans="2:6">
      <c r="B463" s="19" t="s">
        <v>371</v>
      </c>
      <c r="C463" s="20" t="s">
        <v>372</v>
      </c>
      <c r="D463" s="21" t="s">
        <v>494</v>
      </c>
      <c r="E463" s="22" t="s">
        <v>1739</v>
      </c>
      <c r="F463" s="15" t="str">
        <f>_xlfn.XLOOKUP(D463,[6]Sheet1!$C:$C,[6]Sheet1!$F:$F,"-")</f>
        <v>Rachman Setyadi</v>
      </c>
    </row>
    <row r="464" spans="2:6">
      <c r="B464" s="19" t="s">
        <v>371</v>
      </c>
      <c r="C464" s="20" t="s">
        <v>372</v>
      </c>
      <c r="D464" s="21" t="s">
        <v>495</v>
      </c>
      <c r="E464" s="22" t="s">
        <v>1739</v>
      </c>
      <c r="F464" s="15" t="str">
        <f>_xlfn.XLOOKUP(D464,[6]Sheet1!$C:$C,[6]Sheet1!$F:$F,"-")</f>
        <v>Redi Heriadi</v>
      </c>
    </row>
    <row r="465" spans="2:6">
      <c r="B465" s="19" t="s">
        <v>371</v>
      </c>
      <c r="C465" s="20" t="s">
        <v>372</v>
      </c>
      <c r="D465" s="21" t="s">
        <v>496</v>
      </c>
      <c r="E465" s="22" t="s">
        <v>1739</v>
      </c>
      <c r="F465" s="15" t="str">
        <f>_xlfn.XLOOKUP(D465,[6]Sheet1!$C:$C,[6]Sheet1!$F:$F,"-")</f>
        <v>Rizki Kurniawan Akbar</v>
      </c>
    </row>
    <row r="466" spans="2:6">
      <c r="B466" s="19" t="s">
        <v>371</v>
      </c>
      <c r="C466" s="20" t="s">
        <v>372</v>
      </c>
      <c r="D466" s="21" t="s">
        <v>497</v>
      </c>
      <c r="E466" s="22" t="s">
        <v>1739</v>
      </c>
      <c r="F466" s="15" t="str">
        <f>_xlfn.XLOOKUP(D466,[6]Sheet1!$C:$C,[6]Sheet1!$F:$F,"-")</f>
        <v>Rizki Kurniawan Akbar</v>
      </c>
    </row>
    <row r="467" spans="2:6">
      <c r="B467" s="19" t="s">
        <v>371</v>
      </c>
      <c r="C467" s="20" t="s">
        <v>372</v>
      </c>
      <c r="D467" s="21" t="s">
        <v>498</v>
      </c>
      <c r="E467" s="22" t="s">
        <v>1739</v>
      </c>
      <c r="F467" s="15" t="str">
        <f>_xlfn.XLOOKUP(D467,[6]Sheet1!$C:$C,[6]Sheet1!$F:$F,"-")</f>
        <v>Septian Nuralamsyah</v>
      </c>
    </row>
    <row r="468" spans="2:6">
      <c r="B468" s="19" t="s">
        <v>371</v>
      </c>
      <c r="C468" s="20" t="s">
        <v>372</v>
      </c>
      <c r="D468" s="21" t="s">
        <v>499</v>
      </c>
      <c r="E468" s="22" t="s">
        <v>1739</v>
      </c>
      <c r="F468" s="15" t="str">
        <f>_xlfn.XLOOKUP(D468,[6]Sheet1!$C:$C,[6]Sheet1!$F:$F,"-")</f>
        <v>Widodo Iqbal Baharudin</v>
      </c>
    </row>
    <row r="469" spans="2:6">
      <c r="B469" s="19" t="s">
        <v>371</v>
      </c>
      <c r="C469" s="20" t="s">
        <v>372</v>
      </c>
      <c r="D469" s="21" t="s">
        <v>500</v>
      </c>
      <c r="E469" s="22" t="s">
        <v>1739</v>
      </c>
      <c r="F469" s="15" t="str">
        <f>_xlfn.XLOOKUP(D469,[6]Sheet1!$C:$C,[6]Sheet1!$F:$F,"-")</f>
        <v>Akhmad Wildan Heryanto</v>
      </c>
    </row>
    <row r="470" spans="2:6">
      <c r="B470" s="19" t="s">
        <v>371</v>
      </c>
      <c r="C470" s="20" t="s">
        <v>372</v>
      </c>
      <c r="D470" s="21" t="s">
        <v>501</v>
      </c>
      <c r="E470" s="22" t="s">
        <v>1739</v>
      </c>
      <c r="F470" s="15" t="str">
        <f>_xlfn.XLOOKUP(D470,[6]Sheet1!$C:$C,[6]Sheet1!$F:$F,"-")</f>
        <v>Akhmad Wildan Heryanto</v>
      </c>
    </row>
    <row r="471" spans="2:6">
      <c r="B471" s="19" t="s">
        <v>371</v>
      </c>
      <c r="C471" s="20" t="s">
        <v>372</v>
      </c>
      <c r="D471" s="21" t="s">
        <v>502</v>
      </c>
      <c r="E471" s="22" t="s">
        <v>1739</v>
      </c>
      <c r="F471" s="15" t="str">
        <f>_xlfn.XLOOKUP(D471,[6]Sheet1!$C:$C,[6]Sheet1!$F:$F,"-")</f>
        <v>Dwiyanto</v>
      </c>
    </row>
    <row r="472" spans="2:6">
      <c r="B472" s="19" t="s">
        <v>371</v>
      </c>
      <c r="C472" s="20" t="s">
        <v>372</v>
      </c>
      <c r="D472" s="21" t="s">
        <v>503</v>
      </c>
      <c r="E472" s="22" t="s">
        <v>1739</v>
      </c>
      <c r="F472" s="15" t="str">
        <f>_xlfn.XLOOKUP(D472,[6]Sheet1!$C:$C,[6]Sheet1!$F:$F,"-")</f>
        <v>Endang Rudi Rohana</v>
      </c>
    </row>
    <row r="473" spans="2:6">
      <c r="B473" s="19" t="s">
        <v>371</v>
      </c>
      <c r="C473" s="20" t="s">
        <v>372</v>
      </c>
      <c r="D473" s="21" t="s">
        <v>504</v>
      </c>
      <c r="E473" s="22" t="s">
        <v>1739</v>
      </c>
      <c r="F473" s="15" t="str">
        <f>_xlfn.XLOOKUP(D473,[6]Sheet1!$C:$C,[6]Sheet1!$F:$F,"-")</f>
        <v>Endang Rudi Rohana</v>
      </c>
    </row>
    <row r="474" spans="2:6">
      <c r="B474" s="19" t="s">
        <v>371</v>
      </c>
      <c r="C474" s="20" t="s">
        <v>372</v>
      </c>
      <c r="D474" s="21" t="s">
        <v>505</v>
      </c>
      <c r="E474" s="22" t="s">
        <v>1739</v>
      </c>
      <c r="F474" s="15" t="str">
        <f>_xlfn.XLOOKUP(D474,[6]Sheet1!$C:$C,[6]Sheet1!$F:$F,"-")</f>
        <v>Indra Nuryanto</v>
      </c>
    </row>
    <row r="475" spans="2:6">
      <c r="B475" s="19" t="s">
        <v>371</v>
      </c>
      <c r="C475" s="20" t="s">
        <v>372</v>
      </c>
      <c r="D475" s="21" t="s">
        <v>506</v>
      </c>
      <c r="E475" s="22" t="s">
        <v>1739</v>
      </c>
      <c r="F475" s="15" t="str">
        <f>_xlfn.XLOOKUP(D475,[6]Sheet1!$C:$C,[6]Sheet1!$F:$F,"-")</f>
        <v>Mochamad Taofik</v>
      </c>
    </row>
    <row r="476" spans="2:6">
      <c r="B476" s="19" t="s">
        <v>371</v>
      </c>
      <c r="C476" s="20" t="s">
        <v>372</v>
      </c>
      <c r="D476" s="21" t="s">
        <v>507</v>
      </c>
      <c r="E476" s="22" t="s">
        <v>1739</v>
      </c>
      <c r="F476" s="15" t="str">
        <f>_xlfn.XLOOKUP(D476,[6]Sheet1!$C:$C,[6]Sheet1!$F:$F,"-")</f>
        <v>Muhammad Iqbal</v>
      </c>
    </row>
    <row r="477" spans="2:6">
      <c r="B477" s="19" t="s">
        <v>371</v>
      </c>
      <c r="C477" s="20" t="s">
        <v>372</v>
      </c>
      <c r="D477" s="21" t="s">
        <v>508</v>
      </c>
      <c r="E477" s="22" t="s">
        <v>1739</v>
      </c>
      <c r="F477" s="15" t="str">
        <f>_xlfn.XLOOKUP(D477,[6]Sheet1!$C:$C,[6]Sheet1!$F:$F,"-")</f>
        <v>Muhammad Ramdhan</v>
      </c>
    </row>
    <row r="478" spans="2:6">
      <c r="B478" s="19" t="s">
        <v>371</v>
      </c>
      <c r="C478" s="20" t="s">
        <v>372</v>
      </c>
      <c r="D478" s="21" t="s">
        <v>509</v>
      </c>
      <c r="E478" s="22" t="s">
        <v>1739</v>
      </c>
      <c r="F478" s="15" t="str">
        <f>_xlfn.XLOOKUP(D478,[6]Sheet1!$C:$C,[6]Sheet1!$F:$F,"-")</f>
        <v>Muhammad Ramdhan</v>
      </c>
    </row>
    <row r="479" spans="2:6">
      <c r="B479" s="19" t="s">
        <v>371</v>
      </c>
      <c r="C479" s="20" t="s">
        <v>372</v>
      </c>
      <c r="D479" s="21" t="s">
        <v>510</v>
      </c>
      <c r="E479" s="22" t="s">
        <v>1739</v>
      </c>
      <c r="F479" s="15" t="str">
        <f>_xlfn.XLOOKUP(D479,[6]Sheet1!$C:$C,[6]Sheet1!$F:$F,"-")</f>
        <v>Rudi Hermawan</v>
      </c>
    </row>
    <row r="480" spans="2:6">
      <c r="B480" s="19" t="s">
        <v>371</v>
      </c>
      <c r="C480" s="20" t="s">
        <v>372</v>
      </c>
      <c r="D480" s="21" t="s">
        <v>511</v>
      </c>
      <c r="E480" s="22" t="s">
        <v>1739</v>
      </c>
      <c r="F480" s="15" t="str">
        <f>_xlfn.XLOOKUP(D480,[6]Sheet1!$C:$C,[6]Sheet1!$F:$F,"-")</f>
        <v>Shevina Shevriyana</v>
      </c>
    </row>
    <row r="481" spans="2:6">
      <c r="B481" s="19" t="s">
        <v>371</v>
      </c>
      <c r="C481" s="20" t="s">
        <v>372</v>
      </c>
      <c r="D481" s="21" t="s">
        <v>512</v>
      </c>
      <c r="E481" s="22" t="s">
        <v>1739</v>
      </c>
      <c r="F481" s="15" t="str">
        <f>_xlfn.XLOOKUP(D481,[6]Sheet1!$C:$C,[6]Sheet1!$F:$F,"-")</f>
        <v>Abdul Azid</v>
      </c>
    </row>
    <row r="482" spans="2:6">
      <c r="B482" s="19" t="s">
        <v>371</v>
      </c>
      <c r="C482" s="20" t="s">
        <v>372</v>
      </c>
      <c r="D482" s="21" t="s">
        <v>513</v>
      </c>
      <c r="E482" s="22" t="s">
        <v>1739</v>
      </c>
      <c r="F482" s="15" t="str">
        <f>_xlfn.XLOOKUP(D482,[6]Sheet1!$C:$C,[6]Sheet1!$F:$F,"-")</f>
        <v>Agung Problema Huda</v>
      </c>
    </row>
    <row r="483" spans="2:6">
      <c r="B483" s="19" t="s">
        <v>371</v>
      </c>
      <c r="C483" s="20" t="s">
        <v>372</v>
      </c>
      <c r="D483" s="21" t="s">
        <v>514</v>
      </c>
      <c r="E483" s="22" t="s">
        <v>1739</v>
      </c>
      <c r="F483" s="15" t="str">
        <f>_xlfn.XLOOKUP(D483,[6]Sheet1!$C:$C,[6]Sheet1!$F:$F,"-")</f>
        <v>Aris Sopiana</v>
      </c>
    </row>
    <row r="484" spans="2:6">
      <c r="B484" s="19" t="s">
        <v>371</v>
      </c>
      <c r="C484" s="20" t="s">
        <v>372</v>
      </c>
      <c r="D484" s="21" t="s">
        <v>515</v>
      </c>
      <c r="E484" s="22" t="s">
        <v>1739</v>
      </c>
      <c r="F484" s="15" t="str">
        <f>_xlfn.XLOOKUP(D484,[6]Sheet1!$C:$C,[6]Sheet1!$F:$F,"-")</f>
        <v>Bambang Hermanto</v>
      </c>
    </row>
    <row r="485" spans="2:6">
      <c r="B485" s="19" t="s">
        <v>371</v>
      </c>
      <c r="C485" s="20" t="s">
        <v>372</v>
      </c>
      <c r="D485" s="21" t="s">
        <v>516</v>
      </c>
      <c r="E485" s="22" t="s">
        <v>1739</v>
      </c>
      <c r="F485" s="15" t="str">
        <f>_xlfn.XLOOKUP(D485,[6]Sheet1!$C:$C,[6]Sheet1!$F:$F,"-")</f>
        <v>Dani Mardani</v>
      </c>
    </row>
    <row r="486" spans="2:6">
      <c r="B486" s="19" t="s">
        <v>371</v>
      </c>
      <c r="C486" s="20" t="s">
        <v>372</v>
      </c>
      <c r="D486" s="21" t="s">
        <v>517</v>
      </c>
      <c r="E486" s="22" t="s">
        <v>1739</v>
      </c>
      <c r="F486" s="15" t="str">
        <f>_xlfn.XLOOKUP(D486,[6]Sheet1!$C:$C,[6]Sheet1!$F:$F,"-")</f>
        <v>Decky Verdian</v>
      </c>
    </row>
    <row r="487" spans="2:6">
      <c r="B487" s="19" t="s">
        <v>371</v>
      </c>
      <c r="C487" s="20" t="s">
        <v>372</v>
      </c>
      <c r="D487" s="21" t="s">
        <v>518</v>
      </c>
      <c r="E487" s="22" t="s">
        <v>1739</v>
      </c>
      <c r="F487" s="15" t="str">
        <f>_xlfn.XLOOKUP(D487,[6]Sheet1!$C:$C,[6]Sheet1!$F:$F,"-")</f>
        <v>Dodi Rikiyandi</v>
      </c>
    </row>
    <row r="488" spans="2:6">
      <c r="B488" s="19" t="s">
        <v>371</v>
      </c>
      <c r="C488" s="20" t="s">
        <v>372</v>
      </c>
      <c r="D488" s="21" t="s">
        <v>519</v>
      </c>
      <c r="E488" s="22" t="s">
        <v>1739</v>
      </c>
      <c r="F488" s="15" t="str">
        <f>_xlfn.XLOOKUP(D488,[6]Sheet1!$C:$C,[6]Sheet1!$F:$F,"-")</f>
        <v>Fadhlan Zazmi Hilman</v>
      </c>
    </row>
    <row r="489" spans="2:6">
      <c r="B489" s="19" t="s">
        <v>371</v>
      </c>
      <c r="C489" s="20" t="s">
        <v>372</v>
      </c>
      <c r="D489" s="21" t="s">
        <v>520</v>
      </c>
      <c r="E489" s="22" t="s">
        <v>1739</v>
      </c>
      <c r="F489" s="15" t="str">
        <f>_xlfn.XLOOKUP(D489,[6]Sheet1!$C:$C,[6]Sheet1!$F:$F,"-")</f>
        <v>Fadillah Pratama Putra</v>
      </c>
    </row>
    <row r="490" spans="2:6">
      <c r="B490" s="19" t="s">
        <v>371</v>
      </c>
      <c r="C490" s="20" t="s">
        <v>372</v>
      </c>
      <c r="D490" s="21" t="s">
        <v>521</v>
      </c>
      <c r="E490" s="22" t="s">
        <v>1739</v>
      </c>
      <c r="F490" s="15" t="str">
        <f>_xlfn.XLOOKUP(D490,[6]Sheet1!$C:$C,[6]Sheet1!$F:$F,"-")</f>
        <v>Herdiansyah</v>
      </c>
    </row>
    <row r="491" spans="2:6">
      <c r="B491" s="19" t="s">
        <v>371</v>
      </c>
      <c r="C491" s="20" t="s">
        <v>372</v>
      </c>
      <c r="D491" s="21" t="s">
        <v>522</v>
      </c>
      <c r="E491" s="22" t="s">
        <v>1739</v>
      </c>
      <c r="F491" s="15" t="str">
        <f>_xlfn.XLOOKUP(D491,[6]Sheet1!$C:$C,[6]Sheet1!$F:$F,"-")</f>
        <v>Heriyanto</v>
      </c>
    </row>
    <row r="492" spans="2:6">
      <c r="B492" s="19" t="s">
        <v>371</v>
      </c>
      <c r="C492" s="20" t="s">
        <v>372</v>
      </c>
      <c r="D492" s="21" t="s">
        <v>523</v>
      </c>
      <c r="E492" s="22" t="s">
        <v>1739</v>
      </c>
      <c r="F492" s="15" t="str">
        <f>_xlfn.XLOOKUP(D492,[6]Sheet1!$C:$C,[6]Sheet1!$F:$F,"-")</f>
        <v>Indra Gunawan</v>
      </c>
    </row>
    <row r="493" spans="2:6">
      <c r="B493" s="19" t="s">
        <v>371</v>
      </c>
      <c r="C493" s="20" t="s">
        <v>372</v>
      </c>
      <c r="D493" s="21" t="s">
        <v>524</v>
      </c>
      <c r="E493" s="22" t="s">
        <v>1739</v>
      </c>
      <c r="F493" s="15" t="str">
        <f>_xlfn.XLOOKUP(D493,[6]Sheet1!$C:$C,[6]Sheet1!$F:$F,"-")</f>
        <v>Jamaludin</v>
      </c>
    </row>
    <row r="494" spans="2:6">
      <c r="B494" s="19" t="s">
        <v>371</v>
      </c>
      <c r="C494" s="20" t="s">
        <v>372</v>
      </c>
      <c r="D494" s="21" t="s">
        <v>525</v>
      </c>
      <c r="E494" s="22" t="s">
        <v>1739</v>
      </c>
      <c r="F494" s="15" t="str">
        <f>_xlfn.XLOOKUP(D494,[6]Sheet1!$C:$C,[6]Sheet1!$F:$F,"-")</f>
        <v>Jamaludin</v>
      </c>
    </row>
    <row r="495" spans="2:6">
      <c r="B495" s="19" t="s">
        <v>371</v>
      </c>
      <c r="C495" s="20" t="s">
        <v>372</v>
      </c>
      <c r="D495" s="21" t="s">
        <v>526</v>
      </c>
      <c r="E495" s="22" t="s">
        <v>1739</v>
      </c>
      <c r="F495" s="15" t="str">
        <f>_xlfn.XLOOKUP(D495,[6]Sheet1!$C:$C,[6]Sheet1!$F:$F,"-")</f>
        <v>Muhammad Mahfudin</v>
      </c>
    </row>
    <row r="496" spans="2:6">
      <c r="B496" s="19" t="s">
        <v>371</v>
      </c>
      <c r="C496" s="20" t="s">
        <v>372</v>
      </c>
      <c r="D496" s="21" t="s">
        <v>527</v>
      </c>
      <c r="E496" s="22" t="s">
        <v>1739</v>
      </c>
      <c r="F496" s="15" t="str">
        <f>_xlfn.XLOOKUP(D496,[6]Sheet1!$C:$C,[6]Sheet1!$F:$F,"-")</f>
        <v>Nondi Rismaya</v>
      </c>
    </row>
    <row r="497" spans="2:6">
      <c r="B497" s="19" t="s">
        <v>371</v>
      </c>
      <c r="C497" s="20" t="s">
        <v>372</v>
      </c>
      <c r="D497" s="21" t="s">
        <v>528</v>
      </c>
      <c r="E497" s="22" t="s">
        <v>1739</v>
      </c>
      <c r="F497" s="15" t="str">
        <f>_xlfn.XLOOKUP(D497,[6]Sheet1!$C:$C,[6]Sheet1!$F:$F,"-")</f>
        <v>Rahmat Fauzi</v>
      </c>
    </row>
    <row r="498" spans="2:6">
      <c r="B498" s="19" t="s">
        <v>371</v>
      </c>
      <c r="C498" s="20" t="s">
        <v>372</v>
      </c>
      <c r="D498" s="21" t="s">
        <v>529</v>
      </c>
      <c r="E498" s="22" t="s">
        <v>1739</v>
      </c>
      <c r="F498" s="15" t="str">
        <f>_xlfn.XLOOKUP(D498,[6]Sheet1!$C:$C,[6]Sheet1!$F:$F,"-")</f>
        <v>Reja Suherlan</v>
      </c>
    </row>
    <row r="499" spans="2:6">
      <c r="B499" s="19" t="s">
        <v>371</v>
      </c>
      <c r="C499" s="20" t="s">
        <v>372</v>
      </c>
      <c r="D499" s="21" t="s">
        <v>530</v>
      </c>
      <c r="E499" s="22" t="s">
        <v>1739</v>
      </c>
      <c r="F499" s="15" t="str">
        <f>_xlfn.XLOOKUP(D499,[6]Sheet1!$C:$C,[6]Sheet1!$F:$F,"-")</f>
        <v>Reja Suherlan</v>
      </c>
    </row>
    <row r="500" spans="2:6">
      <c r="B500" s="19" t="s">
        <v>371</v>
      </c>
      <c r="C500" s="20" t="s">
        <v>372</v>
      </c>
      <c r="D500" s="21" t="s">
        <v>531</v>
      </c>
      <c r="E500" s="22" t="s">
        <v>1739</v>
      </c>
      <c r="F500" s="15" t="str">
        <f>_xlfn.XLOOKUP(D500,[6]Sheet1!$C:$C,[6]Sheet1!$F:$F,"-")</f>
        <v>Rendi Muhamad</v>
      </c>
    </row>
    <row r="501" spans="2:6">
      <c r="B501" s="19" t="s">
        <v>371</v>
      </c>
      <c r="C501" s="20" t="s">
        <v>372</v>
      </c>
      <c r="D501" s="21" t="s">
        <v>532</v>
      </c>
      <c r="E501" s="22" t="s">
        <v>1739</v>
      </c>
      <c r="F501" s="15" t="str">
        <f>_xlfn.XLOOKUP(D501,[6]Sheet1!$C:$C,[6]Sheet1!$F:$F,"-")</f>
        <v>Restu Sanjaya</v>
      </c>
    </row>
    <row r="502" spans="2:6">
      <c r="B502" s="19" t="s">
        <v>371</v>
      </c>
      <c r="C502" s="20" t="s">
        <v>372</v>
      </c>
      <c r="D502" s="21" t="s">
        <v>533</v>
      </c>
      <c r="E502" s="22" t="s">
        <v>1739</v>
      </c>
      <c r="F502" s="15" t="str">
        <f>_xlfn.XLOOKUP(D502,[6]Sheet1!$C:$C,[6]Sheet1!$F:$F,"-")</f>
        <v>Saepul Bahri</v>
      </c>
    </row>
    <row r="503" spans="2:6">
      <c r="B503" s="19" t="s">
        <v>371</v>
      </c>
      <c r="C503" s="20" t="s">
        <v>372</v>
      </c>
      <c r="D503" s="21" t="s">
        <v>534</v>
      </c>
      <c r="E503" s="22" t="s">
        <v>1739</v>
      </c>
      <c r="F503" s="15" t="str">
        <f>_xlfn.XLOOKUP(D503,[6]Sheet1!$C:$C,[6]Sheet1!$F:$F,"-")</f>
        <v>Saepul Iman</v>
      </c>
    </row>
    <row r="504" spans="2:6">
      <c r="B504" s="19" t="s">
        <v>371</v>
      </c>
      <c r="C504" s="20" t="s">
        <v>372</v>
      </c>
      <c r="D504" s="21" t="s">
        <v>535</v>
      </c>
      <c r="E504" s="22" t="s">
        <v>1739</v>
      </c>
      <c r="F504" s="15" t="str">
        <f>_xlfn.XLOOKUP(D504,[6]Sheet1!$C:$C,[6]Sheet1!$F:$F,"-")</f>
        <v>Sandi Purnama</v>
      </c>
    </row>
    <row r="505" spans="2:6">
      <c r="B505" s="19" t="s">
        <v>371</v>
      </c>
      <c r="C505" s="20" t="s">
        <v>372</v>
      </c>
      <c r="D505" s="21" t="s">
        <v>536</v>
      </c>
      <c r="E505" s="22" t="s">
        <v>1739</v>
      </c>
      <c r="F505" s="15" t="str">
        <f>_xlfn.XLOOKUP(D505,[6]Sheet1!$C:$C,[6]Sheet1!$F:$F,"-")</f>
        <v>Yandi Ramdani</v>
      </c>
    </row>
    <row r="506" spans="2:6">
      <c r="B506" s="19" t="s">
        <v>371</v>
      </c>
      <c r="C506" s="20" t="s">
        <v>372</v>
      </c>
      <c r="D506" s="21" t="s">
        <v>537</v>
      </c>
      <c r="E506" s="22" t="s">
        <v>1739</v>
      </c>
      <c r="F506" s="15" t="str">
        <f>_xlfn.XLOOKUP(D506,[6]Sheet1!$C:$C,[6]Sheet1!$F:$F,"-")</f>
        <v>Yogi Iskandar</v>
      </c>
    </row>
    <row r="507" spans="2:6">
      <c r="B507" s="19" t="s">
        <v>371</v>
      </c>
      <c r="C507" s="20" t="s">
        <v>372</v>
      </c>
      <c r="D507" s="21" t="s">
        <v>538</v>
      </c>
      <c r="E507" s="22" t="s">
        <v>1739</v>
      </c>
      <c r="F507" s="15" t="str">
        <f>_xlfn.XLOOKUP(D507,[6]Sheet1!$C:$C,[6]Sheet1!$F:$F,"-")</f>
        <v>Yogi Iskandar</v>
      </c>
    </row>
    <row r="508" spans="2:6">
      <c r="B508" s="19" t="s">
        <v>371</v>
      </c>
      <c r="C508" s="20" t="s">
        <v>372</v>
      </c>
      <c r="D508" s="21" t="s">
        <v>539</v>
      </c>
      <c r="E508" s="22" t="s">
        <v>1739</v>
      </c>
      <c r="F508" s="15" t="str">
        <f>_xlfn.XLOOKUP(D508,[6]Sheet1!$C:$C,[6]Sheet1!$F:$F,"-")</f>
        <v>Yunus Abdul Lyi Sadjidin</v>
      </c>
    </row>
    <row r="509" spans="2:6">
      <c r="B509" s="19" t="s">
        <v>371</v>
      </c>
      <c r="C509" s="20" t="s">
        <v>372</v>
      </c>
      <c r="D509" s="21" t="s">
        <v>540</v>
      </c>
      <c r="E509" s="22" t="s">
        <v>1716</v>
      </c>
      <c r="F509" s="15" t="str">
        <f>_xlfn.XLOOKUP(D509,[6]Sheet1!$C:$C,[6]Sheet1!$F:$F,"-")</f>
        <v>Ardi Rahman Suwandi</v>
      </c>
    </row>
    <row r="510" spans="2:6">
      <c r="B510" s="19" t="s">
        <v>371</v>
      </c>
      <c r="C510" s="20" t="s">
        <v>372</v>
      </c>
      <c r="D510" s="21" t="s">
        <v>541</v>
      </c>
      <c r="E510" s="22" t="s">
        <v>1716</v>
      </c>
      <c r="F510" s="15" t="str">
        <f>_xlfn.XLOOKUP(D510,[6]Sheet1!$C:$C,[6]Sheet1!$F:$F,"-")</f>
        <v>Argam Maulana</v>
      </c>
    </row>
    <row r="511" spans="2:6">
      <c r="B511" s="19" t="s">
        <v>371</v>
      </c>
      <c r="C511" s="20" t="s">
        <v>372</v>
      </c>
      <c r="D511" s="21" t="s">
        <v>542</v>
      </c>
      <c r="E511" s="22" t="s">
        <v>1716</v>
      </c>
      <c r="F511" s="15" t="str">
        <f>_xlfn.XLOOKUP(D511,[6]Sheet1!$C:$C,[6]Sheet1!$F:$F,"-")</f>
        <v>Ari Apriadi</v>
      </c>
    </row>
    <row r="512" spans="2:6">
      <c r="B512" s="19" t="s">
        <v>371</v>
      </c>
      <c r="C512" s="20" t="s">
        <v>372</v>
      </c>
      <c r="D512" s="21" t="s">
        <v>543</v>
      </c>
      <c r="E512" s="22" t="s">
        <v>1716</v>
      </c>
      <c r="F512" s="15" t="str">
        <f>_xlfn.XLOOKUP(D512,[6]Sheet1!$C:$C,[6]Sheet1!$F:$F,"-")</f>
        <v>Ari Apriadi</v>
      </c>
    </row>
    <row r="513" spans="2:6">
      <c r="B513" s="19" t="s">
        <v>371</v>
      </c>
      <c r="C513" s="20" t="s">
        <v>372</v>
      </c>
      <c r="D513" s="21" t="s">
        <v>544</v>
      </c>
      <c r="E513" s="22" t="s">
        <v>1716</v>
      </c>
      <c r="F513" s="15" t="str">
        <f>_xlfn.XLOOKUP(D513,[6]Sheet1!$C:$C,[6]Sheet1!$F:$F,"-")</f>
        <v>Caswin Aprianto</v>
      </c>
    </row>
    <row r="514" spans="2:6">
      <c r="B514" s="19" t="s">
        <v>371</v>
      </c>
      <c r="C514" s="20" t="s">
        <v>372</v>
      </c>
      <c r="D514" s="21" t="s">
        <v>545</v>
      </c>
      <c r="E514" s="22" t="s">
        <v>1716</v>
      </c>
      <c r="F514" s="15" t="str">
        <f>_xlfn.XLOOKUP(D514,[6]Sheet1!$C:$C,[6]Sheet1!$F:$F,"-")</f>
        <v>Dede Rino Mailudin</v>
      </c>
    </row>
    <row r="515" spans="2:6">
      <c r="B515" s="19" t="s">
        <v>371</v>
      </c>
      <c r="C515" s="20" t="s">
        <v>372</v>
      </c>
      <c r="D515" s="21" t="s">
        <v>546</v>
      </c>
      <c r="E515" s="22" t="s">
        <v>1716</v>
      </c>
      <c r="F515" s="15" t="str">
        <f>_xlfn.XLOOKUP(D515,[6]Sheet1!$C:$C,[6]Sheet1!$F:$F,"-")</f>
        <v>Deden Maulana</v>
      </c>
    </row>
    <row r="516" spans="2:6">
      <c r="B516" s="19" t="s">
        <v>371</v>
      </c>
      <c r="C516" s="20" t="s">
        <v>372</v>
      </c>
      <c r="D516" s="21" t="s">
        <v>547</v>
      </c>
      <c r="E516" s="22" t="s">
        <v>1716</v>
      </c>
      <c r="F516" s="15" t="str">
        <f>_xlfn.XLOOKUP(D516,[6]Sheet1!$C:$C,[6]Sheet1!$F:$F,"-")</f>
        <v>Deden Maulana</v>
      </c>
    </row>
    <row r="517" spans="2:6">
      <c r="B517" s="19" t="s">
        <v>371</v>
      </c>
      <c r="C517" s="20" t="s">
        <v>372</v>
      </c>
      <c r="D517" s="21" t="s">
        <v>548</v>
      </c>
      <c r="E517" s="22" t="s">
        <v>1716</v>
      </c>
      <c r="F517" s="15" t="str">
        <f>_xlfn.XLOOKUP(D517,[6]Sheet1!$C:$C,[6]Sheet1!$F:$F,"-")</f>
        <v>Deni Herdian</v>
      </c>
    </row>
    <row r="518" spans="2:6">
      <c r="B518" s="19" t="s">
        <v>371</v>
      </c>
      <c r="C518" s="20" t="s">
        <v>372</v>
      </c>
      <c r="D518" s="21" t="s">
        <v>549</v>
      </c>
      <c r="E518" s="22" t="s">
        <v>1716</v>
      </c>
      <c r="F518" s="15" t="str">
        <f>_xlfn.XLOOKUP(D518,[6]Sheet1!$C:$C,[6]Sheet1!$F:$F,"-")</f>
        <v>Fikri Hidayatuloh</v>
      </c>
    </row>
    <row r="519" spans="2:6">
      <c r="B519" s="19" t="s">
        <v>371</v>
      </c>
      <c r="C519" s="20" t="s">
        <v>372</v>
      </c>
      <c r="D519" s="21" t="s">
        <v>550</v>
      </c>
      <c r="E519" s="22" t="s">
        <v>1716</v>
      </c>
      <c r="F519" s="15" t="str">
        <f>_xlfn.XLOOKUP(D519,[6]Sheet1!$C:$C,[6]Sheet1!$F:$F,"-")</f>
        <v>Ilyas Roya</v>
      </c>
    </row>
    <row r="520" spans="2:6">
      <c r="B520" s="19" t="s">
        <v>371</v>
      </c>
      <c r="C520" s="20" t="s">
        <v>372</v>
      </c>
      <c r="D520" s="21" t="s">
        <v>551</v>
      </c>
      <c r="E520" s="22" t="s">
        <v>1716</v>
      </c>
      <c r="F520" s="15" t="str">
        <f>_xlfn.XLOOKUP(D520,[6]Sheet1!$C:$C,[6]Sheet1!$F:$F,"-")</f>
        <v>Ilyas Roya</v>
      </c>
    </row>
    <row r="521" spans="2:6">
      <c r="B521" s="19" t="s">
        <v>371</v>
      </c>
      <c r="C521" s="20" t="s">
        <v>372</v>
      </c>
      <c r="D521" s="21" t="s">
        <v>552</v>
      </c>
      <c r="E521" s="22" t="s">
        <v>1716</v>
      </c>
      <c r="F521" s="15" t="str">
        <f>_xlfn.XLOOKUP(D521,[6]Sheet1!$C:$C,[6]Sheet1!$F:$F,"-")</f>
        <v>Ilyas Roya</v>
      </c>
    </row>
    <row r="522" spans="2:6">
      <c r="B522" s="19" t="s">
        <v>371</v>
      </c>
      <c r="C522" s="20" t="s">
        <v>372</v>
      </c>
      <c r="D522" s="21" t="s">
        <v>553</v>
      </c>
      <c r="E522" s="22" t="s">
        <v>1716</v>
      </c>
      <c r="F522" s="15" t="str">
        <f>_xlfn.XLOOKUP(D522,[6]Sheet1!$C:$C,[6]Sheet1!$F:$F,"-")</f>
        <v>Muhamad Alimudin</v>
      </c>
    </row>
    <row r="523" spans="2:6">
      <c r="B523" s="19" t="s">
        <v>371</v>
      </c>
      <c r="C523" s="20" t="s">
        <v>372</v>
      </c>
      <c r="D523" s="21" t="s">
        <v>554</v>
      </c>
      <c r="E523" s="22" t="s">
        <v>1716</v>
      </c>
      <c r="F523" s="15" t="str">
        <f>_xlfn.XLOOKUP(D523,[6]Sheet1!$C:$C,[6]Sheet1!$F:$F,"-")</f>
        <v>Regy Permana</v>
      </c>
    </row>
    <row r="524" spans="2:6">
      <c r="B524" s="19" t="s">
        <v>371</v>
      </c>
      <c r="C524" s="20" t="s">
        <v>372</v>
      </c>
      <c r="D524" s="21" t="s">
        <v>555</v>
      </c>
      <c r="E524" s="22" t="s">
        <v>1716</v>
      </c>
      <c r="F524" s="15" t="str">
        <f>_xlfn.XLOOKUP(D524,[6]Sheet1!$C:$C,[6]Sheet1!$F:$F,"-")</f>
        <v>Regy Permana</v>
      </c>
    </row>
    <row r="525" spans="2:6">
      <c r="B525" s="19" t="s">
        <v>371</v>
      </c>
      <c r="C525" s="20" t="s">
        <v>372</v>
      </c>
      <c r="D525" s="21" t="s">
        <v>556</v>
      </c>
      <c r="E525" s="22" t="s">
        <v>1716</v>
      </c>
      <c r="F525" s="15" t="str">
        <f>_xlfn.XLOOKUP(D525,[6]Sheet1!$C:$C,[6]Sheet1!$F:$F,"-")</f>
        <v>Rijal</v>
      </c>
    </row>
    <row r="526" spans="2:6">
      <c r="B526" s="19" t="s">
        <v>371</v>
      </c>
      <c r="C526" s="20" t="s">
        <v>372</v>
      </c>
      <c r="D526" s="21" t="s">
        <v>557</v>
      </c>
      <c r="E526" s="22" t="s">
        <v>1739</v>
      </c>
      <c r="F526" s="15" t="str">
        <f>_xlfn.XLOOKUP(D526,[6]Sheet1!$C:$C,[6]Sheet1!$F:$F,"-")</f>
        <v>Agustian Sholeh</v>
      </c>
    </row>
    <row r="527" spans="2:6">
      <c r="B527" s="19" t="s">
        <v>371</v>
      </c>
      <c r="C527" s="20" t="s">
        <v>372</v>
      </c>
      <c r="D527" s="21" t="s">
        <v>558</v>
      </c>
      <c r="E527" s="22" t="s">
        <v>1739</v>
      </c>
      <c r="F527" s="15" t="str">
        <f>_xlfn.XLOOKUP(D527,[6]Sheet1!$C:$C,[6]Sheet1!$F:$F,"-")</f>
        <v>Billy Jenawi</v>
      </c>
    </row>
    <row r="528" spans="2:6">
      <c r="B528" s="19" t="s">
        <v>371</v>
      </c>
      <c r="C528" s="20" t="s">
        <v>372</v>
      </c>
      <c r="D528" s="21" t="s">
        <v>559</v>
      </c>
      <c r="E528" s="22" t="s">
        <v>1739</v>
      </c>
      <c r="F528" s="15" t="str">
        <f>_xlfn.XLOOKUP(D528,[6]Sheet1!$C:$C,[6]Sheet1!$F:$F,"-")</f>
        <v>Budi Sunandar</v>
      </c>
    </row>
    <row r="529" spans="2:6">
      <c r="B529" s="19" t="s">
        <v>371</v>
      </c>
      <c r="C529" s="20" t="s">
        <v>372</v>
      </c>
      <c r="D529" s="21" t="s">
        <v>560</v>
      </c>
      <c r="E529" s="22" t="s">
        <v>1739</v>
      </c>
      <c r="F529" s="15" t="str">
        <f>_xlfn.XLOOKUP(D529,[6]Sheet1!$C:$C,[6]Sheet1!$F:$F,"-")</f>
        <v>Dadan Darusman</v>
      </c>
    </row>
    <row r="530" spans="2:6">
      <c r="B530" s="19" t="s">
        <v>371</v>
      </c>
      <c r="C530" s="20" t="s">
        <v>372</v>
      </c>
      <c r="D530" s="21" t="s">
        <v>561</v>
      </c>
      <c r="E530" s="22" t="s">
        <v>1739</v>
      </c>
      <c r="F530" s="15" t="str">
        <f>_xlfn.XLOOKUP(D530,[6]Sheet1!$C:$C,[6]Sheet1!$F:$F,"-")</f>
        <v>Dede Kurnia</v>
      </c>
    </row>
    <row r="531" spans="2:6">
      <c r="B531" s="19" t="s">
        <v>371</v>
      </c>
      <c r="C531" s="20" t="s">
        <v>372</v>
      </c>
      <c r="D531" s="21" t="s">
        <v>562</v>
      </c>
      <c r="E531" s="22" t="s">
        <v>1739</v>
      </c>
      <c r="F531" s="15" t="str">
        <f>_xlfn.XLOOKUP(D531,[6]Sheet1!$C:$C,[6]Sheet1!$F:$F,"-")</f>
        <v>Faisal Malik</v>
      </c>
    </row>
    <row r="532" spans="2:6">
      <c r="B532" s="19" t="s">
        <v>371</v>
      </c>
      <c r="C532" s="20" t="s">
        <v>372</v>
      </c>
      <c r="D532" s="21" t="s">
        <v>563</v>
      </c>
      <c r="E532" s="22" t="s">
        <v>1739</v>
      </c>
      <c r="F532" s="15" t="str">
        <f>_xlfn.XLOOKUP(D532,[6]Sheet1!$C:$C,[6]Sheet1!$F:$F,"-")</f>
        <v>Gilang Maulana Yusuf</v>
      </c>
    </row>
    <row r="533" spans="2:6">
      <c r="B533" s="19" t="s">
        <v>371</v>
      </c>
      <c r="C533" s="20" t="s">
        <v>372</v>
      </c>
      <c r="D533" s="21" t="s">
        <v>564</v>
      </c>
      <c r="E533" s="22" t="s">
        <v>1739</v>
      </c>
      <c r="F533" s="15" t="str">
        <f>_xlfn.XLOOKUP(D533,[6]Sheet1!$C:$C,[6]Sheet1!$F:$F,"-")</f>
        <v>Harry Satria Rachman</v>
      </c>
    </row>
    <row r="534" spans="2:6">
      <c r="B534" s="19" t="s">
        <v>371</v>
      </c>
      <c r="C534" s="20" t="s">
        <v>372</v>
      </c>
      <c r="D534" s="21" t="s">
        <v>565</v>
      </c>
      <c r="E534" s="22" t="s">
        <v>1739</v>
      </c>
      <c r="F534" s="15" t="str">
        <f>_xlfn.XLOOKUP(D534,[6]Sheet1!$C:$C,[6]Sheet1!$F:$F,"-")</f>
        <v>Iman Sulaeman</v>
      </c>
    </row>
    <row r="535" spans="2:6">
      <c r="B535" s="19" t="s">
        <v>371</v>
      </c>
      <c r="C535" s="20" t="s">
        <v>372</v>
      </c>
      <c r="D535" s="21" t="s">
        <v>566</v>
      </c>
      <c r="E535" s="22" t="s">
        <v>1739</v>
      </c>
      <c r="F535" s="15" t="str">
        <f>_xlfn.XLOOKUP(D535,[6]Sheet1!$C:$C,[6]Sheet1!$F:$F,"-")</f>
        <v>Jamaludin Syah</v>
      </c>
    </row>
    <row r="536" spans="2:6">
      <c r="B536" s="19" t="s">
        <v>371</v>
      </c>
      <c r="C536" s="20" t="s">
        <v>372</v>
      </c>
      <c r="D536" s="21" t="s">
        <v>567</v>
      </c>
      <c r="E536" s="22" t="s">
        <v>1739</v>
      </c>
      <c r="F536" s="15" t="str">
        <f>_xlfn.XLOOKUP(D536,[6]Sheet1!$C:$C,[6]Sheet1!$F:$F,"-")</f>
        <v>Kamaludin</v>
      </c>
    </row>
    <row r="537" spans="2:6">
      <c r="B537" s="19" t="s">
        <v>371</v>
      </c>
      <c r="C537" s="20" t="s">
        <v>372</v>
      </c>
      <c r="D537" s="21" t="s">
        <v>568</v>
      </c>
      <c r="E537" s="22" t="s">
        <v>1739</v>
      </c>
      <c r="F537" s="15" t="str">
        <f>_xlfn.XLOOKUP(D537,[6]Sheet1!$C:$C,[6]Sheet1!$F:$F,"-")</f>
        <v>Muhamad Hendar Ali</v>
      </c>
    </row>
    <row r="538" spans="2:6">
      <c r="B538" s="19" t="s">
        <v>371</v>
      </c>
      <c r="C538" s="20" t="s">
        <v>372</v>
      </c>
      <c r="D538" s="21" t="s">
        <v>569</v>
      </c>
      <c r="E538" s="22" t="s">
        <v>1739</v>
      </c>
      <c r="F538" s="15" t="str">
        <f>_xlfn.XLOOKUP(D538,[6]Sheet1!$C:$C,[6]Sheet1!$F:$F,"-")</f>
        <v>Muhammad Nurani Kholis</v>
      </c>
    </row>
    <row r="539" spans="2:6">
      <c r="B539" s="19" t="s">
        <v>371</v>
      </c>
      <c r="C539" s="20" t="s">
        <v>372</v>
      </c>
      <c r="D539" s="21" t="s">
        <v>570</v>
      </c>
      <c r="E539" s="22" t="s">
        <v>1739</v>
      </c>
      <c r="F539" s="15" t="str">
        <f>_xlfn.XLOOKUP(D539,[6]Sheet1!$C:$C,[6]Sheet1!$F:$F,"-")</f>
        <v>Rahmat Efendi</v>
      </c>
    </row>
    <row r="540" spans="2:6">
      <c r="B540" s="19" t="s">
        <v>371</v>
      </c>
      <c r="C540" s="20" t="s">
        <v>372</v>
      </c>
      <c r="D540" s="21" t="s">
        <v>571</v>
      </c>
      <c r="E540" s="22" t="s">
        <v>1739</v>
      </c>
      <c r="F540" s="15" t="str">
        <f>_xlfn.XLOOKUP(D540,[6]Sheet1!$C:$C,[6]Sheet1!$F:$F,"-")</f>
        <v>Ricky Nurdiansyah</v>
      </c>
    </row>
    <row r="541" spans="2:6">
      <c r="B541" s="19" t="s">
        <v>371</v>
      </c>
      <c r="C541" s="20" t="s">
        <v>372</v>
      </c>
      <c r="D541" s="21" t="s">
        <v>572</v>
      </c>
      <c r="E541" s="22" t="s">
        <v>1739</v>
      </c>
      <c r="F541" s="15" t="str">
        <f>_xlfn.XLOOKUP(D541,[6]Sheet1!$C:$C,[6]Sheet1!$F:$F,"-")</f>
        <v>Tanto Taufik</v>
      </c>
    </row>
    <row r="542" spans="2:6">
      <c r="B542" s="19" t="s">
        <v>371</v>
      </c>
      <c r="C542" s="20" t="s">
        <v>372</v>
      </c>
      <c r="D542" s="21" t="s">
        <v>573</v>
      </c>
      <c r="E542" s="22" t="s">
        <v>1739</v>
      </c>
      <c r="F542" s="15" t="str">
        <f>_xlfn.XLOOKUP(D542,[6]Sheet1!$C:$C,[6]Sheet1!$F:$F,"-")</f>
        <v>Tanto Taufik</v>
      </c>
    </row>
    <row r="543" spans="2:6">
      <c r="B543" s="19" t="s">
        <v>371</v>
      </c>
      <c r="C543" s="20" t="s">
        <v>372</v>
      </c>
      <c r="D543" s="21" t="s">
        <v>574</v>
      </c>
      <c r="E543" s="22" t="s">
        <v>1739</v>
      </c>
      <c r="F543" s="15" t="str">
        <f>_xlfn.XLOOKUP(D543,[6]Sheet1!$C:$C,[6]Sheet1!$F:$F,"-")</f>
        <v>Ujang Andi</v>
      </c>
    </row>
    <row r="544" spans="2:6">
      <c r="B544" s="19" t="s">
        <v>371</v>
      </c>
      <c r="C544" s="20" t="s">
        <v>372</v>
      </c>
      <c r="D544" s="21" t="s">
        <v>575</v>
      </c>
      <c r="E544" s="22" t="s">
        <v>1739</v>
      </c>
      <c r="F544" s="15" t="str">
        <f>_xlfn.XLOOKUP(D544,[6]Sheet1!$C:$C,[6]Sheet1!$F:$F,"-")</f>
        <v>Zam zam Mugni fadil</v>
      </c>
    </row>
    <row r="545" spans="2:6">
      <c r="B545" s="19" t="s">
        <v>371</v>
      </c>
      <c r="C545" s="20" t="s">
        <v>372</v>
      </c>
      <c r="D545" s="21" t="s">
        <v>576</v>
      </c>
      <c r="E545" s="22" t="s">
        <v>1739</v>
      </c>
      <c r="F545" s="15" t="str">
        <f>_xlfn.XLOOKUP(D545,[6]Sheet1!$C:$C,[6]Sheet1!$F:$F,"-")</f>
        <v>Andy Risqi Pratama S</v>
      </c>
    </row>
    <row r="546" spans="2:6">
      <c r="B546" s="19" t="s">
        <v>371</v>
      </c>
      <c r="C546" s="20" t="s">
        <v>372</v>
      </c>
      <c r="D546" s="21" t="s">
        <v>577</v>
      </c>
      <c r="E546" s="22" t="s">
        <v>1739</v>
      </c>
      <c r="F546" s="15" t="str">
        <f>_xlfn.XLOOKUP(D546,[6]Sheet1!$C:$C,[6]Sheet1!$F:$F,"-")</f>
        <v>Darwanto</v>
      </c>
    </row>
    <row r="547" spans="2:6">
      <c r="B547" s="19" t="s">
        <v>371</v>
      </c>
      <c r="C547" s="20" t="s">
        <v>372</v>
      </c>
      <c r="D547" s="21" t="s">
        <v>578</v>
      </c>
      <c r="E547" s="22" t="s">
        <v>1739</v>
      </c>
      <c r="F547" s="15" t="str">
        <f>_xlfn.XLOOKUP(D547,[6]Sheet1!$C:$C,[6]Sheet1!$F:$F,"-")</f>
        <v>Deni Sukmana</v>
      </c>
    </row>
    <row r="548" spans="2:6">
      <c r="B548" s="19" t="s">
        <v>371</v>
      </c>
      <c r="C548" s="20" t="s">
        <v>372</v>
      </c>
      <c r="D548" s="21" t="s">
        <v>579</v>
      </c>
      <c r="E548" s="22" t="s">
        <v>1739</v>
      </c>
      <c r="F548" s="15" t="str">
        <f>_xlfn.XLOOKUP(D548,[6]Sheet1!$C:$C,[6]Sheet1!$F:$F,"-")</f>
        <v>Hafiz Muhammad Siddiq</v>
      </c>
    </row>
    <row r="549" spans="2:6">
      <c r="B549" s="19" t="s">
        <v>371</v>
      </c>
      <c r="C549" s="20" t="s">
        <v>372</v>
      </c>
      <c r="D549" s="21" t="s">
        <v>580</v>
      </c>
      <c r="E549" s="22" t="s">
        <v>1739</v>
      </c>
      <c r="F549" s="15" t="str">
        <f>_xlfn.XLOOKUP(D549,[6]Sheet1!$C:$C,[6]Sheet1!$F:$F,"-")</f>
        <v>Haliman Apriyadi</v>
      </c>
    </row>
    <row r="550" spans="2:6">
      <c r="B550" s="19" t="s">
        <v>371</v>
      </c>
      <c r="C550" s="20" t="s">
        <v>372</v>
      </c>
      <c r="D550" s="21" t="s">
        <v>581</v>
      </c>
      <c r="E550" s="22" t="s">
        <v>1739</v>
      </c>
      <c r="F550" s="15" t="str">
        <f>_xlfn.XLOOKUP(D550,[6]Sheet1!$C:$C,[6]Sheet1!$F:$F,"-")</f>
        <v>Jejen Jaenudin</v>
      </c>
    </row>
    <row r="551" spans="2:6">
      <c r="B551" s="19" t="s">
        <v>371</v>
      </c>
      <c r="C551" s="20" t="s">
        <v>372</v>
      </c>
      <c r="D551" s="21" t="s">
        <v>582</v>
      </c>
      <c r="E551" s="22" t="s">
        <v>1739</v>
      </c>
      <c r="F551" s="15" t="str">
        <f>_xlfn.XLOOKUP(D551,[6]Sheet1!$C:$C,[6]Sheet1!$F:$F,"-")</f>
        <v>M. Sanusi</v>
      </c>
    </row>
    <row r="552" spans="2:6">
      <c r="B552" s="19" t="s">
        <v>371</v>
      </c>
      <c r="C552" s="20" t="s">
        <v>372</v>
      </c>
      <c r="D552" s="21" t="s">
        <v>583</v>
      </c>
      <c r="E552" s="22" t="s">
        <v>1739</v>
      </c>
      <c r="F552" s="15" t="str">
        <f>_xlfn.XLOOKUP(D552,[6]Sheet1!$C:$C,[6]Sheet1!$F:$F,"-")</f>
        <v>Muhamad Ali Assegap</v>
      </c>
    </row>
    <row r="553" spans="2:6">
      <c r="B553" s="19" t="s">
        <v>371</v>
      </c>
      <c r="C553" s="20" t="s">
        <v>372</v>
      </c>
      <c r="D553" s="21" t="s">
        <v>584</v>
      </c>
      <c r="E553" s="22" t="s">
        <v>1739</v>
      </c>
      <c r="F553" s="15" t="str">
        <f>_xlfn.XLOOKUP(D553,[6]Sheet1!$C:$C,[6]Sheet1!$F:$F,"-")</f>
        <v>Muhamad Basir Gusfian</v>
      </c>
    </row>
    <row r="554" spans="2:6">
      <c r="B554" s="19" t="s">
        <v>371</v>
      </c>
      <c r="C554" s="20" t="s">
        <v>372</v>
      </c>
      <c r="D554" s="21" t="s">
        <v>585</v>
      </c>
      <c r="E554" s="22" t="s">
        <v>1739</v>
      </c>
      <c r="F554" s="15" t="str">
        <f>_xlfn.XLOOKUP(D554,[6]Sheet1!$C:$C,[6]Sheet1!$F:$F,"-")</f>
        <v>Nanang Kosim</v>
      </c>
    </row>
    <row r="555" spans="2:6">
      <c r="B555" s="19" t="s">
        <v>371</v>
      </c>
      <c r="C555" s="20" t="s">
        <v>372</v>
      </c>
      <c r="D555" s="21" t="s">
        <v>586</v>
      </c>
      <c r="E555" s="22" t="s">
        <v>1739</v>
      </c>
      <c r="F555" s="15" t="str">
        <f>_xlfn.XLOOKUP(D555,[6]Sheet1!$C:$C,[6]Sheet1!$F:$F,"-")</f>
        <v>Rahayu Akbar Permana</v>
      </c>
    </row>
    <row r="556" spans="2:6">
      <c r="B556" s="19" t="s">
        <v>371</v>
      </c>
      <c r="C556" s="20" t="s">
        <v>372</v>
      </c>
      <c r="D556" s="21" t="s">
        <v>587</v>
      </c>
      <c r="E556" s="22" t="s">
        <v>1739</v>
      </c>
      <c r="F556" s="15" t="str">
        <f>_xlfn.XLOOKUP(D556,[6]Sheet1!$C:$C,[6]Sheet1!$F:$F,"-")</f>
        <v>Reza Cahya Jamaludin</v>
      </c>
    </row>
    <row r="557" spans="2:6">
      <c r="B557" s="19" t="s">
        <v>371</v>
      </c>
      <c r="C557" s="20" t="s">
        <v>372</v>
      </c>
      <c r="D557" s="21" t="s">
        <v>588</v>
      </c>
      <c r="E557" s="22" t="s">
        <v>1739</v>
      </c>
      <c r="F557" s="15" t="str">
        <f>_xlfn.XLOOKUP(D557,[6]Sheet1!$C:$C,[6]Sheet1!$F:$F,"-")</f>
        <v>Rifki Satria Nasution</v>
      </c>
    </row>
    <row r="558" spans="2:6">
      <c r="B558" s="19" t="s">
        <v>371</v>
      </c>
      <c r="C558" s="20" t="s">
        <v>372</v>
      </c>
      <c r="D558" s="21" t="s">
        <v>589</v>
      </c>
      <c r="E558" s="22" t="s">
        <v>1739</v>
      </c>
      <c r="F558" s="15" t="str">
        <f>_xlfn.XLOOKUP(D558,[6]Sheet1!$C:$C,[6]Sheet1!$F:$F,"-")</f>
        <v>Sarip Nurdin</v>
      </c>
    </row>
    <row r="559" spans="2:6">
      <c r="B559" s="19" t="s">
        <v>371</v>
      </c>
      <c r="C559" s="20" t="s">
        <v>372</v>
      </c>
      <c r="D559" s="21" t="s">
        <v>590</v>
      </c>
      <c r="E559" s="22" t="s">
        <v>1739</v>
      </c>
      <c r="F559" s="15" t="str">
        <f>_xlfn.XLOOKUP(D559,[6]Sheet1!$C:$C,[6]Sheet1!$F:$F,"-")</f>
        <v>Suheri</v>
      </c>
    </row>
    <row r="560" spans="2:6">
      <c r="B560" s="19" t="s">
        <v>371</v>
      </c>
      <c r="C560" s="20" t="s">
        <v>372</v>
      </c>
      <c r="D560" s="21" t="s">
        <v>591</v>
      </c>
      <c r="E560" s="22" t="s">
        <v>1739</v>
      </c>
      <c r="F560" s="15" t="str">
        <f>_xlfn.XLOOKUP(D560,[6]Sheet1!$C:$C,[6]Sheet1!$F:$F,"-")</f>
        <v>Yanuar Firmansyah</v>
      </c>
    </row>
    <row r="561" spans="2:6">
      <c r="B561" s="19" t="s">
        <v>371</v>
      </c>
      <c r="C561" s="20" t="s">
        <v>372</v>
      </c>
      <c r="D561" s="21" t="s">
        <v>592</v>
      </c>
      <c r="E561" s="22" t="s">
        <v>1739</v>
      </c>
      <c r="F561" s="15" t="str">
        <f>_xlfn.XLOOKUP(D561,[6]Sheet1!$C:$C,[6]Sheet1!$F:$F,"-")</f>
        <v>Deden Ahmad Saepudin</v>
      </c>
    </row>
    <row r="562" spans="2:6">
      <c r="B562" s="19" t="s">
        <v>371</v>
      </c>
      <c r="C562" s="20" t="s">
        <v>372</v>
      </c>
      <c r="D562" s="21" t="s">
        <v>593</v>
      </c>
      <c r="E562" s="22" t="s">
        <v>1739</v>
      </c>
      <c r="F562" s="15" t="str">
        <f>_xlfn.XLOOKUP(D562,[6]Sheet1!$C:$C,[6]Sheet1!$F:$F,"-")</f>
        <v>Raza Alfianzy</v>
      </c>
    </row>
    <row r="563" spans="2:6">
      <c r="B563" s="19" t="s">
        <v>371</v>
      </c>
      <c r="C563" s="20" t="s">
        <v>372</v>
      </c>
      <c r="D563" s="21" t="s">
        <v>594</v>
      </c>
      <c r="E563" s="22" t="s">
        <v>1739</v>
      </c>
      <c r="F563" s="15" t="str">
        <f>_xlfn.XLOOKUP(D563,[6]Sheet1!$C:$C,[6]Sheet1!$F:$F,"-")</f>
        <v>Adi Viki, S.E</v>
      </c>
    </row>
    <row r="564" spans="2:6">
      <c r="B564" s="19" t="s">
        <v>371</v>
      </c>
      <c r="C564" s="20" t="s">
        <v>372</v>
      </c>
      <c r="D564" s="21" t="s">
        <v>595</v>
      </c>
      <c r="E564" s="22" t="s">
        <v>1739</v>
      </c>
      <c r="F564" s="15" t="str">
        <f>_xlfn.XLOOKUP(D564,[6]Sheet1!$C:$C,[6]Sheet1!$F:$F,"-")</f>
        <v>Agung Maulana</v>
      </c>
    </row>
    <row r="565" spans="2:6">
      <c r="B565" s="19" t="s">
        <v>371</v>
      </c>
      <c r="C565" s="20" t="s">
        <v>372</v>
      </c>
      <c r="D565" s="21" t="s">
        <v>596</v>
      </c>
      <c r="E565" s="22" t="s">
        <v>1739</v>
      </c>
      <c r="F565" s="15" t="str">
        <f>_xlfn.XLOOKUP(D565,[6]Sheet1!$C:$C,[6]Sheet1!$F:$F,"-")</f>
        <v>Agung Maulana</v>
      </c>
    </row>
    <row r="566" spans="2:6">
      <c r="B566" s="19" t="s">
        <v>371</v>
      </c>
      <c r="C566" s="20" t="s">
        <v>372</v>
      </c>
      <c r="D566" s="21" t="s">
        <v>597</v>
      </c>
      <c r="E566" s="22" t="s">
        <v>1716</v>
      </c>
      <c r="F566" s="15" t="str">
        <f>_xlfn.XLOOKUP(D566,[6]Sheet1!$C:$C,[6]Sheet1!$F:$F,"-")</f>
        <v>Arief Firmansyah</v>
      </c>
    </row>
    <row r="567" spans="2:6">
      <c r="B567" s="19" t="s">
        <v>371</v>
      </c>
      <c r="C567" s="20" t="s">
        <v>372</v>
      </c>
      <c r="D567" s="21" t="s">
        <v>598</v>
      </c>
      <c r="E567" s="22" t="s">
        <v>1739</v>
      </c>
      <c r="F567" s="15" t="str">
        <f>_xlfn.XLOOKUP(D567,[6]Sheet1!$C:$C,[6]Sheet1!$F:$F,"-")</f>
        <v>Ervan Budi Nugraha, S.Kom</v>
      </c>
    </row>
    <row r="568" spans="2:6">
      <c r="B568" s="19" t="s">
        <v>371</v>
      </c>
      <c r="C568" s="20" t="s">
        <v>372</v>
      </c>
      <c r="D568" s="21" t="s">
        <v>599</v>
      </c>
      <c r="E568" s="22" t="s">
        <v>1739</v>
      </c>
      <c r="F568" s="15" t="str">
        <f>_xlfn.XLOOKUP(D568,[6]Sheet1!$C:$C,[6]Sheet1!$F:$F,"-")</f>
        <v>Ervan Budi Nugraha, S.Kom</v>
      </c>
    </row>
    <row r="569" spans="2:6">
      <c r="B569" s="19" t="s">
        <v>371</v>
      </c>
      <c r="C569" s="20" t="s">
        <v>372</v>
      </c>
      <c r="D569" s="21" t="s">
        <v>600</v>
      </c>
      <c r="E569" s="22" t="s">
        <v>1739</v>
      </c>
      <c r="F569" s="15" t="str">
        <f>_xlfn.XLOOKUP(D569,[6]Sheet1!$C:$C,[6]Sheet1!$F:$F,"-")</f>
        <v>Fahrul Rizal</v>
      </c>
    </row>
    <row r="570" spans="2:6">
      <c r="B570" s="19" t="s">
        <v>371</v>
      </c>
      <c r="C570" s="20" t="s">
        <v>372</v>
      </c>
      <c r="D570" s="21" t="s">
        <v>601</v>
      </c>
      <c r="E570" s="22" t="s">
        <v>1739</v>
      </c>
      <c r="F570" s="15" t="str">
        <f>_xlfn.XLOOKUP(D570,[6]Sheet1!$C:$C,[6]Sheet1!$F:$F,"-")</f>
        <v>Haggi Hermawan, S.Pd</v>
      </c>
    </row>
    <row r="571" spans="2:6">
      <c r="B571" s="19" t="s">
        <v>371</v>
      </c>
      <c r="C571" s="20" t="s">
        <v>372</v>
      </c>
      <c r="D571" s="21" t="s">
        <v>602</v>
      </c>
      <c r="E571" s="22" t="s">
        <v>1739</v>
      </c>
      <c r="F571" s="15" t="str">
        <f>_xlfn.XLOOKUP(D571,[6]Sheet1!$C:$C,[6]Sheet1!$F:$F,"-")</f>
        <v>Irfan Anwar Musyadad, S.Pd</v>
      </c>
    </row>
    <row r="572" spans="2:6">
      <c r="B572" s="19" t="s">
        <v>371</v>
      </c>
      <c r="C572" s="20" t="s">
        <v>372</v>
      </c>
      <c r="D572" s="21" t="s">
        <v>603</v>
      </c>
      <c r="E572" s="22" t="s">
        <v>1739</v>
      </c>
      <c r="F572" s="15" t="str">
        <f>_xlfn.XLOOKUP(D572,[6]Sheet1!$C:$C,[6]Sheet1!$F:$F,"-")</f>
        <v>Jenal Yusuf</v>
      </c>
    </row>
    <row r="573" spans="2:6">
      <c r="B573" s="19" t="s">
        <v>371</v>
      </c>
      <c r="C573" s="20" t="s">
        <v>372</v>
      </c>
      <c r="D573" s="21" t="s">
        <v>604</v>
      </c>
      <c r="E573" s="22" t="s">
        <v>1716</v>
      </c>
      <c r="F573" s="15" t="str">
        <f>_xlfn.XLOOKUP(D573,[6]Sheet1!$C:$C,[6]Sheet1!$F:$F,"-")</f>
        <v>Jujun Juandi</v>
      </c>
    </row>
    <row r="574" spans="2:6">
      <c r="B574" s="19" t="s">
        <v>371</v>
      </c>
      <c r="C574" s="20" t="s">
        <v>372</v>
      </c>
      <c r="D574" s="21" t="s">
        <v>605</v>
      </c>
      <c r="E574" s="22" t="s">
        <v>1739</v>
      </c>
      <c r="F574" s="15" t="str">
        <f>_xlfn.XLOOKUP(D574,[6]Sheet1!$C:$C,[6]Sheet1!$F:$F,"-")</f>
        <v>Mahrus Ali</v>
      </c>
    </row>
    <row r="575" spans="2:6">
      <c r="B575" s="19" t="s">
        <v>371</v>
      </c>
      <c r="C575" s="20" t="s">
        <v>372</v>
      </c>
      <c r="D575" s="21" t="s">
        <v>606</v>
      </c>
      <c r="E575" s="22" t="s">
        <v>1739</v>
      </c>
      <c r="F575" s="15" t="str">
        <f>_xlfn.XLOOKUP(D575,[6]Sheet1!$C:$C,[6]Sheet1!$F:$F,"-")</f>
        <v>Mochamad Alvin Viery Pratama</v>
      </c>
    </row>
    <row r="576" spans="2:6">
      <c r="B576" s="19" t="s">
        <v>371</v>
      </c>
      <c r="C576" s="20" t="s">
        <v>372</v>
      </c>
      <c r="D576" s="21" t="s">
        <v>607</v>
      </c>
      <c r="E576" s="22" t="s">
        <v>1739</v>
      </c>
      <c r="F576" s="15" t="str">
        <f>_xlfn.XLOOKUP(D576,[6]Sheet1!$C:$C,[6]Sheet1!$F:$F,"-")</f>
        <v>Peri Rakasiwi, S.kom</v>
      </c>
    </row>
    <row r="577" spans="2:6">
      <c r="B577" s="19" t="s">
        <v>371</v>
      </c>
      <c r="C577" s="20" t="s">
        <v>372</v>
      </c>
      <c r="D577" s="21" t="s">
        <v>608</v>
      </c>
      <c r="E577" s="22" t="s">
        <v>1739</v>
      </c>
      <c r="F577" s="15" t="str">
        <f>_xlfn.XLOOKUP(D577,[6]Sheet1!$C:$C,[6]Sheet1!$F:$F,"-")</f>
        <v>Ricki Wahyudi</v>
      </c>
    </row>
    <row r="578" spans="2:6">
      <c r="B578" s="19" t="s">
        <v>371</v>
      </c>
      <c r="C578" s="20" t="s">
        <v>372</v>
      </c>
      <c r="D578" s="21" t="s">
        <v>609</v>
      </c>
      <c r="E578" s="22" t="s">
        <v>1739</v>
      </c>
      <c r="F578" s="15" t="str">
        <f>_xlfn.XLOOKUP(D578,[6]Sheet1!$C:$C,[6]Sheet1!$F:$F,"-")</f>
        <v>Ridwan Muhammad Abdul Baqi</v>
      </c>
    </row>
    <row r="579" spans="2:6">
      <c r="B579" s="19" t="s">
        <v>371</v>
      </c>
      <c r="C579" s="20" t="s">
        <v>372</v>
      </c>
      <c r="D579" s="21" t="s">
        <v>610</v>
      </c>
      <c r="E579" s="22" t="s">
        <v>1739</v>
      </c>
      <c r="F579" s="15" t="str">
        <f>_xlfn.XLOOKUP(D579,[6]Sheet1!$C:$C,[6]Sheet1!$F:$F,"-")</f>
        <v>Rio Gilang Prakasa</v>
      </c>
    </row>
    <row r="580" spans="2:6">
      <c r="B580" s="19" t="s">
        <v>371</v>
      </c>
      <c r="C580" s="20" t="s">
        <v>372</v>
      </c>
      <c r="D580" s="21" t="s">
        <v>611</v>
      </c>
      <c r="E580" s="22" t="s">
        <v>1739</v>
      </c>
      <c r="F580" s="15" t="str">
        <f>_xlfn.XLOOKUP(D580,[6]Sheet1!$C:$C,[6]Sheet1!$F:$F,"-")</f>
        <v>Rizki Harmawan</v>
      </c>
    </row>
    <row r="581" spans="2:6">
      <c r="B581" s="19" t="s">
        <v>371</v>
      </c>
      <c r="C581" s="20" t="s">
        <v>372</v>
      </c>
      <c r="D581" s="21" t="s">
        <v>612</v>
      </c>
      <c r="E581" s="22" t="s">
        <v>1739</v>
      </c>
      <c r="F581" s="15" t="str">
        <f>_xlfn.XLOOKUP(D581,[6]Sheet1!$C:$C,[6]Sheet1!$F:$F,"-")</f>
        <v>Sansan Riswandi</v>
      </c>
    </row>
    <row r="582" spans="2:6">
      <c r="B582" s="19" t="s">
        <v>371</v>
      </c>
      <c r="C582" s="20" t="s">
        <v>372</v>
      </c>
      <c r="D582" s="21" t="s">
        <v>613</v>
      </c>
      <c r="E582" s="22" t="s">
        <v>1739</v>
      </c>
      <c r="F582" s="15" t="str">
        <f>_xlfn.XLOOKUP(D582,[6]Sheet1!$C:$C,[6]Sheet1!$F:$F,"-")</f>
        <v>Soni Setiadi</v>
      </c>
    </row>
    <row r="583" spans="2:6">
      <c r="B583" s="19" t="s">
        <v>371</v>
      </c>
      <c r="C583" s="20" t="s">
        <v>372</v>
      </c>
      <c r="D583" s="21" t="s">
        <v>614</v>
      </c>
      <c r="E583" s="22" t="s">
        <v>1739</v>
      </c>
      <c r="F583" s="15" t="str">
        <f>_xlfn.XLOOKUP(D583,[6]Sheet1!$C:$C,[6]Sheet1!$F:$F,"-")</f>
        <v>Soni Solehhudin</v>
      </c>
    </row>
    <row r="584" spans="2:6">
      <c r="B584" s="19" t="s">
        <v>371</v>
      </c>
      <c r="C584" s="20" t="s">
        <v>372</v>
      </c>
      <c r="D584" s="21" t="s">
        <v>615</v>
      </c>
      <c r="E584" s="22" t="s">
        <v>1739</v>
      </c>
      <c r="F584" s="15" t="str">
        <f>_xlfn.XLOOKUP(D584,[6]Sheet1!$C:$C,[6]Sheet1!$F:$F,"-")</f>
        <v>Yopha Azizulindar</v>
      </c>
    </row>
    <row r="585" spans="2:6">
      <c r="B585" s="19" t="s">
        <v>371</v>
      </c>
      <c r="C585" s="20" t="s">
        <v>372</v>
      </c>
      <c r="D585" s="21" t="s">
        <v>616</v>
      </c>
      <c r="E585" s="22" t="s">
        <v>1739</v>
      </c>
      <c r="F585" s="15" t="str">
        <f>_xlfn.XLOOKUP(D585,[6]Sheet1!$C:$C,[6]Sheet1!$F:$F,"-")</f>
        <v>Adam Muhammad Ramdan</v>
      </c>
    </row>
    <row r="586" spans="2:6">
      <c r="B586" s="19" t="s">
        <v>371</v>
      </c>
      <c r="C586" s="20" t="s">
        <v>372</v>
      </c>
      <c r="D586" s="21" t="s">
        <v>617</v>
      </c>
      <c r="E586" s="22" t="s">
        <v>1739</v>
      </c>
      <c r="F586" s="15" t="str">
        <f>_xlfn.XLOOKUP(D586,[6]Sheet1!$C:$C,[6]Sheet1!$F:$F,"-")</f>
        <v>Adi Hapri Perdiansyah</v>
      </c>
    </row>
    <row r="587" spans="2:6">
      <c r="B587" s="19" t="s">
        <v>371</v>
      </c>
      <c r="C587" s="20" t="s">
        <v>372</v>
      </c>
      <c r="D587" s="21" t="s">
        <v>618</v>
      </c>
      <c r="E587" s="22" t="s">
        <v>1739</v>
      </c>
      <c r="F587" s="15" t="str">
        <f>_xlfn.XLOOKUP(D587,[6]Sheet1!$C:$C,[6]Sheet1!$F:$F,"-")</f>
        <v>Ahmad Misik Akyas Al-Kaesy</v>
      </c>
    </row>
    <row r="588" spans="2:6">
      <c r="B588" s="19" t="s">
        <v>371</v>
      </c>
      <c r="C588" s="20" t="s">
        <v>372</v>
      </c>
      <c r="D588" s="21" t="s">
        <v>619</v>
      </c>
      <c r="E588" s="22" t="s">
        <v>1716</v>
      </c>
      <c r="F588" s="15" t="str">
        <f>_xlfn.XLOOKUP(D588,[6]Sheet1!$C:$C,[6]Sheet1!$F:$F,"-")</f>
        <v>Ahmad Misik Akyas Al-Kaesy</v>
      </c>
    </row>
    <row r="589" spans="2:6">
      <c r="B589" s="19" t="s">
        <v>371</v>
      </c>
      <c r="C589" s="20" t="s">
        <v>372</v>
      </c>
      <c r="D589" s="21" t="s">
        <v>620</v>
      </c>
      <c r="E589" s="22" t="s">
        <v>1739</v>
      </c>
      <c r="F589" s="15" t="str">
        <f>_xlfn.XLOOKUP(D589,[6]Sheet1!$C:$C,[6]Sheet1!$F:$F,"-")</f>
        <v>Cecep Ramadhan Heryana</v>
      </c>
    </row>
    <row r="590" spans="2:6">
      <c r="B590" s="19" t="s">
        <v>371</v>
      </c>
      <c r="C590" s="20" t="s">
        <v>372</v>
      </c>
      <c r="D590" s="21" t="s">
        <v>621</v>
      </c>
      <c r="E590" s="22" t="s">
        <v>1739</v>
      </c>
      <c r="F590" s="15" t="str">
        <f>_xlfn.XLOOKUP(D590,[6]Sheet1!$C:$C,[6]Sheet1!$F:$F,"-")</f>
        <v>Cucun Iryanto</v>
      </c>
    </row>
    <row r="591" spans="2:6">
      <c r="B591" s="19" t="s">
        <v>371</v>
      </c>
      <c r="C591" s="20" t="s">
        <v>372</v>
      </c>
      <c r="D591" s="21" t="s">
        <v>622</v>
      </c>
      <c r="E591" s="22" t="s">
        <v>1739</v>
      </c>
      <c r="F591" s="15" t="str">
        <f>_xlfn.XLOOKUP(D591,[6]Sheet1!$C:$C,[6]Sheet1!$F:$F,"-")</f>
        <v>J. Hilmy Malik</v>
      </c>
    </row>
    <row r="592" spans="2:6">
      <c r="B592" s="19" t="s">
        <v>371</v>
      </c>
      <c r="C592" s="20" t="s">
        <v>372</v>
      </c>
      <c r="D592" s="21" t="s">
        <v>623</v>
      </c>
      <c r="E592" s="22" t="s">
        <v>1739</v>
      </c>
      <c r="F592" s="15" t="str">
        <f>_xlfn.XLOOKUP(D592,[6]Sheet1!$C:$C,[6]Sheet1!$F:$F,"-")</f>
        <v>Mochamad Wildan Fahddino</v>
      </c>
    </row>
    <row r="593" spans="2:6">
      <c r="B593" s="19" t="s">
        <v>371</v>
      </c>
      <c r="C593" s="20" t="s">
        <v>372</v>
      </c>
      <c r="D593" s="21" t="s">
        <v>624</v>
      </c>
      <c r="E593" s="22" t="s">
        <v>1739</v>
      </c>
      <c r="F593" s="15" t="str">
        <f>_xlfn.XLOOKUP(D593,[6]Sheet1!$C:$C,[6]Sheet1!$F:$F,"-")</f>
        <v>Muhammad Dwi Fawzi Hakim</v>
      </c>
    </row>
    <row r="594" spans="2:6">
      <c r="B594" s="19" t="s">
        <v>371</v>
      </c>
      <c r="C594" s="20" t="s">
        <v>372</v>
      </c>
      <c r="D594" s="21" t="s">
        <v>625</v>
      </c>
      <c r="E594" s="22" t="s">
        <v>1739</v>
      </c>
      <c r="F594" s="15" t="str">
        <f>_xlfn.XLOOKUP(D594,[6]Sheet1!$C:$C,[6]Sheet1!$F:$F,"-")</f>
        <v>Muhammad Dwi Fawzi Hakim</v>
      </c>
    </row>
    <row r="595" spans="2:6">
      <c r="B595" s="19" t="s">
        <v>371</v>
      </c>
      <c r="C595" s="20" t="s">
        <v>372</v>
      </c>
      <c r="D595" s="21" t="s">
        <v>626</v>
      </c>
      <c r="E595" s="22" t="s">
        <v>1739</v>
      </c>
      <c r="F595" s="15" t="str">
        <f>_xlfn.XLOOKUP(D595,[6]Sheet1!$C:$C,[6]Sheet1!$F:$F,"-")</f>
        <v>Muhammad Fariz Arief Rachman</v>
      </c>
    </row>
    <row r="596" spans="2:6">
      <c r="B596" s="19" t="s">
        <v>371</v>
      </c>
      <c r="C596" s="20" t="s">
        <v>372</v>
      </c>
      <c r="D596" s="21" t="s">
        <v>627</v>
      </c>
      <c r="E596" s="22" t="s">
        <v>1739</v>
      </c>
      <c r="F596" s="15" t="str">
        <f>_xlfn.XLOOKUP(D596,[6]Sheet1!$C:$C,[6]Sheet1!$F:$F,"-")</f>
        <v>Restu Fauzi</v>
      </c>
    </row>
    <row r="597" spans="2:6">
      <c r="B597" s="19" t="s">
        <v>371</v>
      </c>
      <c r="C597" s="20" t="s">
        <v>372</v>
      </c>
      <c r="D597" s="21" t="s">
        <v>628</v>
      </c>
      <c r="E597" s="22" t="s">
        <v>1739</v>
      </c>
      <c r="F597" s="15" t="str">
        <f>_xlfn.XLOOKUP(D597,[6]Sheet1!$C:$C,[6]Sheet1!$F:$F,"-")</f>
        <v>Rian Anjaswara</v>
      </c>
    </row>
    <row r="598" spans="2:6">
      <c r="B598" s="19" t="s">
        <v>371</v>
      </c>
      <c r="C598" s="20" t="s">
        <v>372</v>
      </c>
      <c r="D598" s="21" t="s">
        <v>629</v>
      </c>
      <c r="E598" s="22" t="s">
        <v>1739</v>
      </c>
      <c r="F598" s="15" t="str">
        <f>_xlfn.XLOOKUP(D598,[6]Sheet1!$C:$C,[6]Sheet1!$F:$F,"-")</f>
        <v>Rizki Gunawan</v>
      </c>
    </row>
    <row r="599" spans="2:6">
      <c r="B599" s="19" t="s">
        <v>371</v>
      </c>
      <c r="C599" s="20" t="s">
        <v>372</v>
      </c>
      <c r="D599" s="21" t="s">
        <v>630</v>
      </c>
      <c r="E599" s="22" t="s">
        <v>1739</v>
      </c>
      <c r="F599" s="15" t="str">
        <f>_xlfn.XLOOKUP(D599,[6]Sheet1!$C:$C,[6]Sheet1!$F:$F,"-")</f>
        <v>Toni</v>
      </c>
    </row>
    <row r="600" spans="2:6">
      <c r="B600" s="19" t="s">
        <v>371</v>
      </c>
      <c r="C600" s="20" t="s">
        <v>372</v>
      </c>
      <c r="D600" s="21" t="s">
        <v>631</v>
      </c>
      <c r="E600" s="22" t="s">
        <v>1739</v>
      </c>
      <c r="F600" s="15" t="str">
        <f>_xlfn.XLOOKUP(D600,[6]Sheet1!$C:$C,[6]Sheet1!$F:$F,"-")</f>
        <v>Adi Triandi</v>
      </c>
    </row>
    <row r="601" spans="2:6">
      <c r="B601" s="19" t="s">
        <v>371</v>
      </c>
      <c r="C601" s="20" t="s">
        <v>372</v>
      </c>
      <c r="D601" s="21" t="s">
        <v>632</v>
      </c>
      <c r="E601" s="22" t="s">
        <v>1739</v>
      </c>
      <c r="F601" s="15" t="str">
        <f>_xlfn.XLOOKUP(D601,[6]Sheet1!$C:$C,[6]Sheet1!$F:$F,"-")</f>
        <v>Cahya Purnama</v>
      </c>
    </row>
    <row r="602" spans="2:6">
      <c r="B602" s="19" t="s">
        <v>371</v>
      </c>
      <c r="C602" s="20" t="s">
        <v>372</v>
      </c>
      <c r="D602" s="21" t="s">
        <v>633</v>
      </c>
      <c r="E602" s="22" t="s">
        <v>1739</v>
      </c>
      <c r="F602" s="15" t="str">
        <f>_xlfn.XLOOKUP(D602,[6]Sheet1!$C:$C,[6]Sheet1!$F:$F,"-")</f>
        <v>Fani Grahamulya Gandamiharja</v>
      </c>
    </row>
    <row r="603" spans="2:6">
      <c r="B603" s="19" t="s">
        <v>371</v>
      </c>
      <c r="C603" s="20" t="s">
        <v>372</v>
      </c>
      <c r="D603" s="21" t="s">
        <v>634</v>
      </c>
      <c r="E603" s="22" t="s">
        <v>1739</v>
      </c>
      <c r="F603" s="15" t="str">
        <f>_xlfn.XLOOKUP(D603,[6]Sheet1!$C:$C,[6]Sheet1!$F:$F,"-")</f>
        <v>Muhamad Iqbal Firdaus</v>
      </c>
    </row>
    <row r="604" spans="2:6">
      <c r="B604" s="19" t="s">
        <v>371</v>
      </c>
      <c r="C604" s="20" t="s">
        <v>372</v>
      </c>
      <c r="D604" s="21" t="s">
        <v>635</v>
      </c>
      <c r="E604" s="22" t="s">
        <v>1739</v>
      </c>
      <c r="F604" s="15" t="str">
        <f>_xlfn.XLOOKUP(D604,[6]Sheet1!$C:$C,[6]Sheet1!$F:$F,"-")</f>
        <v>Muhamad Lukman Hakim</v>
      </c>
    </row>
    <row r="605" spans="2:6">
      <c r="B605" s="19" t="s">
        <v>371</v>
      </c>
      <c r="C605" s="20" t="s">
        <v>372</v>
      </c>
      <c r="D605" s="21" t="s">
        <v>636</v>
      </c>
      <c r="E605" s="22" t="s">
        <v>1739</v>
      </c>
      <c r="F605" s="15" t="str">
        <f>_xlfn.XLOOKUP(D605,[6]Sheet1!$C:$C,[6]Sheet1!$F:$F,"-")</f>
        <v>Rachman Mulyawan</v>
      </c>
    </row>
    <row r="606" spans="2:6">
      <c r="B606" s="19" t="s">
        <v>371</v>
      </c>
      <c r="C606" s="20" t="s">
        <v>372</v>
      </c>
      <c r="D606" s="21" t="s">
        <v>637</v>
      </c>
      <c r="E606" s="22" t="s">
        <v>1739</v>
      </c>
      <c r="F606" s="15" t="str">
        <f>_xlfn.XLOOKUP(D606,[6]Sheet1!$C:$C,[6]Sheet1!$F:$F,"-")</f>
        <v>Rizal Raetriansyah</v>
      </c>
    </row>
    <row r="607" spans="2:6">
      <c r="B607" s="19" t="s">
        <v>371</v>
      </c>
      <c r="C607" s="20" t="s">
        <v>372</v>
      </c>
      <c r="D607" s="21" t="s">
        <v>638</v>
      </c>
      <c r="E607" s="22" t="s">
        <v>1739</v>
      </c>
      <c r="F607" s="15" t="str">
        <f>_xlfn.XLOOKUP(D607,[6]Sheet1!$C:$C,[6]Sheet1!$F:$F,"-")</f>
        <v>Rizki Ahmad Fauzi</v>
      </c>
    </row>
    <row r="608" spans="2:6">
      <c r="B608" s="19" t="s">
        <v>371</v>
      </c>
      <c r="C608" s="20" t="s">
        <v>372</v>
      </c>
      <c r="D608" s="21" t="s">
        <v>639</v>
      </c>
      <c r="E608" s="22" t="s">
        <v>1739</v>
      </c>
      <c r="F608" s="15" t="str">
        <f>_xlfn.XLOOKUP(D608,[6]Sheet1!$C:$C,[6]Sheet1!$F:$F,"-")</f>
        <v>Aly Irsyad Robani</v>
      </c>
    </row>
    <row r="609" spans="2:6">
      <c r="B609" s="19" t="s">
        <v>371</v>
      </c>
      <c r="C609" s="20" t="s">
        <v>372</v>
      </c>
      <c r="D609" s="21" t="s">
        <v>640</v>
      </c>
      <c r="E609" s="22" t="s">
        <v>1739</v>
      </c>
      <c r="F609" s="15" t="str">
        <f>_xlfn.XLOOKUP(D609,[6]Sheet1!$C:$C,[6]Sheet1!$F:$F,"-")</f>
        <v>Anggiardy Prayudha</v>
      </c>
    </row>
    <row r="610" spans="2:6">
      <c r="B610" s="19" t="s">
        <v>371</v>
      </c>
      <c r="C610" s="20" t="s">
        <v>372</v>
      </c>
      <c r="D610" s="21" t="s">
        <v>641</v>
      </c>
      <c r="E610" s="22" t="s">
        <v>1739</v>
      </c>
      <c r="F610" s="15" t="str">
        <f>_xlfn.XLOOKUP(D610,[6]Sheet1!$C:$C,[6]Sheet1!$F:$F,"-")</f>
        <v>Azka Nujjiya Fauzan</v>
      </c>
    </row>
    <row r="611" spans="2:6">
      <c r="B611" s="19" t="s">
        <v>371</v>
      </c>
      <c r="C611" s="20" t="s">
        <v>372</v>
      </c>
      <c r="D611" s="21" t="s">
        <v>642</v>
      </c>
      <c r="E611" s="22" t="s">
        <v>1739</v>
      </c>
      <c r="F611" s="15" t="str">
        <f>_xlfn.XLOOKUP(D611,[6]Sheet1!$C:$C,[6]Sheet1!$F:$F,"-")</f>
        <v>Dadan Firmansyah</v>
      </c>
    </row>
    <row r="612" spans="2:6">
      <c r="B612" s="19" t="s">
        <v>371</v>
      </c>
      <c r="C612" s="20" t="s">
        <v>372</v>
      </c>
      <c r="D612" s="21" t="s">
        <v>643</v>
      </c>
      <c r="E612" s="22" t="s">
        <v>1739</v>
      </c>
      <c r="F612" s="15" t="str">
        <f>_xlfn.XLOOKUP(D612,[6]Sheet1!$C:$C,[6]Sheet1!$F:$F,"-")</f>
        <v>Deni Mardiana Ruswandi</v>
      </c>
    </row>
    <row r="613" spans="2:6">
      <c r="B613" s="19" t="s">
        <v>371</v>
      </c>
      <c r="C613" s="20" t="s">
        <v>372</v>
      </c>
      <c r="D613" s="21" t="s">
        <v>644</v>
      </c>
      <c r="E613" s="22" t="s">
        <v>1739</v>
      </c>
      <c r="F613" s="15" t="str">
        <f>_xlfn.XLOOKUP(D613,[6]Sheet1!$C:$C,[6]Sheet1!$F:$F,"-")</f>
        <v>Kiptiah</v>
      </c>
    </row>
    <row r="614" spans="2:6">
      <c r="B614" s="19" t="s">
        <v>371</v>
      </c>
      <c r="C614" s="20" t="s">
        <v>372</v>
      </c>
      <c r="D614" s="21" t="s">
        <v>645</v>
      </c>
      <c r="E614" s="22" t="s">
        <v>1739</v>
      </c>
      <c r="F614" s="15" t="str">
        <f>_xlfn.XLOOKUP(D614,[6]Sheet1!$C:$C,[6]Sheet1!$F:$F,"-")</f>
        <v>Krisna Aditya Putra</v>
      </c>
    </row>
    <row r="615" spans="2:6">
      <c r="B615" s="19" t="s">
        <v>371</v>
      </c>
      <c r="C615" s="20" t="s">
        <v>372</v>
      </c>
      <c r="D615" s="21" t="s">
        <v>646</v>
      </c>
      <c r="E615" s="22" t="s">
        <v>1739</v>
      </c>
      <c r="F615" s="15" t="str">
        <f>_xlfn.XLOOKUP(D615,[6]Sheet1!$C:$C,[6]Sheet1!$F:$F,"-")</f>
        <v>Muchamad Yasir Komaeni</v>
      </c>
    </row>
    <row r="616" spans="2:6">
      <c r="B616" s="19" t="s">
        <v>371</v>
      </c>
      <c r="C616" s="20" t="s">
        <v>372</v>
      </c>
      <c r="D616" s="21" t="s">
        <v>647</v>
      </c>
      <c r="E616" s="22" t="s">
        <v>1739</v>
      </c>
      <c r="F616" s="15" t="str">
        <f>_xlfn.XLOOKUP(D616,[6]Sheet1!$C:$C,[6]Sheet1!$F:$F,"-")</f>
        <v>Muhammad Farlan Dzulfikar</v>
      </c>
    </row>
    <row r="617" spans="2:6">
      <c r="B617" s="19" t="s">
        <v>371</v>
      </c>
      <c r="C617" s="20" t="s">
        <v>372</v>
      </c>
      <c r="D617" s="21" t="s">
        <v>648</v>
      </c>
      <c r="E617" s="22" t="s">
        <v>1739</v>
      </c>
      <c r="F617" s="15" t="str">
        <f>_xlfn.XLOOKUP(D617,[6]Sheet1!$C:$C,[6]Sheet1!$F:$F,"-")</f>
        <v>Nezar Hikmatiar</v>
      </c>
    </row>
    <row r="618" spans="2:6">
      <c r="B618" s="19" t="s">
        <v>371</v>
      </c>
      <c r="C618" s="20" t="s">
        <v>372</v>
      </c>
      <c r="D618" s="21" t="s">
        <v>649</v>
      </c>
      <c r="E618" s="22" t="s">
        <v>1739</v>
      </c>
      <c r="F618" s="15" t="str">
        <f>_xlfn.XLOOKUP(D618,[6]Sheet1!$C:$C,[6]Sheet1!$F:$F,"-")</f>
        <v>Ade Setiawan</v>
      </c>
    </row>
    <row r="619" spans="2:6">
      <c r="B619" s="19" t="s">
        <v>371</v>
      </c>
      <c r="C619" s="20" t="s">
        <v>372</v>
      </c>
      <c r="D619" s="21" t="s">
        <v>650</v>
      </c>
      <c r="E619" s="22" t="s">
        <v>1739</v>
      </c>
      <c r="F619" s="15" t="str">
        <f>_xlfn.XLOOKUP(D619,[6]Sheet1!$C:$C,[6]Sheet1!$F:$F,"-")</f>
        <v>Adi Riyana</v>
      </c>
    </row>
    <row r="620" spans="2:6">
      <c r="B620" s="19" t="s">
        <v>371</v>
      </c>
      <c r="C620" s="20" t="s">
        <v>372</v>
      </c>
      <c r="D620" s="21" t="s">
        <v>651</v>
      </c>
      <c r="E620" s="22" t="s">
        <v>1739</v>
      </c>
      <c r="F620" s="15" t="str">
        <f>_xlfn.XLOOKUP(D620,[6]Sheet1!$C:$C,[6]Sheet1!$F:$F,"-")</f>
        <v>Dadan Ramdan</v>
      </c>
    </row>
    <row r="621" spans="2:6">
      <c r="B621" s="19" t="s">
        <v>371</v>
      </c>
      <c r="C621" s="20" t="s">
        <v>372</v>
      </c>
      <c r="D621" s="21" t="s">
        <v>652</v>
      </c>
      <c r="E621" s="22" t="s">
        <v>1739</v>
      </c>
      <c r="F621" s="15" t="str">
        <f>_xlfn.XLOOKUP(D621,[6]Sheet1!$C:$C,[6]Sheet1!$F:$F,"-")</f>
        <v>Dany Kurniawan</v>
      </c>
    </row>
    <row r="622" spans="2:6">
      <c r="B622" s="19" t="s">
        <v>371</v>
      </c>
      <c r="C622" s="20" t="s">
        <v>372</v>
      </c>
      <c r="D622" s="21" t="s">
        <v>653</v>
      </c>
      <c r="E622" s="22" t="s">
        <v>1739</v>
      </c>
      <c r="F622" s="15" t="str">
        <f>_xlfn.XLOOKUP(D622,[6]Sheet1!$C:$C,[6]Sheet1!$F:$F,"-")</f>
        <v>Kiki Nugraha</v>
      </c>
    </row>
    <row r="623" spans="2:6">
      <c r="B623" s="19" t="s">
        <v>371</v>
      </c>
      <c r="C623" s="20" t="s">
        <v>372</v>
      </c>
      <c r="D623" s="21" t="s">
        <v>654</v>
      </c>
      <c r="E623" s="22" t="s">
        <v>1739</v>
      </c>
      <c r="F623" s="15" t="str">
        <f>_xlfn.XLOOKUP(D623,[6]Sheet1!$C:$C,[6]Sheet1!$F:$F,"-")</f>
        <v>Kuswanto Hendriyana</v>
      </c>
    </row>
    <row r="624" spans="2:6">
      <c r="B624" s="19" t="s">
        <v>371</v>
      </c>
      <c r="C624" s="20" t="s">
        <v>372</v>
      </c>
      <c r="D624" s="21" t="s">
        <v>655</v>
      </c>
      <c r="E624" s="22" t="s">
        <v>1739</v>
      </c>
      <c r="F624" s="15" t="str">
        <f>_xlfn.XLOOKUP(D624,[6]Sheet1!$C:$C,[6]Sheet1!$F:$F,"-")</f>
        <v>Muhammad Akbar Cokro Pamungkas</v>
      </c>
    </row>
    <row r="625" spans="2:6">
      <c r="B625" s="19" t="s">
        <v>371</v>
      </c>
      <c r="C625" s="20" t="s">
        <v>372</v>
      </c>
      <c r="D625" s="21" t="s">
        <v>656</v>
      </c>
      <c r="E625" s="22" t="s">
        <v>1739</v>
      </c>
      <c r="F625" s="15" t="str">
        <f>_xlfn.XLOOKUP(D625,[6]Sheet1!$C:$C,[6]Sheet1!$F:$F,"-")</f>
        <v>Muhammad Rafi Febryawan</v>
      </c>
    </row>
    <row r="626" spans="2:6">
      <c r="B626" s="19" t="s">
        <v>371</v>
      </c>
      <c r="C626" s="20" t="s">
        <v>372</v>
      </c>
      <c r="D626" s="21" t="s">
        <v>657</v>
      </c>
      <c r="E626" s="22" t="s">
        <v>1739</v>
      </c>
      <c r="F626" s="15" t="str">
        <f>_xlfn.XLOOKUP(D626,[6]Sheet1!$C:$C,[6]Sheet1!$F:$F,"-")</f>
        <v>Muhandani Gifari Razoni</v>
      </c>
    </row>
    <row r="627" spans="2:6">
      <c r="B627" s="19" t="s">
        <v>371</v>
      </c>
      <c r="C627" s="20" t="s">
        <v>372</v>
      </c>
      <c r="D627" s="21" t="s">
        <v>658</v>
      </c>
      <c r="E627" s="22" t="s">
        <v>1739</v>
      </c>
      <c r="F627" s="15" t="str">
        <f>_xlfn.XLOOKUP(D627,[6]Sheet1!$C:$C,[6]Sheet1!$F:$F,"-")</f>
        <v>Nasruloh Abdul Zalil</v>
      </c>
    </row>
    <row r="628" spans="2:6">
      <c r="B628" s="19" t="s">
        <v>371</v>
      </c>
      <c r="C628" s="20" t="s">
        <v>372</v>
      </c>
      <c r="D628" s="21" t="s">
        <v>659</v>
      </c>
      <c r="E628" s="22" t="s">
        <v>1739</v>
      </c>
      <c r="F628" s="15" t="str">
        <f>_xlfn.XLOOKUP(D628,[6]Sheet1!$C:$C,[6]Sheet1!$F:$F,"-")</f>
        <v>Rama Dicky Montana</v>
      </c>
    </row>
    <row r="629" spans="2:6">
      <c r="B629" s="19" t="s">
        <v>371</v>
      </c>
      <c r="C629" s="20" t="s">
        <v>372</v>
      </c>
      <c r="D629" s="21" t="s">
        <v>660</v>
      </c>
      <c r="E629" s="22" t="s">
        <v>1739</v>
      </c>
      <c r="F629" s="15" t="str">
        <f>_xlfn.XLOOKUP(D629,[6]Sheet1!$C:$C,[6]Sheet1!$F:$F,"-")</f>
        <v>Rama Dicky Montana</v>
      </c>
    </row>
    <row r="630" spans="2:6">
      <c r="B630" s="19" t="s">
        <v>371</v>
      </c>
      <c r="C630" s="20" t="s">
        <v>372</v>
      </c>
      <c r="D630" s="21" t="s">
        <v>661</v>
      </c>
      <c r="E630" s="22" t="s">
        <v>1739</v>
      </c>
      <c r="F630" s="15" t="str">
        <f>_xlfn.XLOOKUP(D630,[6]Sheet1!$C:$C,[6]Sheet1!$F:$F,"-")</f>
        <v>Riduan</v>
      </c>
    </row>
    <row r="631" spans="2:6">
      <c r="B631" s="19" t="s">
        <v>371</v>
      </c>
      <c r="C631" s="20" t="s">
        <v>372</v>
      </c>
      <c r="D631" s="21" t="s">
        <v>662</v>
      </c>
      <c r="E631" s="22" t="s">
        <v>1739</v>
      </c>
      <c r="F631" s="15" t="str">
        <f>_xlfn.XLOOKUP(D631,[6]Sheet1!$C:$C,[6]Sheet1!$F:$F,"-")</f>
        <v>Rizal Adilla</v>
      </c>
    </row>
    <row r="632" spans="2:6">
      <c r="B632" s="19" t="s">
        <v>371</v>
      </c>
      <c r="C632" s="20" t="s">
        <v>372</v>
      </c>
      <c r="D632" s="21" t="s">
        <v>663</v>
      </c>
      <c r="E632" s="22" t="s">
        <v>1739</v>
      </c>
      <c r="F632" s="15" t="str">
        <f>_xlfn.XLOOKUP(D632,[6]Sheet1!$C:$C,[6]Sheet1!$F:$F,"-")</f>
        <v>Sugianto</v>
      </c>
    </row>
    <row r="633" spans="2:6">
      <c r="B633" s="19" t="s">
        <v>664</v>
      </c>
      <c r="C633" s="20" t="s">
        <v>665</v>
      </c>
      <c r="D633" s="21" t="s">
        <v>666</v>
      </c>
      <c r="E633" s="22" t="s">
        <v>1716</v>
      </c>
      <c r="F633" s="23" t="str">
        <f>_xlfn.XLOOKUP(D633,'[2]Database DP'!$C:$C,'[2]Database DP'!$F:$F,"Tidak Ditemukan")</f>
        <v>AGUS</v>
      </c>
    </row>
    <row r="634" spans="2:6">
      <c r="B634" s="19" t="s">
        <v>664</v>
      </c>
      <c r="C634" s="20" t="s">
        <v>665</v>
      </c>
      <c r="D634" s="21" t="s">
        <v>667</v>
      </c>
      <c r="E634" s="22" t="s">
        <v>1716</v>
      </c>
      <c r="F634" s="23" t="str">
        <f>_xlfn.XLOOKUP(D634,'[2]Database DP'!$C:$C,'[2]Database DP'!$F:$F,"Tidak Ditemukan")</f>
        <v>AGUS</v>
      </c>
    </row>
    <row r="635" spans="2:6">
      <c r="B635" s="19" t="s">
        <v>664</v>
      </c>
      <c r="C635" s="20" t="s">
        <v>665</v>
      </c>
      <c r="D635" s="21" t="s">
        <v>668</v>
      </c>
      <c r="E635" s="22" t="s">
        <v>1716</v>
      </c>
      <c r="F635" s="23" t="str">
        <f>_xlfn.XLOOKUP(D635,'[2]Database DP'!$C:$C,'[2]Database DP'!$F:$F,"Tidak Ditemukan")</f>
        <v>AGUS</v>
      </c>
    </row>
    <row r="636" spans="2:6">
      <c r="B636" s="19" t="s">
        <v>664</v>
      </c>
      <c r="C636" s="20" t="s">
        <v>665</v>
      </c>
      <c r="D636" s="21" t="s">
        <v>669</v>
      </c>
      <c r="E636" s="22" t="s">
        <v>1716</v>
      </c>
      <c r="F636" s="23" t="str">
        <f>_xlfn.XLOOKUP(D636,'[2]Database DP'!$C:$C,'[2]Database DP'!$F:$F,"Tidak Ditemukan")</f>
        <v>AGUS</v>
      </c>
    </row>
    <row r="637" spans="2:6">
      <c r="B637" s="19" t="s">
        <v>664</v>
      </c>
      <c r="C637" s="20" t="s">
        <v>665</v>
      </c>
      <c r="D637" s="21" t="s">
        <v>670</v>
      </c>
      <c r="E637" s="22" t="s">
        <v>1716</v>
      </c>
      <c r="F637" s="23" t="str">
        <f>_xlfn.XLOOKUP(D637,'[2]Database DP'!$C:$C,'[2]Database DP'!$F:$F,"Tidak Ditemukan")</f>
        <v>AGUS</v>
      </c>
    </row>
    <row r="638" spans="2:6">
      <c r="B638" s="19" t="s">
        <v>664</v>
      </c>
      <c r="C638" s="20" t="s">
        <v>665</v>
      </c>
      <c r="D638" s="21" t="s">
        <v>671</v>
      </c>
      <c r="E638" s="22" t="s">
        <v>1716</v>
      </c>
      <c r="F638" s="23" t="str">
        <f>_xlfn.XLOOKUP(D638,'[2]Database DP'!$C:$C,'[2]Database DP'!$F:$F,"Tidak Ditemukan")</f>
        <v>AGUS</v>
      </c>
    </row>
    <row r="639" spans="2:6">
      <c r="B639" s="19" t="s">
        <v>664</v>
      </c>
      <c r="C639" s="20" t="s">
        <v>665</v>
      </c>
      <c r="D639" s="21" t="s">
        <v>672</v>
      </c>
      <c r="E639" s="22" t="s">
        <v>1716</v>
      </c>
      <c r="F639" s="23" t="str">
        <f>_xlfn.XLOOKUP(D639,'[2]Database DP'!$C:$C,'[2]Database DP'!$F:$F,"Tidak Ditemukan")</f>
        <v>AGUS</v>
      </c>
    </row>
    <row r="640" spans="2:6">
      <c r="B640" s="19" t="s">
        <v>664</v>
      </c>
      <c r="C640" s="20" t="s">
        <v>665</v>
      </c>
      <c r="D640" s="21" t="s">
        <v>673</v>
      </c>
      <c r="E640" s="22" t="s">
        <v>1716</v>
      </c>
      <c r="F640" s="23" t="str">
        <f>_xlfn.XLOOKUP(D640,'[2]Database DP'!$C:$C,'[2]Database DP'!$F:$F,"Tidak Ditemukan")</f>
        <v>AGUS</v>
      </c>
    </row>
    <row r="641" spans="2:6">
      <c r="B641" s="19" t="s">
        <v>664</v>
      </c>
      <c r="C641" s="20" t="s">
        <v>665</v>
      </c>
      <c r="D641" s="21" t="s">
        <v>674</v>
      </c>
      <c r="E641" s="22" t="s">
        <v>1716</v>
      </c>
      <c r="F641" s="23" t="str">
        <f>_xlfn.XLOOKUP(D641,'[2]Database DP'!$C:$C,'[2]Database DP'!$F:$F,"Tidak Ditemukan")</f>
        <v>AGUS</v>
      </c>
    </row>
    <row r="642" spans="2:6">
      <c r="B642" s="19" t="s">
        <v>664</v>
      </c>
      <c r="C642" s="20" t="s">
        <v>665</v>
      </c>
      <c r="D642" s="21" t="s">
        <v>675</v>
      </c>
      <c r="E642" s="22" t="s">
        <v>1716</v>
      </c>
      <c r="F642" s="23" t="str">
        <f>_xlfn.XLOOKUP(D642,'[2]Database DP'!$C:$C,'[2]Database DP'!$F:$F,"Tidak Ditemukan")</f>
        <v>AI RIFIAN</v>
      </c>
    </row>
    <row r="643" spans="2:6">
      <c r="B643" s="19" t="s">
        <v>664</v>
      </c>
      <c r="C643" s="20" t="s">
        <v>665</v>
      </c>
      <c r="D643" s="21" t="s">
        <v>676</v>
      </c>
      <c r="E643" s="22" t="s">
        <v>1716</v>
      </c>
      <c r="F643" s="23" t="str">
        <f>_xlfn.XLOOKUP(D643,'[2]Database DP'!$C:$C,'[2]Database DP'!$F:$F,"Tidak Ditemukan")</f>
        <v>AI RIFIAN</v>
      </c>
    </row>
    <row r="644" spans="2:6">
      <c r="B644" s="19" t="s">
        <v>664</v>
      </c>
      <c r="C644" s="20" t="s">
        <v>665</v>
      </c>
      <c r="D644" s="21" t="s">
        <v>677</v>
      </c>
      <c r="E644" s="22" t="s">
        <v>1716</v>
      </c>
      <c r="F644" s="23" t="str">
        <f>_xlfn.XLOOKUP(D644,'[2]Database DP'!$C:$C,'[2]Database DP'!$F:$F,"Tidak Ditemukan")</f>
        <v>AI RIFIAN</v>
      </c>
    </row>
    <row r="645" spans="2:6">
      <c r="B645" s="19" t="s">
        <v>664</v>
      </c>
      <c r="C645" s="20" t="s">
        <v>665</v>
      </c>
      <c r="D645" s="21" t="s">
        <v>678</v>
      </c>
      <c r="E645" s="22" t="s">
        <v>1716</v>
      </c>
      <c r="F645" s="23" t="str">
        <f>_xlfn.XLOOKUP(D645,'[2]Database DP'!$C:$C,'[2]Database DP'!$F:$F,"Tidak Ditemukan")</f>
        <v>AI RIFIAN</v>
      </c>
    </row>
    <row r="646" spans="2:6">
      <c r="B646" s="19" t="s">
        <v>664</v>
      </c>
      <c r="C646" s="20" t="s">
        <v>665</v>
      </c>
      <c r="D646" s="21" t="s">
        <v>679</v>
      </c>
      <c r="E646" s="22" t="s">
        <v>1716</v>
      </c>
      <c r="F646" s="23" t="str">
        <f>_xlfn.XLOOKUP(D646,'[2]Database DP'!$C:$C,'[2]Database DP'!$F:$F,"Tidak Ditemukan")</f>
        <v>AI RIFIAN</v>
      </c>
    </row>
    <row r="647" spans="2:6">
      <c r="B647" s="19" t="s">
        <v>664</v>
      </c>
      <c r="C647" s="20" t="s">
        <v>665</v>
      </c>
      <c r="D647" s="21" t="s">
        <v>680</v>
      </c>
      <c r="E647" s="22" t="s">
        <v>1716</v>
      </c>
      <c r="F647" s="23" t="str">
        <f>_xlfn.XLOOKUP(D647,'[2]Database DP'!$C:$C,'[2]Database DP'!$F:$F,"Tidak Ditemukan")</f>
        <v>AI RIFIAN</v>
      </c>
    </row>
    <row r="648" spans="2:6">
      <c r="B648" s="19" t="s">
        <v>664</v>
      </c>
      <c r="C648" s="20" t="s">
        <v>665</v>
      </c>
      <c r="D648" s="21" t="s">
        <v>681</v>
      </c>
      <c r="E648" s="22" t="s">
        <v>1716</v>
      </c>
      <c r="F648" s="23" t="str">
        <f>_xlfn.XLOOKUP(D648,'[2]Database DP'!$C:$C,'[2]Database DP'!$F:$F,"Tidak Ditemukan")</f>
        <v>AI RIFIAN</v>
      </c>
    </row>
    <row r="649" spans="2:6">
      <c r="B649" s="19" t="s">
        <v>664</v>
      </c>
      <c r="C649" s="20" t="s">
        <v>665</v>
      </c>
      <c r="D649" s="21" t="s">
        <v>682</v>
      </c>
      <c r="E649" s="22" t="s">
        <v>1716</v>
      </c>
      <c r="F649" s="23" t="str">
        <f>_xlfn.XLOOKUP(D649,'[2]Database DP'!$C:$C,'[2]Database DP'!$F:$F,"Tidak Ditemukan")</f>
        <v>AI RIFIAN</v>
      </c>
    </row>
    <row r="650" spans="2:6">
      <c r="B650" s="19" t="s">
        <v>664</v>
      </c>
      <c r="C650" s="20" t="s">
        <v>665</v>
      </c>
      <c r="D650" s="21" t="s">
        <v>683</v>
      </c>
      <c r="E650" s="22" t="s">
        <v>1716</v>
      </c>
      <c r="F650" s="23" t="str">
        <f>_xlfn.XLOOKUP(D650,'[2]Database DP'!$C:$C,'[2]Database DP'!$F:$F,"Tidak Ditemukan")</f>
        <v>AI RIFIAN</v>
      </c>
    </row>
    <row r="651" spans="2:6">
      <c r="B651" s="19" t="s">
        <v>664</v>
      </c>
      <c r="C651" s="20" t="s">
        <v>665</v>
      </c>
      <c r="D651" s="21" t="s">
        <v>684</v>
      </c>
      <c r="E651" s="22" t="s">
        <v>1716</v>
      </c>
      <c r="F651" s="23" t="str">
        <f>_xlfn.XLOOKUP(D651,'[2]Database DP'!$C:$C,'[2]Database DP'!$F:$F,"Tidak Ditemukan")</f>
        <v>AI RIFIAN</v>
      </c>
    </row>
    <row r="652" spans="2:6">
      <c r="B652" s="19" t="s">
        <v>664</v>
      </c>
      <c r="C652" s="20" t="s">
        <v>665</v>
      </c>
      <c r="D652" s="21" t="s">
        <v>685</v>
      </c>
      <c r="E652" s="22" t="s">
        <v>1739</v>
      </c>
      <c r="F652" s="23" t="str">
        <f>_xlfn.XLOOKUP(D652,'[2]Database DP'!$C:$C,'[2]Database DP'!$F:$F,"Tidak Ditemukan")</f>
        <v>BOWO</v>
      </c>
    </row>
    <row r="653" spans="2:6">
      <c r="B653" s="19" t="s">
        <v>664</v>
      </c>
      <c r="C653" s="20" t="s">
        <v>665</v>
      </c>
      <c r="D653" s="21" t="s">
        <v>686</v>
      </c>
      <c r="E653" s="22" t="s">
        <v>1739</v>
      </c>
      <c r="F653" s="23" t="str">
        <f>_xlfn.XLOOKUP(D653,'[2]Database DP'!$C:$C,'[2]Database DP'!$F:$F,"Tidak Ditemukan")</f>
        <v>BOWO</v>
      </c>
    </row>
    <row r="654" spans="2:6">
      <c r="B654" s="19" t="s">
        <v>664</v>
      </c>
      <c r="C654" s="20" t="s">
        <v>665</v>
      </c>
      <c r="D654" s="21" t="s">
        <v>687</v>
      </c>
      <c r="E654" s="22" t="s">
        <v>1739</v>
      </c>
      <c r="F654" s="23" t="str">
        <f>_xlfn.XLOOKUP(D654,'[2]Database DP'!$C:$C,'[2]Database DP'!$F:$F,"Tidak Ditemukan")</f>
        <v>BOWO</v>
      </c>
    </row>
    <row r="655" spans="2:6">
      <c r="B655" s="19" t="s">
        <v>664</v>
      </c>
      <c r="C655" s="20" t="s">
        <v>665</v>
      </c>
      <c r="D655" s="21" t="s">
        <v>688</v>
      </c>
      <c r="E655" s="22" t="s">
        <v>1716</v>
      </c>
      <c r="F655" s="23" t="str">
        <f>_xlfn.XLOOKUP(D655,'[2]Database DP'!$C:$C,'[2]Database DP'!$F:$F,"Tidak Ditemukan")</f>
        <v>BOWO</v>
      </c>
    </row>
    <row r="656" spans="2:6">
      <c r="B656" s="19" t="s">
        <v>664</v>
      </c>
      <c r="C656" s="20" t="s">
        <v>665</v>
      </c>
      <c r="D656" s="21" t="s">
        <v>689</v>
      </c>
      <c r="E656" s="22" t="s">
        <v>1716</v>
      </c>
      <c r="F656" s="23" t="str">
        <f>_xlfn.XLOOKUP(D656,'[2]Database DP'!$C:$C,'[2]Database DP'!$F:$F,"Tidak Ditemukan")</f>
        <v>BOWO</v>
      </c>
    </row>
    <row r="657" spans="2:6">
      <c r="B657" s="19" t="s">
        <v>664</v>
      </c>
      <c r="C657" s="20" t="s">
        <v>665</v>
      </c>
      <c r="D657" s="21" t="s">
        <v>690</v>
      </c>
      <c r="E657" s="22" t="s">
        <v>1716</v>
      </c>
      <c r="F657" s="23" t="str">
        <f>_xlfn.XLOOKUP(D657,'[2]Database DP'!$C:$C,'[2]Database DP'!$F:$F,"Tidak Ditemukan")</f>
        <v>BOWO</v>
      </c>
    </row>
    <row r="658" spans="2:6">
      <c r="B658" s="19" t="s">
        <v>664</v>
      </c>
      <c r="C658" s="20" t="s">
        <v>665</v>
      </c>
      <c r="D658" s="21" t="s">
        <v>691</v>
      </c>
      <c r="E658" s="22" t="s">
        <v>1716</v>
      </c>
      <c r="F658" s="23" t="str">
        <f>_xlfn.XLOOKUP(D658,'[2]Database DP'!$C:$C,'[2]Database DP'!$F:$F,"Tidak Ditemukan")</f>
        <v>BOWO</v>
      </c>
    </row>
    <row r="659" spans="2:6">
      <c r="B659" s="19" t="s">
        <v>664</v>
      </c>
      <c r="C659" s="20" t="s">
        <v>665</v>
      </c>
      <c r="D659" s="21" t="s">
        <v>692</v>
      </c>
      <c r="E659" s="22" t="s">
        <v>1716</v>
      </c>
      <c r="F659" s="23" t="str">
        <f>_xlfn.XLOOKUP(D659,'[2]Database DP'!$C:$C,'[2]Database DP'!$F:$F,"Tidak Ditemukan")</f>
        <v>BOWO</v>
      </c>
    </row>
    <row r="660" spans="2:6">
      <c r="B660" s="19" t="s">
        <v>664</v>
      </c>
      <c r="C660" s="20" t="s">
        <v>665</v>
      </c>
      <c r="D660" s="21" t="s">
        <v>693</v>
      </c>
      <c r="E660" s="22" t="s">
        <v>1716</v>
      </c>
      <c r="F660" s="23" t="str">
        <f>_xlfn.XLOOKUP(D660,'[2]Database DP'!$C:$C,'[2]Database DP'!$F:$F,"Tidak Ditemukan")</f>
        <v>DADANG</v>
      </c>
    </row>
    <row r="661" spans="2:6">
      <c r="B661" s="19" t="s">
        <v>664</v>
      </c>
      <c r="C661" s="20" t="s">
        <v>665</v>
      </c>
      <c r="D661" s="21" t="s">
        <v>694</v>
      </c>
      <c r="E661" s="22" t="s">
        <v>1716</v>
      </c>
      <c r="F661" s="23" t="str">
        <f>_xlfn.XLOOKUP(D661,'[2]Database DP'!$C:$C,'[2]Database DP'!$F:$F,"Tidak Ditemukan")</f>
        <v>DADANG</v>
      </c>
    </row>
    <row r="662" spans="2:6">
      <c r="B662" s="19" t="s">
        <v>664</v>
      </c>
      <c r="C662" s="20" t="s">
        <v>665</v>
      </c>
      <c r="D662" s="21" t="s">
        <v>695</v>
      </c>
      <c r="E662" s="22" t="s">
        <v>1716</v>
      </c>
      <c r="F662" s="23" t="str">
        <f>_xlfn.XLOOKUP(D662,'[2]Database DP'!$C:$C,'[2]Database DP'!$F:$F,"Tidak Ditemukan")</f>
        <v>DADANG</v>
      </c>
    </row>
    <row r="663" spans="2:6">
      <c r="B663" s="19" t="s">
        <v>664</v>
      </c>
      <c r="C663" s="20" t="s">
        <v>665</v>
      </c>
      <c r="D663" s="21" t="s">
        <v>696</v>
      </c>
      <c r="E663" s="22" t="s">
        <v>1716</v>
      </c>
      <c r="F663" s="23" t="str">
        <f>_xlfn.XLOOKUP(D663,'[2]Database DP'!$C:$C,'[2]Database DP'!$F:$F,"Tidak Ditemukan")</f>
        <v>DADANG</v>
      </c>
    </row>
    <row r="664" spans="2:6">
      <c r="B664" s="19" t="s">
        <v>664</v>
      </c>
      <c r="C664" s="20" t="s">
        <v>665</v>
      </c>
      <c r="D664" s="21" t="s">
        <v>697</v>
      </c>
      <c r="E664" s="22" t="s">
        <v>1716</v>
      </c>
      <c r="F664" s="23" t="str">
        <f>_xlfn.XLOOKUP(D664,'[2]Database DP'!$C:$C,'[2]Database DP'!$F:$F,"Tidak Ditemukan")</f>
        <v>DADANG</v>
      </c>
    </row>
    <row r="665" spans="2:6">
      <c r="B665" s="19" t="s">
        <v>664</v>
      </c>
      <c r="C665" s="20" t="s">
        <v>665</v>
      </c>
      <c r="D665" s="21" t="s">
        <v>698</v>
      </c>
      <c r="E665" s="22" t="s">
        <v>1716</v>
      </c>
      <c r="F665" s="23" t="str">
        <f>_xlfn.XLOOKUP(D665,'[2]Database DP'!$C:$C,'[2]Database DP'!$F:$F,"Tidak Ditemukan")</f>
        <v>DADANG</v>
      </c>
    </row>
    <row r="666" spans="2:6">
      <c r="B666" s="19" t="s">
        <v>664</v>
      </c>
      <c r="C666" s="20" t="s">
        <v>665</v>
      </c>
      <c r="D666" s="21" t="s">
        <v>699</v>
      </c>
      <c r="E666" s="22" t="s">
        <v>1716</v>
      </c>
      <c r="F666" s="23" t="str">
        <f>_xlfn.XLOOKUP(D666,'[2]Database DP'!$C:$C,'[2]Database DP'!$F:$F,"Tidak Ditemukan")</f>
        <v>DADANG</v>
      </c>
    </row>
    <row r="667" spans="2:6">
      <c r="B667" s="19" t="s">
        <v>664</v>
      </c>
      <c r="C667" s="20" t="s">
        <v>665</v>
      </c>
      <c r="D667" s="21" t="s">
        <v>700</v>
      </c>
      <c r="E667" s="22" t="s">
        <v>1716</v>
      </c>
      <c r="F667" s="23" t="str">
        <f>_xlfn.XLOOKUP(D667,'[2]Database DP'!$C:$C,'[2]Database DP'!$F:$F,"Tidak Ditemukan")</f>
        <v>DADANG</v>
      </c>
    </row>
    <row r="668" spans="2:6">
      <c r="B668" s="19" t="s">
        <v>664</v>
      </c>
      <c r="C668" s="20" t="s">
        <v>665</v>
      </c>
      <c r="D668" s="21" t="s">
        <v>701</v>
      </c>
      <c r="E668" s="22" t="s">
        <v>1716</v>
      </c>
      <c r="F668" s="23" t="str">
        <f>_xlfn.XLOOKUP(D668,'[2]Database DP'!$C:$C,'[2]Database DP'!$F:$F,"Tidak Ditemukan")</f>
        <v>DADANG</v>
      </c>
    </row>
    <row r="669" spans="2:6">
      <c r="B669" s="19" t="s">
        <v>664</v>
      </c>
      <c r="C669" s="20" t="s">
        <v>665</v>
      </c>
      <c r="D669" s="21" t="s">
        <v>702</v>
      </c>
      <c r="E669" s="22" t="s">
        <v>1716</v>
      </c>
      <c r="F669" s="23" t="str">
        <f>_xlfn.XLOOKUP(D669,'[2]Database DP'!$C:$C,'[2]Database DP'!$F:$F,"Tidak Ditemukan")</f>
        <v>DADANG</v>
      </c>
    </row>
    <row r="670" spans="2:6">
      <c r="B670" s="19" t="s">
        <v>664</v>
      </c>
      <c r="C670" s="20" t="s">
        <v>665</v>
      </c>
      <c r="D670" s="21" t="s">
        <v>703</v>
      </c>
      <c r="E670" s="22" t="s">
        <v>1716</v>
      </c>
      <c r="F670" s="23" t="str">
        <f>_xlfn.XLOOKUP(D670,'[2]Database DP'!$C:$C,'[2]Database DP'!$F:$F,"Tidak Ditemukan")</f>
        <v>DANIEL</v>
      </c>
    </row>
    <row r="671" spans="2:6">
      <c r="B671" s="19" t="s">
        <v>664</v>
      </c>
      <c r="C671" s="20" t="s">
        <v>665</v>
      </c>
      <c r="D671" s="21" t="s">
        <v>704</v>
      </c>
      <c r="E671" s="22" t="s">
        <v>1716</v>
      </c>
      <c r="F671" s="23" t="str">
        <f>_xlfn.XLOOKUP(D671,'[2]Database DP'!$C:$C,'[2]Database DP'!$F:$F,"Tidak Ditemukan")</f>
        <v>DANIEL</v>
      </c>
    </row>
    <row r="672" spans="2:6">
      <c r="B672" s="19" t="s">
        <v>664</v>
      </c>
      <c r="C672" s="20" t="s">
        <v>665</v>
      </c>
      <c r="D672" s="21" t="s">
        <v>705</v>
      </c>
      <c r="E672" s="22" t="s">
        <v>1716</v>
      </c>
      <c r="F672" s="23" t="str">
        <f>_xlfn.XLOOKUP(D672,'[2]Database DP'!$C:$C,'[2]Database DP'!$F:$F,"Tidak Ditemukan")</f>
        <v>DANIEL</v>
      </c>
    </row>
    <row r="673" spans="2:6">
      <c r="B673" s="19" t="s">
        <v>664</v>
      </c>
      <c r="C673" s="20" t="s">
        <v>665</v>
      </c>
      <c r="D673" s="21" t="s">
        <v>706</v>
      </c>
      <c r="E673" s="22" t="s">
        <v>1716</v>
      </c>
      <c r="F673" s="23" t="str">
        <f>_xlfn.XLOOKUP(D673,'[2]Database DP'!$C:$C,'[2]Database DP'!$F:$F,"Tidak Ditemukan")</f>
        <v>DANIEL</v>
      </c>
    </row>
    <row r="674" spans="2:6">
      <c r="B674" s="19" t="s">
        <v>664</v>
      </c>
      <c r="C674" s="20" t="s">
        <v>665</v>
      </c>
      <c r="D674" s="21" t="s">
        <v>707</v>
      </c>
      <c r="E674" s="22" t="s">
        <v>1716</v>
      </c>
      <c r="F674" s="23" t="str">
        <f>_xlfn.XLOOKUP(D674,'[2]Database DP'!$C:$C,'[2]Database DP'!$F:$F,"Tidak Ditemukan")</f>
        <v>DANIEL</v>
      </c>
    </row>
    <row r="675" spans="2:6">
      <c r="B675" s="19" t="s">
        <v>664</v>
      </c>
      <c r="C675" s="20" t="s">
        <v>665</v>
      </c>
      <c r="D675" s="21" t="s">
        <v>708</v>
      </c>
      <c r="E675" s="22" t="s">
        <v>1716</v>
      </c>
      <c r="F675" s="23" t="str">
        <f>_xlfn.XLOOKUP(D675,'[2]Database DP'!$C:$C,'[2]Database DP'!$F:$F,"Tidak Ditemukan")</f>
        <v>DANIEL</v>
      </c>
    </row>
    <row r="676" spans="2:6">
      <c r="B676" s="19" t="s">
        <v>664</v>
      </c>
      <c r="C676" s="20" t="s">
        <v>665</v>
      </c>
      <c r="D676" s="21" t="s">
        <v>709</v>
      </c>
      <c r="E676" s="22" t="s">
        <v>1716</v>
      </c>
      <c r="F676" s="23" t="str">
        <f>_xlfn.XLOOKUP(D676,'[2]Database DP'!$C:$C,'[2]Database DP'!$F:$F,"Tidak Ditemukan")</f>
        <v>DANIEL</v>
      </c>
    </row>
    <row r="677" spans="2:6">
      <c r="B677" s="19" t="s">
        <v>664</v>
      </c>
      <c r="C677" s="20" t="s">
        <v>665</v>
      </c>
      <c r="D677" s="21" t="s">
        <v>710</v>
      </c>
      <c r="E677" s="22" t="s">
        <v>1716</v>
      </c>
      <c r="F677" s="23" t="str">
        <f>_xlfn.XLOOKUP(D677,'[2]Database DP'!$C:$C,'[2]Database DP'!$F:$F,"Tidak Ditemukan")</f>
        <v>DANIEL</v>
      </c>
    </row>
    <row r="678" spans="2:6">
      <c r="B678" s="19" t="s">
        <v>664</v>
      </c>
      <c r="C678" s="20" t="s">
        <v>665</v>
      </c>
      <c r="D678" s="21" t="s">
        <v>711</v>
      </c>
      <c r="E678" s="22" t="s">
        <v>1716</v>
      </c>
      <c r="F678" s="23" t="str">
        <f>_xlfn.XLOOKUP(D678,'[2]Database DP'!$C:$C,'[2]Database DP'!$F:$F,"Tidak Ditemukan")</f>
        <v>GERRY</v>
      </c>
    </row>
    <row r="679" spans="2:6">
      <c r="B679" s="19" t="s">
        <v>664</v>
      </c>
      <c r="C679" s="20" t="s">
        <v>665</v>
      </c>
      <c r="D679" s="21" t="s">
        <v>712</v>
      </c>
      <c r="E679" s="22" t="s">
        <v>1716</v>
      </c>
      <c r="F679" s="23" t="str">
        <f>_xlfn.XLOOKUP(D679,'[2]Database DP'!$C:$C,'[2]Database DP'!$F:$F,"Tidak Ditemukan")</f>
        <v>GERRY</v>
      </c>
    </row>
    <row r="680" spans="2:6">
      <c r="B680" s="19" t="s">
        <v>664</v>
      </c>
      <c r="C680" s="20" t="s">
        <v>665</v>
      </c>
      <c r="D680" s="21" t="s">
        <v>713</v>
      </c>
      <c r="E680" s="22" t="s">
        <v>1716</v>
      </c>
      <c r="F680" s="23" t="str">
        <f>_xlfn.XLOOKUP(D680,'[2]Database DP'!$C:$C,'[2]Database DP'!$F:$F,"Tidak Ditemukan")</f>
        <v>GERRY</v>
      </c>
    </row>
    <row r="681" spans="2:6">
      <c r="B681" s="19" t="s">
        <v>664</v>
      </c>
      <c r="C681" s="20" t="s">
        <v>665</v>
      </c>
      <c r="D681" s="21" t="s">
        <v>714</v>
      </c>
      <c r="E681" s="22" t="s">
        <v>1716</v>
      </c>
      <c r="F681" s="23" t="str">
        <f>_xlfn.XLOOKUP(D681,'[2]Database DP'!$C:$C,'[2]Database DP'!$F:$F,"Tidak Ditemukan")</f>
        <v>GERRY</v>
      </c>
    </row>
    <row r="682" spans="2:6">
      <c r="B682" s="19" t="s">
        <v>664</v>
      </c>
      <c r="C682" s="20" t="s">
        <v>665</v>
      </c>
      <c r="D682" s="21" t="s">
        <v>715</v>
      </c>
      <c r="E682" s="22" t="s">
        <v>1716</v>
      </c>
      <c r="F682" s="23" t="str">
        <f>_xlfn.XLOOKUP(D682,'[2]Database DP'!$C:$C,'[2]Database DP'!$F:$F,"Tidak Ditemukan")</f>
        <v>GERRY</v>
      </c>
    </row>
    <row r="683" spans="2:6">
      <c r="B683" s="19" t="s">
        <v>664</v>
      </c>
      <c r="C683" s="20" t="s">
        <v>665</v>
      </c>
      <c r="D683" s="21" t="s">
        <v>716</v>
      </c>
      <c r="E683" s="22" t="s">
        <v>1716</v>
      </c>
      <c r="F683" s="23" t="str">
        <f>_xlfn.XLOOKUP(D683,'[2]Database DP'!$C:$C,'[2]Database DP'!$F:$F,"Tidak Ditemukan")</f>
        <v>HERI</v>
      </c>
    </row>
    <row r="684" spans="2:6">
      <c r="B684" s="19" t="s">
        <v>664</v>
      </c>
      <c r="C684" s="20" t="s">
        <v>665</v>
      </c>
      <c r="D684" s="21" t="s">
        <v>717</v>
      </c>
      <c r="E684" s="22" t="s">
        <v>1716</v>
      </c>
      <c r="F684" s="23" t="str">
        <f>_xlfn.XLOOKUP(D684,'[2]Database DP'!$C:$C,'[2]Database DP'!$F:$F,"Tidak Ditemukan")</f>
        <v>HERI</v>
      </c>
    </row>
    <row r="685" spans="2:6">
      <c r="B685" s="19" t="s">
        <v>664</v>
      </c>
      <c r="C685" s="20" t="s">
        <v>665</v>
      </c>
      <c r="D685" s="21" t="s">
        <v>718</v>
      </c>
      <c r="E685" s="22" t="s">
        <v>1716</v>
      </c>
      <c r="F685" s="23" t="str">
        <f>_xlfn.XLOOKUP(D685,'[2]Database DP'!$C:$C,'[2]Database DP'!$F:$F,"Tidak Ditemukan")</f>
        <v>HERI</v>
      </c>
    </row>
    <row r="686" spans="2:6">
      <c r="B686" s="19" t="s">
        <v>664</v>
      </c>
      <c r="C686" s="20" t="s">
        <v>665</v>
      </c>
      <c r="D686" s="21" t="s">
        <v>719</v>
      </c>
      <c r="E686" s="22" t="s">
        <v>1716</v>
      </c>
      <c r="F686" s="23" t="str">
        <f>_xlfn.XLOOKUP(D686,'[2]Database DP'!$C:$C,'[2]Database DP'!$F:$F,"Tidak Ditemukan")</f>
        <v>HERI</v>
      </c>
    </row>
    <row r="687" spans="2:6">
      <c r="B687" s="19" t="s">
        <v>664</v>
      </c>
      <c r="C687" s="20" t="s">
        <v>665</v>
      </c>
      <c r="D687" s="21" t="s">
        <v>720</v>
      </c>
      <c r="E687" s="22" t="s">
        <v>1716</v>
      </c>
      <c r="F687" s="23" t="str">
        <f>_xlfn.XLOOKUP(D687,'[2]Database DP'!$C:$C,'[2]Database DP'!$F:$F,"Tidak Ditemukan")</f>
        <v>HERI</v>
      </c>
    </row>
    <row r="688" spans="2:6">
      <c r="B688" s="19" t="s">
        <v>664</v>
      </c>
      <c r="C688" s="20" t="s">
        <v>665</v>
      </c>
      <c r="D688" s="21" t="s">
        <v>721</v>
      </c>
      <c r="E688" s="22" t="s">
        <v>1716</v>
      </c>
      <c r="F688" s="23" t="str">
        <f>_xlfn.XLOOKUP(D688,'[2]Database DP'!$C:$C,'[2]Database DP'!$F:$F,"Tidak Ditemukan")</f>
        <v>HERI</v>
      </c>
    </row>
    <row r="689" spans="2:6">
      <c r="B689" s="19" t="s">
        <v>664</v>
      </c>
      <c r="C689" s="20" t="s">
        <v>665</v>
      </c>
      <c r="D689" s="21" t="s">
        <v>722</v>
      </c>
      <c r="E689" s="22" t="s">
        <v>1716</v>
      </c>
      <c r="F689" s="23" t="str">
        <f>_xlfn.XLOOKUP(D689,'[2]Database DP'!$C:$C,'[2]Database DP'!$F:$F,"Tidak Ditemukan")</f>
        <v>HERI</v>
      </c>
    </row>
    <row r="690" spans="2:6">
      <c r="B690" s="19" t="s">
        <v>664</v>
      </c>
      <c r="C690" s="20" t="s">
        <v>665</v>
      </c>
      <c r="D690" s="21" t="s">
        <v>723</v>
      </c>
      <c r="E690" s="22" t="s">
        <v>1716</v>
      </c>
      <c r="F690" s="23" t="str">
        <f>_xlfn.XLOOKUP(D690,'[2]Database DP'!$C:$C,'[2]Database DP'!$F:$F,"Tidak Ditemukan")</f>
        <v>HERI</v>
      </c>
    </row>
    <row r="691" spans="2:6">
      <c r="B691" s="19" t="s">
        <v>664</v>
      </c>
      <c r="C691" s="20" t="s">
        <v>665</v>
      </c>
      <c r="D691" s="21" t="s">
        <v>724</v>
      </c>
      <c r="E691" s="22" t="s">
        <v>1716</v>
      </c>
      <c r="F691" s="23" t="str">
        <f>_xlfn.XLOOKUP(D691,'[2]Database DP'!$C:$C,'[2]Database DP'!$F:$F,"Tidak Ditemukan")</f>
        <v>HERI</v>
      </c>
    </row>
    <row r="692" spans="2:6">
      <c r="B692" s="19" t="s">
        <v>664</v>
      </c>
      <c r="C692" s="20" t="s">
        <v>665</v>
      </c>
      <c r="D692" s="21" t="s">
        <v>725</v>
      </c>
      <c r="E692" s="22" t="s">
        <v>1716</v>
      </c>
      <c r="F692" s="23" t="str">
        <f>_xlfn.XLOOKUP(D692,'[2]Database DP'!$C:$C,'[2]Database DP'!$F:$F,"Tidak Ditemukan")</f>
        <v>HERI</v>
      </c>
    </row>
    <row r="693" spans="2:6">
      <c r="B693" s="19" t="s">
        <v>664</v>
      </c>
      <c r="C693" s="20" t="s">
        <v>665</v>
      </c>
      <c r="D693" s="21" t="s">
        <v>726</v>
      </c>
      <c r="E693" s="22" t="s">
        <v>1716</v>
      </c>
      <c r="F693" s="23" t="str">
        <f>_xlfn.XLOOKUP(D693,'[2]Database DP'!$C:$C,'[2]Database DP'!$F:$F,"Tidak Ditemukan")</f>
        <v>HERI</v>
      </c>
    </row>
    <row r="694" spans="2:6">
      <c r="B694" s="19" t="s">
        <v>664</v>
      </c>
      <c r="C694" s="20" t="s">
        <v>665</v>
      </c>
      <c r="D694" s="21" t="s">
        <v>727</v>
      </c>
      <c r="E694" s="22" t="s">
        <v>1716</v>
      </c>
      <c r="F694" s="23" t="str">
        <f>_xlfn.XLOOKUP(D694,'[2]Database DP'!$C:$C,'[2]Database DP'!$F:$F,"Tidak Ditemukan")</f>
        <v>HERI</v>
      </c>
    </row>
    <row r="695" spans="2:6">
      <c r="B695" s="19" t="s">
        <v>664</v>
      </c>
      <c r="C695" s="20" t="s">
        <v>665</v>
      </c>
      <c r="D695" s="21" t="s">
        <v>728</v>
      </c>
      <c r="E695" s="22" t="s">
        <v>1716</v>
      </c>
      <c r="F695" s="23" t="str">
        <f>_xlfn.XLOOKUP(D695,'[2]Database DP'!$C:$C,'[2]Database DP'!$F:$F,"Tidak Ditemukan")</f>
        <v>HERI</v>
      </c>
    </row>
    <row r="696" spans="2:6">
      <c r="B696" s="19" t="s">
        <v>664</v>
      </c>
      <c r="C696" s="20" t="s">
        <v>665</v>
      </c>
      <c r="D696" s="21" t="s">
        <v>729</v>
      </c>
      <c r="E696" s="22" t="s">
        <v>1716</v>
      </c>
      <c r="F696" s="23" t="str">
        <f>_xlfn.XLOOKUP(D696,'[2]Database DP'!$C:$C,'[2]Database DP'!$F:$F,"Tidak Ditemukan")</f>
        <v>HERI</v>
      </c>
    </row>
    <row r="697" spans="2:6">
      <c r="B697" s="19" t="s">
        <v>664</v>
      </c>
      <c r="C697" s="20" t="s">
        <v>665</v>
      </c>
      <c r="D697" s="21" t="s">
        <v>730</v>
      </c>
      <c r="E697" s="22" t="s">
        <v>1716</v>
      </c>
      <c r="F697" s="23" t="str">
        <f>_xlfn.XLOOKUP(D697,'[2]Database DP'!$C:$C,'[2]Database DP'!$F:$F,"Tidak Ditemukan")</f>
        <v>RISWANTO</v>
      </c>
    </row>
    <row r="698" spans="2:6">
      <c r="B698" s="19" t="s">
        <v>664</v>
      </c>
      <c r="C698" s="20" t="s">
        <v>665</v>
      </c>
      <c r="D698" s="21" t="s">
        <v>731</v>
      </c>
      <c r="E698" s="22" t="s">
        <v>1716</v>
      </c>
      <c r="F698" s="23" t="str">
        <f>_xlfn.XLOOKUP(D698,'[2]Database DP'!$C:$C,'[2]Database DP'!$F:$F,"Tidak Ditemukan")</f>
        <v>RISWANTO</v>
      </c>
    </row>
    <row r="699" spans="2:6">
      <c r="B699" s="19" t="s">
        <v>664</v>
      </c>
      <c r="C699" s="20" t="s">
        <v>665</v>
      </c>
      <c r="D699" s="21" t="s">
        <v>732</v>
      </c>
      <c r="E699" s="22" t="s">
        <v>1716</v>
      </c>
      <c r="F699" s="23" t="str">
        <f>_xlfn.XLOOKUP(D699,'[2]Database DP'!$C:$C,'[2]Database DP'!$F:$F,"Tidak Ditemukan")</f>
        <v>RISWANTO</v>
      </c>
    </row>
    <row r="700" spans="2:6">
      <c r="B700" s="19" t="s">
        <v>664</v>
      </c>
      <c r="C700" s="20" t="s">
        <v>665</v>
      </c>
      <c r="D700" s="21" t="s">
        <v>733</v>
      </c>
      <c r="E700" s="22" t="s">
        <v>1716</v>
      </c>
      <c r="F700" s="23" t="str">
        <f>_xlfn.XLOOKUP(D700,'[2]Database DP'!$C:$C,'[2]Database DP'!$F:$F,"Tidak Ditemukan")</f>
        <v>RISWANTO</v>
      </c>
    </row>
    <row r="701" spans="2:6">
      <c r="B701" s="19" t="s">
        <v>664</v>
      </c>
      <c r="C701" s="20" t="s">
        <v>665</v>
      </c>
      <c r="D701" s="21" t="s">
        <v>734</v>
      </c>
      <c r="E701" s="22" t="s">
        <v>1716</v>
      </c>
      <c r="F701" s="23" t="str">
        <f>_xlfn.XLOOKUP(D701,'[2]Database DP'!$C:$C,'[2]Database DP'!$F:$F,"Tidak Ditemukan")</f>
        <v>RISWANTO</v>
      </c>
    </row>
    <row r="702" spans="2:6">
      <c r="B702" s="19" t="s">
        <v>664</v>
      </c>
      <c r="C702" s="20" t="s">
        <v>665</v>
      </c>
      <c r="D702" s="21" t="s">
        <v>735</v>
      </c>
      <c r="E702" s="22" t="s">
        <v>1716</v>
      </c>
      <c r="F702" s="23" t="str">
        <f>_xlfn.XLOOKUP(D702,'[2]Database DP'!$C:$C,'[2]Database DP'!$F:$F,"Tidak Ditemukan")</f>
        <v>RISWANTO</v>
      </c>
    </row>
    <row r="703" spans="2:6">
      <c r="B703" s="19" t="s">
        <v>664</v>
      </c>
      <c r="C703" s="20" t="s">
        <v>665</v>
      </c>
      <c r="D703" s="21" t="s">
        <v>736</v>
      </c>
      <c r="E703" s="22" t="s">
        <v>1716</v>
      </c>
      <c r="F703" s="23" t="str">
        <f>_xlfn.XLOOKUP(D703,'[2]Database DP'!$C:$C,'[2]Database DP'!$F:$F,"Tidak Ditemukan")</f>
        <v>RISWANTO</v>
      </c>
    </row>
    <row r="704" spans="2:6">
      <c r="B704" s="19" t="s">
        <v>664</v>
      </c>
      <c r="C704" s="20" t="s">
        <v>665</v>
      </c>
      <c r="D704" s="21" t="s">
        <v>737</v>
      </c>
      <c r="E704" s="22" t="s">
        <v>1716</v>
      </c>
      <c r="F704" s="23" t="str">
        <f>_xlfn.XLOOKUP(D704,'[2]Database DP'!$C:$C,'[2]Database DP'!$F:$F,"Tidak Ditemukan")</f>
        <v>RISWANTO</v>
      </c>
    </row>
    <row r="705" spans="2:6">
      <c r="B705" s="19" t="s">
        <v>664</v>
      </c>
      <c r="C705" s="20" t="s">
        <v>665</v>
      </c>
      <c r="D705" s="21" t="s">
        <v>738</v>
      </c>
      <c r="E705" s="22" t="s">
        <v>1716</v>
      </c>
      <c r="F705" s="23" t="str">
        <f>_xlfn.XLOOKUP(D705,'[2]Database DP'!$C:$C,'[2]Database DP'!$F:$F,"Tidak Ditemukan")</f>
        <v>RISWANTO</v>
      </c>
    </row>
    <row r="706" spans="2:6">
      <c r="B706" s="19" t="s">
        <v>664</v>
      </c>
      <c r="C706" s="20" t="s">
        <v>665</v>
      </c>
      <c r="D706" s="21" t="s">
        <v>739</v>
      </c>
      <c r="E706" s="22" t="s">
        <v>1716</v>
      </c>
      <c r="F706" s="23" t="str">
        <f>_xlfn.XLOOKUP(D706,'[2]Database DP'!$C:$C,'[2]Database DP'!$F:$F,"Tidak Ditemukan")</f>
        <v>RISWANTO</v>
      </c>
    </row>
    <row r="707" spans="2:6">
      <c r="B707" s="19" t="s">
        <v>664</v>
      </c>
      <c r="C707" s="20" t="s">
        <v>665</v>
      </c>
      <c r="D707" s="21" t="s">
        <v>740</v>
      </c>
      <c r="E707" s="22" t="s">
        <v>1716</v>
      </c>
      <c r="F707" s="23" t="str">
        <f>_xlfn.XLOOKUP(D707,'[2]Database DP'!$C:$C,'[2]Database DP'!$F:$F,"Tidak Ditemukan")</f>
        <v>RISWANTO</v>
      </c>
    </row>
    <row r="708" spans="2:6">
      <c r="B708" s="19" t="s">
        <v>664</v>
      </c>
      <c r="C708" s="20" t="s">
        <v>665</v>
      </c>
      <c r="D708" s="21" t="s">
        <v>741</v>
      </c>
      <c r="E708" s="22" t="s">
        <v>1716</v>
      </c>
      <c r="F708" s="23" t="str">
        <f>_xlfn.XLOOKUP(D708,'[2]Database DP'!$C:$C,'[2]Database DP'!$F:$F,"Tidak Ditemukan")</f>
        <v>RISWANTO</v>
      </c>
    </row>
    <row r="709" spans="2:6">
      <c r="B709" s="19" t="s">
        <v>664</v>
      </c>
      <c r="C709" s="20" t="s">
        <v>665</v>
      </c>
      <c r="D709" s="21" t="s">
        <v>742</v>
      </c>
      <c r="E709" s="22" t="s">
        <v>1716</v>
      </c>
      <c r="F709" s="23" t="str">
        <f>_xlfn.XLOOKUP(D709,'[2]Database DP'!$C:$C,'[2]Database DP'!$F:$F,"Tidak Ditemukan")</f>
        <v>KHABIB</v>
      </c>
    </row>
    <row r="710" spans="2:6">
      <c r="B710" s="19" t="s">
        <v>664</v>
      </c>
      <c r="C710" s="20" t="s">
        <v>665</v>
      </c>
      <c r="D710" s="21" t="s">
        <v>743</v>
      </c>
      <c r="E710" s="22" t="s">
        <v>1716</v>
      </c>
      <c r="F710" s="23" t="str">
        <f>_xlfn.XLOOKUP(D710,'[2]Database DP'!$C:$C,'[2]Database DP'!$F:$F,"Tidak Ditemukan")</f>
        <v>KHABIB</v>
      </c>
    </row>
    <row r="711" spans="2:6">
      <c r="B711" s="19" t="s">
        <v>664</v>
      </c>
      <c r="C711" s="20" t="s">
        <v>665</v>
      </c>
      <c r="D711" s="21" t="s">
        <v>744</v>
      </c>
      <c r="E711" s="22" t="s">
        <v>1716</v>
      </c>
      <c r="F711" s="23" t="str">
        <f>_xlfn.XLOOKUP(D711,'[2]Database DP'!$C:$C,'[2]Database DP'!$F:$F,"Tidak Ditemukan")</f>
        <v>KHABIB</v>
      </c>
    </row>
    <row r="712" spans="2:6">
      <c r="B712" s="19" t="s">
        <v>664</v>
      </c>
      <c r="C712" s="20" t="s">
        <v>665</v>
      </c>
      <c r="D712" s="21" t="s">
        <v>745</v>
      </c>
      <c r="E712" s="22" t="s">
        <v>1716</v>
      </c>
      <c r="F712" s="23" t="str">
        <f>_xlfn.XLOOKUP(D712,'[2]Database DP'!$C:$C,'[2]Database DP'!$F:$F,"Tidak Ditemukan")</f>
        <v>KHABIB</v>
      </c>
    </row>
    <row r="713" spans="2:6">
      <c r="B713" s="19" t="s">
        <v>664</v>
      </c>
      <c r="C713" s="20" t="s">
        <v>665</v>
      </c>
      <c r="D713" s="21" t="s">
        <v>746</v>
      </c>
      <c r="E713" s="22" t="s">
        <v>1716</v>
      </c>
      <c r="F713" s="23" t="str">
        <f>_xlfn.XLOOKUP(D713,'[2]Database DP'!$C:$C,'[2]Database DP'!$F:$F,"Tidak Ditemukan")</f>
        <v>KHABIB</v>
      </c>
    </row>
    <row r="714" spans="2:6">
      <c r="B714" s="19" t="s">
        <v>664</v>
      </c>
      <c r="C714" s="20" t="s">
        <v>665</v>
      </c>
      <c r="D714" s="21" t="s">
        <v>747</v>
      </c>
      <c r="E714" s="22" t="s">
        <v>1716</v>
      </c>
      <c r="F714" s="23" t="str">
        <f>_xlfn.XLOOKUP(D714,'[2]Database DP'!$C:$C,'[2]Database DP'!$F:$F,"Tidak Ditemukan")</f>
        <v>KHABIB</v>
      </c>
    </row>
    <row r="715" spans="2:6">
      <c r="B715" s="19" t="s">
        <v>664</v>
      </c>
      <c r="C715" s="20" t="s">
        <v>665</v>
      </c>
      <c r="D715" s="21" t="s">
        <v>748</v>
      </c>
      <c r="E715" s="22" t="s">
        <v>1716</v>
      </c>
      <c r="F715" s="23" t="str">
        <f>_xlfn.XLOOKUP(D715,'[2]Database DP'!$C:$C,'[2]Database DP'!$F:$F,"Tidak Ditemukan")</f>
        <v>KHABIB</v>
      </c>
    </row>
    <row r="716" spans="2:6">
      <c r="B716" s="19" t="s">
        <v>664</v>
      </c>
      <c r="C716" s="20" t="s">
        <v>665</v>
      </c>
      <c r="D716" s="21" t="s">
        <v>749</v>
      </c>
      <c r="E716" s="22" t="s">
        <v>1716</v>
      </c>
      <c r="F716" s="23" t="str">
        <f>_xlfn.XLOOKUP(D716,'[2]Database DP'!$C:$C,'[2]Database DP'!$F:$F,"Tidak Ditemukan")</f>
        <v>KHABIB</v>
      </c>
    </row>
    <row r="717" spans="2:6">
      <c r="B717" s="19" t="s">
        <v>664</v>
      </c>
      <c r="C717" s="20" t="s">
        <v>665</v>
      </c>
      <c r="D717" s="21" t="s">
        <v>750</v>
      </c>
      <c r="E717" s="22" t="s">
        <v>1716</v>
      </c>
      <c r="F717" s="23" t="str">
        <f>_xlfn.XLOOKUP(D717,'[2]Database DP'!$C:$C,'[2]Database DP'!$F:$F,"Tidak Ditemukan")</f>
        <v>KHABIB</v>
      </c>
    </row>
    <row r="718" spans="2:6">
      <c r="B718" s="19" t="s">
        <v>664</v>
      </c>
      <c r="C718" s="20" t="s">
        <v>665</v>
      </c>
      <c r="D718" s="21" t="s">
        <v>751</v>
      </c>
      <c r="E718" s="22" t="s">
        <v>1716</v>
      </c>
      <c r="F718" s="23" t="str">
        <f>_xlfn.XLOOKUP(D718,'[2]Database DP'!$C:$C,'[2]Database DP'!$F:$F,"Tidak Ditemukan")</f>
        <v>KHOLIK</v>
      </c>
    </row>
    <row r="719" spans="2:6">
      <c r="B719" s="19" t="s">
        <v>664</v>
      </c>
      <c r="C719" s="20" t="s">
        <v>665</v>
      </c>
      <c r="D719" s="21" t="s">
        <v>752</v>
      </c>
      <c r="E719" s="22" t="s">
        <v>1716</v>
      </c>
      <c r="F719" s="23" t="str">
        <f>_xlfn.XLOOKUP(D719,'[2]Database DP'!$C:$C,'[2]Database DP'!$F:$F,"Tidak Ditemukan")</f>
        <v>KHOLIK</v>
      </c>
    </row>
    <row r="720" spans="2:6">
      <c r="B720" s="19" t="s">
        <v>664</v>
      </c>
      <c r="C720" s="20" t="s">
        <v>665</v>
      </c>
      <c r="D720" s="21" t="s">
        <v>753</v>
      </c>
      <c r="E720" s="22" t="s">
        <v>1716</v>
      </c>
      <c r="F720" s="23" t="str">
        <f>_xlfn.XLOOKUP(D720,'[2]Database DP'!$C:$C,'[2]Database DP'!$F:$F,"Tidak Ditemukan")</f>
        <v>KHOLIK</v>
      </c>
    </row>
    <row r="721" spans="2:6">
      <c r="B721" s="19" t="s">
        <v>664</v>
      </c>
      <c r="C721" s="20" t="s">
        <v>665</v>
      </c>
      <c r="D721" s="21" t="s">
        <v>754</v>
      </c>
      <c r="E721" s="22" t="s">
        <v>1716</v>
      </c>
      <c r="F721" s="23" t="str">
        <f>_xlfn.XLOOKUP(D721,'[2]Database DP'!$C:$C,'[2]Database DP'!$F:$F,"Tidak Ditemukan")</f>
        <v>KHOLIK</v>
      </c>
    </row>
    <row r="722" spans="2:6">
      <c r="B722" s="19" t="s">
        <v>664</v>
      </c>
      <c r="C722" s="20" t="s">
        <v>665</v>
      </c>
      <c r="D722" s="21" t="s">
        <v>755</v>
      </c>
      <c r="E722" s="22" t="s">
        <v>1716</v>
      </c>
      <c r="F722" s="23" t="str">
        <f>_xlfn.XLOOKUP(D722,'[2]Database DP'!$C:$C,'[2]Database DP'!$F:$F,"Tidak Ditemukan")</f>
        <v>KHOLIK</v>
      </c>
    </row>
    <row r="723" spans="2:6">
      <c r="B723" s="19" t="s">
        <v>664</v>
      </c>
      <c r="C723" s="20" t="s">
        <v>665</v>
      </c>
      <c r="D723" s="21" t="s">
        <v>756</v>
      </c>
      <c r="E723" s="22" t="s">
        <v>1716</v>
      </c>
      <c r="F723" s="23" t="str">
        <f>_xlfn.XLOOKUP(D723,'[2]Database DP'!$C:$C,'[2]Database DP'!$F:$F,"Tidak Ditemukan")</f>
        <v>KHOLIK</v>
      </c>
    </row>
    <row r="724" spans="2:6">
      <c r="B724" s="19" t="s">
        <v>664</v>
      </c>
      <c r="C724" s="20" t="s">
        <v>665</v>
      </c>
      <c r="D724" s="21" t="s">
        <v>757</v>
      </c>
      <c r="E724" s="22" t="s">
        <v>1716</v>
      </c>
      <c r="F724" s="23" t="str">
        <f>_xlfn.XLOOKUP(D724,'[2]Database DP'!$C:$C,'[2]Database DP'!$F:$F,"Tidak Ditemukan")</f>
        <v>KHOLIK</v>
      </c>
    </row>
    <row r="725" spans="2:6">
      <c r="B725" s="19" t="s">
        <v>664</v>
      </c>
      <c r="C725" s="20" t="s">
        <v>665</v>
      </c>
      <c r="D725" s="21" t="s">
        <v>758</v>
      </c>
      <c r="E725" s="22" t="s">
        <v>1716</v>
      </c>
      <c r="F725" s="23" t="str">
        <f>_xlfn.XLOOKUP(D725,'[2]Database DP'!$C:$C,'[2]Database DP'!$F:$F,"Tidak Ditemukan")</f>
        <v>KHOLIK</v>
      </c>
    </row>
    <row r="726" spans="2:6">
      <c r="B726" s="19" t="s">
        <v>664</v>
      </c>
      <c r="C726" s="20" t="s">
        <v>665</v>
      </c>
      <c r="D726" s="21" t="s">
        <v>759</v>
      </c>
      <c r="E726" s="22" t="s">
        <v>1716</v>
      </c>
      <c r="F726" s="23" t="str">
        <f>_xlfn.XLOOKUP(D726,'[2]Database DP'!$C:$C,'[2]Database DP'!$F:$F,"Tidak Ditemukan")</f>
        <v>KHOLIK</v>
      </c>
    </row>
    <row r="727" spans="2:6">
      <c r="B727" s="19" t="s">
        <v>664</v>
      </c>
      <c r="C727" s="20" t="s">
        <v>665</v>
      </c>
      <c r="D727" s="21" t="s">
        <v>760</v>
      </c>
      <c r="E727" s="22" t="s">
        <v>1716</v>
      </c>
      <c r="F727" s="23" t="str">
        <f>_xlfn.XLOOKUP(D727,'[2]Database DP'!$C:$C,'[2]Database DP'!$F:$F,"Tidak Ditemukan")</f>
        <v>KHOLIL</v>
      </c>
    </row>
    <row r="728" spans="2:6">
      <c r="B728" s="19" t="s">
        <v>664</v>
      </c>
      <c r="C728" s="20" t="s">
        <v>665</v>
      </c>
      <c r="D728" s="21" t="s">
        <v>761</v>
      </c>
      <c r="E728" s="22" t="s">
        <v>1716</v>
      </c>
      <c r="F728" s="23" t="str">
        <f>_xlfn.XLOOKUP(D728,'[2]Database DP'!$C:$C,'[2]Database DP'!$F:$F,"Tidak Ditemukan")</f>
        <v>KHOLIL</v>
      </c>
    </row>
    <row r="729" spans="2:6">
      <c r="B729" s="19" t="s">
        <v>664</v>
      </c>
      <c r="C729" s="20" t="s">
        <v>665</v>
      </c>
      <c r="D729" s="21" t="s">
        <v>762</v>
      </c>
      <c r="E729" s="22" t="s">
        <v>1716</v>
      </c>
      <c r="F729" s="23" t="str">
        <f>_xlfn.XLOOKUP(D729,'[2]Database DP'!$C:$C,'[2]Database DP'!$F:$F,"Tidak Ditemukan")</f>
        <v>KHOLIL</v>
      </c>
    </row>
    <row r="730" spans="2:6">
      <c r="B730" s="19" t="s">
        <v>664</v>
      </c>
      <c r="C730" s="20" t="s">
        <v>665</v>
      </c>
      <c r="D730" s="21" t="s">
        <v>763</v>
      </c>
      <c r="E730" s="22" t="s">
        <v>1716</v>
      </c>
      <c r="F730" s="23" t="str">
        <f>_xlfn.XLOOKUP(D730,'[2]Database DP'!$C:$C,'[2]Database DP'!$F:$F,"Tidak Ditemukan")</f>
        <v>KHOLIL</v>
      </c>
    </row>
    <row r="731" spans="2:6">
      <c r="B731" s="19" t="s">
        <v>664</v>
      </c>
      <c r="C731" s="20" t="s">
        <v>665</v>
      </c>
      <c r="D731" s="21" t="s">
        <v>764</v>
      </c>
      <c r="E731" s="22" t="s">
        <v>1716</v>
      </c>
      <c r="F731" s="23" t="str">
        <f>_xlfn.XLOOKUP(D731,'[2]Database DP'!$C:$C,'[2]Database DP'!$F:$F,"Tidak Ditemukan")</f>
        <v>KHOLIL</v>
      </c>
    </row>
    <row r="732" spans="2:6">
      <c r="B732" s="19" t="s">
        <v>664</v>
      </c>
      <c r="C732" s="20" t="s">
        <v>665</v>
      </c>
      <c r="D732" s="21" t="s">
        <v>765</v>
      </c>
      <c r="E732" s="22" t="s">
        <v>1716</v>
      </c>
      <c r="F732" s="23" t="str">
        <f>_xlfn.XLOOKUP(D732,'[2]Database DP'!$C:$C,'[2]Database DP'!$F:$F,"Tidak Ditemukan")</f>
        <v>KHOLIL</v>
      </c>
    </row>
    <row r="733" spans="2:6">
      <c r="B733" s="19" t="s">
        <v>664</v>
      </c>
      <c r="C733" s="20" t="s">
        <v>665</v>
      </c>
      <c r="D733" s="21" t="s">
        <v>766</v>
      </c>
      <c r="E733" s="22" t="s">
        <v>1716</v>
      </c>
      <c r="F733" s="23" t="str">
        <f>_xlfn.XLOOKUP(D733,'[2]Database DP'!$C:$C,'[2]Database DP'!$F:$F,"Tidak Ditemukan")</f>
        <v>KHOLIL</v>
      </c>
    </row>
    <row r="734" spans="2:6">
      <c r="B734" s="19" t="s">
        <v>664</v>
      </c>
      <c r="C734" s="20" t="s">
        <v>665</v>
      </c>
      <c r="D734" s="21" t="s">
        <v>767</v>
      </c>
      <c r="E734" s="22" t="s">
        <v>1716</v>
      </c>
      <c r="F734" s="23" t="str">
        <f>_xlfn.XLOOKUP(D734,'[2]Database DP'!$C:$C,'[2]Database DP'!$F:$F,"Tidak Ditemukan")</f>
        <v>KHOLIL</v>
      </c>
    </row>
    <row r="735" spans="2:6">
      <c r="B735" s="19" t="s">
        <v>664</v>
      </c>
      <c r="C735" s="20" t="s">
        <v>665</v>
      </c>
      <c r="D735" s="21" t="s">
        <v>768</v>
      </c>
      <c r="E735" s="22" t="s">
        <v>1716</v>
      </c>
      <c r="F735" s="23" t="str">
        <f>_xlfn.XLOOKUP(D735,'[2]Database DP'!$C:$C,'[2]Database DP'!$F:$F,"Tidak Ditemukan")</f>
        <v>KHOLIL</v>
      </c>
    </row>
    <row r="736" spans="2:6">
      <c r="B736" s="19" t="s">
        <v>664</v>
      </c>
      <c r="C736" s="20" t="s">
        <v>665</v>
      </c>
      <c r="D736" s="21" t="s">
        <v>769</v>
      </c>
      <c r="E736" s="22" t="s">
        <v>1716</v>
      </c>
      <c r="F736" s="23" t="str">
        <f>_xlfn.XLOOKUP(D736,'[2]Database DP'!$C:$C,'[2]Database DP'!$F:$F,"Tidak Ditemukan")</f>
        <v>KHOLIL</v>
      </c>
    </row>
    <row r="737" spans="2:6">
      <c r="B737" s="19" t="s">
        <v>664</v>
      </c>
      <c r="C737" s="20" t="s">
        <v>665</v>
      </c>
      <c r="D737" s="21" t="s">
        <v>770</v>
      </c>
      <c r="E737" s="22" t="s">
        <v>1716</v>
      </c>
      <c r="F737" s="23" t="str">
        <f>_xlfn.XLOOKUP(D737,'[2]Database DP'!$C:$C,'[2]Database DP'!$F:$F,"Tidak Ditemukan")</f>
        <v>KHOLIL</v>
      </c>
    </row>
    <row r="738" spans="2:6">
      <c r="B738" s="19" t="s">
        <v>664</v>
      </c>
      <c r="C738" s="20" t="s">
        <v>665</v>
      </c>
      <c r="D738" s="21" t="s">
        <v>771</v>
      </c>
      <c r="E738" s="22" t="s">
        <v>1716</v>
      </c>
      <c r="F738" s="23" t="str">
        <f>_xlfn.XLOOKUP(D738,'[2]Database DP'!$C:$C,'[2]Database DP'!$F:$F,"Tidak Ditemukan")</f>
        <v>KHOLIL</v>
      </c>
    </row>
    <row r="739" spans="2:6">
      <c r="B739" s="19" t="s">
        <v>664</v>
      </c>
      <c r="C739" s="20" t="s">
        <v>665</v>
      </c>
      <c r="D739" s="21" t="s">
        <v>772</v>
      </c>
      <c r="E739" s="22" t="s">
        <v>1716</v>
      </c>
      <c r="F739" s="23" t="str">
        <f>_xlfn.XLOOKUP(D739,'[2]Database DP'!$C:$C,'[2]Database DP'!$F:$F,"Tidak Ditemukan")</f>
        <v>SUPRIYADI</v>
      </c>
    </row>
    <row r="740" spans="2:6">
      <c r="B740" s="19" t="s">
        <v>664</v>
      </c>
      <c r="C740" s="20" t="s">
        <v>665</v>
      </c>
      <c r="D740" s="21" t="s">
        <v>773</v>
      </c>
      <c r="E740" s="22" t="s">
        <v>1716</v>
      </c>
      <c r="F740" s="23" t="str">
        <f>_xlfn.XLOOKUP(D740,'[2]Database DP'!$C:$C,'[2]Database DP'!$F:$F,"Tidak Ditemukan")</f>
        <v>SUPRIYADI</v>
      </c>
    </row>
    <row r="741" spans="2:6">
      <c r="B741" s="19" t="s">
        <v>664</v>
      </c>
      <c r="C741" s="20" t="s">
        <v>665</v>
      </c>
      <c r="D741" s="21" t="s">
        <v>774</v>
      </c>
      <c r="E741" s="22" t="s">
        <v>1716</v>
      </c>
      <c r="F741" s="23" t="str">
        <f>_xlfn.XLOOKUP(D741,'[2]Database DP'!$C:$C,'[2]Database DP'!$F:$F,"Tidak Ditemukan")</f>
        <v>SUPRIYADI</v>
      </c>
    </row>
    <row r="742" spans="2:6">
      <c r="B742" s="19" t="s">
        <v>664</v>
      </c>
      <c r="C742" s="20" t="s">
        <v>665</v>
      </c>
      <c r="D742" s="21" t="s">
        <v>775</v>
      </c>
      <c r="E742" s="22" t="s">
        <v>1716</v>
      </c>
      <c r="F742" s="23" t="str">
        <f>_xlfn.XLOOKUP(D742,'[2]Database DP'!$C:$C,'[2]Database DP'!$F:$F,"Tidak Ditemukan")</f>
        <v>SUPRIYADI</v>
      </c>
    </row>
    <row r="743" spans="2:6">
      <c r="B743" s="19" t="s">
        <v>664</v>
      </c>
      <c r="C743" s="20" t="s">
        <v>665</v>
      </c>
      <c r="D743" s="21" t="s">
        <v>776</v>
      </c>
      <c r="E743" s="22" t="s">
        <v>1716</v>
      </c>
      <c r="F743" s="23" t="str">
        <f>_xlfn.XLOOKUP(D743,'[2]Database DP'!$C:$C,'[2]Database DP'!$F:$F,"Tidak Ditemukan")</f>
        <v>SUPRIYADI</v>
      </c>
    </row>
    <row r="744" spans="2:6">
      <c r="B744" s="19" t="s">
        <v>664</v>
      </c>
      <c r="C744" s="20" t="s">
        <v>665</v>
      </c>
      <c r="D744" s="21" t="s">
        <v>777</v>
      </c>
      <c r="E744" s="22" t="s">
        <v>1716</v>
      </c>
      <c r="F744" s="23" t="str">
        <f>_xlfn.XLOOKUP(D744,'[2]Database DP'!$C:$C,'[2]Database DP'!$F:$F,"Tidak Ditemukan")</f>
        <v>SUPRIYADI</v>
      </c>
    </row>
    <row r="745" spans="2:6">
      <c r="B745" s="19" t="s">
        <v>664</v>
      </c>
      <c r="C745" s="20" t="s">
        <v>665</v>
      </c>
      <c r="D745" s="21" t="s">
        <v>778</v>
      </c>
      <c r="E745" s="22" t="s">
        <v>1716</v>
      </c>
      <c r="F745" s="23" t="str">
        <f>_xlfn.XLOOKUP(D745,'[2]Database DP'!$C:$C,'[2]Database DP'!$F:$F,"Tidak Ditemukan")</f>
        <v>SUPRIYADI</v>
      </c>
    </row>
    <row r="746" spans="2:6">
      <c r="B746" s="19" t="s">
        <v>664</v>
      </c>
      <c r="C746" s="20" t="s">
        <v>665</v>
      </c>
      <c r="D746" s="21" t="s">
        <v>779</v>
      </c>
      <c r="E746" s="22" t="s">
        <v>1716</v>
      </c>
      <c r="F746" s="23" t="str">
        <f>_xlfn.XLOOKUP(D746,'[2]Database DP'!$C:$C,'[2]Database DP'!$F:$F,"Tidak Ditemukan")</f>
        <v>SUPRIYADI</v>
      </c>
    </row>
    <row r="747" spans="2:6">
      <c r="B747" s="19" t="s">
        <v>664</v>
      </c>
      <c r="C747" s="20" t="s">
        <v>665</v>
      </c>
      <c r="D747" s="21" t="s">
        <v>780</v>
      </c>
      <c r="E747" s="22" t="s">
        <v>1716</v>
      </c>
      <c r="F747" s="23" t="str">
        <f>_xlfn.XLOOKUP(D747,'[2]Database DP'!$C:$C,'[2]Database DP'!$F:$F,"Tidak Ditemukan")</f>
        <v>SUPRIYADI</v>
      </c>
    </row>
    <row r="748" spans="2:6">
      <c r="B748" s="19" t="s">
        <v>664</v>
      </c>
      <c r="C748" s="20" t="s">
        <v>665</v>
      </c>
      <c r="D748" s="21" t="s">
        <v>781</v>
      </c>
      <c r="E748" s="22" t="s">
        <v>1716</v>
      </c>
      <c r="F748" s="23" t="str">
        <f>_xlfn.XLOOKUP(D748,'[2]Database DP'!$C:$C,'[2]Database DP'!$F:$F,"Tidak Ditemukan")</f>
        <v>SUPRIYADI</v>
      </c>
    </row>
    <row r="749" spans="2:6">
      <c r="B749" s="19" t="s">
        <v>664</v>
      </c>
      <c r="C749" s="20" t="s">
        <v>665</v>
      </c>
      <c r="D749" s="21" t="s">
        <v>782</v>
      </c>
      <c r="E749" s="22" t="s">
        <v>1716</v>
      </c>
      <c r="F749" s="23" t="str">
        <f>_xlfn.XLOOKUP(D749,'[2]Database DP'!$C:$C,'[2]Database DP'!$F:$F,"Tidak Ditemukan")</f>
        <v>SUPRIYADI</v>
      </c>
    </row>
    <row r="750" spans="2:6">
      <c r="B750" s="19" t="s">
        <v>664</v>
      </c>
      <c r="C750" s="20" t="s">
        <v>665</v>
      </c>
      <c r="D750" s="21" t="s">
        <v>783</v>
      </c>
      <c r="E750" s="22" t="s">
        <v>1716</v>
      </c>
      <c r="F750" s="23" t="str">
        <f>_xlfn.XLOOKUP(D750,'[2]Database DP'!$C:$C,'[2]Database DP'!$F:$F,"Tidak Ditemukan")</f>
        <v>OKI</v>
      </c>
    </row>
    <row r="751" spans="2:6">
      <c r="B751" s="19" t="s">
        <v>664</v>
      </c>
      <c r="C751" s="20" t="s">
        <v>665</v>
      </c>
      <c r="D751" s="21" t="s">
        <v>784</v>
      </c>
      <c r="E751" s="22" t="s">
        <v>1716</v>
      </c>
      <c r="F751" s="23" t="str">
        <f>_xlfn.XLOOKUP(D751,'[2]Database DP'!$C:$C,'[2]Database DP'!$F:$F,"Tidak Ditemukan")</f>
        <v>OKI</v>
      </c>
    </row>
    <row r="752" spans="2:6">
      <c r="B752" s="19" t="s">
        <v>664</v>
      </c>
      <c r="C752" s="20" t="s">
        <v>665</v>
      </c>
      <c r="D752" s="21" t="s">
        <v>785</v>
      </c>
      <c r="E752" s="22" t="s">
        <v>1716</v>
      </c>
      <c r="F752" s="23" t="str">
        <f>_xlfn.XLOOKUP(D752,'[2]Database DP'!$C:$C,'[2]Database DP'!$F:$F,"Tidak Ditemukan")</f>
        <v>OKI</v>
      </c>
    </row>
    <row r="753" spans="2:6">
      <c r="B753" s="19" t="s">
        <v>664</v>
      </c>
      <c r="C753" s="20" t="s">
        <v>665</v>
      </c>
      <c r="D753" s="21" t="s">
        <v>786</v>
      </c>
      <c r="E753" s="22" t="s">
        <v>1716</v>
      </c>
      <c r="F753" s="23" t="str">
        <f>_xlfn.XLOOKUP(D753,'[2]Database DP'!$C:$C,'[2]Database DP'!$F:$F,"Tidak Ditemukan")</f>
        <v>OKI</v>
      </c>
    </row>
    <row r="754" spans="2:6">
      <c r="B754" s="19" t="s">
        <v>664</v>
      </c>
      <c r="C754" s="20" t="s">
        <v>665</v>
      </c>
      <c r="D754" s="21" t="s">
        <v>787</v>
      </c>
      <c r="E754" s="22" t="s">
        <v>1716</v>
      </c>
      <c r="F754" s="23" t="str">
        <f>_xlfn.XLOOKUP(D754,'[2]Database DP'!$C:$C,'[2]Database DP'!$F:$F,"Tidak Ditemukan")</f>
        <v>OKI</v>
      </c>
    </row>
    <row r="755" spans="2:6">
      <c r="B755" s="19" t="s">
        <v>664</v>
      </c>
      <c r="C755" s="20" t="s">
        <v>665</v>
      </c>
      <c r="D755" s="21" t="s">
        <v>788</v>
      </c>
      <c r="E755" s="22" t="s">
        <v>1716</v>
      </c>
      <c r="F755" s="23" t="str">
        <f>_xlfn.XLOOKUP(D755,'[2]Database DP'!$C:$C,'[2]Database DP'!$F:$F,"Tidak Ditemukan")</f>
        <v>OKI</v>
      </c>
    </row>
    <row r="756" spans="2:6">
      <c r="B756" s="19" t="s">
        <v>664</v>
      </c>
      <c r="C756" s="20" t="s">
        <v>665</v>
      </c>
      <c r="D756" s="21" t="s">
        <v>789</v>
      </c>
      <c r="E756" s="22" t="s">
        <v>1716</v>
      </c>
      <c r="F756" s="23" t="str">
        <f>_xlfn.XLOOKUP(D756,'[2]Database DP'!$C:$C,'[2]Database DP'!$F:$F,"Tidak Ditemukan")</f>
        <v>OKI</v>
      </c>
    </row>
    <row r="757" spans="2:6">
      <c r="B757" s="19" t="s">
        <v>664</v>
      </c>
      <c r="C757" s="20" t="s">
        <v>665</v>
      </c>
      <c r="D757" s="21" t="s">
        <v>790</v>
      </c>
      <c r="E757" s="22" t="s">
        <v>1716</v>
      </c>
      <c r="F757" s="23" t="str">
        <f>_xlfn.XLOOKUP(D757,'[2]Database DP'!$C:$C,'[2]Database DP'!$F:$F,"Tidak Ditemukan")</f>
        <v>OKI</v>
      </c>
    </row>
    <row r="758" spans="2:6">
      <c r="B758" s="19" t="s">
        <v>664</v>
      </c>
      <c r="C758" s="20" t="s">
        <v>665</v>
      </c>
      <c r="D758" s="21" t="s">
        <v>791</v>
      </c>
      <c r="E758" s="22" t="s">
        <v>1716</v>
      </c>
      <c r="F758" s="23" t="str">
        <f>_xlfn.XLOOKUP(D758,'[2]Database DP'!$C:$C,'[2]Database DP'!$F:$F,"Tidak Ditemukan")</f>
        <v>OKI</v>
      </c>
    </row>
    <row r="759" spans="2:6">
      <c r="B759" s="19" t="s">
        <v>664</v>
      </c>
      <c r="C759" s="20" t="s">
        <v>665</v>
      </c>
      <c r="D759" s="21" t="s">
        <v>792</v>
      </c>
      <c r="E759" s="22" t="s">
        <v>1716</v>
      </c>
      <c r="F759" s="23" t="str">
        <f>_xlfn.XLOOKUP(D759,'[2]Database DP'!$C:$C,'[2]Database DP'!$F:$F,"Tidak Ditemukan")</f>
        <v>RAGIL</v>
      </c>
    </row>
    <row r="760" spans="2:6">
      <c r="B760" s="19" t="s">
        <v>664</v>
      </c>
      <c r="C760" s="20" t="s">
        <v>665</v>
      </c>
      <c r="D760" s="21" t="s">
        <v>793</v>
      </c>
      <c r="E760" s="22" t="s">
        <v>1716</v>
      </c>
      <c r="F760" s="23" t="str">
        <f>_xlfn.XLOOKUP(D760,'[2]Database DP'!$C:$C,'[2]Database DP'!$F:$F,"Tidak Ditemukan")</f>
        <v>RAGIL</v>
      </c>
    </row>
    <row r="761" spans="2:6">
      <c r="B761" s="19" t="s">
        <v>664</v>
      </c>
      <c r="C761" s="20" t="s">
        <v>665</v>
      </c>
      <c r="D761" s="21" t="s">
        <v>794</v>
      </c>
      <c r="E761" s="22" t="s">
        <v>1716</v>
      </c>
      <c r="F761" s="23" t="str">
        <f>_xlfn.XLOOKUP(D761,'[2]Database DP'!$C:$C,'[2]Database DP'!$F:$F,"Tidak Ditemukan")</f>
        <v>RAGIL</v>
      </c>
    </row>
    <row r="762" spans="2:6">
      <c r="B762" s="19" t="s">
        <v>664</v>
      </c>
      <c r="C762" s="20" t="s">
        <v>665</v>
      </c>
      <c r="D762" s="21" t="s">
        <v>795</v>
      </c>
      <c r="E762" s="22" t="s">
        <v>1716</v>
      </c>
      <c r="F762" s="23" t="str">
        <f>_xlfn.XLOOKUP(D762,'[2]Database DP'!$C:$C,'[2]Database DP'!$F:$F,"Tidak Ditemukan")</f>
        <v>RAGIL</v>
      </c>
    </row>
    <row r="763" spans="2:6">
      <c r="B763" s="19" t="s">
        <v>664</v>
      </c>
      <c r="C763" s="20" t="s">
        <v>665</v>
      </c>
      <c r="D763" s="21" t="s">
        <v>796</v>
      </c>
      <c r="E763" s="22" t="s">
        <v>1716</v>
      </c>
      <c r="F763" s="23" t="str">
        <f>_xlfn.XLOOKUP(D763,'[2]Database DP'!$C:$C,'[2]Database DP'!$F:$F,"Tidak Ditemukan")</f>
        <v>RAGIL</v>
      </c>
    </row>
    <row r="764" spans="2:6">
      <c r="B764" s="19" t="s">
        <v>664</v>
      </c>
      <c r="C764" s="20" t="s">
        <v>665</v>
      </c>
      <c r="D764" s="21" t="s">
        <v>797</v>
      </c>
      <c r="E764" s="22" t="s">
        <v>1716</v>
      </c>
      <c r="F764" s="23" t="str">
        <f>_xlfn.XLOOKUP(D764,'[2]Database DP'!$C:$C,'[2]Database DP'!$F:$F,"Tidak Ditemukan")</f>
        <v>RAGIL</v>
      </c>
    </row>
    <row r="765" spans="2:6">
      <c r="B765" s="19" t="s">
        <v>664</v>
      </c>
      <c r="C765" s="20" t="s">
        <v>665</v>
      </c>
      <c r="D765" s="21" t="s">
        <v>798</v>
      </c>
      <c r="E765" s="22" t="s">
        <v>1716</v>
      </c>
      <c r="F765" s="23" t="str">
        <f>_xlfn.XLOOKUP(D765,'[2]Database DP'!$C:$C,'[2]Database DP'!$F:$F,"Tidak Ditemukan")</f>
        <v>RAGIL</v>
      </c>
    </row>
    <row r="766" spans="2:6">
      <c r="B766" s="19" t="s">
        <v>664</v>
      </c>
      <c r="C766" s="20" t="s">
        <v>665</v>
      </c>
      <c r="D766" s="21" t="s">
        <v>799</v>
      </c>
      <c r="E766" s="22" t="s">
        <v>1716</v>
      </c>
      <c r="F766" s="23" t="str">
        <f>_xlfn.XLOOKUP(D766,'[2]Database DP'!$C:$C,'[2]Database DP'!$F:$F,"Tidak Ditemukan")</f>
        <v>RAGIL</v>
      </c>
    </row>
    <row r="767" spans="2:6">
      <c r="B767" s="19" t="s">
        <v>664</v>
      </c>
      <c r="C767" s="20" t="s">
        <v>665</v>
      </c>
      <c r="D767" s="21" t="s">
        <v>800</v>
      </c>
      <c r="E767" s="22" t="s">
        <v>1716</v>
      </c>
      <c r="F767" s="23" t="str">
        <f>_xlfn.XLOOKUP(D767,'[2]Database DP'!$C:$C,'[2]Database DP'!$F:$F,"Tidak Ditemukan")</f>
        <v>RAGIL</v>
      </c>
    </row>
    <row r="768" spans="2:6">
      <c r="B768" s="19" t="s">
        <v>664</v>
      </c>
      <c r="C768" s="20" t="s">
        <v>665</v>
      </c>
      <c r="D768" s="21" t="s">
        <v>801</v>
      </c>
      <c r="E768" s="22" t="s">
        <v>1716</v>
      </c>
      <c r="F768" s="23" t="str">
        <f>_xlfn.XLOOKUP(D768,'[2]Database DP'!$C:$C,'[2]Database DP'!$F:$F,"Tidak Ditemukan")</f>
        <v>RAGIL</v>
      </c>
    </row>
    <row r="769" spans="2:6">
      <c r="B769" s="19" t="s">
        <v>664</v>
      </c>
      <c r="C769" s="20" t="s">
        <v>665</v>
      </c>
      <c r="D769" s="21" t="s">
        <v>802</v>
      </c>
      <c r="E769" s="22" t="s">
        <v>1716</v>
      </c>
      <c r="F769" s="23" t="str">
        <f>_xlfn.XLOOKUP(D769,'[2]Database DP'!$C:$C,'[2]Database DP'!$F:$F,"Tidak Ditemukan")</f>
        <v>RAGIL</v>
      </c>
    </row>
    <row r="770" spans="2:6">
      <c r="B770" s="19" t="s">
        <v>664</v>
      </c>
      <c r="C770" s="20" t="s">
        <v>665</v>
      </c>
      <c r="D770" s="21" t="s">
        <v>803</v>
      </c>
      <c r="E770" s="22" t="s">
        <v>1716</v>
      </c>
      <c r="F770" s="23" t="str">
        <f>_xlfn.XLOOKUP(D770,'[2]Database DP'!$C:$C,'[2]Database DP'!$F:$F,"Tidak Ditemukan")</f>
        <v>RAGIL</v>
      </c>
    </row>
    <row r="771" spans="2:6">
      <c r="B771" s="19" t="s">
        <v>664</v>
      </c>
      <c r="C771" s="20" t="s">
        <v>665</v>
      </c>
      <c r="D771" s="21" t="s">
        <v>804</v>
      </c>
      <c r="E771" s="22" t="s">
        <v>1716</v>
      </c>
      <c r="F771" s="23" t="str">
        <f>_xlfn.XLOOKUP(D771,'[2]Database DP'!$C:$C,'[2]Database DP'!$F:$F,"Tidak Ditemukan")</f>
        <v>RENDRA</v>
      </c>
    </row>
    <row r="772" spans="2:6">
      <c r="B772" s="19" t="s">
        <v>664</v>
      </c>
      <c r="C772" s="20" t="s">
        <v>665</v>
      </c>
      <c r="D772" s="21" t="s">
        <v>805</v>
      </c>
      <c r="E772" s="22" t="s">
        <v>1716</v>
      </c>
      <c r="F772" s="23" t="str">
        <f>_xlfn.XLOOKUP(D772,'[2]Database DP'!$C:$C,'[2]Database DP'!$F:$F,"Tidak Ditemukan")</f>
        <v>RENDRA</v>
      </c>
    </row>
    <row r="773" spans="2:6">
      <c r="B773" s="19" t="s">
        <v>664</v>
      </c>
      <c r="C773" s="20" t="s">
        <v>665</v>
      </c>
      <c r="D773" s="21" t="s">
        <v>806</v>
      </c>
      <c r="E773" s="22" t="s">
        <v>1716</v>
      </c>
      <c r="F773" s="23" t="str">
        <f>_xlfn.XLOOKUP(D773,'[2]Database DP'!$C:$C,'[2]Database DP'!$F:$F,"Tidak Ditemukan")</f>
        <v>RENDRA</v>
      </c>
    </row>
    <row r="774" spans="2:6">
      <c r="B774" s="19" t="s">
        <v>664</v>
      </c>
      <c r="C774" s="20" t="s">
        <v>665</v>
      </c>
      <c r="D774" s="21" t="s">
        <v>807</v>
      </c>
      <c r="E774" s="22" t="s">
        <v>1716</v>
      </c>
      <c r="F774" s="23" t="str">
        <f>_xlfn.XLOOKUP(D774,'[2]Database DP'!$C:$C,'[2]Database DP'!$F:$F,"Tidak Ditemukan")</f>
        <v>RENDRA</v>
      </c>
    </row>
    <row r="775" spans="2:6">
      <c r="B775" s="19" t="s">
        <v>664</v>
      </c>
      <c r="C775" s="20" t="s">
        <v>665</v>
      </c>
      <c r="D775" s="21" t="s">
        <v>808</v>
      </c>
      <c r="E775" s="22" t="s">
        <v>1716</v>
      </c>
      <c r="F775" s="23" t="str">
        <f>_xlfn.XLOOKUP(D775,'[2]Database DP'!$C:$C,'[2]Database DP'!$F:$F,"Tidak Ditemukan")</f>
        <v>RENDRA</v>
      </c>
    </row>
    <row r="776" spans="2:6">
      <c r="B776" s="19" t="s">
        <v>664</v>
      </c>
      <c r="C776" s="20" t="s">
        <v>665</v>
      </c>
      <c r="D776" s="21" t="s">
        <v>809</v>
      </c>
      <c r="E776" s="22" t="s">
        <v>1716</v>
      </c>
      <c r="F776" s="23" t="str">
        <f>_xlfn.XLOOKUP(D776,'[2]Database DP'!$C:$C,'[2]Database DP'!$F:$F,"Tidak Ditemukan")</f>
        <v>RENDRA</v>
      </c>
    </row>
    <row r="777" spans="2:6">
      <c r="B777" s="19" t="s">
        <v>664</v>
      </c>
      <c r="C777" s="20" t="s">
        <v>665</v>
      </c>
      <c r="D777" s="21" t="s">
        <v>810</v>
      </c>
      <c r="E777" s="22" t="s">
        <v>1716</v>
      </c>
      <c r="F777" s="23" t="str">
        <f>_xlfn.XLOOKUP(D777,'[2]Database DP'!$C:$C,'[2]Database DP'!$F:$F,"Tidak Ditemukan")</f>
        <v>RENDRA</v>
      </c>
    </row>
    <row r="778" spans="2:6">
      <c r="B778" s="19" t="s">
        <v>664</v>
      </c>
      <c r="C778" s="20" t="s">
        <v>665</v>
      </c>
      <c r="D778" s="21" t="s">
        <v>811</v>
      </c>
      <c r="E778" s="22" t="s">
        <v>1716</v>
      </c>
      <c r="F778" s="23" t="str">
        <f>_xlfn.XLOOKUP(D778,'[2]Database DP'!$C:$C,'[2]Database DP'!$F:$F,"Tidak Ditemukan")</f>
        <v>RENDRA</v>
      </c>
    </row>
    <row r="779" spans="2:6">
      <c r="B779" s="19" t="s">
        <v>664</v>
      </c>
      <c r="C779" s="20" t="s">
        <v>665</v>
      </c>
      <c r="D779" s="21" t="s">
        <v>812</v>
      </c>
      <c r="E779" s="22" t="s">
        <v>1716</v>
      </c>
      <c r="F779" s="23" t="str">
        <f>_xlfn.XLOOKUP(D779,'[2]Database DP'!$C:$C,'[2]Database DP'!$F:$F,"Tidak Ditemukan")</f>
        <v>RENDRA</v>
      </c>
    </row>
    <row r="780" spans="2:6">
      <c r="B780" s="19" t="s">
        <v>664</v>
      </c>
      <c r="C780" s="20" t="s">
        <v>665</v>
      </c>
      <c r="D780" s="21" t="s">
        <v>813</v>
      </c>
      <c r="E780" s="22" t="s">
        <v>1716</v>
      </c>
      <c r="F780" s="23" t="str">
        <f>_xlfn.XLOOKUP(D780,'[2]Database DP'!$C:$C,'[2]Database DP'!$F:$F,"Tidak Ditemukan")</f>
        <v>RENDRA</v>
      </c>
    </row>
    <row r="781" spans="2:6">
      <c r="B781" s="19" t="s">
        <v>664</v>
      </c>
      <c r="C781" s="20" t="s">
        <v>665</v>
      </c>
      <c r="D781" s="21" t="s">
        <v>814</v>
      </c>
      <c r="E781" s="22" t="s">
        <v>1716</v>
      </c>
      <c r="F781" s="23" t="str">
        <f>_xlfn.XLOOKUP(D781,'[2]Database DP'!$C:$C,'[2]Database DP'!$F:$F,"Tidak Ditemukan")</f>
        <v>RENDRA</v>
      </c>
    </row>
    <row r="782" spans="2:6">
      <c r="B782" s="19" t="s">
        <v>664</v>
      </c>
      <c r="C782" s="20" t="s">
        <v>665</v>
      </c>
      <c r="D782" s="21" t="s">
        <v>815</v>
      </c>
      <c r="E782" s="22" t="s">
        <v>1716</v>
      </c>
      <c r="F782" s="23" t="str">
        <f>_xlfn.XLOOKUP(D782,'[2]Database DP'!$C:$C,'[2]Database DP'!$F:$F,"Tidak Ditemukan")</f>
        <v>RENDRA</v>
      </c>
    </row>
    <row r="783" spans="2:6">
      <c r="B783" s="19" t="s">
        <v>664</v>
      </c>
      <c r="C783" s="20" t="s">
        <v>665</v>
      </c>
      <c r="D783" s="21" t="s">
        <v>816</v>
      </c>
      <c r="E783" s="22" t="s">
        <v>1716</v>
      </c>
      <c r="F783" s="23" t="str">
        <f>_xlfn.XLOOKUP(D783,'[2]Database DP'!$C:$C,'[2]Database DP'!$F:$F,"Tidak Ditemukan")</f>
        <v>RENDRA</v>
      </c>
    </row>
    <row r="784" spans="2:6">
      <c r="B784" s="19" t="s">
        <v>664</v>
      </c>
      <c r="C784" s="20" t="s">
        <v>665</v>
      </c>
      <c r="D784" s="21" t="s">
        <v>817</v>
      </c>
      <c r="E784" s="22" t="s">
        <v>1716</v>
      </c>
      <c r="F784" s="23" t="str">
        <f>_xlfn.XLOOKUP(D784,'[2]Database DP'!$C:$C,'[2]Database DP'!$F:$F,"Tidak Ditemukan")</f>
        <v>RENDRA</v>
      </c>
    </row>
    <row r="785" spans="2:6">
      <c r="B785" s="19" t="s">
        <v>664</v>
      </c>
      <c r="C785" s="20" t="s">
        <v>665</v>
      </c>
      <c r="D785" s="21" t="s">
        <v>818</v>
      </c>
      <c r="E785" s="22" t="s">
        <v>1716</v>
      </c>
      <c r="F785" s="23" t="str">
        <f>_xlfn.XLOOKUP(D785,'[2]Database DP'!$C:$C,'[2]Database DP'!$F:$F,"Tidak Ditemukan")</f>
        <v>RENDRA</v>
      </c>
    </row>
    <row r="786" spans="2:6">
      <c r="B786" s="19" t="s">
        <v>664</v>
      </c>
      <c r="C786" s="20" t="s">
        <v>665</v>
      </c>
      <c r="D786" s="21" t="s">
        <v>819</v>
      </c>
      <c r="E786" s="22" t="s">
        <v>1716</v>
      </c>
      <c r="F786" s="23" t="str">
        <f>_xlfn.XLOOKUP(D786,'[2]Database DP'!$C:$C,'[2]Database DP'!$F:$F,"Tidak Ditemukan")</f>
        <v>RENDRA</v>
      </c>
    </row>
    <row r="787" spans="2:6">
      <c r="B787" s="19" t="s">
        <v>664</v>
      </c>
      <c r="C787" s="20" t="s">
        <v>665</v>
      </c>
      <c r="D787" s="21" t="s">
        <v>820</v>
      </c>
      <c r="E787" s="22" t="s">
        <v>1716</v>
      </c>
      <c r="F787" s="23" t="str">
        <f>_xlfn.XLOOKUP(D787,'[2]Database DP'!$C:$C,'[2]Database DP'!$F:$F,"Tidak Ditemukan")</f>
        <v>RENDRA</v>
      </c>
    </row>
    <row r="788" spans="2:6">
      <c r="B788" s="19" t="s">
        <v>664</v>
      </c>
      <c r="C788" s="20" t="s">
        <v>665</v>
      </c>
      <c r="D788" s="21" t="s">
        <v>821</v>
      </c>
      <c r="E788" s="22" t="s">
        <v>1716</v>
      </c>
      <c r="F788" s="23" t="str">
        <f>_xlfn.XLOOKUP(D788,'[2]Database DP'!$C:$C,'[2]Database DP'!$F:$F,"Tidak Ditemukan")</f>
        <v>RENDRA</v>
      </c>
    </row>
    <row r="789" spans="2:6">
      <c r="B789" s="19" t="s">
        <v>664</v>
      </c>
      <c r="C789" s="20" t="s">
        <v>665</v>
      </c>
      <c r="D789" s="21" t="s">
        <v>822</v>
      </c>
      <c r="E789" s="22" t="s">
        <v>1716</v>
      </c>
      <c r="F789" s="23" t="str">
        <f>_xlfn.XLOOKUP(D789,'[2]Database DP'!$C:$C,'[2]Database DP'!$F:$F,"Tidak Ditemukan")</f>
        <v>ARIF WIBOWO</v>
      </c>
    </row>
    <row r="790" spans="2:6">
      <c r="B790" s="19" t="s">
        <v>664</v>
      </c>
      <c r="C790" s="20" t="s">
        <v>665</v>
      </c>
      <c r="D790" s="21" t="s">
        <v>823</v>
      </c>
      <c r="E790" s="22" t="s">
        <v>1716</v>
      </c>
      <c r="F790" s="23" t="str">
        <f>_xlfn.XLOOKUP(D790,'[2]Database DP'!$C:$C,'[2]Database DP'!$F:$F,"Tidak Ditemukan")</f>
        <v>ARIF WIBOWO</v>
      </c>
    </row>
    <row r="791" spans="2:6">
      <c r="B791" s="19" t="s">
        <v>664</v>
      </c>
      <c r="C791" s="20" t="s">
        <v>665</v>
      </c>
      <c r="D791" s="21" t="s">
        <v>824</v>
      </c>
      <c r="E791" s="22" t="s">
        <v>1716</v>
      </c>
      <c r="F791" s="23" t="str">
        <f>_xlfn.XLOOKUP(D791,'[2]Database DP'!$C:$C,'[2]Database DP'!$F:$F,"Tidak Ditemukan")</f>
        <v>ARIF WIBOWO</v>
      </c>
    </row>
    <row r="792" spans="2:6">
      <c r="B792" s="19" t="s">
        <v>664</v>
      </c>
      <c r="C792" s="20" t="s">
        <v>665</v>
      </c>
      <c r="D792" s="21" t="s">
        <v>825</v>
      </c>
      <c r="E792" s="22" t="s">
        <v>1716</v>
      </c>
      <c r="F792" s="23" t="str">
        <f>_xlfn.XLOOKUP(D792,'[2]Database DP'!$C:$C,'[2]Database DP'!$F:$F,"Tidak Ditemukan")</f>
        <v>ARIF WIBOWO</v>
      </c>
    </row>
    <row r="793" spans="2:6">
      <c r="B793" s="19" t="s">
        <v>664</v>
      </c>
      <c r="C793" s="20" t="s">
        <v>665</v>
      </c>
      <c r="D793" s="21" t="s">
        <v>826</v>
      </c>
      <c r="E793" s="22" t="s">
        <v>1716</v>
      </c>
      <c r="F793" s="23" t="str">
        <f>_xlfn.XLOOKUP(D793,'[2]Database DP'!$C:$C,'[2]Database DP'!$F:$F,"Tidak Ditemukan")</f>
        <v>ARIF WIBOWO</v>
      </c>
    </row>
    <row r="794" spans="2:6">
      <c r="B794" s="19" t="s">
        <v>664</v>
      </c>
      <c r="C794" s="20" t="s">
        <v>665</v>
      </c>
      <c r="D794" s="21" t="s">
        <v>827</v>
      </c>
      <c r="E794" s="22" t="s">
        <v>1716</v>
      </c>
      <c r="F794" s="23" t="str">
        <f>_xlfn.XLOOKUP(D794,'[2]Database DP'!$C:$C,'[2]Database DP'!$F:$F,"Tidak Ditemukan")</f>
        <v>ARIF WIBOWO</v>
      </c>
    </row>
    <row r="795" spans="2:6">
      <c r="B795" s="19" t="s">
        <v>664</v>
      </c>
      <c r="C795" s="20" t="s">
        <v>665</v>
      </c>
      <c r="D795" s="21" t="s">
        <v>828</v>
      </c>
      <c r="E795" s="22" t="s">
        <v>1716</v>
      </c>
      <c r="F795" s="23" t="str">
        <f>_xlfn.XLOOKUP(D795,'[2]Database DP'!$C:$C,'[2]Database DP'!$F:$F,"Tidak Ditemukan")</f>
        <v>ARIF WIBOWO</v>
      </c>
    </row>
    <row r="796" spans="2:6">
      <c r="B796" s="19" t="s">
        <v>664</v>
      </c>
      <c r="C796" s="20" t="s">
        <v>665</v>
      </c>
      <c r="D796" s="21" t="s">
        <v>829</v>
      </c>
      <c r="E796" s="22" t="s">
        <v>1716</v>
      </c>
      <c r="F796" s="23" t="str">
        <f>_xlfn.XLOOKUP(D796,'[2]Database DP'!$C:$C,'[2]Database DP'!$F:$F,"Tidak Ditemukan")</f>
        <v>ARIF WIBOWO</v>
      </c>
    </row>
    <row r="797" spans="2:6">
      <c r="B797" s="19" t="s">
        <v>664</v>
      </c>
      <c r="C797" s="20" t="s">
        <v>665</v>
      </c>
      <c r="D797" s="21" t="s">
        <v>830</v>
      </c>
      <c r="E797" s="22" t="s">
        <v>1716</v>
      </c>
      <c r="F797" s="23" t="str">
        <f>_xlfn.XLOOKUP(D797,'[2]Database DP'!$C:$C,'[2]Database DP'!$F:$F,"Tidak Ditemukan")</f>
        <v>ARIF WIBOWO</v>
      </c>
    </row>
    <row r="798" spans="2:6">
      <c r="B798" s="19" t="s">
        <v>664</v>
      </c>
      <c r="C798" s="20" t="s">
        <v>665</v>
      </c>
      <c r="D798" s="21" t="s">
        <v>831</v>
      </c>
      <c r="E798" s="22" t="s">
        <v>1716</v>
      </c>
      <c r="F798" s="23" t="str">
        <f>_xlfn.XLOOKUP(D798,'[2]Database DP'!$C:$C,'[2]Database DP'!$F:$F,"Tidak Ditemukan")</f>
        <v>RONY</v>
      </c>
    </row>
    <row r="799" spans="2:6">
      <c r="B799" s="19" t="s">
        <v>664</v>
      </c>
      <c r="C799" s="20" t="s">
        <v>665</v>
      </c>
      <c r="D799" s="21" t="s">
        <v>832</v>
      </c>
      <c r="E799" s="22" t="s">
        <v>1716</v>
      </c>
      <c r="F799" s="23" t="str">
        <f>_xlfn.XLOOKUP(D799,'[2]Database DP'!$C:$C,'[2]Database DP'!$F:$F,"Tidak Ditemukan")</f>
        <v>RONY</v>
      </c>
    </row>
    <row r="800" spans="2:6">
      <c r="B800" s="19" t="s">
        <v>664</v>
      </c>
      <c r="C800" s="20" t="s">
        <v>665</v>
      </c>
      <c r="D800" s="21" t="s">
        <v>833</v>
      </c>
      <c r="E800" s="22" t="s">
        <v>1716</v>
      </c>
      <c r="F800" s="23" t="str">
        <f>_xlfn.XLOOKUP(D800,'[2]Database DP'!$C:$C,'[2]Database DP'!$F:$F,"Tidak Ditemukan")</f>
        <v>RONY</v>
      </c>
    </row>
    <row r="801" spans="2:6">
      <c r="B801" s="19" t="s">
        <v>664</v>
      </c>
      <c r="C801" s="20" t="s">
        <v>665</v>
      </c>
      <c r="D801" s="21" t="s">
        <v>834</v>
      </c>
      <c r="E801" s="22" t="s">
        <v>1716</v>
      </c>
      <c r="F801" s="23" t="str">
        <f>_xlfn.XLOOKUP(D801,'[2]Database DP'!$C:$C,'[2]Database DP'!$F:$F,"Tidak Ditemukan")</f>
        <v>RONY</v>
      </c>
    </row>
    <row r="802" spans="2:6">
      <c r="B802" s="19" t="s">
        <v>664</v>
      </c>
      <c r="C802" s="20" t="s">
        <v>665</v>
      </c>
      <c r="D802" s="21" t="s">
        <v>835</v>
      </c>
      <c r="E802" s="22" t="s">
        <v>1716</v>
      </c>
      <c r="F802" s="23" t="str">
        <f>_xlfn.XLOOKUP(D802,'[2]Database DP'!$C:$C,'[2]Database DP'!$F:$F,"Tidak Ditemukan")</f>
        <v>RONY</v>
      </c>
    </row>
    <row r="803" spans="2:6">
      <c r="B803" s="19" t="s">
        <v>664</v>
      </c>
      <c r="C803" s="20" t="s">
        <v>665</v>
      </c>
      <c r="D803" s="21" t="s">
        <v>836</v>
      </c>
      <c r="E803" s="22" t="s">
        <v>1739</v>
      </c>
      <c r="F803" s="23" t="str">
        <f>_xlfn.XLOOKUP(D803,'[2]Database DP'!$C:$C,'[2]Database DP'!$F:$F,"Tidak Ditemukan")</f>
        <v>RONY</v>
      </c>
    </row>
    <row r="804" spans="2:6">
      <c r="B804" s="19" t="s">
        <v>664</v>
      </c>
      <c r="C804" s="20" t="s">
        <v>665</v>
      </c>
      <c r="D804" s="21" t="s">
        <v>837</v>
      </c>
      <c r="E804" s="22" t="s">
        <v>1739</v>
      </c>
      <c r="F804" s="23" t="str">
        <f>_xlfn.XLOOKUP(D804,'[2]Database DP'!$C:$C,'[2]Database DP'!$F:$F,"Tidak Ditemukan")</f>
        <v>RONY</v>
      </c>
    </row>
    <row r="805" spans="2:6">
      <c r="B805" s="19" t="s">
        <v>664</v>
      </c>
      <c r="C805" s="20" t="s">
        <v>665</v>
      </c>
      <c r="D805" s="21" t="s">
        <v>838</v>
      </c>
      <c r="E805" s="22" t="s">
        <v>1739</v>
      </c>
      <c r="F805" s="23" t="str">
        <f>_xlfn.XLOOKUP(D805,'[2]Database DP'!$C:$C,'[2]Database DP'!$F:$F,"Tidak Ditemukan")</f>
        <v>RONY</v>
      </c>
    </row>
    <row r="806" spans="2:6">
      <c r="B806" s="19" t="s">
        <v>664</v>
      </c>
      <c r="C806" s="20" t="s">
        <v>665</v>
      </c>
      <c r="D806" s="21" t="s">
        <v>839</v>
      </c>
      <c r="E806" s="22" t="s">
        <v>1716</v>
      </c>
      <c r="F806" s="23" t="str">
        <f>_xlfn.XLOOKUP(D806,'[2]Database DP'!$C:$C,'[2]Database DP'!$F:$F,"Tidak Ditemukan")</f>
        <v>RONY</v>
      </c>
    </row>
    <row r="807" spans="2:6">
      <c r="B807" s="19" t="s">
        <v>664</v>
      </c>
      <c r="C807" s="20" t="s">
        <v>665</v>
      </c>
      <c r="D807" s="21" t="s">
        <v>840</v>
      </c>
      <c r="E807" s="22" t="s">
        <v>1716</v>
      </c>
      <c r="F807" s="23" t="str">
        <f>_xlfn.XLOOKUP(D807,'[2]Database DP'!$C:$C,'[2]Database DP'!$F:$F,"Tidak Ditemukan")</f>
        <v>RONY</v>
      </c>
    </row>
    <row r="808" spans="2:6">
      <c r="B808" s="19" t="s">
        <v>664</v>
      </c>
      <c r="C808" s="20" t="s">
        <v>665</v>
      </c>
      <c r="D808" s="21" t="s">
        <v>841</v>
      </c>
      <c r="E808" s="22" t="s">
        <v>1716</v>
      </c>
      <c r="F808" s="23" t="str">
        <f>_xlfn.XLOOKUP(D808,'[2]Database DP'!$C:$C,'[2]Database DP'!$F:$F,"Tidak Ditemukan")</f>
        <v>SULIS</v>
      </c>
    </row>
    <row r="809" spans="2:6">
      <c r="B809" s="19" t="s">
        <v>664</v>
      </c>
      <c r="C809" s="20" t="s">
        <v>665</v>
      </c>
      <c r="D809" s="21" t="s">
        <v>842</v>
      </c>
      <c r="E809" s="22" t="s">
        <v>1716</v>
      </c>
      <c r="F809" s="23" t="str">
        <f>_xlfn.XLOOKUP(D809,'[2]Database DP'!$C:$C,'[2]Database DP'!$F:$F,"Tidak Ditemukan")</f>
        <v>SULIS</v>
      </c>
    </row>
    <row r="810" spans="2:6">
      <c r="B810" s="19" t="s">
        <v>664</v>
      </c>
      <c r="C810" s="20" t="s">
        <v>665</v>
      </c>
      <c r="D810" s="21" t="s">
        <v>843</v>
      </c>
      <c r="E810" s="22" t="s">
        <v>1716</v>
      </c>
      <c r="F810" s="23" t="str">
        <f>_xlfn.XLOOKUP(D810,'[2]Database DP'!$C:$C,'[2]Database DP'!$F:$F,"Tidak Ditemukan")</f>
        <v>SULIS</v>
      </c>
    </row>
    <row r="811" spans="2:6">
      <c r="B811" s="19" t="s">
        <v>664</v>
      </c>
      <c r="C811" s="20" t="s">
        <v>665</v>
      </c>
      <c r="D811" s="21" t="s">
        <v>844</v>
      </c>
      <c r="E811" s="22" t="s">
        <v>1716</v>
      </c>
      <c r="F811" s="23" t="str">
        <f>_xlfn.XLOOKUP(D811,'[2]Database DP'!$C:$C,'[2]Database DP'!$F:$F,"Tidak Ditemukan")</f>
        <v>SULIS</v>
      </c>
    </row>
    <row r="812" spans="2:6">
      <c r="B812" s="19" t="s">
        <v>664</v>
      </c>
      <c r="C812" s="20" t="s">
        <v>665</v>
      </c>
      <c r="D812" s="21" t="s">
        <v>845</v>
      </c>
      <c r="E812" s="22" t="s">
        <v>1716</v>
      </c>
      <c r="F812" s="23" t="str">
        <f>_xlfn.XLOOKUP(D812,'[2]Database DP'!$C:$C,'[2]Database DP'!$F:$F,"Tidak Ditemukan")</f>
        <v>SULIS</v>
      </c>
    </row>
    <row r="813" spans="2:6">
      <c r="B813" s="19" t="s">
        <v>664</v>
      </c>
      <c r="C813" s="20" t="s">
        <v>665</v>
      </c>
      <c r="D813" s="21" t="s">
        <v>846</v>
      </c>
      <c r="E813" s="22" t="s">
        <v>1716</v>
      </c>
      <c r="F813" s="23" t="str">
        <f>_xlfn.XLOOKUP(D813,'[2]Database DP'!$C:$C,'[2]Database DP'!$F:$F,"Tidak Ditemukan")</f>
        <v>SULIS</v>
      </c>
    </row>
    <row r="814" spans="2:6">
      <c r="B814" s="19" t="s">
        <v>664</v>
      </c>
      <c r="C814" s="20" t="s">
        <v>665</v>
      </c>
      <c r="D814" s="21" t="s">
        <v>847</v>
      </c>
      <c r="E814" s="22" t="s">
        <v>1716</v>
      </c>
      <c r="F814" s="23" t="str">
        <f>_xlfn.XLOOKUP(D814,'[2]Database DP'!$C:$C,'[2]Database DP'!$F:$F,"Tidak Ditemukan")</f>
        <v>SULIS</v>
      </c>
    </row>
    <row r="815" spans="2:6">
      <c r="B815" s="19" t="s">
        <v>664</v>
      </c>
      <c r="C815" s="20" t="s">
        <v>665</v>
      </c>
      <c r="D815" s="21" t="s">
        <v>848</v>
      </c>
      <c r="E815" s="22" t="s">
        <v>1716</v>
      </c>
      <c r="F815" s="23" t="str">
        <f>_xlfn.XLOOKUP(D815,'[2]Database DP'!$C:$C,'[2]Database DP'!$F:$F,"Tidak Ditemukan")</f>
        <v>SULIS</v>
      </c>
    </row>
    <row r="816" spans="2:6">
      <c r="B816" s="19" t="s">
        <v>664</v>
      </c>
      <c r="C816" s="20" t="s">
        <v>665</v>
      </c>
      <c r="D816" s="21" t="s">
        <v>849</v>
      </c>
      <c r="E816" s="22" t="s">
        <v>1716</v>
      </c>
      <c r="F816" s="23" t="str">
        <f>_xlfn.XLOOKUP(D816,'[2]Database DP'!$C:$C,'[2]Database DP'!$F:$F,"Tidak Ditemukan")</f>
        <v>RIZKY</v>
      </c>
    </row>
    <row r="817" spans="2:6">
      <c r="B817" s="19" t="s">
        <v>664</v>
      </c>
      <c r="C817" s="20" t="s">
        <v>665</v>
      </c>
      <c r="D817" s="21" t="s">
        <v>850</v>
      </c>
      <c r="E817" s="22" t="s">
        <v>1716</v>
      </c>
      <c r="F817" s="23" t="str">
        <f>_xlfn.XLOOKUP(D817,'[2]Database DP'!$C:$C,'[2]Database DP'!$F:$F,"Tidak Ditemukan")</f>
        <v>RIZKY</v>
      </c>
    </row>
    <row r="818" spans="2:6">
      <c r="B818" s="19" t="s">
        <v>664</v>
      </c>
      <c r="C818" s="20" t="s">
        <v>665</v>
      </c>
      <c r="D818" s="21" t="s">
        <v>851</v>
      </c>
      <c r="E818" s="22" t="s">
        <v>1716</v>
      </c>
      <c r="F818" s="23" t="str">
        <f>_xlfn.XLOOKUP(D818,'[2]Database DP'!$C:$C,'[2]Database DP'!$F:$F,"Tidak Ditemukan")</f>
        <v>RIZKY</v>
      </c>
    </row>
    <row r="819" spans="2:6">
      <c r="B819" s="19" t="s">
        <v>664</v>
      </c>
      <c r="C819" s="20" t="s">
        <v>665</v>
      </c>
      <c r="D819" s="21" t="s">
        <v>852</v>
      </c>
      <c r="E819" s="22" t="s">
        <v>1716</v>
      </c>
      <c r="F819" s="23" t="str">
        <f>_xlfn.XLOOKUP(D819,'[2]Database DP'!$C:$C,'[2]Database DP'!$F:$F,"Tidak Ditemukan")</f>
        <v>RIZKY</v>
      </c>
    </row>
    <row r="820" spans="2:6">
      <c r="B820" s="19" t="s">
        <v>664</v>
      </c>
      <c r="C820" s="20" t="s">
        <v>665</v>
      </c>
      <c r="D820" s="21" t="s">
        <v>853</v>
      </c>
      <c r="E820" s="22" t="s">
        <v>1716</v>
      </c>
      <c r="F820" s="23" t="str">
        <f>_xlfn.XLOOKUP(D820,'[2]Database DP'!$C:$C,'[2]Database DP'!$F:$F,"Tidak Ditemukan")</f>
        <v>RIZKY</v>
      </c>
    </row>
    <row r="821" spans="2:6">
      <c r="B821" s="19" t="s">
        <v>664</v>
      </c>
      <c r="C821" s="20" t="s">
        <v>665</v>
      </c>
      <c r="D821" s="21" t="s">
        <v>854</v>
      </c>
      <c r="E821" s="22" t="s">
        <v>1716</v>
      </c>
      <c r="F821" s="23" t="str">
        <f>_xlfn.XLOOKUP(D821,'[2]Database DP'!$C:$C,'[2]Database DP'!$F:$F,"Tidak Ditemukan")</f>
        <v>RIZKY</v>
      </c>
    </row>
    <row r="822" spans="2:6">
      <c r="B822" s="19" t="s">
        <v>664</v>
      </c>
      <c r="C822" s="20" t="s">
        <v>665</v>
      </c>
      <c r="D822" s="21" t="s">
        <v>855</v>
      </c>
      <c r="E822" s="22" t="s">
        <v>1716</v>
      </c>
      <c r="F822" s="23" t="str">
        <f>_xlfn.XLOOKUP(D822,'[2]Database DP'!$C:$C,'[2]Database DP'!$F:$F,"Tidak Ditemukan")</f>
        <v>RIZKY</v>
      </c>
    </row>
    <row r="823" spans="2:6">
      <c r="B823" s="19" t="s">
        <v>664</v>
      </c>
      <c r="C823" s="20" t="s">
        <v>665</v>
      </c>
      <c r="D823" s="21" t="s">
        <v>856</v>
      </c>
      <c r="E823" s="22" t="s">
        <v>1716</v>
      </c>
      <c r="F823" s="23" t="str">
        <f>_xlfn.XLOOKUP(D823,'[2]Database DP'!$C:$C,'[2]Database DP'!$F:$F,"Tidak Ditemukan")</f>
        <v>WAWAN</v>
      </c>
    </row>
    <row r="824" spans="2:6">
      <c r="B824" s="19" t="s">
        <v>664</v>
      </c>
      <c r="C824" s="20" t="s">
        <v>665</v>
      </c>
      <c r="D824" s="21" t="s">
        <v>857</v>
      </c>
      <c r="E824" s="22" t="s">
        <v>1716</v>
      </c>
      <c r="F824" s="23" t="str">
        <f>_xlfn.XLOOKUP(D824,'[2]Database DP'!$C:$C,'[2]Database DP'!$F:$F,"Tidak Ditemukan")</f>
        <v>WAWAN</v>
      </c>
    </row>
    <row r="825" spans="2:6">
      <c r="B825" s="19" t="s">
        <v>664</v>
      </c>
      <c r="C825" s="20" t="s">
        <v>665</v>
      </c>
      <c r="D825" s="21" t="s">
        <v>858</v>
      </c>
      <c r="E825" s="22" t="s">
        <v>1716</v>
      </c>
      <c r="F825" s="23" t="str">
        <f>_xlfn.XLOOKUP(D825,'[2]Database DP'!$C:$C,'[2]Database DP'!$F:$F,"Tidak Ditemukan")</f>
        <v>WAWAN</v>
      </c>
    </row>
    <row r="826" spans="2:6">
      <c r="B826" s="19" t="s">
        <v>664</v>
      </c>
      <c r="C826" s="20" t="s">
        <v>665</v>
      </c>
      <c r="D826" s="21" t="s">
        <v>859</v>
      </c>
      <c r="E826" s="22" t="s">
        <v>1716</v>
      </c>
      <c r="F826" s="23" t="str">
        <f>_xlfn.XLOOKUP(D826,'[2]Database DP'!$C:$C,'[2]Database DP'!$F:$F,"Tidak Ditemukan")</f>
        <v>WAWAN</v>
      </c>
    </row>
    <row r="827" spans="2:6">
      <c r="B827" s="19" t="s">
        <v>664</v>
      </c>
      <c r="C827" s="20" t="s">
        <v>665</v>
      </c>
      <c r="D827" s="21" t="s">
        <v>860</v>
      </c>
      <c r="E827" s="22" t="s">
        <v>1716</v>
      </c>
      <c r="F827" s="23" t="str">
        <f>_xlfn.XLOOKUP(D827,'[2]Database DP'!$C:$C,'[2]Database DP'!$F:$F,"Tidak Ditemukan")</f>
        <v>WAWAN</v>
      </c>
    </row>
    <row r="828" spans="2:6">
      <c r="B828" s="19" t="s">
        <v>664</v>
      </c>
      <c r="C828" s="20" t="s">
        <v>665</v>
      </c>
      <c r="D828" s="21" t="s">
        <v>861</v>
      </c>
      <c r="E828" s="22" t="s">
        <v>1716</v>
      </c>
      <c r="F828" s="23" t="str">
        <f>_xlfn.XLOOKUP(D828,'[2]Database DP'!$C:$C,'[2]Database DP'!$F:$F,"Tidak Ditemukan")</f>
        <v>WAWAN</v>
      </c>
    </row>
    <row r="829" spans="2:6">
      <c r="B829" s="19" t="s">
        <v>664</v>
      </c>
      <c r="C829" s="20" t="s">
        <v>665</v>
      </c>
      <c r="D829" s="21" t="s">
        <v>862</v>
      </c>
      <c r="E829" s="22" t="s">
        <v>1716</v>
      </c>
      <c r="F829" s="23" t="str">
        <f>_xlfn.XLOOKUP(D829,'[2]Database DP'!$C:$C,'[2]Database DP'!$F:$F,"Tidak Ditemukan")</f>
        <v>WAWAN</v>
      </c>
    </row>
    <row r="830" spans="2:6">
      <c r="B830" s="19" t="s">
        <v>664</v>
      </c>
      <c r="C830" s="20" t="s">
        <v>665</v>
      </c>
      <c r="D830" s="21" t="s">
        <v>863</v>
      </c>
      <c r="E830" s="22" t="s">
        <v>1716</v>
      </c>
      <c r="F830" s="23" t="str">
        <f>_xlfn.XLOOKUP(D830,'[2]Database DP'!$C:$C,'[2]Database DP'!$F:$F,"Tidak Ditemukan")</f>
        <v>WAWAN</v>
      </c>
    </row>
    <row r="831" spans="2:6">
      <c r="B831" s="19" t="s">
        <v>664</v>
      </c>
      <c r="C831" s="20" t="s">
        <v>665</v>
      </c>
      <c r="D831" s="21" t="s">
        <v>864</v>
      </c>
      <c r="E831" s="22" t="s">
        <v>1716</v>
      </c>
      <c r="F831" s="23" t="str">
        <f>_xlfn.XLOOKUP(D831,'[2]Database DP'!$C:$C,'[2]Database DP'!$F:$F,"Tidak Ditemukan")</f>
        <v>WAWAN</v>
      </c>
    </row>
    <row r="832" spans="2:6">
      <c r="B832" s="19" t="s">
        <v>664</v>
      </c>
      <c r="C832" s="20" t="s">
        <v>665</v>
      </c>
      <c r="D832" s="21" t="s">
        <v>865</v>
      </c>
      <c r="E832" s="22" t="s">
        <v>1716</v>
      </c>
      <c r="F832" s="23" t="str">
        <f>_xlfn.XLOOKUP(D832,'[2]Database DP'!$C:$C,'[2]Database DP'!$F:$F,"Tidak Ditemukan")</f>
        <v>WAWAN</v>
      </c>
    </row>
    <row r="833" spans="2:6">
      <c r="B833" s="19" t="s">
        <v>664</v>
      </c>
      <c r="C833" s="20" t="s">
        <v>665</v>
      </c>
      <c r="D833" s="21" t="s">
        <v>866</v>
      </c>
      <c r="E833" s="22" t="s">
        <v>1716</v>
      </c>
      <c r="F833" s="23" t="str">
        <f>_xlfn.XLOOKUP(D833,'[2]Database DP'!$C:$C,'[2]Database DP'!$F:$F,"Tidak Ditemukan")</f>
        <v>WAWAN</v>
      </c>
    </row>
    <row r="834" spans="2:6">
      <c r="B834" s="19" t="s">
        <v>664</v>
      </c>
      <c r="C834" s="20" t="s">
        <v>665</v>
      </c>
      <c r="D834" s="21" t="s">
        <v>867</v>
      </c>
      <c r="E834" s="22" t="s">
        <v>1716</v>
      </c>
      <c r="F834" s="23" t="str">
        <f>_xlfn.XLOOKUP(D834,'[2]Database DP'!$C:$C,'[2]Database DP'!$F:$F,"Tidak Ditemukan")</f>
        <v>WAWAN</v>
      </c>
    </row>
    <row r="835" spans="2:6">
      <c r="B835" s="19" t="s">
        <v>664</v>
      </c>
      <c r="C835" s="20" t="s">
        <v>665</v>
      </c>
      <c r="D835" s="21" t="s">
        <v>868</v>
      </c>
      <c r="E835" s="22" t="s">
        <v>1716</v>
      </c>
      <c r="F835" s="23" t="str">
        <f>_xlfn.XLOOKUP(D835,'[2]Database DP'!$C:$C,'[2]Database DP'!$F:$F,"Tidak Ditemukan")</f>
        <v>YANUAR</v>
      </c>
    </row>
    <row r="836" spans="2:6">
      <c r="B836" s="19" t="s">
        <v>664</v>
      </c>
      <c r="C836" s="20" t="s">
        <v>665</v>
      </c>
      <c r="D836" s="21" t="s">
        <v>869</v>
      </c>
      <c r="E836" s="22" t="s">
        <v>1716</v>
      </c>
      <c r="F836" s="23" t="str">
        <f>_xlfn.XLOOKUP(D836,'[2]Database DP'!$C:$C,'[2]Database DP'!$F:$F,"Tidak Ditemukan")</f>
        <v>YANUAR</v>
      </c>
    </row>
    <row r="837" spans="2:6">
      <c r="B837" s="19" t="s">
        <v>664</v>
      </c>
      <c r="C837" s="20" t="s">
        <v>665</v>
      </c>
      <c r="D837" s="21" t="s">
        <v>870</v>
      </c>
      <c r="E837" s="22" t="s">
        <v>1716</v>
      </c>
      <c r="F837" s="23" t="str">
        <f>_xlfn.XLOOKUP(D837,'[2]Database DP'!$C:$C,'[2]Database DP'!$F:$F,"Tidak Ditemukan")</f>
        <v>YANUAR</v>
      </c>
    </row>
    <row r="838" spans="2:6">
      <c r="B838" s="19" t="s">
        <v>664</v>
      </c>
      <c r="C838" s="20" t="s">
        <v>665</v>
      </c>
      <c r="D838" s="21" t="s">
        <v>871</v>
      </c>
      <c r="E838" s="22" t="s">
        <v>1716</v>
      </c>
      <c r="F838" s="23" t="str">
        <f>_xlfn.XLOOKUP(D838,'[2]Database DP'!$C:$C,'[2]Database DP'!$F:$F,"Tidak Ditemukan")</f>
        <v>YANUAR</v>
      </c>
    </row>
    <row r="839" spans="2:6">
      <c r="B839" s="19" t="s">
        <v>664</v>
      </c>
      <c r="C839" s="20" t="s">
        <v>665</v>
      </c>
      <c r="D839" s="21" t="s">
        <v>872</v>
      </c>
      <c r="E839" s="22" t="s">
        <v>1716</v>
      </c>
      <c r="F839" s="23" t="str">
        <f>_xlfn.XLOOKUP(D839,'[2]Database DP'!$C:$C,'[2]Database DP'!$F:$F,"Tidak Ditemukan")</f>
        <v>YANUAR</v>
      </c>
    </row>
    <row r="840" spans="2:6">
      <c r="B840" s="19" t="s">
        <v>664</v>
      </c>
      <c r="C840" s="20" t="s">
        <v>665</v>
      </c>
      <c r="D840" s="21" t="s">
        <v>873</v>
      </c>
      <c r="E840" s="22" t="s">
        <v>1716</v>
      </c>
      <c r="F840" s="23" t="str">
        <f>_xlfn.XLOOKUP(D840,'[2]Database DP'!$C:$C,'[2]Database DP'!$F:$F,"Tidak Ditemukan")</f>
        <v>YANUAR</v>
      </c>
    </row>
    <row r="841" spans="2:6">
      <c r="B841" s="19" t="s">
        <v>664</v>
      </c>
      <c r="C841" s="20" t="s">
        <v>665</v>
      </c>
      <c r="D841" s="21" t="s">
        <v>874</v>
      </c>
      <c r="E841" s="22" t="s">
        <v>1716</v>
      </c>
      <c r="F841" s="23" t="str">
        <f>_xlfn.XLOOKUP(D841,'[2]Database DP'!$C:$C,'[2]Database DP'!$F:$F,"Tidak Ditemukan")</f>
        <v>YANUAR</v>
      </c>
    </row>
    <row r="842" spans="2:6">
      <c r="B842" s="19" t="s">
        <v>664</v>
      </c>
      <c r="C842" s="20" t="s">
        <v>665</v>
      </c>
      <c r="D842" s="21" t="s">
        <v>875</v>
      </c>
      <c r="E842" s="22" t="s">
        <v>1716</v>
      </c>
      <c r="F842" s="23" t="str">
        <f>_xlfn.XLOOKUP(D842,'[2]Database DP'!$C:$C,'[2]Database DP'!$F:$F,"Tidak Ditemukan")</f>
        <v>YANUAR</v>
      </c>
    </row>
    <row r="843" spans="2:6">
      <c r="B843" s="19" t="s">
        <v>664</v>
      </c>
      <c r="C843" s="20" t="s">
        <v>665</v>
      </c>
      <c r="D843" s="21" t="s">
        <v>876</v>
      </c>
      <c r="E843" s="22" t="s">
        <v>1716</v>
      </c>
      <c r="F843" s="23" t="str">
        <f>_xlfn.XLOOKUP(D843,'[2]Database DP'!$C:$C,'[2]Database DP'!$F:$F,"Tidak Ditemukan")</f>
        <v>YANUAR</v>
      </c>
    </row>
    <row r="844" spans="2:6">
      <c r="B844" s="19" t="s">
        <v>664</v>
      </c>
      <c r="C844" s="20" t="s">
        <v>665</v>
      </c>
      <c r="D844" s="21" t="s">
        <v>877</v>
      </c>
      <c r="E844" s="22" t="s">
        <v>1716</v>
      </c>
      <c r="F844" s="23" t="str">
        <f>_xlfn.XLOOKUP(D844,'[2]Database DP'!$C:$C,'[2]Database DP'!$F:$F,"Tidak Ditemukan")</f>
        <v>YANUAR</v>
      </c>
    </row>
    <row r="845" spans="2:6">
      <c r="B845" s="19" t="s">
        <v>664</v>
      </c>
      <c r="C845" s="20" t="s">
        <v>665</v>
      </c>
      <c r="D845" s="21" t="s">
        <v>878</v>
      </c>
      <c r="E845" s="22" t="s">
        <v>1716</v>
      </c>
      <c r="F845" s="23" t="str">
        <f>_xlfn.XLOOKUP(D845,'[2]Database DP'!$C:$C,'[2]Database DP'!$F:$F,"Tidak Ditemukan")</f>
        <v>YANUAR</v>
      </c>
    </row>
    <row r="846" spans="2:6">
      <c r="B846" s="19" t="s">
        <v>664</v>
      </c>
      <c r="C846" s="20" t="s">
        <v>665</v>
      </c>
      <c r="D846" s="21" t="s">
        <v>879</v>
      </c>
      <c r="E846" s="22" t="s">
        <v>1716</v>
      </c>
      <c r="F846" s="23" t="str">
        <f>_xlfn.XLOOKUP(D846,'[2]Database DP'!$C:$C,'[2]Database DP'!$F:$F,"Tidak Ditemukan")</f>
        <v>YUDHA BRB</v>
      </c>
    </row>
    <row r="847" spans="2:6">
      <c r="B847" s="19" t="s">
        <v>664</v>
      </c>
      <c r="C847" s="20" t="s">
        <v>665</v>
      </c>
      <c r="D847" s="21" t="s">
        <v>880</v>
      </c>
      <c r="E847" s="22" t="s">
        <v>1716</v>
      </c>
      <c r="F847" s="23" t="str">
        <f>_xlfn.XLOOKUP(D847,'[2]Database DP'!$C:$C,'[2]Database DP'!$F:$F,"Tidak Ditemukan")</f>
        <v>YUDHA BRB</v>
      </c>
    </row>
    <row r="848" spans="2:6">
      <c r="B848" s="19" t="s">
        <v>664</v>
      </c>
      <c r="C848" s="20" t="s">
        <v>665</v>
      </c>
      <c r="D848" s="21" t="s">
        <v>881</v>
      </c>
      <c r="E848" s="22" t="s">
        <v>1716</v>
      </c>
      <c r="F848" s="23" t="str">
        <f>_xlfn.XLOOKUP(D848,'[2]Database DP'!$C:$C,'[2]Database DP'!$F:$F,"Tidak Ditemukan")</f>
        <v>YUDHA BRB</v>
      </c>
    </row>
    <row r="849" spans="2:6">
      <c r="B849" s="19" t="s">
        <v>664</v>
      </c>
      <c r="C849" s="20" t="s">
        <v>665</v>
      </c>
      <c r="D849" s="21" t="s">
        <v>882</v>
      </c>
      <c r="E849" s="22" t="s">
        <v>1716</v>
      </c>
      <c r="F849" s="23" t="str">
        <f>_xlfn.XLOOKUP(D849,'[2]Database DP'!$C:$C,'[2]Database DP'!$F:$F,"Tidak Ditemukan")</f>
        <v>YUDHA BRB</v>
      </c>
    </row>
    <row r="850" spans="2:6">
      <c r="B850" s="19" t="s">
        <v>664</v>
      </c>
      <c r="C850" s="20" t="s">
        <v>665</v>
      </c>
      <c r="D850" s="21" t="s">
        <v>883</v>
      </c>
      <c r="E850" s="22" t="s">
        <v>1716</v>
      </c>
      <c r="F850" s="23" t="str">
        <f>_xlfn.XLOOKUP(D850,'[2]Database DP'!$C:$C,'[2]Database DP'!$F:$F,"Tidak Ditemukan")</f>
        <v>YUDHA BRB</v>
      </c>
    </row>
    <row r="851" spans="2:6">
      <c r="B851" s="19" t="s">
        <v>664</v>
      </c>
      <c r="C851" s="20" t="s">
        <v>665</v>
      </c>
      <c r="D851" s="21" t="s">
        <v>884</v>
      </c>
      <c r="E851" s="22" t="s">
        <v>1716</v>
      </c>
      <c r="F851" s="23" t="str">
        <f>_xlfn.XLOOKUP(D851,'[2]Database DP'!$C:$C,'[2]Database DP'!$F:$F,"Tidak Ditemukan")</f>
        <v>YUDHA BRB</v>
      </c>
    </row>
    <row r="852" spans="2:6">
      <c r="B852" s="19" t="s">
        <v>664</v>
      </c>
      <c r="C852" s="20" t="s">
        <v>665</v>
      </c>
      <c r="D852" s="21" t="s">
        <v>885</v>
      </c>
      <c r="E852" s="22" t="s">
        <v>1716</v>
      </c>
      <c r="F852" s="23" t="str">
        <f>_xlfn.XLOOKUP(D852,'[2]Database DP'!$C:$C,'[2]Database DP'!$F:$F,"Tidak Ditemukan")</f>
        <v>YUDHA BRB</v>
      </c>
    </row>
    <row r="853" spans="2:6">
      <c r="B853" s="19" t="s">
        <v>664</v>
      </c>
      <c r="C853" s="20" t="s">
        <v>665</v>
      </c>
      <c r="D853" s="21" t="s">
        <v>886</v>
      </c>
      <c r="E853" s="22" t="s">
        <v>1716</v>
      </c>
      <c r="F853" s="23" t="str">
        <f>_xlfn.XLOOKUP(D853,'[2]Database DP'!$C:$C,'[2]Database DP'!$F:$F,"Tidak Ditemukan")</f>
        <v>YUDHA BRB</v>
      </c>
    </row>
    <row r="854" spans="2:6">
      <c r="B854" s="19" t="s">
        <v>664</v>
      </c>
      <c r="C854" s="20" t="s">
        <v>665</v>
      </c>
      <c r="D854" s="21" t="s">
        <v>887</v>
      </c>
      <c r="E854" s="22" t="s">
        <v>1716</v>
      </c>
      <c r="F854" s="23" t="str">
        <f>_xlfn.XLOOKUP(D854,'[2]Database DP'!$C:$C,'[2]Database DP'!$F:$F,"Tidak Ditemukan")</f>
        <v>YUDHA BRB</v>
      </c>
    </row>
    <row r="855" spans="2:6">
      <c r="B855" s="19" t="s">
        <v>664</v>
      </c>
      <c r="C855" s="20" t="s">
        <v>665</v>
      </c>
      <c r="D855" s="21" t="s">
        <v>888</v>
      </c>
      <c r="E855" s="22" t="s">
        <v>1716</v>
      </c>
      <c r="F855" s="23" t="str">
        <f>_xlfn.XLOOKUP(D855,'[2]Database DP'!$C:$C,'[2]Database DP'!$F:$F,"Tidak Ditemukan")</f>
        <v>YUDHA BRB</v>
      </c>
    </row>
    <row r="856" spans="2:6">
      <c r="B856" s="19" t="s">
        <v>664</v>
      </c>
      <c r="C856" s="20" t="s">
        <v>665</v>
      </c>
      <c r="D856" s="21" t="s">
        <v>889</v>
      </c>
      <c r="E856" s="22" t="s">
        <v>1716</v>
      </c>
      <c r="F856" s="23" t="str">
        <f>_xlfn.XLOOKUP(D856,'[2]Database DP'!$C:$C,'[2]Database DP'!$F:$F,"Tidak Ditemukan")</f>
        <v>YUDHA BRB</v>
      </c>
    </row>
    <row r="857" spans="2:6">
      <c r="B857" s="19" t="s">
        <v>664</v>
      </c>
      <c r="C857" s="20" t="s">
        <v>665</v>
      </c>
      <c r="D857" s="21" t="s">
        <v>890</v>
      </c>
      <c r="E857" s="22" t="s">
        <v>1716</v>
      </c>
      <c r="F857" s="23" t="str">
        <f>_xlfn.XLOOKUP(D857,'[2]Database DP'!$C:$C,'[2]Database DP'!$F:$F,"Tidak Ditemukan")</f>
        <v>YUDHA BRB</v>
      </c>
    </row>
    <row r="858" spans="2:6">
      <c r="B858" s="19" t="s">
        <v>664</v>
      </c>
      <c r="C858" s="20" t="s">
        <v>665</v>
      </c>
      <c r="D858" s="21" t="s">
        <v>891</v>
      </c>
      <c r="E858" s="22" t="s">
        <v>1716</v>
      </c>
      <c r="F858" s="23" t="str">
        <f>_xlfn.XLOOKUP(D858,'[2]Database DP'!$C:$C,'[2]Database DP'!$F:$F,"Tidak Ditemukan")</f>
        <v>YUDHA BRB</v>
      </c>
    </row>
    <row r="859" spans="2:6">
      <c r="B859" s="19" t="s">
        <v>664</v>
      </c>
      <c r="C859" s="20" t="s">
        <v>665</v>
      </c>
      <c r="D859" s="21" t="s">
        <v>892</v>
      </c>
      <c r="E859" s="22" t="s">
        <v>1716</v>
      </c>
      <c r="F859" s="23" t="str">
        <f>_xlfn.XLOOKUP(D859,'[2]Database DP'!$C:$C,'[2]Database DP'!$F:$F,"Tidak Ditemukan")</f>
        <v>YUDHA BRB</v>
      </c>
    </row>
    <row r="860" spans="2:6">
      <c r="B860" s="19" t="s">
        <v>664</v>
      </c>
      <c r="C860" s="20" t="s">
        <v>665</v>
      </c>
      <c r="D860" s="21" t="s">
        <v>893</v>
      </c>
      <c r="E860" s="22" t="s">
        <v>1716</v>
      </c>
      <c r="F860" s="23" t="str">
        <f>_xlfn.XLOOKUP(D860,'[2]Database DP'!$C:$C,'[2]Database DP'!$F:$F,"Tidak Ditemukan")</f>
        <v>YUDHA BRB</v>
      </c>
    </row>
    <row r="861" spans="2:6">
      <c r="B861" s="19" t="s">
        <v>664</v>
      </c>
      <c r="C861" s="20" t="s">
        <v>665</v>
      </c>
      <c r="D861" s="21" t="s">
        <v>894</v>
      </c>
      <c r="E861" s="22" t="s">
        <v>1716</v>
      </c>
      <c r="F861" s="23" t="str">
        <f>_xlfn.XLOOKUP(D861,'[2]Database DP'!$C:$C,'[2]Database DP'!$F:$F,"Tidak Ditemukan")</f>
        <v>ZAENAL</v>
      </c>
    </row>
    <row r="862" spans="2:6">
      <c r="B862" s="19" t="s">
        <v>664</v>
      </c>
      <c r="C862" s="20" t="s">
        <v>665</v>
      </c>
      <c r="D862" s="21" t="s">
        <v>895</v>
      </c>
      <c r="E862" s="22" t="s">
        <v>1716</v>
      </c>
      <c r="F862" s="23" t="str">
        <f>_xlfn.XLOOKUP(D862,'[2]Database DP'!$C:$C,'[2]Database DP'!$F:$F,"Tidak Ditemukan")</f>
        <v>ZAENAL</v>
      </c>
    </row>
    <row r="863" spans="2:6">
      <c r="B863" s="19" t="s">
        <v>664</v>
      </c>
      <c r="C863" s="20" t="s">
        <v>665</v>
      </c>
      <c r="D863" s="21" t="s">
        <v>896</v>
      </c>
      <c r="E863" s="22" t="s">
        <v>1716</v>
      </c>
      <c r="F863" s="23" t="str">
        <f>_xlfn.XLOOKUP(D863,'[2]Database DP'!$C:$C,'[2]Database DP'!$F:$F,"Tidak Ditemukan")</f>
        <v>ZAENAL</v>
      </c>
    </row>
    <row r="864" spans="2:6">
      <c r="B864" s="19" t="s">
        <v>664</v>
      </c>
      <c r="C864" s="20" t="s">
        <v>665</v>
      </c>
      <c r="D864" s="21" t="s">
        <v>897</v>
      </c>
      <c r="E864" s="22" t="s">
        <v>1716</v>
      </c>
      <c r="F864" s="23" t="str">
        <f>_xlfn.XLOOKUP(D864,'[2]Database DP'!$C:$C,'[2]Database DP'!$F:$F,"Tidak Ditemukan")</f>
        <v>ZAENAL</v>
      </c>
    </row>
    <row r="865" spans="2:6">
      <c r="B865" s="19" t="s">
        <v>664</v>
      </c>
      <c r="C865" s="20" t="s">
        <v>665</v>
      </c>
      <c r="D865" s="21" t="s">
        <v>898</v>
      </c>
      <c r="E865" s="22" t="s">
        <v>1716</v>
      </c>
      <c r="F865" s="23" t="str">
        <f>_xlfn.XLOOKUP(D865,'[2]Database DP'!$C:$C,'[2]Database DP'!$F:$F,"Tidak Ditemukan")</f>
        <v>ZAENAL</v>
      </c>
    </row>
    <row r="866" spans="2:6">
      <c r="B866" s="19" t="s">
        <v>664</v>
      </c>
      <c r="C866" s="20" t="s">
        <v>665</v>
      </c>
      <c r="D866" s="21" t="s">
        <v>899</v>
      </c>
      <c r="E866" s="22" t="s">
        <v>1716</v>
      </c>
      <c r="F866" s="23" t="str">
        <f>_xlfn.XLOOKUP(D866,'[2]Database DP'!$C:$C,'[2]Database DP'!$F:$F,"Tidak Ditemukan")</f>
        <v>ZAENAL</v>
      </c>
    </row>
    <row r="867" spans="2:6">
      <c r="B867" s="19" t="s">
        <v>664</v>
      </c>
      <c r="C867" s="20" t="s">
        <v>665</v>
      </c>
      <c r="D867" s="21" t="s">
        <v>900</v>
      </c>
      <c r="E867" s="22" t="s">
        <v>1716</v>
      </c>
      <c r="F867" s="23" t="str">
        <f>_xlfn.XLOOKUP(D867,'[2]Database DP'!$C:$C,'[2]Database DP'!$F:$F,"Tidak Ditemukan")</f>
        <v>ZAENAL</v>
      </c>
    </row>
    <row r="868" spans="2:6">
      <c r="B868" s="19" t="s">
        <v>664</v>
      </c>
      <c r="C868" s="20" t="s">
        <v>665</v>
      </c>
      <c r="D868" s="21" t="s">
        <v>901</v>
      </c>
      <c r="E868" s="22" t="s">
        <v>1716</v>
      </c>
      <c r="F868" s="23" t="str">
        <f>_xlfn.XLOOKUP(D868,'[2]Database DP'!$C:$C,'[2]Database DP'!$F:$F,"Tidak Ditemukan")</f>
        <v>ZAENAL</v>
      </c>
    </row>
    <row r="869" spans="2:6">
      <c r="B869" s="19" t="s">
        <v>664</v>
      </c>
      <c r="C869" s="20" t="s">
        <v>665</v>
      </c>
      <c r="D869" s="21" t="s">
        <v>902</v>
      </c>
      <c r="E869" s="22" t="s">
        <v>1716</v>
      </c>
      <c r="F869" s="23" t="str">
        <f>_xlfn.XLOOKUP(D869,'[2]Database DP'!$C:$C,'[2]Database DP'!$F:$F,"Tidak Ditemukan")</f>
        <v>ZAENAL</v>
      </c>
    </row>
    <row r="870" spans="2:6">
      <c r="B870" s="19" t="s">
        <v>664</v>
      </c>
      <c r="C870" s="20" t="s">
        <v>665</v>
      </c>
      <c r="D870" s="21" t="s">
        <v>903</v>
      </c>
      <c r="E870" s="22" t="s">
        <v>1716</v>
      </c>
      <c r="F870" s="23" t="str">
        <f>_xlfn.XLOOKUP(D870,'[2]Database DP'!$C:$C,'[2]Database DP'!$F:$F,"Tidak Ditemukan")</f>
        <v>ZAENAL</v>
      </c>
    </row>
    <row r="871" spans="2:6">
      <c r="B871" s="19" t="s">
        <v>664</v>
      </c>
      <c r="C871" s="20" t="s">
        <v>665</v>
      </c>
      <c r="D871" s="21" t="s">
        <v>904</v>
      </c>
      <c r="E871" s="22" t="s">
        <v>1716</v>
      </c>
      <c r="F871" s="23" t="str">
        <f>_xlfn.XLOOKUP(D871,'[2]Database DP'!$C:$C,'[2]Database DP'!$F:$F,"Tidak Ditemukan")</f>
        <v>ZAENAL</v>
      </c>
    </row>
    <row r="872" spans="2:6">
      <c r="B872" s="19" t="s">
        <v>664</v>
      </c>
      <c r="C872" s="20" t="s">
        <v>665</v>
      </c>
      <c r="D872" s="21" t="s">
        <v>905</v>
      </c>
      <c r="E872" s="22" t="s">
        <v>1716</v>
      </c>
      <c r="F872" s="23" t="str">
        <f>_xlfn.XLOOKUP(D872,'[2]Database DP'!$C:$C,'[2]Database DP'!$F:$F,"Tidak Ditemukan")</f>
        <v>ZAENAL</v>
      </c>
    </row>
    <row r="873" spans="2:6">
      <c r="B873" s="19" t="s">
        <v>664</v>
      </c>
      <c r="C873" s="20" t="s">
        <v>665</v>
      </c>
      <c r="D873" s="21" t="s">
        <v>906</v>
      </c>
      <c r="E873" s="22" t="s">
        <v>1716</v>
      </c>
      <c r="F873" s="23" t="str">
        <f>_xlfn.XLOOKUP(D873,'[2]Database DP'!$C:$C,'[2]Database DP'!$F:$F,"Tidak Ditemukan")</f>
        <v>DIAZ</v>
      </c>
    </row>
    <row r="874" spans="2:6">
      <c r="B874" s="19" t="s">
        <v>664</v>
      </c>
      <c r="C874" s="20" t="s">
        <v>665</v>
      </c>
      <c r="D874" s="21" t="s">
        <v>907</v>
      </c>
      <c r="E874" s="22" t="s">
        <v>1716</v>
      </c>
      <c r="F874" s="23" t="str">
        <f>_xlfn.XLOOKUP(D874,'[2]Database DP'!$C:$C,'[2]Database DP'!$F:$F,"Tidak Ditemukan")</f>
        <v>DIAZ</v>
      </c>
    </row>
    <row r="875" spans="2:6">
      <c r="B875" s="19" t="s">
        <v>664</v>
      </c>
      <c r="C875" s="20" t="s">
        <v>665</v>
      </c>
      <c r="D875" s="21" t="s">
        <v>908</v>
      </c>
      <c r="E875" s="22" t="s">
        <v>1716</v>
      </c>
      <c r="F875" s="23" t="str">
        <f>_xlfn.XLOOKUP(D875,'[2]Database DP'!$C:$C,'[2]Database DP'!$F:$F,"Tidak Ditemukan")</f>
        <v>DIAZ</v>
      </c>
    </row>
    <row r="876" spans="2:6">
      <c r="B876" s="19" t="s">
        <v>664</v>
      </c>
      <c r="C876" s="20" t="s">
        <v>665</v>
      </c>
      <c r="D876" s="21" t="s">
        <v>909</v>
      </c>
      <c r="E876" s="22" t="s">
        <v>1716</v>
      </c>
      <c r="F876" s="23" t="str">
        <f>_xlfn.XLOOKUP(D876,'[2]Database DP'!$C:$C,'[2]Database DP'!$F:$F,"Tidak Ditemukan")</f>
        <v>DIAZ</v>
      </c>
    </row>
    <row r="877" spans="2:6">
      <c r="B877" s="19" t="s">
        <v>664</v>
      </c>
      <c r="C877" s="20" t="s">
        <v>665</v>
      </c>
      <c r="D877" s="21" t="s">
        <v>910</v>
      </c>
      <c r="E877" s="22" t="s">
        <v>1716</v>
      </c>
      <c r="F877" s="23" t="str">
        <f>_xlfn.XLOOKUP(D877,'[2]Database DP'!$C:$C,'[2]Database DP'!$F:$F,"Tidak Ditemukan")</f>
        <v>HERI</v>
      </c>
    </row>
    <row r="878" spans="2:6">
      <c r="B878" s="19" t="s">
        <v>664</v>
      </c>
      <c r="C878" s="20" t="s">
        <v>665</v>
      </c>
      <c r="D878" s="21" t="s">
        <v>911</v>
      </c>
      <c r="E878" s="22" t="s">
        <v>1716</v>
      </c>
      <c r="F878" s="23" t="str">
        <f>_xlfn.XLOOKUP(D878,'[2]Database DP'!$C:$C,'[2]Database DP'!$F:$F,"Tidak Ditemukan")</f>
        <v>HERI</v>
      </c>
    </row>
    <row r="879" spans="2:6">
      <c r="B879" s="19" t="s">
        <v>664</v>
      </c>
      <c r="C879" s="20" t="s">
        <v>665</v>
      </c>
      <c r="D879" s="21" t="s">
        <v>912</v>
      </c>
      <c r="E879" s="22" t="s">
        <v>1716</v>
      </c>
      <c r="F879" s="23" t="str">
        <f>_xlfn.XLOOKUP(D879,'[2]Database DP'!$C:$C,'[2]Database DP'!$F:$F,"Tidak Ditemukan")</f>
        <v>IRWAN</v>
      </c>
    </row>
    <row r="880" spans="2:6">
      <c r="B880" s="19" t="s">
        <v>664</v>
      </c>
      <c r="C880" s="20" t="s">
        <v>665</v>
      </c>
      <c r="D880" s="21" t="s">
        <v>913</v>
      </c>
      <c r="E880" s="22" t="s">
        <v>1716</v>
      </c>
      <c r="F880" s="23" t="str">
        <f>_xlfn.XLOOKUP(D880,'[2]Database DP'!$C:$C,'[2]Database DP'!$F:$F,"Tidak Ditemukan")</f>
        <v>KHABIB</v>
      </c>
    </row>
    <row r="881" spans="2:6">
      <c r="B881" s="19" t="s">
        <v>664</v>
      </c>
      <c r="C881" s="20" t="s">
        <v>665</v>
      </c>
      <c r="D881" s="21" t="s">
        <v>914</v>
      </c>
      <c r="E881" s="22" t="s">
        <v>1716</v>
      </c>
      <c r="F881" s="23" t="str">
        <f>_xlfn.XLOOKUP(D881,'[2]Database DP'!$C:$C,'[2]Database DP'!$F:$F,"Tidak Ditemukan")</f>
        <v>RAGIL</v>
      </c>
    </row>
    <row r="882" spans="2:6">
      <c r="B882" s="19" t="s">
        <v>664</v>
      </c>
      <c r="C882" s="20" t="s">
        <v>665</v>
      </c>
      <c r="D882" s="21" t="s">
        <v>915</v>
      </c>
      <c r="E882" s="22" t="s">
        <v>1716</v>
      </c>
      <c r="F882" s="23" t="str">
        <f>_xlfn.XLOOKUP(D882,'[2]Database DP'!$C:$C,'[2]Database DP'!$F:$F,"Tidak Ditemukan")</f>
        <v>RAGIL</v>
      </c>
    </row>
    <row r="883" spans="2:6">
      <c r="B883" s="19" t="s">
        <v>664</v>
      </c>
      <c r="C883" s="20" t="s">
        <v>665</v>
      </c>
      <c r="D883" s="21" t="s">
        <v>916</v>
      </c>
      <c r="E883" s="22" t="s">
        <v>1716</v>
      </c>
      <c r="F883" s="23" t="str">
        <f>_xlfn.XLOOKUP(D883,'[2]Database DP'!$C:$C,'[2]Database DP'!$F:$F,"Tidak Ditemukan")</f>
        <v>RAGIL</v>
      </c>
    </row>
    <row r="884" spans="2:6">
      <c r="B884" s="19" t="s">
        <v>664</v>
      </c>
      <c r="C884" s="20" t="s">
        <v>665</v>
      </c>
      <c r="D884" s="21" t="s">
        <v>917</v>
      </c>
      <c r="E884" s="22" t="s">
        <v>1716</v>
      </c>
      <c r="F884" s="23" t="str">
        <f>_xlfn.XLOOKUP(D884,'[2]Database DP'!$C:$C,'[2]Database DP'!$F:$F,"Tidak Ditemukan")</f>
        <v>RAGIL</v>
      </c>
    </row>
    <row r="885" spans="2:6">
      <c r="B885" s="19" t="s">
        <v>664</v>
      </c>
      <c r="C885" s="20" t="s">
        <v>665</v>
      </c>
      <c r="D885" s="21" t="s">
        <v>918</v>
      </c>
      <c r="E885" s="22" t="s">
        <v>1716</v>
      </c>
      <c r="F885" s="23" t="str">
        <f>_xlfn.XLOOKUP(D885,'[2]Database DP'!$C:$C,'[2]Database DP'!$F:$F,"Tidak Ditemukan")</f>
        <v>RONY</v>
      </c>
    </row>
    <row r="886" spans="2:6">
      <c r="B886" s="19" t="s">
        <v>664</v>
      </c>
      <c r="C886" s="20" t="s">
        <v>665</v>
      </c>
      <c r="D886" s="21" t="s">
        <v>919</v>
      </c>
      <c r="E886" s="22" t="s">
        <v>1716</v>
      </c>
      <c r="F886" s="23" t="str">
        <f>_xlfn.XLOOKUP(D886,'[2]Database DP'!$C:$C,'[2]Database DP'!$F:$F,"Tidak Ditemukan")</f>
        <v>RONY</v>
      </c>
    </row>
    <row r="887" spans="2:6">
      <c r="B887" s="19" t="s">
        <v>664</v>
      </c>
      <c r="C887" s="20" t="s">
        <v>665</v>
      </c>
      <c r="D887" s="21" t="s">
        <v>920</v>
      </c>
      <c r="E887" s="22" t="s">
        <v>1716</v>
      </c>
      <c r="F887" s="23" t="str">
        <f>_xlfn.XLOOKUP(D887,'[2]Database DP'!$C:$C,'[2]Database DP'!$F:$F,"Tidak Ditemukan")</f>
        <v>RONY</v>
      </c>
    </row>
    <row r="888" spans="2:6">
      <c r="B888" s="19" t="s">
        <v>664</v>
      </c>
      <c r="C888" s="20" t="s">
        <v>665</v>
      </c>
      <c r="D888" s="21" t="s">
        <v>921</v>
      </c>
      <c r="E888" s="22" t="s">
        <v>1716</v>
      </c>
      <c r="F888" s="23" t="str">
        <f>_xlfn.XLOOKUP(D888,'[2]Database DP'!$C:$C,'[2]Database DP'!$F:$F,"Tidak Ditemukan")</f>
        <v>DIAZ</v>
      </c>
    </row>
    <row r="889" spans="2:6">
      <c r="B889" s="19" t="s">
        <v>922</v>
      </c>
      <c r="C889" s="20" t="s">
        <v>923</v>
      </c>
      <c r="D889" s="21" t="s">
        <v>924</v>
      </c>
      <c r="E889" s="22" t="s">
        <v>1716</v>
      </c>
      <c r="F889" s="15" t="str">
        <f>_xlfn.XLOOKUP(D889,'[3]AGUSTUS 2026'!$B:$B,'[3]AGUSTUS 2026'!$I:$I,"Tidak Ditemukan")</f>
        <v>BIMO WALGITO</v>
      </c>
    </row>
    <row r="890" spans="2:6">
      <c r="B890" s="19" t="s">
        <v>922</v>
      </c>
      <c r="C890" s="20" t="s">
        <v>923</v>
      </c>
      <c r="D890" s="21" t="s">
        <v>925</v>
      </c>
      <c r="E890" s="22" t="s">
        <v>1716</v>
      </c>
      <c r="F890" s="15" t="str">
        <f>_xlfn.XLOOKUP(D890,'[3]AGUSTUS 2026'!$B:$B,'[3]AGUSTUS 2026'!$I:$I,"Tidak Ditemukan")</f>
        <v>BIMO WALGITO</v>
      </c>
    </row>
    <row r="891" spans="2:6">
      <c r="B891" s="19" t="s">
        <v>922</v>
      </c>
      <c r="C891" s="20" t="s">
        <v>923</v>
      </c>
      <c r="D891" s="21" t="s">
        <v>926</v>
      </c>
      <c r="E891" s="22" t="s">
        <v>1716</v>
      </c>
      <c r="F891" s="15" t="str">
        <f>_xlfn.XLOOKUP(D891,'[3]AGUSTUS 2026'!$B:$B,'[3]AGUSTUS 2026'!$I:$I,"Tidak Ditemukan")</f>
        <v>BIMO WALGITO</v>
      </c>
    </row>
    <row r="892" spans="2:6">
      <c r="B892" s="19" t="s">
        <v>922</v>
      </c>
      <c r="C892" s="20" t="s">
        <v>923</v>
      </c>
      <c r="D892" s="21" t="s">
        <v>927</v>
      </c>
      <c r="E892" s="22" t="s">
        <v>1716</v>
      </c>
      <c r="F892" s="15" t="str">
        <f>_xlfn.XLOOKUP(D892,'[3]AGUSTUS 2026'!$B:$B,'[3]AGUSTUS 2026'!$I:$I,"Tidak Ditemukan")</f>
        <v>BIMO WALGITO</v>
      </c>
    </row>
    <row r="893" spans="2:6">
      <c r="B893" s="19" t="s">
        <v>922</v>
      </c>
      <c r="C893" s="20" t="s">
        <v>923</v>
      </c>
      <c r="D893" s="21" t="s">
        <v>928</v>
      </c>
      <c r="E893" s="22" t="s">
        <v>1716</v>
      </c>
      <c r="F893" s="15" t="str">
        <f>_xlfn.XLOOKUP(D893,'[3]AGUSTUS 2026'!$B:$B,'[3]AGUSTUS 2026'!$I:$I,"Tidak Ditemukan")</f>
        <v>BIMO WALGITO</v>
      </c>
    </row>
    <row r="894" spans="2:6">
      <c r="B894" s="19" t="s">
        <v>922</v>
      </c>
      <c r="C894" s="20" t="s">
        <v>923</v>
      </c>
      <c r="D894" s="21" t="s">
        <v>929</v>
      </c>
      <c r="E894" s="22" t="s">
        <v>1716</v>
      </c>
      <c r="F894" s="15" t="str">
        <f>_xlfn.XLOOKUP(D894,'[3]AGUSTUS 2026'!$B:$B,'[3]AGUSTUS 2026'!$I:$I,"Tidak Ditemukan")</f>
        <v>BIMO WALGITO</v>
      </c>
    </row>
    <row r="895" spans="2:6">
      <c r="B895" s="19" t="s">
        <v>922</v>
      </c>
      <c r="C895" s="20" t="s">
        <v>923</v>
      </c>
      <c r="D895" s="21" t="s">
        <v>930</v>
      </c>
      <c r="E895" s="22" t="s">
        <v>1716</v>
      </c>
      <c r="F895" s="15" t="str">
        <f>_xlfn.XLOOKUP(D895,'[3]AGUSTUS 2026'!$B:$B,'[3]AGUSTUS 2026'!$I:$I,"Tidak Ditemukan")</f>
        <v>BIMO WALGITO</v>
      </c>
    </row>
    <row r="896" spans="2:6">
      <c r="B896" s="19" t="s">
        <v>922</v>
      </c>
      <c r="C896" s="20" t="s">
        <v>923</v>
      </c>
      <c r="D896" s="21" t="s">
        <v>931</v>
      </c>
      <c r="E896" s="22" t="s">
        <v>1716</v>
      </c>
      <c r="F896" s="15" t="str">
        <f>_xlfn.XLOOKUP(D896,'[3]AGUSTUS 2026'!$B:$B,'[3]AGUSTUS 2026'!$I:$I,"Tidak Ditemukan")</f>
        <v>BIMO WALGITO</v>
      </c>
    </row>
    <row r="897" spans="2:6">
      <c r="B897" s="19" t="s">
        <v>922</v>
      </c>
      <c r="C897" s="20" t="s">
        <v>923</v>
      </c>
      <c r="D897" s="21" t="s">
        <v>932</v>
      </c>
      <c r="E897" s="22" t="s">
        <v>1716</v>
      </c>
      <c r="F897" s="15" t="str">
        <f>_xlfn.XLOOKUP(D897,'[3]AGUSTUS 2026'!$B:$B,'[3]AGUSTUS 2026'!$I:$I,"Tidak Ditemukan")</f>
        <v>BIMO WALGITO</v>
      </c>
    </row>
    <row r="898" spans="2:6">
      <c r="B898" s="19" t="s">
        <v>922</v>
      </c>
      <c r="C898" s="20" t="s">
        <v>923</v>
      </c>
      <c r="D898" s="21" t="s">
        <v>933</v>
      </c>
      <c r="E898" s="22" t="s">
        <v>1716</v>
      </c>
      <c r="F898" s="15" t="str">
        <f>_xlfn.XLOOKUP(D898,'[3]AGUSTUS 2026'!$B:$B,'[3]AGUSTUS 2026'!$I:$I,"Tidak Ditemukan")</f>
        <v>RIZKI NOFRIA WAHYUDI</v>
      </c>
    </row>
    <row r="899" spans="2:6">
      <c r="B899" s="19" t="s">
        <v>922</v>
      </c>
      <c r="C899" s="20" t="s">
        <v>923</v>
      </c>
      <c r="D899" s="21" t="s">
        <v>934</v>
      </c>
      <c r="E899" s="22" t="s">
        <v>1716</v>
      </c>
      <c r="F899" s="15" t="str">
        <f>_xlfn.XLOOKUP(D899,'[3]AGUSTUS 2026'!$B:$B,'[3]AGUSTUS 2026'!$I:$I,"Tidak Ditemukan")</f>
        <v>RIZKI NOFRIA WAHYUDI</v>
      </c>
    </row>
    <row r="900" spans="2:6">
      <c r="B900" s="19" t="s">
        <v>922</v>
      </c>
      <c r="C900" s="20" t="s">
        <v>923</v>
      </c>
      <c r="D900" s="21" t="s">
        <v>935</v>
      </c>
      <c r="E900" s="22" t="s">
        <v>1716</v>
      </c>
      <c r="F900" s="15" t="str">
        <f>_xlfn.XLOOKUP(D900,'[3]AGUSTUS 2026'!$B:$B,'[3]AGUSTUS 2026'!$I:$I,"Tidak Ditemukan")</f>
        <v>RIZKI NOFRIA WAHYUDI</v>
      </c>
    </row>
    <row r="901" spans="2:6">
      <c r="B901" s="19" t="s">
        <v>922</v>
      </c>
      <c r="C901" s="20" t="s">
        <v>923</v>
      </c>
      <c r="D901" s="21" t="s">
        <v>936</v>
      </c>
      <c r="E901" s="22" t="s">
        <v>1716</v>
      </c>
      <c r="F901" s="15" t="str">
        <f>_xlfn.XLOOKUP(D901,'[3]AGUSTUS 2026'!$B:$B,'[3]AGUSTUS 2026'!$I:$I,"Tidak Ditemukan")</f>
        <v>RIZKI NOFRIA WAHYUDI</v>
      </c>
    </row>
    <row r="902" spans="2:6">
      <c r="B902" s="19" t="s">
        <v>922</v>
      </c>
      <c r="C902" s="20" t="s">
        <v>923</v>
      </c>
      <c r="D902" s="21" t="s">
        <v>937</v>
      </c>
      <c r="E902" s="22" t="s">
        <v>1716</v>
      </c>
      <c r="F902" s="15" t="str">
        <f>_xlfn.XLOOKUP(D902,'[3]AGUSTUS 2026'!$B:$B,'[3]AGUSTUS 2026'!$I:$I,"Tidak Ditemukan")</f>
        <v>RIZKI NOFRIA WAHYUDI</v>
      </c>
    </row>
    <row r="903" spans="2:6">
      <c r="B903" s="19" t="s">
        <v>922</v>
      </c>
      <c r="C903" s="20" t="s">
        <v>923</v>
      </c>
      <c r="D903" s="21" t="s">
        <v>938</v>
      </c>
      <c r="E903" s="22" t="s">
        <v>1716</v>
      </c>
      <c r="F903" s="15" t="str">
        <f>_xlfn.XLOOKUP(D903,'[3]AGUSTUS 2026'!$B:$B,'[3]AGUSTUS 2026'!$I:$I,"Tidak Ditemukan")</f>
        <v>RIZKI NOFRIA WAHYUDI</v>
      </c>
    </row>
    <row r="904" spans="2:6">
      <c r="B904" s="19" t="s">
        <v>922</v>
      </c>
      <c r="C904" s="20" t="s">
        <v>923</v>
      </c>
      <c r="D904" s="21" t="s">
        <v>939</v>
      </c>
      <c r="E904" s="22" t="s">
        <v>1716</v>
      </c>
      <c r="F904" s="15" t="str">
        <f>_xlfn.XLOOKUP(D904,'[3]AGUSTUS 2026'!$B:$B,'[3]AGUSTUS 2026'!$I:$I,"Tidak Ditemukan")</f>
        <v>RIZKI NOFRIA WAHYUDI</v>
      </c>
    </row>
    <row r="905" spans="2:6">
      <c r="B905" s="19" t="s">
        <v>922</v>
      </c>
      <c r="C905" s="20" t="s">
        <v>923</v>
      </c>
      <c r="D905" s="21" t="s">
        <v>940</v>
      </c>
      <c r="E905" s="22" t="s">
        <v>1716</v>
      </c>
      <c r="F905" s="15" t="str">
        <f>_xlfn.XLOOKUP(D905,'[3]AGUSTUS 2026'!$B:$B,'[3]AGUSTUS 2026'!$I:$I,"Tidak Ditemukan")</f>
        <v>RIZKI NOFRIA WAHYUDI</v>
      </c>
    </row>
    <row r="906" spans="2:6">
      <c r="B906" s="19" t="s">
        <v>922</v>
      </c>
      <c r="C906" s="20" t="s">
        <v>923</v>
      </c>
      <c r="D906" s="21" t="s">
        <v>941</v>
      </c>
      <c r="E906" s="22" t="s">
        <v>1716</v>
      </c>
      <c r="F906" s="15" t="str">
        <f>_xlfn.XLOOKUP(D906,'[3]AGUSTUS 2026'!$B:$B,'[3]AGUSTUS 2026'!$I:$I,"Tidak Ditemukan")</f>
        <v>RIZKI NOFRIA WAHYUDI</v>
      </c>
    </row>
    <row r="907" spans="2:6">
      <c r="B907" s="19" t="s">
        <v>922</v>
      </c>
      <c r="C907" s="20" t="s">
        <v>923</v>
      </c>
      <c r="D907" s="21" t="s">
        <v>942</v>
      </c>
      <c r="E907" s="22" t="s">
        <v>1716</v>
      </c>
      <c r="F907" s="15" t="str">
        <f>_xlfn.XLOOKUP(D907,'[3]AGUSTUS 2026'!$B:$B,'[3]AGUSTUS 2026'!$I:$I,"Tidak Ditemukan")</f>
        <v>RIZKI NOFRIA WAHYUDI</v>
      </c>
    </row>
    <row r="908" spans="2:6">
      <c r="B908" s="19" t="s">
        <v>922</v>
      </c>
      <c r="C908" s="20" t="s">
        <v>923</v>
      </c>
      <c r="D908" s="21" t="s">
        <v>943</v>
      </c>
      <c r="E908" s="22" t="s">
        <v>1716</v>
      </c>
      <c r="F908" s="15" t="str">
        <f>_xlfn.XLOOKUP(D908,'[3]AGUSTUS 2026'!$B:$B,'[3]AGUSTUS 2026'!$I:$I,"Tidak Ditemukan")</f>
        <v>RIZKI NOFRIA WAHYUDI</v>
      </c>
    </row>
    <row r="909" spans="2:6">
      <c r="B909" s="19" t="s">
        <v>922</v>
      </c>
      <c r="C909" s="20" t="s">
        <v>923</v>
      </c>
      <c r="D909" s="21" t="s">
        <v>944</v>
      </c>
      <c r="E909" s="22" t="s">
        <v>1716</v>
      </c>
      <c r="F909" s="15" t="str">
        <f>_xlfn.XLOOKUP(D909,'[3]AGUSTUS 2026'!$B:$B,'[3]AGUSTUS 2026'!$I:$I,"Tidak Ditemukan")</f>
        <v>RIZKI NOFRIA WAHYUDI</v>
      </c>
    </row>
    <row r="910" spans="2:6">
      <c r="B910" s="19" t="s">
        <v>922</v>
      </c>
      <c r="C910" s="20" t="s">
        <v>923</v>
      </c>
      <c r="D910" s="21" t="s">
        <v>945</v>
      </c>
      <c r="E910" s="22" t="s">
        <v>1716</v>
      </c>
      <c r="F910" s="15" t="str">
        <f>_xlfn.XLOOKUP(D910,'[3]AGUSTUS 2026'!$B:$B,'[3]AGUSTUS 2026'!$I:$I,"Tidak Ditemukan")</f>
        <v>DIMAS DANU SOHIBAN</v>
      </c>
    </row>
    <row r="911" spans="2:6">
      <c r="B911" s="19" t="s">
        <v>922</v>
      </c>
      <c r="C911" s="20" t="s">
        <v>923</v>
      </c>
      <c r="D911" s="21" t="s">
        <v>946</v>
      </c>
      <c r="E911" s="22" t="s">
        <v>1716</v>
      </c>
      <c r="F911" s="15" t="str">
        <f>_xlfn.XLOOKUP(D911,'[3]AGUSTUS 2026'!$B:$B,'[3]AGUSTUS 2026'!$I:$I,"Tidak Ditemukan")</f>
        <v>IFAN SUTIONO</v>
      </c>
    </row>
    <row r="912" spans="2:6">
      <c r="B912" s="19" t="s">
        <v>922</v>
      </c>
      <c r="C912" s="20" t="s">
        <v>923</v>
      </c>
      <c r="D912" s="21" t="s">
        <v>947</v>
      </c>
      <c r="E912" s="22" t="s">
        <v>1716</v>
      </c>
      <c r="F912" s="15" t="str">
        <f>_xlfn.XLOOKUP(D912,'[3]AGUSTUS 2026'!$B:$B,'[3]AGUSTUS 2026'!$I:$I,"Tidak Ditemukan")</f>
        <v>DIMAS DANU SOHIBAN</v>
      </c>
    </row>
    <row r="913" spans="2:6">
      <c r="B913" s="19" t="s">
        <v>922</v>
      </c>
      <c r="C913" s="20" t="s">
        <v>923</v>
      </c>
      <c r="D913" s="21" t="s">
        <v>948</v>
      </c>
      <c r="E913" s="22" t="s">
        <v>1716</v>
      </c>
      <c r="F913" s="15" t="str">
        <f>_xlfn.XLOOKUP(D913,'[3]AGUSTUS 2026'!$B:$B,'[3]AGUSTUS 2026'!$I:$I,"Tidak Ditemukan")</f>
        <v>DIMAS DANU SOHIBAN</v>
      </c>
    </row>
    <row r="914" spans="2:6">
      <c r="B914" s="19" t="s">
        <v>922</v>
      </c>
      <c r="C914" s="20" t="s">
        <v>923</v>
      </c>
      <c r="D914" s="21" t="s">
        <v>949</v>
      </c>
      <c r="E914" s="22" t="s">
        <v>1716</v>
      </c>
      <c r="F914" s="15" t="str">
        <f>_xlfn.XLOOKUP(D914,'[3]AGUSTUS 2026'!$B:$B,'[3]AGUSTUS 2026'!$I:$I,"Tidak Ditemukan")</f>
        <v>IFAN SUTIONO</v>
      </c>
    </row>
    <row r="915" spans="2:6">
      <c r="B915" s="19" t="s">
        <v>922</v>
      </c>
      <c r="C915" s="20" t="s">
        <v>923</v>
      </c>
      <c r="D915" s="21" t="s">
        <v>950</v>
      </c>
      <c r="E915" s="22" t="s">
        <v>1716</v>
      </c>
      <c r="F915" s="15" t="str">
        <f>_xlfn.XLOOKUP(D915,'[3]AGUSTUS 2026'!$B:$B,'[3]AGUSTUS 2026'!$I:$I,"Tidak Ditemukan")</f>
        <v>DIMAS DANU SOHIBAN</v>
      </c>
    </row>
    <row r="916" spans="2:6">
      <c r="B916" s="19" t="s">
        <v>922</v>
      </c>
      <c r="C916" s="20" t="s">
        <v>923</v>
      </c>
      <c r="D916" s="21" t="s">
        <v>951</v>
      </c>
      <c r="E916" s="22" t="s">
        <v>1716</v>
      </c>
      <c r="F916" s="15" t="str">
        <f>_xlfn.XLOOKUP(D916,'[3]AGUSTUS 2026'!$B:$B,'[3]AGUSTUS 2026'!$I:$I,"Tidak Ditemukan")</f>
        <v>IFAN SUTIONO</v>
      </c>
    </row>
    <row r="917" spans="2:6">
      <c r="B917" s="19" t="s">
        <v>922</v>
      </c>
      <c r="C917" s="20" t="s">
        <v>923</v>
      </c>
      <c r="D917" s="21" t="s">
        <v>952</v>
      </c>
      <c r="E917" s="22" t="s">
        <v>1716</v>
      </c>
      <c r="F917" s="15" t="str">
        <f>_xlfn.XLOOKUP(D917,'[3]AGUSTUS 2026'!$B:$B,'[3]AGUSTUS 2026'!$I:$I,"Tidak Ditemukan")</f>
        <v>IFAN SUTIONO</v>
      </c>
    </row>
    <row r="918" spans="2:6">
      <c r="B918" s="19" t="s">
        <v>922</v>
      </c>
      <c r="C918" s="20" t="s">
        <v>923</v>
      </c>
      <c r="D918" s="21" t="s">
        <v>953</v>
      </c>
      <c r="E918" s="22" t="s">
        <v>1716</v>
      </c>
      <c r="F918" s="15" t="str">
        <f>_xlfn.XLOOKUP(D918,'[3]AGUSTUS 2026'!$B:$B,'[3]AGUSTUS 2026'!$I:$I,"Tidak Ditemukan")</f>
        <v>DIMAS DANU SOHIBAN</v>
      </c>
    </row>
    <row r="919" spans="2:6">
      <c r="B919" s="19" t="s">
        <v>922</v>
      </c>
      <c r="C919" s="20" t="s">
        <v>923</v>
      </c>
      <c r="D919" s="21" t="s">
        <v>954</v>
      </c>
      <c r="E919" s="22" t="s">
        <v>1716</v>
      </c>
      <c r="F919" s="15" t="str">
        <f>_xlfn.XLOOKUP(D919,'[3]AGUSTUS 2026'!$B:$B,'[3]AGUSTUS 2026'!$I:$I,"Tidak Ditemukan")</f>
        <v>DIMAS DANU SOHIBAN</v>
      </c>
    </row>
    <row r="920" spans="2:6">
      <c r="B920" s="19" t="s">
        <v>922</v>
      </c>
      <c r="C920" s="20" t="s">
        <v>923</v>
      </c>
      <c r="D920" s="21" t="s">
        <v>955</v>
      </c>
      <c r="E920" s="22" t="s">
        <v>1716</v>
      </c>
      <c r="F920" s="15" t="str">
        <f>_xlfn.XLOOKUP(D920,'[3]AGUSTUS 2026'!$B:$B,'[3]AGUSTUS 2026'!$I:$I,"Tidak Ditemukan")</f>
        <v>DIMAS DANU SOHIBAN</v>
      </c>
    </row>
    <row r="921" spans="2:6">
      <c r="B921" s="19" t="s">
        <v>922</v>
      </c>
      <c r="C921" s="20" t="s">
        <v>923</v>
      </c>
      <c r="D921" s="21" t="s">
        <v>956</v>
      </c>
      <c r="E921" s="22" t="s">
        <v>1716</v>
      </c>
      <c r="F921" s="15" t="str">
        <f>_xlfn.XLOOKUP(D921,'[3]AGUSTUS 2026'!$B:$B,'[3]AGUSTUS 2026'!$I:$I,"Tidak Ditemukan")</f>
        <v>IFAN SUTIONO</v>
      </c>
    </row>
    <row r="922" spans="2:6">
      <c r="B922" s="19" t="s">
        <v>922</v>
      </c>
      <c r="C922" s="20" t="s">
        <v>923</v>
      </c>
      <c r="D922" s="21" t="s">
        <v>957</v>
      </c>
      <c r="E922" s="22" t="s">
        <v>1716</v>
      </c>
      <c r="F922" s="15" t="str">
        <f>_xlfn.XLOOKUP(D922,'[3]AGUSTUS 2026'!$B:$B,'[3]AGUSTUS 2026'!$I:$I,"Tidak Ditemukan")</f>
        <v>IFAN SUTIONO</v>
      </c>
    </row>
    <row r="923" spans="2:6">
      <c r="B923" s="19" t="s">
        <v>922</v>
      </c>
      <c r="C923" s="20" t="s">
        <v>923</v>
      </c>
      <c r="D923" s="21" t="s">
        <v>958</v>
      </c>
      <c r="E923" s="22" t="s">
        <v>1716</v>
      </c>
      <c r="F923" s="15" t="str">
        <f>_xlfn.XLOOKUP(D923,'[3]AGUSTUS 2026'!$B:$B,'[3]AGUSTUS 2026'!$I:$I,"Tidak Ditemukan")</f>
        <v>SURYA DWI J</v>
      </c>
    </row>
    <row r="924" spans="2:6">
      <c r="B924" s="19" t="s">
        <v>922</v>
      </c>
      <c r="C924" s="20" t="s">
        <v>923</v>
      </c>
      <c r="D924" s="21" t="s">
        <v>959</v>
      </c>
      <c r="E924" s="22" t="s">
        <v>1716</v>
      </c>
      <c r="F924" s="15" t="str">
        <f>_xlfn.XLOOKUP(D924,'[3]AGUSTUS 2026'!$B:$B,'[3]AGUSTUS 2026'!$I:$I,"Tidak Ditemukan")</f>
        <v>SURYA DWI J</v>
      </c>
    </row>
    <row r="925" spans="2:6">
      <c r="B925" s="19" t="s">
        <v>922</v>
      </c>
      <c r="C925" s="20" t="s">
        <v>923</v>
      </c>
      <c r="D925" s="21" t="s">
        <v>960</v>
      </c>
      <c r="E925" s="22" t="s">
        <v>1716</v>
      </c>
      <c r="F925" s="15" t="str">
        <f>_xlfn.XLOOKUP(D925,'[3]AGUSTUS 2026'!$B:$B,'[3]AGUSTUS 2026'!$I:$I,"Tidak Ditemukan")</f>
        <v>SURYA DWI J</v>
      </c>
    </row>
    <row r="926" spans="2:6">
      <c r="B926" s="19" t="s">
        <v>922</v>
      </c>
      <c r="C926" s="20" t="s">
        <v>923</v>
      </c>
      <c r="D926" s="21" t="s">
        <v>961</v>
      </c>
      <c r="E926" s="22" t="s">
        <v>1716</v>
      </c>
      <c r="F926" s="15" t="str">
        <f>_xlfn.XLOOKUP(D926,'[3]AGUSTUS 2026'!$B:$B,'[3]AGUSTUS 2026'!$I:$I,"Tidak Ditemukan")</f>
        <v>SURYA DWI J</v>
      </c>
    </row>
    <row r="927" spans="2:6">
      <c r="B927" s="19" t="s">
        <v>922</v>
      </c>
      <c r="C927" s="20" t="s">
        <v>923</v>
      </c>
      <c r="D927" s="21" t="s">
        <v>962</v>
      </c>
      <c r="E927" s="22" t="s">
        <v>1716</v>
      </c>
      <c r="F927" s="15" t="str">
        <f>_xlfn.XLOOKUP(D927,'[3]AGUSTUS 2026'!$B:$B,'[3]AGUSTUS 2026'!$I:$I,"Tidak Ditemukan")</f>
        <v>SURYA DWI J</v>
      </c>
    </row>
    <row r="928" spans="2:6">
      <c r="B928" s="19" t="s">
        <v>922</v>
      </c>
      <c r="C928" s="20" t="s">
        <v>923</v>
      </c>
      <c r="D928" s="21" t="s">
        <v>963</v>
      </c>
      <c r="E928" s="22" t="s">
        <v>1716</v>
      </c>
      <c r="F928" s="15" t="str">
        <f>_xlfn.XLOOKUP(D928,'[3]AGUSTUS 2026'!$B:$B,'[3]AGUSTUS 2026'!$I:$I,"Tidak Ditemukan")</f>
        <v>SURYA DWI J</v>
      </c>
    </row>
    <row r="929" spans="2:6">
      <c r="B929" s="19" t="s">
        <v>922</v>
      </c>
      <c r="C929" s="20" t="s">
        <v>923</v>
      </c>
      <c r="D929" s="21" t="s">
        <v>964</v>
      </c>
      <c r="E929" s="22" t="s">
        <v>1716</v>
      </c>
      <c r="F929" s="15" t="str">
        <f>_xlfn.XLOOKUP(D929,'[3]AGUSTUS 2026'!$B:$B,'[3]AGUSTUS 2026'!$I:$I,"Tidak Ditemukan")</f>
        <v>OKI WILLYANTO</v>
      </c>
    </row>
    <row r="930" spans="2:6">
      <c r="B930" s="19" t="s">
        <v>922</v>
      </c>
      <c r="C930" s="20" t="s">
        <v>923</v>
      </c>
      <c r="D930" s="21" t="s">
        <v>965</v>
      </c>
      <c r="E930" s="22" t="s">
        <v>1716</v>
      </c>
      <c r="F930" s="15" t="str">
        <f>_xlfn.XLOOKUP(D930,'[3]AGUSTUS 2026'!$B:$B,'[3]AGUSTUS 2026'!$I:$I,"Tidak Ditemukan")</f>
        <v>FATAH MUSTOFA B</v>
      </c>
    </row>
    <row r="931" spans="2:6">
      <c r="B931" s="19" t="s">
        <v>922</v>
      </c>
      <c r="C931" s="20" t="s">
        <v>923</v>
      </c>
      <c r="D931" s="21" t="s">
        <v>966</v>
      </c>
      <c r="E931" s="22" t="s">
        <v>1716</v>
      </c>
      <c r="F931" s="15" t="str">
        <f>_xlfn.XLOOKUP(D931,'[3]AGUSTUS 2026'!$B:$B,'[3]AGUSTUS 2026'!$I:$I,"Tidak Ditemukan")</f>
        <v>FATAH MUSTOFA B</v>
      </c>
    </row>
    <row r="932" spans="2:6">
      <c r="B932" s="19" t="s">
        <v>922</v>
      </c>
      <c r="C932" s="20" t="s">
        <v>923</v>
      </c>
      <c r="D932" s="21" t="s">
        <v>967</v>
      </c>
      <c r="E932" s="22" t="s">
        <v>1716</v>
      </c>
      <c r="F932" s="15" t="str">
        <f>_xlfn.XLOOKUP(D932,'[3]AGUSTUS 2026'!$B:$B,'[3]AGUSTUS 2026'!$I:$I,"Tidak Ditemukan")</f>
        <v>FATAH MUSTOFA B</v>
      </c>
    </row>
    <row r="933" spans="2:6">
      <c r="B933" s="19" t="s">
        <v>922</v>
      </c>
      <c r="C933" s="20" t="s">
        <v>923</v>
      </c>
      <c r="D933" s="21" t="s">
        <v>968</v>
      </c>
      <c r="E933" s="22" t="s">
        <v>1716</v>
      </c>
      <c r="F933" s="15" t="str">
        <f>_xlfn.XLOOKUP(D933,'[3]AGUSTUS 2026'!$B:$B,'[3]AGUSTUS 2026'!$I:$I,"Tidak Ditemukan")</f>
        <v>FATAH MUSTOFA B</v>
      </c>
    </row>
    <row r="934" spans="2:6">
      <c r="B934" s="19" t="s">
        <v>922</v>
      </c>
      <c r="C934" s="20" t="s">
        <v>923</v>
      </c>
      <c r="D934" s="21" t="s">
        <v>969</v>
      </c>
      <c r="E934" s="22" t="s">
        <v>1716</v>
      </c>
      <c r="F934" s="15" t="str">
        <f>_xlfn.XLOOKUP(D934,'[3]AGUSTUS 2026'!$B:$B,'[3]AGUSTUS 2026'!$I:$I,"Tidak Ditemukan")</f>
        <v>FATAH MUSTOFA B</v>
      </c>
    </row>
    <row r="935" spans="2:6">
      <c r="B935" s="19" t="s">
        <v>922</v>
      </c>
      <c r="C935" s="20" t="s">
        <v>923</v>
      </c>
      <c r="D935" s="21" t="s">
        <v>970</v>
      </c>
      <c r="E935" s="22" t="s">
        <v>1716</v>
      </c>
      <c r="F935" s="15" t="str">
        <f>_xlfn.XLOOKUP(D935,'[3]AGUSTUS 2026'!$B:$B,'[3]AGUSTUS 2026'!$I:$I,"Tidak Ditemukan")</f>
        <v>FATAH MUSTOFA B</v>
      </c>
    </row>
    <row r="936" spans="2:6">
      <c r="B936" s="19" t="s">
        <v>922</v>
      </c>
      <c r="C936" s="20" t="s">
        <v>923</v>
      </c>
      <c r="D936" s="21" t="s">
        <v>971</v>
      </c>
      <c r="E936" s="22" t="s">
        <v>1716</v>
      </c>
      <c r="F936" s="15" t="str">
        <f>_xlfn.XLOOKUP(D936,'[3]AGUSTUS 2026'!$B:$B,'[3]AGUSTUS 2026'!$I:$I,"Tidak Ditemukan")</f>
        <v>FATAH MUSTOFA B</v>
      </c>
    </row>
    <row r="937" spans="2:6">
      <c r="B937" s="19" t="s">
        <v>922</v>
      </c>
      <c r="C937" s="20" t="s">
        <v>923</v>
      </c>
      <c r="D937" s="21" t="s">
        <v>972</v>
      </c>
      <c r="E937" s="22" t="s">
        <v>1716</v>
      </c>
      <c r="F937" s="15" t="str">
        <f>_xlfn.XLOOKUP(D937,'[3]AGUSTUS 2026'!$B:$B,'[3]AGUSTUS 2026'!$I:$I,"Tidak Ditemukan")</f>
        <v>OKI WILLYANTO</v>
      </c>
    </row>
    <row r="938" spans="2:6">
      <c r="B938" s="19" t="s">
        <v>922</v>
      </c>
      <c r="C938" s="20" t="s">
        <v>923</v>
      </c>
      <c r="D938" s="21" t="s">
        <v>973</v>
      </c>
      <c r="E938" s="22" t="s">
        <v>1716</v>
      </c>
      <c r="F938" s="15" t="str">
        <f>_xlfn.XLOOKUP(D938,'[3]AGUSTUS 2026'!$B:$B,'[3]AGUSTUS 2026'!$I:$I,"Tidak Ditemukan")</f>
        <v>FATAH MUSTOFA B</v>
      </c>
    </row>
    <row r="939" spans="2:6">
      <c r="B939" s="19" t="s">
        <v>922</v>
      </c>
      <c r="C939" s="20" t="s">
        <v>923</v>
      </c>
      <c r="D939" s="21" t="s">
        <v>974</v>
      </c>
      <c r="E939" s="22" t="s">
        <v>1716</v>
      </c>
      <c r="F939" s="15" t="str">
        <f>_xlfn.XLOOKUP(D939,'[3]AGUSTUS 2026'!$B:$B,'[3]AGUSTUS 2026'!$I:$I,"Tidak Ditemukan")</f>
        <v>FATAH MUSTOFA B</v>
      </c>
    </row>
    <row r="940" spans="2:6">
      <c r="B940" s="19" t="s">
        <v>922</v>
      </c>
      <c r="C940" s="20" t="s">
        <v>923</v>
      </c>
      <c r="D940" s="21" t="s">
        <v>975</v>
      </c>
      <c r="E940" s="22" t="s">
        <v>1716</v>
      </c>
      <c r="F940" s="15" t="str">
        <f>_xlfn.XLOOKUP(D940,'[3]AGUSTUS 2026'!$B:$B,'[3]AGUSTUS 2026'!$I:$I,"Tidak Ditemukan")</f>
        <v>LUTFI HARIYANTO</v>
      </c>
    </row>
    <row r="941" spans="2:6">
      <c r="B941" s="19" t="s">
        <v>922</v>
      </c>
      <c r="C941" s="20" t="s">
        <v>923</v>
      </c>
      <c r="D941" s="21" t="s">
        <v>976</v>
      </c>
      <c r="E941" s="22" t="s">
        <v>1716</v>
      </c>
      <c r="F941" s="15" t="str">
        <f>_xlfn.XLOOKUP(D941,'[3]AGUSTUS 2026'!$B:$B,'[3]AGUSTUS 2026'!$I:$I,"Tidak Ditemukan")</f>
        <v>LUTFI HARIYANTO</v>
      </c>
    </row>
    <row r="942" spans="2:6">
      <c r="B942" s="19" t="s">
        <v>922</v>
      </c>
      <c r="C942" s="20" t="s">
        <v>923</v>
      </c>
      <c r="D942" s="21" t="s">
        <v>977</v>
      </c>
      <c r="E942" s="22" t="s">
        <v>1716</v>
      </c>
      <c r="F942" s="15" t="str">
        <f>_xlfn.XLOOKUP(D942,'[3]AGUSTUS 2026'!$B:$B,'[3]AGUSTUS 2026'!$I:$I,"Tidak Ditemukan")</f>
        <v>LUTFI HARIYANTO</v>
      </c>
    </row>
    <row r="943" spans="2:6">
      <c r="B943" s="19" t="s">
        <v>922</v>
      </c>
      <c r="C943" s="20" t="s">
        <v>923</v>
      </c>
      <c r="D943" s="21" t="s">
        <v>978</v>
      </c>
      <c r="E943" s="22" t="s">
        <v>1716</v>
      </c>
      <c r="F943" s="15" t="str">
        <f>_xlfn.XLOOKUP(D943,'[3]AGUSTUS 2026'!$B:$B,'[3]AGUSTUS 2026'!$I:$I,"Tidak Ditemukan")</f>
        <v>LUTFI HARIYANTO</v>
      </c>
    </row>
    <row r="944" spans="2:6">
      <c r="B944" s="19" t="s">
        <v>922</v>
      </c>
      <c r="C944" s="20" t="s">
        <v>923</v>
      </c>
      <c r="D944" s="21" t="s">
        <v>979</v>
      </c>
      <c r="E944" s="22" t="s">
        <v>1716</v>
      </c>
      <c r="F944" s="15" t="str">
        <f>_xlfn.XLOOKUP(D944,'[3]AGUSTUS 2026'!$B:$B,'[3]AGUSTUS 2026'!$I:$I,"Tidak Ditemukan")</f>
        <v>LUTFI HARIYANTO</v>
      </c>
    </row>
    <row r="945" spans="2:6">
      <c r="B945" s="19" t="s">
        <v>922</v>
      </c>
      <c r="C945" s="20" t="s">
        <v>923</v>
      </c>
      <c r="D945" s="21" t="s">
        <v>980</v>
      </c>
      <c r="E945" s="22" t="s">
        <v>1716</v>
      </c>
      <c r="F945" s="15" t="str">
        <f>_xlfn.XLOOKUP(D945,'[3]AGUSTUS 2026'!$B:$B,'[3]AGUSTUS 2026'!$I:$I,"Tidak Ditemukan")</f>
        <v>LUTFI HARIYANTO</v>
      </c>
    </row>
    <row r="946" spans="2:6">
      <c r="B946" s="19" t="s">
        <v>922</v>
      </c>
      <c r="C946" s="20" t="s">
        <v>923</v>
      </c>
      <c r="D946" s="21" t="s">
        <v>981</v>
      </c>
      <c r="E946" s="22" t="s">
        <v>1716</v>
      </c>
      <c r="F946" s="15" t="str">
        <f>_xlfn.XLOOKUP(D946,'[3]AGUSTUS 2026'!$B:$B,'[3]AGUSTUS 2026'!$I:$I,"Tidak Ditemukan")</f>
        <v>LUTFI HARIYANTO</v>
      </c>
    </row>
    <row r="947" spans="2:6">
      <c r="B947" s="19" t="s">
        <v>922</v>
      </c>
      <c r="C947" s="20" t="s">
        <v>923</v>
      </c>
      <c r="D947" s="21" t="s">
        <v>982</v>
      </c>
      <c r="E947" s="22" t="s">
        <v>1716</v>
      </c>
      <c r="F947" s="15" t="str">
        <f>_xlfn.XLOOKUP(D947,'[3]AGUSTUS 2026'!$B:$B,'[3]AGUSTUS 2026'!$I:$I,"Tidak Ditemukan")</f>
        <v>LUTFI HARIYANTO</v>
      </c>
    </row>
    <row r="948" spans="2:6">
      <c r="B948" s="19" t="s">
        <v>922</v>
      </c>
      <c r="C948" s="20" t="s">
        <v>923</v>
      </c>
      <c r="D948" s="21" t="s">
        <v>983</v>
      </c>
      <c r="E948" s="22" t="s">
        <v>1716</v>
      </c>
      <c r="F948" s="15" t="str">
        <f>_xlfn.XLOOKUP(D948,'[3]AGUSTUS 2026'!$B:$B,'[3]AGUSTUS 2026'!$I:$I,"Tidak Ditemukan")</f>
        <v>LUTFI HARIYANTO</v>
      </c>
    </row>
    <row r="949" spans="2:6">
      <c r="B949" s="19" t="s">
        <v>922</v>
      </c>
      <c r="C949" s="20" t="s">
        <v>923</v>
      </c>
      <c r="D949" s="21" t="s">
        <v>984</v>
      </c>
      <c r="E949" s="22" t="s">
        <v>1716</v>
      </c>
      <c r="F949" s="15" t="str">
        <f>_xlfn.XLOOKUP(D949,'[3]AGUSTUS 2026'!$B:$B,'[3]AGUSTUS 2026'!$I:$I,"Tidak Ditemukan")</f>
        <v>RASTO ZANU MUBIARTO</v>
      </c>
    </row>
    <row r="950" spans="2:6">
      <c r="B950" s="19" t="s">
        <v>922</v>
      </c>
      <c r="C950" s="20" t="s">
        <v>923</v>
      </c>
      <c r="D950" s="21" t="s">
        <v>985</v>
      </c>
      <c r="E950" s="22" t="s">
        <v>1716</v>
      </c>
      <c r="F950" s="15" t="str">
        <f>_xlfn.XLOOKUP(D950,'[3]AGUSTUS 2026'!$B:$B,'[3]AGUSTUS 2026'!$I:$I,"Tidak Ditemukan")</f>
        <v>RASTO ZANU MUBIARTO</v>
      </c>
    </row>
    <row r="951" spans="2:6">
      <c r="B951" s="19" t="s">
        <v>922</v>
      </c>
      <c r="C951" s="20" t="s">
        <v>923</v>
      </c>
      <c r="D951" s="21" t="s">
        <v>986</v>
      </c>
      <c r="E951" s="22" t="s">
        <v>1716</v>
      </c>
      <c r="F951" s="15" t="str">
        <f>_xlfn.XLOOKUP(D951,'[3]AGUSTUS 2026'!$B:$B,'[3]AGUSTUS 2026'!$I:$I,"Tidak Ditemukan")</f>
        <v>RASTO ZANU MUBIARTO</v>
      </c>
    </row>
    <row r="952" spans="2:6">
      <c r="B952" s="19" t="s">
        <v>922</v>
      </c>
      <c r="C952" s="20" t="s">
        <v>923</v>
      </c>
      <c r="D952" s="21" t="s">
        <v>987</v>
      </c>
      <c r="E952" s="22" t="s">
        <v>1716</v>
      </c>
      <c r="F952" s="15" t="str">
        <f>_xlfn.XLOOKUP(D952,'[3]AGUSTUS 2026'!$B:$B,'[3]AGUSTUS 2026'!$I:$I,"Tidak Ditemukan")</f>
        <v>RASTO ZANU MUBIARTO</v>
      </c>
    </row>
    <row r="953" spans="2:6">
      <c r="B953" s="19" t="s">
        <v>922</v>
      </c>
      <c r="C953" s="20" t="s">
        <v>923</v>
      </c>
      <c r="D953" s="21" t="s">
        <v>988</v>
      </c>
      <c r="E953" s="22" t="s">
        <v>1716</v>
      </c>
      <c r="F953" s="15" t="str">
        <f>_xlfn.XLOOKUP(D953,'[3]AGUSTUS 2026'!$B:$B,'[3]AGUSTUS 2026'!$I:$I,"Tidak Ditemukan")</f>
        <v>ADIMAS BAYU RADITYO</v>
      </c>
    </row>
    <row r="954" spans="2:6">
      <c r="B954" s="19" t="s">
        <v>922</v>
      </c>
      <c r="C954" s="20" t="s">
        <v>923</v>
      </c>
      <c r="D954" s="21" t="s">
        <v>989</v>
      </c>
      <c r="E954" s="22" t="s">
        <v>1716</v>
      </c>
      <c r="F954" s="15" t="str">
        <f>_xlfn.XLOOKUP(D954,'[3]AGUSTUS 2026'!$B:$B,'[3]AGUSTUS 2026'!$I:$I,"Tidak Ditemukan")</f>
        <v>ADIMAS BAYU RADITYO</v>
      </c>
    </row>
    <row r="955" spans="2:6">
      <c r="B955" s="19" t="s">
        <v>922</v>
      </c>
      <c r="C955" s="20" t="s">
        <v>923</v>
      </c>
      <c r="D955" s="21" t="s">
        <v>990</v>
      </c>
      <c r="E955" s="22" t="s">
        <v>1716</v>
      </c>
      <c r="F955" s="15" t="str">
        <f>_xlfn.XLOOKUP(D955,'[3]AGUSTUS 2026'!$B:$B,'[3]AGUSTUS 2026'!$I:$I,"Tidak Ditemukan")</f>
        <v>ADIMAS BAYU RADITYO</v>
      </c>
    </row>
    <row r="956" spans="2:6">
      <c r="B956" s="19" t="s">
        <v>922</v>
      </c>
      <c r="C956" s="20" t="s">
        <v>923</v>
      </c>
      <c r="D956" s="21" t="s">
        <v>991</v>
      </c>
      <c r="E956" s="22" t="s">
        <v>1716</v>
      </c>
      <c r="F956" s="15" t="str">
        <f>_xlfn.XLOOKUP(D956,'[3]AGUSTUS 2026'!$B:$B,'[3]AGUSTUS 2026'!$I:$I,"Tidak Ditemukan")</f>
        <v>ADIMAS BAYU RADITYO</v>
      </c>
    </row>
    <row r="957" spans="2:6">
      <c r="B957" s="19" t="s">
        <v>922</v>
      </c>
      <c r="C957" s="20" t="s">
        <v>923</v>
      </c>
      <c r="D957" s="21" t="s">
        <v>992</v>
      </c>
      <c r="E957" s="22" t="s">
        <v>1716</v>
      </c>
      <c r="F957" s="15" t="str">
        <f>_xlfn.XLOOKUP(D957,'[3]AGUSTUS 2026'!$B:$B,'[3]AGUSTUS 2026'!$I:$I,"Tidak Ditemukan")</f>
        <v>ADIMAS BAYU RADITYO</v>
      </c>
    </row>
    <row r="958" spans="2:6">
      <c r="B958" s="19" t="s">
        <v>922</v>
      </c>
      <c r="C958" s="20" t="s">
        <v>923</v>
      </c>
      <c r="D958" s="21" t="s">
        <v>993</v>
      </c>
      <c r="E958" s="22" t="s">
        <v>1716</v>
      </c>
      <c r="F958" s="15" t="str">
        <f>_xlfn.XLOOKUP(D958,'[3]AGUSTUS 2026'!$B:$B,'[3]AGUSTUS 2026'!$I:$I,"Tidak Ditemukan")</f>
        <v>ADIMAS BAYU RADITYO</v>
      </c>
    </row>
    <row r="959" spans="2:6">
      <c r="B959" s="19" t="s">
        <v>922</v>
      </c>
      <c r="C959" s="20" t="s">
        <v>923</v>
      </c>
      <c r="D959" s="21" t="s">
        <v>994</v>
      </c>
      <c r="E959" s="22" t="s">
        <v>1716</v>
      </c>
      <c r="F959" s="15" t="str">
        <f>_xlfn.XLOOKUP(D959,'[3]AGUSTUS 2026'!$B:$B,'[3]AGUSTUS 2026'!$I:$I,"Tidak Ditemukan")</f>
        <v>ADIMAS BAYU RADITYO</v>
      </c>
    </row>
    <row r="960" spans="2:6">
      <c r="B960" s="19" t="s">
        <v>922</v>
      </c>
      <c r="C960" s="20" t="s">
        <v>923</v>
      </c>
      <c r="D960" s="21" t="s">
        <v>995</v>
      </c>
      <c r="E960" s="22" t="s">
        <v>1716</v>
      </c>
      <c r="F960" s="15" t="str">
        <f>_xlfn.XLOOKUP(D960,'[3]AGUSTUS 2026'!$B:$B,'[3]AGUSTUS 2026'!$I:$I,"Tidak Ditemukan")</f>
        <v>ADIMAS BAYU RADITYO</v>
      </c>
    </row>
    <row r="961" spans="2:6">
      <c r="B961" s="19" t="s">
        <v>922</v>
      </c>
      <c r="C961" s="20" t="s">
        <v>923</v>
      </c>
      <c r="D961" s="21" t="s">
        <v>996</v>
      </c>
      <c r="E961" s="22" t="s">
        <v>1716</v>
      </c>
      <c r="F961" s="15" t="str">
        <f>_xlfn.XLOOKUP(D961,'[3]AGUSTUS 2026'!$B:$B,'[3]AGUSTUS 2026'!$I:$I,"Tidak Ditemukan")</f>
        <v>ADIMAS BAYU RADITYO</v>
      </c>
    </row>
    <row r="962" spans="2:6">
      <c r="B962" s="19" t="s">
        <v>922</v>
      </c>
      <c r="C962" s="20" t="s">
        <v>923</v>
      </c>
      <c r="D962" s="21" t="s">
        <v>997</v>
      </c>
      <c r="E962" s="22" t="s">
        <v>1716</v>
      </c>
      <c r="F962" s="15" t="str">
        <f>_xlfn.XLOOKUP(D962,'[3]AGUSTUS 2026'!$B:$B,'[3]AGUSTUS 2026'!$I:$I,"Tidak Ditemukan")</f>
        <v>ADIMAS BAYU RADITYO</v>
      </c>
    </row>
    <row r="963" spans="2:6">
      <c r="B963" s="19" t="s">
        <v>922</v>
      </c>
      <c r="C963" s="20" t="s">
        <v>923</v>
      </c>
      <c r="D963" s="21" t="s">
        <v>998</v>
      </c>
      <c r="E963" s="22" t="s">
        <v>1716</v>
      </c>
      <c r="F963" s="15" t="str">
        <f>_xlfn.XLOOKUP(D963,'[3]AGUSTUS 2026'!$B:$B,'[3]AGUSTUS 2026'!$I:$I,"Tidak Ditemukan")</f>
        <v>ADIMAS BAYU RADITYO</v>
      </c>
    </row>
    <row r="964" spans="2:6">
      <c r="B964" s="19" t="s">
        <v>922</v>
      </c>
      <c r="C964" s="20" t="s">
        <v>923</v>
      </c>
      <c r="D964" s="21" t="s">
        <v>999</v>
      </c>
      <c r="E964" s="22" t="s">
        <v>1716</v>
      </c>
      <c r="F964" s="15" t="str">
        <f>_xlfn.XLOOKUP(D964,'[3]AGUSTUS 2026'!$B:$B,'[3]AGUSTUS 2026'!$I:$I,"Tidak Ditemukan")</f>
        <v>ADIMAS BAYU RADITYO</v>
      </c>
    </row>
    <row r="965" spans="2:6">
      <c r="B965" s="19" t="s">
        <v>922</v>
      </c>
      <c r="C965" s="20" t="s">
        <v>923</v>
      </c>
      <c r="D965" s="21" t="s">
        <v>1000</v>
      </c>
      <c r="E965" s="22" t="s">
        <v>1716</v>
      </c>
      <c r="F965" s="15" t="str">
        <f>_xlfn.XLOOKUP(D965,'[3]AGUSTUS 2026'!$B:$B,'[3]AGUSTUS 2026'!$I:$I,"Tidak Ditemukan")</f>
        <v>MUHAMMAD DENI HENDRO SUSILO</v>
      </c>
    </row>
    <row r="966" spans="2:6">
      <c r="B966" s="19" t="s">
        <v>922</v>
      </c>
      <c r="C966" s="20" t="s">
        <v>923</v>
      </c>
      <c r="D966" s="21" t="s">
        <v>1001</v>
      </c>
      <c r="E966" s="22" t="s">
        <v>1716</v>
      </c>
      <c r="F966" s="15" t="str">
        <f>_xlfn.XLOOKUP(D966,'[3]AGUSTUS 2026'!$B:$B,'[3]AGUSTUS 2026'!$I:$I,"Tidak Ditemukan")</f>
        <v>MUHAMMAD DENI HENDRO SUSILO</v>
      </c>
    </row>
    <row r="967" spans="2:6">
      <c r="B967" s="19" t="s">
        <v>922</v>
      </c>
      <c r="C967" s="20" t="s">
        <v>923</v>
      </c>
      <c r="D967" s="21" t="s">
        <v>1002</v>
      </c>
      <c r="E967" s="22" t="s">
        <v>1716</v>
      </c>
      <c r="F967" s="15" t="str">
        <f>_xlfn.XLOOKUP(D967,'[3]AGUSTUS 2026'!$B:$B,'[3]AGUSTUS 2026'!$I:$I,"Tidak Ditemukan")</f>
        <v>MUHAMMAD DENI HENDRO SUSILO</v>
      </c>
    </row>
    <row r="968" spans="2:6">
      <c r="B968" s="19" t="s">
        <v>922</v>
      </c>
      <c r="C968" s="20" t="s">
        <v>923</v>
      </c>
      <c r="D968" s="21" t="s">
        <v>1003</v>
      </c>
      <c r="E968" s="22" t="s">
        <v>1716</v>
      </c>
      <c r="F968" s="15" t="str">
        <f>_xlfn.XLOOKUP(D968,'[3]AGUSTUS 2026'!$B:$B,'[3]AGUSTUS 2026'!$I:$I,"Tidak Ditemukan")</f>
        <v>MUHAMMAD DENI HENDRO SUSILO</v>
      </c>
    </row>
    <row r="969" spans="2:6">
      <c r="B969" s="19" t="s">
        <v>922</v>
      </c>
      <c r="C969" s="20" t="s">
        <v>923</v>
      </c>
      <c r="D969" s="21" t="s">
        <v>1004</v>
      </c>
      <c r="E969" s="22" t="s">
        <v>1716</v>
      </c>
      <c r="F969" s="15" t="str">
        <f>_xlfn.XLOOKUP(D969,'[3]AGUSTUS 2026'!$B:$B,'[3]AGUSTUS 2026'!$I:$I,"Tidak Ditemukan")</f>
        <v>MUHAMMAD DENI HENDRO SUSILO</v>
      </c>
    </row>
    <row r="970" spans="2:6">
      <c r="B970" s="19" t="s">
        <v>922</v>
      </c>
      <c r="C970" s="20" t="s">
        <v>923</v>
      </c>
      <c r="D970" s="21" t="s">
        <v>1005</v>
      </c>
      <c r="E970" s="22" t="s">
        <v>1716</v>
      </c>
      <c r="F970" s="15" t="str">
        <f>_xlfn.XLOOKUP(D970,'[3]AGUSTUS 2026'!$B:$B,'[3]AGUSTUS 2026'!$I:$I,"Tidak Ditemukan")</f>
        <v>MUHAMMAD DENI HENDRO SUSILO</v>
      </c>
    </row>
    <row r="971" spans="2:6">
      <c r="B971" s="19" t="s">
        <v>922</v>
      </c>
      <c r="C971" s="20" t="s">
        <v>923</v>
      </c>
      <c r="D971" s="21" t="s">
        <v>1006</v>
      </c>
      <c r="E971" s="22" t="s">
        <v>1716</v>
      </c>
      <c r="F971" s="15" t="str">
        <f>_xlfn.XLOOKUP(D971,'[3]AGUSTUS 2026'!$B:$B,'[3]AGUSTUS 2026'!$I:$I,"Tidak Ditemukan")</f>
        <v>MUHAMMAD DENI HENDRO SUSILO</v>
      </c>
    </row>
    <row r="972" spans="2:6">
      <c r="B972" s="19" t="s">
        <v>922</v>
      </c>
      <c r="C972" s="20" t="s">
        <v>923</v>
      </c>
      <c r="D972" s="21" t="s">
        <v>1007</v>
      </c>
      <c r="E972" s="22" t="s">
        <v>1716</v>
      </c>
      <c r="F972" s="15" t="str">
        <f>_xlfn.XLOOKUP(D972,'[3]AGUSTUS 2026'!$B:$B,'[3]AGUSTUS 2026'!$I:$I,"Tidak Ditemukan")</f>
        <v>MUHAMMAD DENI HENDRO SUSILO</v>
      </c>
    </row>
    <row r="973" spans="2:6">
      <c r="B973" s="19" t="s">
        <v>922</v>
      </c>
      <c r="C973" s="20" t="s">
        <v>923</v>
      </c>
      <c r="D973" s="21" t="s">
        <v>1008</v>
      </c>
      <c r="E973" s="22" t="s">
        <v>1716</v>
      </c>
      <c r="F973" s="15" t="str">
        <f>_xlfn.XLOOKUP(D973,'[3]AGUSTUS 2026'!$B:$B,'[3]AGUSTUS 2026'!$I:$I,"Tidak Ditemukan")</f>
        <v>MUHAMMAD DENI HENDRO SUSILO</v>
      </c>
    </row>
    <row r="974" spans="2:6">
      <c r="B974" s="19" t="s">
        <v>922</v>
      </c>
      <c r="C974" s="20" t="s">
        <v>923</v>
      </c>
      <c r="D974" s="21" t="s">
        <v>1009</v>
      </c>
      <c r="E974" s="22" t="s">
        <v>1716</v>
      </c>
      <c r="F974" s="15" t="str">
        <f>_xlfn.XLOOKUP(D974,'[3]AGUSTUS 2026'!$B:$B,'[3]AGUSTUS 2026'!$I:$I,"Tidak Ditemukan")</f>
        <v>MUHAMMAD DENI HENDRO SUSILO</v>
      </c>
    </row>
    <row r="975" spans="2:6">
      <c r="B975" s="19" t="s">
        <v>922</v>
      </c>
      <c r="C975" s="20" t="s">
        <v>923</v>
      </c>
      <c r="D975" s="21" t="s">
        <v>1010</v>
      </c>
      <c r="E975" s="22" t="s">
        <v>1716</v>
      </c>
      <c r="F975" s="15" t="str">
        <f>_xlfn.XLOOKUP(D975,'[3]AGUSTUS 2026'!$B:$B,'[3]AGUSTUS 2026'!$I:$I,"Tidak Ditemukan")</f>
        <v>MUHAMMAD DENI HENDRO SUSILO</v>
      </c>
    </row>
    <row r="976" spans="2:6">
      <c r="B976" s="19" t="s">
        <v>922</v>
      </c>
      <c r="C976" s="20" t="s">
        <v>923</v>
      </c>
      <c r="D976" s="21" t="s">
        <v>1011</v>
      </c>
      <c r="E976" s="22" t="s">
        <v>1716</v>
      </c>
      <c r="F976" s="15" t="str">
        <f>_xlfn.XLOOKUP(D976,'[3]AGUSTUS 2026'!$B:$B,'[3]AGUSTUS 2026'!$I:$I,"Tidak Ditemukan")</f>
        <v>PAIMUN</v>
      </c>
    </row>
    <row r="977" spans="2:6">
      <c r="B977" s="19" t="s">
        <v>922</v>
      </c>
      <c r="C977" s="20" t="s">
        <v>923</v>
      </c>
      <c r="D977" s="21" t="s">
        <v>1012</v>
      </c>
      <c r="E977" s="22" t="s">
        <v>1716</v>
      </c>
      <c r="F977" s="15" t="str">
        <f>_xlfn.XLOOKUP(D977,'[3]AGUSTUS 2026'!$B:$B,'[3]AGUSTUS 2026'!$I:$I,"Tidak Ditemukan")</f>
        <v>PAIMUN</v>
      </c>
    </row>
    <row r="978" spans="2:6">
      <c r="B978" s="19" t="s">
        <v>922</v>
      </c>
      <c r="C978" s="20" t="s">
        <v>923</v>
      </c>
      <c r="D978" s="21" t="s">
        <v>1013</v>
      </c>
      <c r="E978" s="22" t="s">
        <v>1716</v>
      </c>
      <c r="F978" s="15" t="str">
        <f>_xlfn.XLOOKUP(D978,'[3]AGUSTUS 2026'!$B:$B,'[3]AGUSTUS 2026'!$I:$I,"Tidak Ditemukan")</f>
        <v>PAIMUN</v>
      </c>
    </row>
    <row r="979" spans="2:6">
      <c r="B979" s="19" t="s">
        <v>922</v>
      </c>
      <c r="C979" s="20" t="s">
        <v>923</v>
      </c>
      <c r="D979" s="21" t="s">
        <v>1014</v>
      </c>
      <c r="E979" s="22" t="s">
        <v>1716</v>
      </c>
      <c r="F979" s="15" t="str">
        <f>_xlfn.XLOOKUP(D979,'[3]AGUSTUS 2026'!$B:$B,'[3]AGUSTUS 2026'!$I:$I,"Tidak Ditemukan")</f>
        <v>PAIMUN</v>
      </c>
    </row>
    <row r="980" spans="2:6">
      <c r="B980" s="19" t="s">
        <v>922</v>
      </c>
      <c r="C980" s="20" t="s">
        <v>923</v>
      </c>
      <c r="D980" s="21" t="s">
        <v>1015</v>
      </c>
      <c r="E980" s="22" t="s">
        <v>1716</v>
      </c>
      <c r="F980" s="15" t="str">
        <f>_xlfn.XLOOKUP(D980,'[3]AGUSTUS 2026'!$B:$B,'[3]AGUSTUS 2026'!$I:$I,"Tidak Ditemukan")</f>
        <v>PAIMUN</v>
      </c>
    </row>
    <row r="981" spans="2:6">
      <c r="B981" s="19" t="s">
        <v>922</v>
      </c>
      <c r="C981" s="20" t="s">
        <v>923</v>
      </c>
      <c r="D981" s="21" t="s">
        <v>1016</v>
      </c>
      <c r="E981" s="22" t="s">
        <v>1716</v>
      </c>
      <c r="F981" s="15" t="str">
        <f>_xlfn.XLOOKUP(D981,'[3]AGUSTUS 2026'!$B:$B,'[3]AGUSTUS 2026'!$I:$I,"Tidak Ditemukan")</f>
        <v>PAIMUN</v>
      </c>
    </row>
    <row r="982" spans="2:6">
      <c r="B982" s="19" t="s">
        <v>922</v>
      </c>
      <c r="C982" s="20" t="s">
        <v>923</v>
      </c>
      <c r="D982" s="21" t="s">
        <v>1017</v>
      </c>
      <c r="E982" s="22" t="s">
        <v>1716</v>
      </c>
      <c r="F982" s="15" t="str">
        <f>_xlfn.XLOOKUP(D982,'[3]AGUSTUS 2026'!$B:$B,'[3]AGUSTUS 2026'!$I:$I,"Tidak Ditemukan")</f>
        <v>FARIS JAGAD SANTOSA</v>
      </c>
    </row>
    <row r="983" spans="2:6">
      <c r="B983" s="19" t="s">
        <v>922</v>
      </c>
      <c r="C983" s="20" t="s">
        <v>923</v>
      </c>
      <c r="D983" s="21" t="s">
        <v>1018</v>
      </c>
      <c r="E983" s="22" t="s">
        <v>1716</v>
      </c>
      <c r="F983" s="15" t="str">
        <f>_xlfn.XLOOKUP(D983,'[3]AGUSTUS 2026'!$B:$B,'[3]AGUSTUS 2026'!$I:$I,"Tidak Ditemukan")</f>
        <v>RASTO ZANU MUBIARTO</v>
      </c>
    </row>
    <row r="984" spans="2:6">
      <c r="B984" s="19" t="s">
        <v>922</v>
      </c>
      <c r="C984" s="20" t="s">
        <v>923</v>
      </c>
      <c r="D984" s="21" t="s">
        <v>1019</v>
      </c>
      <c r="E984" s="22" t="s">
        <v>1716</v>
      </c>
      <c r="F984" s="15" t="str">
        <f>_xlfn.XLOOKUP(D984,'[3]AGUSTUS 2026'!$B:$B,'[3]AGUSTUS 2026'!$I:$I,"Tidak Ditemukan")</f>
        <v>FARIS JAGAD SANTOSA</v>
      </c>
    </row>
    <row r="985" spans="2:6">
      <c r="B985" s="19" t="s">
        <v>922</v>
      </c>
      <c r="C985" s="20" t="s">
        <v>923</v>
      </c>
      <c r="D985" s="21" t="s">
        <v>1020</v>
      </c>
      <c r="E985" s="22" t="s">
        <v>1716</v>
      </c>
      <c r="F985" s="15" t="str">
        <f>_xlfn.XLOOKUP(D985,'[3]AGUSTUS 2026'!$B:$B,'[3]AGUSTUS 2026'!$I:$I,"Tidak Ditemukan")</f>
        <v>RASTO ZANU MUBIARTO</v>
      </c>
    </row>
    <row r="986" spans="2:6">
      <c r="B986" s="19" t="s">
        <v>922</v>
      </c>
      <c r="C986" s="20" t="s">
        <v>923</v>
      </c>
      <c r="D986" s="21" t="s">
        <v>1021</v>
      </c>
      <c r="E986" s="22" t="s">
        <v>1716</v>
      </c>
      <c r="F986" s="15" t="str">
        <f>_xlfn.XLOOKUP(D986,'[3]AGUSTUS 2026'!$B:$B,'[3]AGUSTUS 2026'!$I:$I,"Tidak Ditemukan")</f>
        <v>RASTO ZANU MUBIARTO</v>
      </c>
    </row>
    <row r="987" spans="2:6">
      <c r="B987" s="19" t="s">
        <v>922</v>
      </c>
      <c r="C987" s="20" t="s">
        <v>923</v>
      </c>
      <c r="D987" s="21" t="s">
        <v>1022</v>
      </c>
      <c r="E987" s="22" t="s">
        <v>1716</v>
      </c>
      <c r="F987" s="15" t="str">
        <f>_xlfn.XLOOKUP(D987,'[3]AGUSTUS 2026'!$B:$B,'[3]AGUSTUS 2026'!$I:$I,"Tidak Ditemukan")</f>
        <v>FARIS JAGAD SANTOSA</v>
      </c>
    </row>
    <row r="988" spans="2:6">
      <c r="B988" s="19" t="s">
        <v>922</v>
      </c>
      <c r="C988" s="20" t="s">
        <v>923</v>
      </c>
      <c r="D988" s="21" t="s">
        <v>1023</v>
      </c>
      <c r="E988" s="22" t="s">
        <v>1716</v>
      </c>
      <c r="F988" s="15" t="str">
        <f>_xlfn.XLOOKUP(D988,'[3]AGUSTUS 2026'!$B:$B,'[3]AGUSTUS 2026'!$I:$I,"Tidak Ditemukan")</f>
        <v>FARIS JAGAD SANTOSA</v>
      </c>
    </row>
    <row r="989" spans="2:6">
      <c r="B989" s="19" t="s">
        <v>922</v>
      </c>
      <c r="C989" s="20" t="s">
        <v>923</v>
      </c>
      <c r="D989" s="21" t="s">
        <v>1024</v>
      </c>
      <c r="E989" s="22" t="s">
        <v>1716</v>
      </c>
      <c r="F989" s="15" t="str">
        <f>_xlfn.XLOOKUP(D989,'[3]AGUSTUS 2026'!$B:$B,'[3]AGUSTUS 2026'!$I:$I,"Tidak Ditemukan")</f>
        <v>FARIS JAGAD SANTOSA</v>
      </c>
    </row>
    <row r="990" spans="2:6">
      <c r="B990" s="19" t="s">
        <v>922</v>
      </c>
      <c r="C990" s="20" t="s">
        <v>923</v>
      </c>
      <c r="D990" s="21" t="s">
        <v>1025</v>
      </c>
      <c r="E990" s="22" t="s">
        <v>1716</v>
      </c>
      <c r="F990" s="15" t="str">
        <f>_xlfn.XLOOKUP(D990,'[3]AGUSTUS 2026'!$B:$B,'[3]AGUSTUS 2026'!$I:$I,"Tidak Ditemukan")</f>
        <v>FARIS JAGAD SANTOSA</v>
      </c>
    </row>
    <row r="991" spans="2:6">
      <c r="B991" s="19" t="s">
        <v>922</v>
      </c>
      <c r="C991" s="20" t="s">
        <v>923</v>
      </c>
      <c r="D991" s="21" t="s">
        <v>1026</v>
      </c>
      <c r="E991" s="22" t="s">
        <v>1716</v>
      </c>
      <c r="F991" s="15" t="str">
        <f>_xlfn.XLOOKUP(D991,'[3]AGUSTUS 2026'!$B:$B,'[3]AGUSTUS 2026'!$I:$I,"Tidak Ditemukan")</f>
        <v>RASTO ZANU MUBIARTO</v>
      </c>
    </row>
    <row r="992" spans="2:6">
      <c r="B992" s="19" t="s">
        <v>922</v>
      </c>
      <c r="C992" s="20" t="s">
        <v>923</v>
      </c>
      <c r="D992" s="21" t="s">
        <v>1027</v>
      </c>
      <c r="E992" s="22" t="s">
        <v>1716</v>
      </c>
      <c r="F992" s="15" t="str">
        <f>_xlfn.XLOOKUP(D992,'[3]AGUSTUS 2026'!$B:$B,'[3]AGUSTUS 2026'!$I:$I,"Tidak Ditemukan")</f>
        <v>RASTO ZANU MUBIARTO</v>
      </c>
    </row>
    <row r="993" spans="2:6">
      <c r="B993" s="19" t="s">
        <v>922</v>
      </c>
      <c r="C993" s="20" t="s">
        <v>923</v>
      </c>
      <c r="D993" s="21" t="s">
        <v>1028</v>
      </c>
      <c r="E993" s="22" t="s">
        <v>1716</v>
      </c>
      <c r="F993" s="15" t="str">
        <f>_xlfn.XLOOKUP(D993,'[3]AGUSTUS 2026'!$B:$B,'[3]AGUSTUS 2026'!$I:$I,"Tidak Ditemukan")</f>
        <v>FARIS JAGAD SANTOSA</v>
      </c>
    </row>
    <row r="994" spans="2:6">
      <c r="B994" s="19" t="s">
        <v>922</v>
      </c>
      <c r="C994" s="20" t="s">
        <v>923</v>
      </c>
      <c r="D994" s="21" t="s">
        <v>1029</v>
      </c>
      <c r="E994" s="22" t="s">
        <v>1716</v>
      </c>
      <c r="F994" s="15" t="str">
        <f>_xlfn.XLOOKUP(D994,'[3]AGUSTUS 2026'!$B:$B,'[3]AGUSTUS 2026'!$I:$I,"Tidak Ditemukan")</f>
        <v>FARIS JAGAD SANTOSA</v>
      </c>
    </row>
    <row r="995" spans="2:6">
      <c r="B995" s="19" t="s">
        <v>922</v>
      </c>
      <c r="C995" s="20" t="s">
        <v>923</v>
      </c>
      <c r="D995" s="21" t="s">
        <v>1030</v>
      </c>
      <c r="E995" s="22" t="s">
        <v>1716</v>
      </c>
      <c r="F995" s="15" t="str">
        <f>_xlfn.XLOOKUP(D995,'[3]AGUSTUS 2026'!$B:$B,'[3]AGUSTUS 2026'!$I:$I,"Tidak Ditemukan")</f>
        <v>FARIS JAGAD SANTOSA</v>
      </c>
    </row>
    <row r="996" spans="2:6">
      <c r="B996" s="19" t="s">
        <v>922</v>
      </c>
      <c r="C996" s="20" t="s">
        <v>923</v>
      </c>
      <c r="D996" s="21" t="s">
        <v>1031</v>
      </c>
      <c r="E996" s="22" t="s">
        <v>1716</v>
      </c>
      <c r="F996" s="15" t="str">
        <f>_xlfn.XLOOKUP(D996,'[3]AGUSTUS 2026'!$B:$B,'[3]AGUSTUS 2026'!$I:$I,"Tidak Ditemukan")</f>
        <v>RASTO ZANU MUBIARTO</v>
      </c>
    </row>
    <row r="997" spans="2:6">
      <c r="B997" s="19" t="s">
        <v>922</v>
      </c>
      <c r="C997" s="20" t="s">
        <v>923</v>
      </c>
      <c r="D997" s="21" t="s">
        <v>1032</v>
      </c>
      <c r="E997" s="22" t="s">
        <v>1716</v>
      </c>
      <c r="F997" s="15" t="str">
        <f>_xlfn.XLOOKUP(D997,'[3]AGUSTUS 2026'!$B:$B,'[3]AGUSTUS 2026'!$I:$I,"Tidak Ditemukan")</f>
        <v>RASTO ZANU MUBIARTO</v>
      </c>
    </row>
    <row r="998" spans="2:6">
      <c r="B998" s="19" t="s">
        <v>922</v>
      </c>
      <c r="C998" s="20" t="s">
        <v>923</v>
      </c>
      <c r="D998" s="21" t="s">
        <v>1033</v>
      </c>
      <c r="E998" s="22" t="s">
        <v>1716</v>
      </c>
      <c r="F998" s="15" t="str">
        <f>_xlfn.XLOOKUP(D998,'[3]AGUSTUS 2026'!$B:$B,'[3]AGUSTUS 2026'!$I:$I,"Tidak Ditemukan")</f>
        <v>RASTO ZANU MUBIARTO</v>
      </c>
    </row>
    <row r="999" spans="2:6">
      <c r="B999" s="19" t="s">
        <v>922</v>
      </c>
      <c r="C999" s="20" t="s">
        <v>923</v>
      </c>
      <c r="D999" s="21" t="s">
        <v>1034</v>
      </c>
      <c r="E999" s="22" t="s">
        <v>1716</v>
      </c>
      <c r="F999" s="15" t="str">
        <f>_xlfn.XLOOKUP(D999,'[3]AGUSTUS 2026'!$B:$B,'[3]AGUSTUS 2026'!$I:$I,"Tidak Ditemukan")</f>
        <v>FARIS JAGAD SANTOSA</v>
      </c>
    </row>
    <row r="1000" spans="2:6">
      <c r="B1000" s="19" t="s">
        <v>922</v>
      </c>
      <c r="C1000" s="20" t="s">
        <v>923</v>
      </c>
      <c r="D1000" s="21" t="s">
        <v>1035</v>
      </c>
      <c r="E1000" s="22" t="s">
        <v>1716</v>
      </c>
      <c r="F1000" s="15" t="str">
        <f>_xlfn.XLOOKUP(D1000,'[3]AGUSTUS 2026'!$B:$B,'[3]AGUSTUS 2026'!$I:$I,"Tidak Ditemukan")</f>
        <v>OKI WILLYANTO</v>
      </c>
    </row>
    <row r="1001" spans="2:6">
      <c r="B1001" s="19" t="s">
        <v>922</v>
      </c>
      <c r="C1001" s="20" t="s">
        <v>923</v>
      </c>
      <c r="D1001" s="21" t="s">
        <v>1036</v>
      </c>
      <c r="E1001" s="22" t="s">
        <v>1716</v>
      </c>
      <c r="F1001" s="15" t="str">
        <f>_xlfn.XLOOKUP(D1001,'[3]AGUSTUS 2026'!$B:$B,'[3]AGUSTUS 2026'!$I:$I,"Tidak Ditemukan")</f>
        <v>MUHAMMAD CHAIRIL ANAM</v>
      </c>
    </row>
    <row r="1002" spans="2:6">
      <c r="B1002" s="19" t="s">
        <v>922</v>
      </c>
      <c r="C1002" s="20" t="s">
        <v>923</v>
      </c>
      <c r="D1002" s="21" t="s">
        <v>1037</v>
      </c>
      <c r="E1002" s="22" t="s">
        <v>1716</v>
      </c>
      <c r="F1002" s="15" t="str">
        <f>_xlfn.XLOOKUP(D1002,'[3]AGUSTUS 2026'!$B:$B,'[3]AGUSTUS 2026'!$I:$I,"Tidak Ditemukan")</f>
        <v>FAJAR MAFAZAKI</v>
      </c>
    </row>
    <row r="1003" spans="2:6">
      <c r="B1003" s="19" t="s">
        <v>922</v>
      </c>
      <c r="C1003" s="20" t="s">
        <v>923</v>
      </c>
      <c r="D1003" s="21" t="s">
        <v>1038</v>
      </c>
      <c r="E1003" s="22" t="s">
        <v>1716</v>
      </c>
      <c r="F1003" s="15" t="str">
        <f>_xlfn.XLOOKUP(D1003,'[3]AGUSTUS 2026'!$B:$B,'[3]AGUSTUS 2026'!$I:$I,"Tidak Ditemukan")</f>
        <v>FAJAR MAFAZAKI</v>
      </c>
    </row>
    <row r="1004" spans="2:6">
      <c r="B1004" s="19" t="s">
        <v>922</v>
      </c>
      <c r="C1004" s="20" t="s">
        <v>923</v>
      </c>
      <c r="D1004" s="21" t="s">
        <v>1039</v>
      </c>
      <c r="E1004" s="22" t="s">
        <v>1716</v>
      </c>
      <c r="F1004" s="15" t="str">
        <f>_xlfn.XLOOKUP(D1004,'[3]AGUSTUS 2026'!$B:$B,'[3]AGUSTUS 2026'!$I:$I,"Tidak Ditemukan")</f>
        <v>OKI WILLYANTO</v>
      </c>
    </row>
    <row r="1005" spans="2:6">
      <c r="B1005" s="19" t="s">
        <v>922</v>
      </c>
      <c r="C1005" s="20" t="s">
        <v>923</v>
      </c>
      <c r="D1005" s="21" t="s">
        <v>1040</v>
      </c>
      <c r="E1005" s="22" t="s">
        <v>1716</v>
      </c>
      <c r="F1005" s="15" t="str">
        <f>_xlfn.XLOOKUP(D1005,'[3]AGUSTUS 2026'!$B:$B,'[3]AGUSTUS 2026'!$I:$I,"Tidak Ditemukan")</f>
        <v>FAJAR MAFAZAKI</v>
      </c>
    </row>
    <row r="1006" spans="2:6">
      <c r="B1006" s="19" t="s">
        <v>922</v>
      </c>
      <c r="C1006" s="20" t="s">
        <v>923</v>
      </c>
      <c r="D1006" s="21" t="s">
        <v>1041</v>
      </c>
      <c r="E1006" s="22" t="s">
        <v>1716</v>
      </c>
      <c r="F1006" s="15" t="str">
        <f>_xlfn.XLOOKUP(D1006,'[3]AGUSTUS 2026'!$B:$B,'[3]AGUSTUS 2026'!$I:$I,"Tidak Ditemukan")</f>
        <v>FAJAR MAFAZAKI</v>
      </c>
    </row>
    <row r="1007" spans="2:6">
      <c r="B1007" s="19" t="s">
        <v>922</v>
      </c>
      <c r="C1007" s="20" t="s">
        <v>923</v>
      </c>
      <c r="D1007" s="21" t="s">
        <v>1042</v>
      </c>
      <c r="E1007" s="22" t="s">
        <v>1716</v>
      </c>
      <c r="F1007" s="15" t="str">
        <f>_xlfn.XLOOKUP(D1007,'[3]AGUSTUS 2026'!$B:$B,'[3]AGUSTUS 2026'!$I:$I,"Tidak Ditemukan")</f>
        <v>FAJAR MAFAZAKI</v>
      </c>
    </row>
    <row r="1008" spans="2:6">
      <c r="B1008" s="19" t="s">
        <v>922</v>
      </c>
      <c r="C1008" s="20" t="s">
        <v>923</v>
      </c>
      <c r="D1008" s="21" t="s">
        <v>1043</v>
      </c>
      <c r="E1008" s="22" t="s">
        <v>1716</v>
      </c>
      <c r="F1008" s="15" t="str">
        <f>_xlfn.XLOOKUP(D1008,'[3]AGUSTUS 2026'!$B:$B,'[3]AGUSTUS 2026'!$I:$I,"Tidak Ditemukan")</f>
        <v>FAJAR MAFAZAKI</v>
      </c>
    </row>
    <row r="1009" spans="2:6">
      <c r="B1009" s="19" t="s">
        <v>922</v>
      </c>
      <c r="C1009" s="20" t="s">
        <v>923</v>
      </c>
      <c r="D1009" s="21" t="s">
        <v>1044</v>
      </c>
      <c r="E1009" s="22" t="s">
        <v>1716</v>
      </c>
      <c r="F1009" s="15" t="str">
        <f>_xlfn.XLOOKUP(D1009,'[3]AGUSTUS 2026'!$B:$B,'[3]AGUSTUS 2026'!$I:$I,"Tidak Ditemukan")</f>
        <v>FAJAR MAFAZAKI</v>
      </c>
    </row>
    <row r="1010" spans="2:6">
      <c r="B1010" s="19" t="s">
        <v>922</v>
      </c>
      <c r="C1010" s="20" t="s">
        <v>923</v>
      </c>
      <c r="D1010" s="21" t="s">
        <v>1045</v>
      </c>
      <c r="E1010" s="22" t="s">
        <v>1716</v>
      </c>
      <c r="F1010" s="15" t="str">
        <f>_xlfn.XLOOKUP(D1010,'[3]AGUSTUS 2026'!$B:$B,'[3]AGUSTUS 2026'!$I:$I,"Tidak Ditemukan")</f>
        <v>FAJAR MAFAZAKI</v>
      </c>
    </row>
    <row r="1011" spans="2:6">
      <c r="B1011" s="19" t="s">
        <v>922</v>
      </c>
      <c r="C1011" s="20" t="s">
        <v>923</v>
      </c>
      <c r="D1011" s="21" t="s">
        <v>1046</v>
      </c>
      <c r="E1011" s="22" t="s">
        <v>1716</v>
      </c>
      <c r="F1011" s="15" t="str">
        <f>_xlfn.XLOOKUP(D1011,'[3]AGUSTUS 2026'!$B:$B,'[3]AGUSTUS 2026'!$I:$I,"Tidak Ditemukan")</f>
        <v>OKI WILLYANTO</v>
      </c>
    </row>
    <row r="1012" spans="2:6">
      <c r="B1012" s="19" t="s">
        <v>922</v>
      </c>
      <c r="C1012" s="20" t="s">
        <v>923</v>
      </c>
      <c r="D1012" s="21" t="s">
        <v>1047</v>
      </c>
      <c r="E1012" s="22" t="s">
        <v>1716</v>
      </c>
      <c r="F1012" s="15" t="str">
        <f>_xlfn.XLOOKUP(D1012,'[3]AGUSTUS 2026'!$B:$B,'[3]AGUSTUS 2026'!$I:$I,"Tidak Ditemukan")</f>
        <v>OKI WILLYANTO</v>
      </c>
    </row>
    <row r="1013" spans="2:6">
      <c r="B1013" s="19" t="s">
        <v>922</v>
      </c>
      <c r="C1013" s="20" t="s">
        <v>923</v>
      </c>
      <c r="D1013" s="21" t="s">
        <v>1048</v>
      </c>
      <c r="E1013" s="22" t="s">
        <v>1716</v>
      </c>
      <c r="F1013" s="15" t="str">
        <f>_xlfn.XLOOKUP(D1013,'[3]AGUSTUS 2026'!$B:$B,'[3]AGUSTUS 2026'!$I:$I,"Tidak Ditemukan")</f>
        <v>OKI WILLYANTO</v>
      </c>
    </row>
    <row r="1014" spans="2:6">
      <c r="B1014" s="19" t="s">
        <v>922</v>
      </c>
      <c r="C1014" s="20" t="s">
        <v>923</v>
      </c>
      <c r="D1014" s="21" t="s">
        <v>1049</v>
      </c>
      <c r="E1014" s="22" t="s">
        <v>1716</v>
      </c>
      <c r="F1014" s="15" t="str">
        <f>_xlfn.XLOOKUP(D1014,'[3]AGUSTUS 2026'!$B:$B,'[3]AGUSTUS 2026'!$I:$I,"Tidak Ditemukan")</f>
        <v>FAJAR MAFAZAKI</v>
      </c>
    </row>
    <row r="1015" spans="2:6">
      <c r="B1015" s="19" t="s">
        <v>922</v>
      </c>
      <c r="C1015" s="20" t="s">
        <v>923</v>
      </c>
      <c r="D1015" s="21" t="s">
        <v>1050</v>
      </c>
      <c r="E1015" s="22" t="s">
        <v>1716</v>
      </c>
      <c r="F1015" s="15" t="str">
        <f>_xlfn.XLOOKUP(D1015,'[3]AGUSTUS 2026'!$B:$B,'[3]AGUSTUS 2026'!$I:$I,"Tidak Ditemukan")</f>
        <v>FAJAR MAFAZAKI</v>
      </c>
    </row>
    <row r="1016" spans="2:6">
      <c r="B1016" s="19" t="s">
        <v>922</v>
      </c>
      <c r="C1016" s="20" t="s">
        <v>923</v>
      </c>
      <c r="D1016" s="21" t="s">
        <v>1051</v>
      </c>
      <c r="E1016" s="22" t="s">
        <v>1716</v>
      </c>
      <c r="F1016" s="15" t="str">
        <f>_xlfn.XLOOKUP(D1016,'[3]AGUSTUS 2026'!$B:$B,'[3]AGUSTUS 2026'!$I:$I,"Tidak Ditemukan")</f>
        <v>FERY SAPUTRO</v>
      </c>
    </row>
    <row r="1017" spans="2:6">
      <c r="B1017" s="19" t="s">
        <v>922</v>
      </c>
      <c r="C1017" s="20" t="s">
        <v>923</v>
      </c>
      <c r="D1017" s="21" t="s">
        <v>1052</v>
      </c>
      <c r="E1017" s="22" t="s">
        <v>1716</v>
      </c>
      <c r="F1017" s="15" t="str">
        <f>_xlfn.XLOOKUP(D1017,'[3]AGUSTUS 2026'!$B:$B,'[3]AGUSTUS 2026'!$I:$I,"Tidak Ditemukan")</f>
        <v>FERY SAPUTRO</v>
      </c>
    </row>
    <row r="1018" spans="2:6">
      <c r="B1018" s="19" t="s">
        <v>922</v>
      </c>
      <c r="C1018" s="20" t="s">
        <v>923</v>
      </c>
      <c r="D1018" s="21" t="s">
        <v>1053</v>
      </c>
      <c r="E1018" s="22" t="s">
        <v>1716</v>
      </c>
      <c r="F1018" s="15" t="str">
        <f>_xlfn.XLOOKUP(D1018,'[3]AGUSTUS 2026'!$B:$B,'[3]AGUSTUS 2026'!$I:$I,"Tidak Ditemukan")</f>
        <v>FERY SAPUTRO</v>
      </c>
    </row>
    <row r="1019" spans="2:6">
      <c r="B1019" s="19" t="s">
        <v>922</v>
      </c>
      <c r="C1019" s="20" t="s">
        <v>923</v>
      </c>
      <c r="D1019" s="21" t="s">
        <v>1054</v>
      </c>
      <c r="E1019" s="22" t="s">
        <v>1716</v>
      </c>
      <c r="F1019" s="15" t="str">
        <f>_xlfn.XLOOKUP(D1019,'[3]AGUSTUS 2026'!$B:$B,'[3]AGUSTUS 2026'!$I:$I,"Tidak Ditemukan")</f>
        <v>FERY SAPUTRO</v>
      </c>
    </row>
    <row r="1020" spans="2:6">
      <c r="B1020" s="19" t="s">
        <v>922</v>
      </c>
      <c r="C1020" s="20" t="s">
        <v>923</v>
      </c>
      <c r="D1020" s="21" t="s">
        <v>1055</v>
      </c>
      <c r="E1020" s="22" t="s">
        <v>1716</v>
      </c>
      <c r="F1020" s="15" t="str">
        <f>_xlfn.XLOOKUP(D1020,'[3]AGUSTUS 2026'!$B:$B,'[3]AGUSTUS 2026'!$I:$I,"Tidak Ditemukan")</f>
        <v>FERY SAPUTRO</v>
      </c>
    </row>
    <row r="1021" spans="2:6">
      <c r="B1021" s="19" t="s">
        <v>922</v>
      </c>
      <c r="C1021" s="20" t="s">
        <v>923</v>
      </c>
      <c r="D1021" s="21" t="s">
        <v>1056</v>
      </c>
      <c r="E1021" s="22" t="s">
        <v>1716</v>
      </c>
      <c r="F1021" s="15" t="str">
        <f>_xlfn.XLOOKUP(D1021,'[3]AGUSTUS 2026'!$B:$B,'[3]AGUSTUS 2026'!$I:$I,"Tidak Ditemukan")</f>
        <v>FERY SAPUTRO</v>
      </c>
    </row>
    <row r="1022" spans="2:6">
      <c r="B1022" s="19" t="s">
        <v>922</v>
      </c>
      <c r="C1022" s="20" t="s">
        <v>923</v>
      </c>
      <c r="D1022" s="21" t="s">
        <v>1057</v>
      </c>
      <c r="E1022" s="22" t="s">
        <v>1716</v>
      </c>
      <c r="F1022" s="15" t="str">
        <f>_xlfn.XLOOKUP(D1022,'[3]AGUSTUS 2026'!$B:$B,'[3]AGUSTUS 2026'!$I:$I,"Tidak Ditemukan")</f>
        <v>FERY SAPUTRO</v>
      </c>
    </row>
    <row r="1023" spans="2:6">
      <c r="B1023" s="19" t="s">
        <v>922</v>
      </c>
      <c r="C1023" s="20" t="s">
        <v>923</v>
      </c>
      <c r="D1023" s="21" t="s">
        <v>1058</v>
      </c>
      <c r="E1023" s="22" t="s">
        <v>1716</v>
      </c>
      <c r="F1023" s="15" t="str">
        <f>_xlfn.XLOOKUP(D1023,'[3]AGUSTUS 2026'!$B:$B,'[3]AGUSTUS 2026'!$I:$I,"Tidak Ditemukan")</f>
        <v>FERY SAPUTRO</v>
      </c>
    </row>
    <row r="1024" spans="2:6">
      <c r="B1024" s="19" t="s">
        <v>922</v>
      </c>
      <c r="C1024" s="20" t="s">
        <v>923</v>
      </c>
      <c r="D1024" s="21" t="s">
        <v>1059</v>
      </c>
      <c r="E1024" s="22" t="s">
        <v>1716</v>
      </c>
      <c r="F1024" s="15" t="str">
        <f>_xlfn.XLOOKUP(D1024,'[3]AGUSTUS 2026'!$B:$B,'[3]AGUSTUS 2026'!$I:$I,"Tidak Ditemukan")</f>
        <v>MUHAMMAD CHAIRIL ANAM</v>
      </c>
    </row>
    <row r="1025" spans="2:6">
      <c r="B1025" s="19" t="s">
        <v>922</v>
      </c>
      <c r="C1025" s="20" t="s">
        <v>923</v>
      </c>
      <c r="D1025" s="21" t="s">
        <v>1060</v>
      </c>
      <c r="E1025" s="22" t="s">
        <v>1716</v>
      </c>
      <c r="F1025" s="15" t="str">
        <f>_xlfn.XLOOKUP(D1025,'[3]AGUSTUS 2026'!$B:$B,'[3]AGUSTUS 2026'!$I:$I,"Tidak Ditemukan")</f>
        <v>MUHAMMAD CHAIRIL ANAM</v>
      </c>
    </row>
    <row r="1026" spans="2:6">
      <c r="B1026" s="19" t="s">
        <v>922</v>
      </c>
      <c r="C1026" s="20" t="s">
        <v>923</v>
      </c>
      <c r="D1026" s="21" t="s">
        <v>1061</v>
      </c>
      <c r="E1026" s="22" t="s">
        <v>1716</v>
      </c>
      <c r="F1026" s="15" t="str">
        <f>_xlfn.XLOOKUP(D1026,'[3]AGUSTUS 2026'!$B:$B,'[3]AGUSTUS 2026'!$I:$I,"Tidak Ditemukan")</f>
        <v>MUHAMMAD CHAIRIL ANAM</v>
      </c>
    </row>
    <row r="1027" spans="2:6">
      <c r="B1027" s="19" t="s">
        <v>922</v>
      </c>
      <c r="C1027" s="20" t="s">
        <v>923</v>
      </c>
      <c r="D1027" s="21" t="s">
        <v>1062</v>
      </c>
      <c r="E1027" s="22" t="s">
        <v>1716</v>
      </c>
      <c r="F1027" s="15" t="str">
        <f>_xlfn.XLOOKUP(D1027,'[3]AGUSTUS 2026'!$B:$B,'[3]AGUSTUS 2026'!$I:$I,"Tidak Ditemukan")</f>
        <v>MUHAMMAD CHAIRIL ANAM</v>
      </c>
    </row>
    <row r="1028" spans="2:6">
      <c r="B1028" s="19" t="s">
        <v>922</v>
      </c>
      <c r="C1028" s="20" t="s">
        <v>923</v>
      </c>
      <c r="D1028" s="21" t="s">
        <v>1063</v>
      </c>
      <c r="E1028" s="22" t="s">
        <v>1716</v>
      </c>
      <c r="F1028" s="15" t="str">
        <f>_xlfn.XLOOKUP(D1028,'[3]AGUSTUS 2026'!$B:$B,'[3]AGUSTUS 2026'!$I:$I,"Tidak Ditemukan")</f>
        <v>MUHAMMAD CHAIRIL ANAM</v>
      </c>
    </row>
    <row r="1029" spans="2:6">
      <c r="B1029" s="19" t="s">
        <v>922</v>
      </c>
      <c r="C1029" s="20" t="s">
        <v>923</v>
      </c>
      <c r="D1029" s="21" t="s">
        <v>1064</v>
      </c>
      <c r="E1029" s="22" t="s">
        <v>1716</v>
      </c>
      <c r="F1029" s="15" t="str">
        <f>_xlfn.XLOOKUP(D1029,'[3]AGUSTUS 2026'!$B:$B,'[3]AGUSTUS 2026'!$I:$I,"Tidak Ditemukan")</f>
        <v>MUHAMMAD CHAIRIL ANAM</v>
      </c>
    </row>
    <row r="1030" spans="2:6">
      <c r="B1030" s="19" t="s">
        <v>922</v>
      </c>
      <c r="C1030" s="20" t="s">
        <v>923</v>
      </c>
      <c r="D1030" s="21" t="s">
        <v>1065</v>
      </c>
      <c r="E1030" s="22" t="s">
        <v>1716</v>
      </c>
      <c r="F1030" s="15" t="str">
        <f>_xlfn.XLOOKUP(D1030,'[3]AGUSTUS 2026'!$B:$B,'[3]AGUSTUS 2026'!$I:$I,"Tidak Ditemukan")</f>
        <v>MUHAMMAD CHAIRIL ANAM</v>
      </c>
    </row>
    <row r="1031" spans="2:6">
      <c r="B1031" s="19" t="s">
        <v>922</v>
      </c>
      <c r="C1031" s="20" t="s">
        <v>923</v>
      </c>
      <c r="D1031" s="21" t="s">
        <v>1066</v>
      </c>
      <c r="E1031" s="22" t="s">
        <v>1716</v>
      </c>
      <c r="F1031" s="15" t="str">
        <f>_xlfn.XLOOKUP(D1031,'[3]AGUSTUS 2026'!$B:$B,'[3]AGUSTUS 2026'!$I:$I,"Tidak Ditemukan")</f>
        <v>MUHAMMAD CHAIRIL ANAM</v>
      </c>
    </row>
    <row r="1032" spans="2:6">
      <c r="B1032" s="19" t="s">
        <v>922</v>
      </c>
      <c r="C1032" s="20" t="s">
        <v>923</v>
      </c>
      <c r="D1032" s="21" t="s">
        <v>1067</v>
      </c>
      <c r="E1032" s="22" t="s">
        <v>1716</v>
      </c>
      <c r="F1032" s="15" t="str">
        <f>_xlfn.XLOOKUP(D1032,'[3]AGUSTUS 2026'!$B:$B,'[3]AGUSTUS 2026'!$I:$I,"Tidak Ditemukan")</f>
        <v>MUHAMMAD CHAIRIL ANAM</v>
      </c>
    </row>
    <row r="1033" spans="2:6">
      <c r="B1033" s="19" t="s">
        <v>922</v>
      </c>
      <c r="C1033" s="20" t="s">
        <v>923</v>
      </c>
      <c r="D1033" s="21" t="s">
        <v>1068</v>
      </c>
      <c r="E1033" s="22" t="s">
        <v>1716</v>
      </c>
      <c r="F1033" s="15" t="str">
        <f>_xlfn.XLOOKUP(D1033,'[3]AGUSTUS 2026'!$B:$B,'[3]AGUSTUS 2026'!$I:$I,"Tidak Ditemukan")</f>
        <v>JOKO NDARU FEBRIYANTO</v>
      </c>
    </row>
    <row r="1034" spans="2:6">
      <c r="B1034" s="19" t="s">
        <v>922</v>
      </c>
      <c r="C1034" s="20" t="s">
        <v>923</v>
      </c>
      <c r="D1034" s="21" t="s">
        <v>1069</v>
      </c>
      <c r="E1034" s="22" t="s">
        <v>1716</v>
      </c>
      <c r="F1034" s="15" t="str">
        <f>_xlfn.XLOOKUP(D1034,'[3]AGUSTUS 2026'!$B:$B,'[3]AGUSTUS 2026'!$I:$I,"Tidak Ditemukan")</f>
        <v>JOKO NDARU FEBRIYANTO</v>
      </c>
    </row>
    <row r="1035" spans="2:6">
      <c r="B1035" s="19" t="s">
        <v>922</v>
      </c>
      <c r="C1035" s="20" t="s">
        <v>923</v>
      </c>
      <c r="D1035" s="21" t="s">
        <v>1070</v>
      </c>
      <c r="E1035" s="22" t="s">
        <v>1716</v>
      </c>
      <c r="F1035" s="15" t="str">
        <f>_xlfn.XLOOKUP(D1035,'[3]AGUSTUS 2026'!$B:$B,'[3]AGUSTUS 2026'!$I:$I,"Tidak Ditemukan")</f>
        <v>JOKO NDARU FEBRIYANTO</v>
      </c>
    </row>
    <row r="1036" spans="2:6">
      <c r="B1036" s="19" t="s">
        <v>922</v>
      </c>
      <c r="C1036" s="20" t="s">
        <v>923</v>
      </c>
      <c r="D1036" s="21" t="s">
        <v>1071</v>
      </c>
      <c r="E1036" s="22" t="s">
        <v>1716</v>
      </c>
      <c r="F1036" s="15" t="str">
        <f>_xlfn.XLOOKUP(D1036,'[3]AGUSTUS 2026'!$B:$B,'[3]AGUSTUS 2026'!$I:$I,"Tidak Ditemukan")</f>
        <v>JOKO NDARU FEBRIYANTO</v>
      </c>
    </row>
    <row r="1037" spans="2:6">
      <c r="B1037" s="19" t="s">
        <v>922</v>
      </c>
      <c r="C1037" s="20" t="s">
        <v>923</v>
      </c>
      <c r="D1037" s="21" t="s">
        <v>1072</v>
      </c>
      <c r="E1037" s="22" t="s">
        <v>1716</v>
      </c>
      <c r="F1037" s="15" t="str">
        <f>_xlfn.XLOOKUP(D1037,'[3]AGUSTUS 2026'!$B:$B,'[3]AGUSTUS 2026'!$I:$I,"Tidak Ditemukan")</f>
        <v>JOKO NDARU FEBRIYANTO</v>
      </c>
    </row>
    <row r="1038" spans="2:6">
      <c r="B1038" s="19" t="s">
        <v>922</v>
      </c>
      <c r="C1038" s="20" t="s">
        <v>923</v>
      </c>
      <c r="D1038" s="21" t="s">
        <v>1073</v>
      </c>
      <c r="E1038" s="22" t="s">
        <v>1716</v>
      </c>
      <c r="F1038" s="15" t="str">
        <f>_xlfn.XLOOKUP(D1038,'[3]AGUSTUS 2026'!$B:$B,'[3]AGUSTUS 2026'!$I:$I,"Tidak Ditemukan")</f>
        <v>JOKO NDARU FEBRIYANTO</v>
      </c>
    </row>
    <row r="1039" spans="2:6">
      <c r="B1039" s="19" t="s">
        <v>922</v>
      </c>
      <c r="C1039" s="20" t="s">
        <v>923</v>
      </c>
      <c r="D1039" s="21" t="s">
        <v>1074</v>
      </c>
      <c r="E1039" s="22" t="s">
        <v>1716</v>
      </c>
      <c r="F1039" s="15" t="str">
        <f>_xlfn.XLOOKUP(D1039,'[3]AGUSTUS 2026'!$B:$B,'[3]AGUSTUS 2026'!$I:$I,"Tidak Ditemukan")</f>
        <v>JOKO NDARU FEBRIYANTO</v>
      </c>
    </row>
    <row r="1040" spans="2:6">
      <c r="B1040" s="19" t="s">
        <v>922</v>
      </c>
      <c r="C1040" s="20" t="s">
        <v>923</v>
      </c>
      <c r="D1040" s="21" t="s">
        <v>1075</v>
      </c>
      <c r="E1040" s="22" t="s">
        <v>1716</v>
      </c>
      <c r="F1040" s="15" t="str">
        <f>_xlfn.XLOOKUP(D1040,'[3]AGUSTUS 2026'!$B:$B,'[3]AGUSTUS 2026'!$I:$I,"Tidak Ditemukan")</f>
        <v>JOKO NDARU FEBRIYANTO</v>
      </c>
    </row>
    <row r="1041" spans="2:6">
      <c r="B1041" s="19" t="s">
        <v>922</v>
      </c>
      <c r="C1041" s="20" t="s">
        <v>923</v>
      </c>
      <c r="D1041" s="21" t="s">
        <v>1076</v>
      </c>
      <c r="E1041" s="22" t="s">
        <v>1716</v>
      </c>
      <c r="F1041" s="15" t="str">
        <f>_xlfn.XLOOKUP(D1041,'[3]AGUSTUS 2026'!$B:$B,'[3]AGUSTUS 2026'!$I:$I,"Tidak Ditemukan")</f>
        <v>JOKO NDARU FEBRIYANTO</v>
      </c>
    </row>
    <row r="1042" spans="2:6">
      <c r="B1042" s="19" t="s">
        <v>922</v>
      </c>
      <c r="C1042" s="20" t="s">
        <v>923</v>
      </c>
      <c r="D1042" s="21" t="s">
        <v>1077</v>
      </c>
      <c r="E1042" s="22" t="s">
        <v>1716</v>
      </c>
      <c r="F1042" s="15" t="str">
        <f>_xlfn.XLOOKUP(D1042,'[3]AGUSTUS 2026'!$B:$B,'[3]AGUSTUS 2026'!$I:$I,"Tidak Ditemukan")</f>
        <v>SURYA DWI J</v>
      </c>
    </row>
    <row r="1043" spans="2:6">
      <c r="B1043" s="19" t="s">
        <v>922</v>
      </c>
      <c r="C1043" s="20" t="s">
        <v>923</v>
      </c>
      <c r="D1043" s="21" t="s">
        <v>1078</v>
      </c>
      <c r="E1043" s="22" t="s">
        <v>1716</v>
      </c>
      <c r="F1043" s="15" t="str">
        <f>_xlfn.XLOOKUP(D1043,'[3]AGUSTUS 2026'!$B:$B,'[3]AGUSTUS 2026'!$I:$I,"Tidak Ditemukan")</f>
        <v>SURYA DWI J</v>
      </c>
    </row>
    <row r="1044" spans="2:6">
      <c r="B1044" s="19" t="s">
        <v>922</v>
      </c>
      <c r="C1044" s="20" t="s">
        <v>923</v>
      </c>
      <c r="D1044" s="21" t="s">
        <v>1079</v>
      </c>
      <c r="E1044" s="22" t="s">
        <v>1716</v>
      </c>
      <c r="F1044" s="15" t="str">
        <f>_xlfn.XLOOKUP(D1044,'[3]AGUSTUS 2026'!$B:$B,'[3]AGUSTUS 2026'!$I:$I,"Tidak Ditemukan")</f>
        <v>SURYA DWI J</v>
      </c>
    </row>
    <row r="1045" spans="2:6">
      <c r="B1045" s="19" t="s">
        <v>1080</v>
      </c>
      <c r="C1045" s="20" t="s">
        <v>1081</v>
      </c>
      <c r="D1045" s="21" t="s">
        <v>1082</v>
      </c>
      <c r="E1045" s="22" t="s">
        <v>1716</v>
      </c>
      <c r="F1045" s="15" t="str">
        <f>_xlfn.XLOOKUP(D1045,[5]Sheet2!$C:$C,[5]Sheet2!$E:$E,"-")</f>
        <v>Fahmi Nur Muhamad</v>
      </c>
    </row>
    <row r="1046" spans="2:6">
      <c r="B1046" s="19" t="s">
        <v>1080</v>
      </c>
      <c r="C1046" s="20" t="s">
        <v>1081</v>
      </c>
      <c r="D1046" s="21" t="s">
        <v>1083</v>
      </c>
      <c r="E1046" s="22" t="s">
        <v>1716</v>
      </c>
      <c r="F1046" s="15" t="str">
        <f>_xlfn.XLOOKUP(D1046,[5]Sheet2!$C:$C,[5]Sheet2!$E:$E,"-")</f>
        <v>Imam Khudori</v>
      </c>
    </row>
    <row r="1047" spans="2:6">
      <c r="B1047" s="19" t="s">
        <v>1080</v>
      </c>
      <c r="C1047" s="20" t="s">
        <v>1081</v>
      </c>
      <c r="D1047" s="21" t="s">
        <v>1084</v>
      </c>
      <c r="E1047" s="22" t="s">
        <v>1716</v>
      </c>
      <c r="F1047" s="15" t="str">
        <f>_xlfn.XLOOKUP(D1047,[5]Sheet2!$C:$C,[5]Sheet2!$E:$E,"-")</f>
        <v>Dwi Murdianto</v>
      </c>
    </row>
    <row r="1048" spans="2:6">
      <c r="B1048" s="19" t="s">
        <v>1080</v>
      </c>
      <c r="C1048" s="20" t="s">
        <v>1081</v>
      </c>
      <c r="D1048" s="21" t="s">
        <v>1085</v>
      </c>
      <c r="E1048" s="22" t="s">
        <v>1716</v>
      </c>
      <c r="F1048" s="15" t="str">
        <f>_xlfn.XLOOKUP(D1048,[5]Sheet2!$C:$C,[5]Sheet2!$E:$E,"-")</f>
        <v>Ali Subeki</v>
      </c>
    </row>
    <row r="1049" spans="2:6">
      <c r="B1049" s="19" t="s">
        <v>1080</v>
      </c>
      <c r="C1049" s="20" t="s">
        <v>1081</v>
      </c>
      <c r="D1049" s="21" t="s">
        <v>1086</v>
      </c>
      <c r="E1049" s="22" t="s">
        <v>1716</v>
      </c>
      <c r="F1049" s="15" t="str">
        <f>_xlfn.XLOOKUP(D1049,[5]Sheet2!$C:$C,[5]Sheet2!$E:$E,"-")</f>
        <v>Dwi Murdianto</v>
      </c>
    </row>
    <row r="1050" spans="2:6">
      <c r="B1050" s="19" t="s">
        <v>1080</v>
      </c>
      <c r="C1050" s="20" t="s">
        <v>1081</v>
      </c>
      <c r="D1050" s="21" t="s">
        <v>1087</v>
      </c>
      <c r="E1050" s="22" t="s">
        <v>1716</v>
      </c>
      <c r="F1050" s="15" t="str">
        <f>_xlfn.XLOOKUP(D1050,[5]Sheet2!$C:$C,[5]Sheet2!$E:$E,"-")</f>
        <v>Mochamad Robi Hidayat</v>
      </c>
    </row>
    <row r="1051" spans="2:6">
      <c r="B1051" s="19" t="s">
        <v>1080</v>
      </c>
      <c r="C1051" s="20" t="s">
        <v>1081</v>
      </c>
      <c r="D1051" s="21" t="s">
        <v>1088</v>
      </c>
      <c r="E1051" s="22" t="s">
        <v>1716</v>
      </c>
      <c r="F1051" s="15" t="str">
        <f>_xlfn.XLOOKUP(D1051,[5]Sheet2!$C:$C,[5]Sheet2!$E:$E,"-")</f>
        <v>Fahmi Nur Muhamad</v>
      </c>
    </row>
    <row r="1052" spans="2:6">
      <c r="B1052" s="19" t="s">
        <v>1080</v>
      </c>
      <c r="C1052" s="20" t="s">
        <v>1081</v>
      </c>
      <c r="D1052" s="21" t="s">
        <v>1089</v>
      </c>
      <c r="E1052" s="22" t="s">
        <v>1716</v>
      </c>
      <c r="F1052" s="15" t="str">
        <f>_xlfn.XLOOKUP(D1052,[5]Sheet2!$C:$C,[5]Sheet2!$E:$E,"-")</f>
        <v>Imam Khudori</v>
      </c>
    </row>
    <row r="1053" spans="2:6">
      <c r="B1053" s="19" t="s">
        <v>1080</v>
      </c>
      <c r="C1053" s="20" t="s">
        <v>1081</v>
      </c>
      <c r="D1053" s="21" t="s">
        <v>1090</v>
      </c>
      <c r="E1053" s="22" t="s">
        <v>1716</v>
      </c>
      <c r="F1053" s="15" t="str">
        <f>_xlfn.XLOOKUP(D1053,[5]Sheet2!$C:$C,[5]Sheet2!$E:$E,"-")</f>
        <v>Mochamad Robi Hidayat</v>
      </c>
    </row>
    <row r="1054" spans="2:6">
      <c r="B1054" s="19" t="s">
        <v>1080</v>
      </c>
      <c r="C1054" s="20" t="s">
        <v>1081</v>
      </c>
      <c r="D1054" s="21" t="s">
        <v>1091</v>
      </c>
      <c r="E1054" s="22" t="s">
        <v>1716</v>
      </c>
      <c r="F1054" s="15" t="str">
        <f>_xlfn.XLOOKUP(D1054,[5]Sheet2!$C:$C,[5]Sheet2!$E:$E,"-")</f>
        <v>Ali Subeki</v>
      </c>
    </row>
    <row r="1055" spans="2:6">
      <c r="B1055" s="19" t="s">
        <v>1080</v>
      </c>
      <c r="C1055" s="20" t="s">
        <v>1081</v>
      </c>
      <c r="D1055" s="21" t="s">
        <v>1092</v>
      </c>
      <c r="E1055" s="22" t="s">
        <v>1716</v>
      </c>
      <c r="F1055" s="15" t="str">
        <f>_xlfn.XLOOKUP(D1055,[5]Sheet2!$C:$C,[5]Sheet2!$E:$E,"-")</f>
        <v>Budianto</v>
      </c>
    </row>
    <row r="1056" spans="2:6">
      <c r="B1056" s="19" t="s">
        <v>1080</v>
      </c>
      <c r="C1056" s="20" t="s">
        <v>1081</v>
      </c>
      <c r="D1056" s="21" t="s">
        <v>1093</v>
      </c>
      <c r="E1056" s="22" t="s">
        <v>1716</v>
      </c>
      <c r="F1056" s="15" t="str">
        <f>_xlfn.XLOOKUP(D1056,[5]Sheet2!$C:$C,[5]Sheet2!$E:$E,"-")</f>
        <v>Andy Kistiwantono</v>
      </c>
    </row>
    <row r="1057" spans="2:6">
      <c r="B1057" s="19" t="s">
        <v>1080</v>
      </c>
      <c r="C1057" s="20" t="s">
        <v>1081</v>
      </c>
      <c r="D1057" s="21" t="s">
        <v>1094</v>
      </c>
      <c r="E1057" s="22" t="s">
        <v>1716</v>
      </c>
      <c r="F1057" s="15" t="str">
        <f>_xlfn.XLOOKUP(D1057,[5]Sheet2!$C:$C,[5]Sheet2!$E:$E,"-")</f>
        <v>M. Zen Asrofi</v>
      </c>
    </row>
    <row r="1058" spans="2:6">
      <c r="B1058" s="19" t="s">
        <v>1080</v>
      </c>
      <c r="C1058" s="20" t="s">
        <v>1081</v>
      </c>
      <c r="D1058" s="21" t="s">
        <v>1095</v>
      </c>
      <c r="E1058" s="22" t="s">
        <v>1716</v>
      </c>
      <c r="F1058" s="15" t="str">
        <f>_xlfn.XLOOKUP(D1058,[5]Sheet2!$C:$C,[5]Sheet2!$E:$E,"-")</f>
        <v>Totok Suwiknyo</v>
      </c>
    </row>
    <row r="1059" spans="2:6">
      <c r="B1059" s="19" t="s">
        <v>1080</v>
      </c>
      <c r="C1059" s="20" t="s">
        <v>1081</v>
      </c>
      <c r="D1059" s="21" t="s">
        <v>1096</v>
      </c>
      <c r="E1059" s="22" t="s">
        <v>1716</v>
      </c>
      <c r="F1059" s="15" t="str">
        <f>_xlfn.XLOOKUP(D1059,[5]Sheet2!$C:$C,[5]Sheet2!$E:$E,"-")</f>
        <v>Andy Kistiwantono</v>
      </c>
    </row>
    <row r="1060" spans="2:6">
      <c r="B1060" s="19" t="s">
        <v>1080</v>
      </c>
      <c r="C1060" s="20" t="s">
        <v>1081</v>
      </c>
      <c r="D1060" s="21" t="s">
        <v>1097</v>
      </c>
      <c r="E1060" s="22" t="s">
        <v>1716</v>
      </c>
      <c r="F1060" s="15" t="str">
        <f>_xlfn.XLOOKUP(D1060,[5]Sheet2!$C:$C,[5]Sheet2!$E:$E,"-")</f>
        <v>M. Zen Asrofi</v>
      </c>
    </row>
    <row r="1061" spans="2:6">
      <c r="B1061" s="19" t="s">
        <v>1080</v>
      </c>
      <c r="C1061" s="20" t="s">
        <v>1081</v>
      </c>
      <c r="D1061" s="21" t="s">
        <v>1098</v>
      </c>
      <c r="E1061" s="22" t="s">
        <v>1716</v>
      </c>
      <c r="F1061" s="15" t="str">
        <f>_xlfn.XLOOKUP(D1061,[5]Sheet2!$C:$C,[5]Sheet2!$E:$E,"-")</f>
        <v>Mokhammad Ali Mustofa</v>
      </c>
    </row>
    <row r="1062" spans="2:6">
      <c r="B1062" s="19" t="s">
        <v>1080</v>
      </c>
      <c r="C1062" s="20" t="s">
        <v>1081</v>
      </c>
      <c r="D1062" s="21" t="s">
        <v>1099</v>
      </c>
      <c r="E1062" s="22" t="s">
        <v>1716</v>
      </c>
      <c r="F1062" s="15" t="str">
        <f>_xlfn.XLOOKUP(D1062,[5]Sheet2!$C:$C,[5]Sheet2!$E:$E,"-")</f>
        <v>Mokhammad Ali Mustofa</v>
      </c>
    </row>
    <row r="1063" spans="2:6">
      <c r="B1063" s="19" t="s">
        <v>1080</v>
      </c>
      <c r="C1063" s="20" t="s">
        <v>1081</v>
      </c>
      <c r="D1063" s="21" t="s">
        <v>1100</v>
      </c>
      <c r="E1063" s="22" t="s">
        <v>1716</v>
      </c>
      <c r="F1063" s="15" t="str">
        <f>_xlfn.XLOOKUP(D1063,[5]Sheet2!$C:$C,[5]Sheet2!$E:$E,"-")</f>
        <v>Totok Suwiknyo</v>
      </c>
    </row>
    <row r="1064" spans="2:6">
      <c r="B1064" s="19" t="s">
        <v>1080</v>
      </c>
      <c r="C1064" s="20" t="s">
        <v>1081</v>
      </c>
      <c r="D1064" s="21" t="s">
        <v>1101</v>
      </c>
      <c r="E1064" s="22" t="s">
        <v>1716</v>
      </c>
      <c r="F1064" s="15" t="str">
        <f>_xlfn.XLOOKUP(D1064,[5]Sheet2!$C:$C,[5]Sheet2!$E:$E,"-")</f>
        <v>Budianto</v>
      </c>
    </row>
    <row r="1065" spans="2:6">
      <c r="B1065" s="19" t="s">
        <v>1080</v>
      </c>
      <c r="C1065" s="20" t="s">
        <v>1081</v>
      </c>
      <c r="D1065" s="21" t="s">
        <v>1102</v>
      </c>
      <c r="E1065" s="22" t="s">
        <v>1716</v>
      </c>
      <c r="F1065" s="15" t="str">
        <f>_xlfn.XLOOKUP(D1065,[5]Sheet2!$C:$C,[5]Sheet2!$E:$E,"-")</f>
        <v>Niza Ramadani</v>
      </c>
    </row>
    <row r="1066" spans="2:6">
      <c r="B1066" s="19" t="s">
        <v>1080</v>
      </c>
      <c r="C1066" s="20" t="s">
        <v>1081</v>
      </c>
      <c r="D1066" s="21" t="s">
        <v>1103</v>
      </c>
      <c r="E1066" s="22" t="s">
        <v>1739</v>
      </c>
      <c r="F1066" s="15" t="str">
        <f>_xlfn.XLOOKUP(D1066,[5]Sheet2!$C:$C,[5]Sheet2!$E:$E,"-")</f>
        <v>Dian Putra Aris Firmansyah</v>
      </c>
    </row>
    <row r="1067" spans="2:6">
      <c r="B1067" s="19" t="s">
        <v>1080</v>
      </c>
      <c r="C1067" s="20" t="s">
        <v>1081</v>
      </c>
      <c r="D1067" s="21" t="s">
        <v>1104</v>
      </c>
      <c r="E1067" s="22" t="s">
        <v>1739</v>
      </c>
      <c r="F1067" s="15" t="str">
        <f>_xlfn.XLOOKUP(D1067,[5]Sheet2!$C:$C,[5]Sheet2!$E:$E,"-")</f>
        <v>Mohammad Fa'Iq Al Abror</v>
      </c>
    </row>
    <row r="1068" spans="2:6">
      <c r="B1068" s="19" t="s">
        <v>1080</v>
      </c>
      <c r="C1068" s="20" t="s">
        <v>1081</v>
      </c>
      <c r="D1068" s="21" t="s">
        <v>1105</v>
      </c>
      <c r="E1068" s="22" t="s">
        <v>1716</v>
      </c>
      <c r="F1068" s="15" t="str">
        <f>_xlfn.XLOOKUP(D1068,[5]Sheet2!$C:$C,[5]Sheet2!$E:$E,"-")</f>
        <v>Fariszulhazmi</v>
      </c>
    </row>
    <row r="1069" spans="2:6">
      <c r="B1069" s="19" t="s">
        <v>1080</v>
      </c>
      <c r="C1069" s="20" t="s">
        <v>1081</v>
      </c>
      <c r="D1069" s="21" t="s">
        <v>1106</v>
      </c>
      <c r="E1069" s="22" t="s">
        <v>1716</v>
      </c>
      <c r="F1069" s="15" t="str">
        <f>_xlfn.XLOOKUP(D1069,[5]Sheet2!$C:$C,[5]Sheet2!$E:$E,"-")</f>
        <v>Fitra Romansyah</v>
      </c>
    </row>
    <row r="1070" spans="2:6">
      <c r="B1070" s="19" t="s">
        <v>1080</v>
      </c>
      <c r="C1070" s="20" t="s">
        <v>1081</v>
      </c>
      <c r="D1070" s="21" t="s">
        <v>1107</v>
      </c>
      <c r="E1070" s="22" t="s">
        <v>1716</v>
      </c>
      <c r="F1070" s="15" t="str">
        <f>_xlfn.XLOOKUP(D1070,[5]Sheet2!$C:$C,[5]Sheet2!$E:$E,"-")</f>
        <v>Fariszulhazmi</v>
      </c>
    </row>
    <row r="1071" spans="2:6">
      <c r="B1071" s="19" t="s">
        <v>1080</v>
      </c>
      <c r="C1071" s="20" t="s">
        <v>1081</v>
      </c>
      <c r="D1071" s="21" t="s">
        <v>1108</v>
      </c>
      <c r="E1071" s="22" t="s">
        <v>1716</v>
      </c>
      <c r="F1071" s="15" t="str">
        <f>_xlfn.XLOOKUP(D1071,[5]Sheet2!$C:$C,[5]Sheet2!$E:$E,"-")</f>
        <v>Dede Rahadiansyah Ucky Pradana</v>
      </c>
    </row>
    <row r="1072" spans="2:6">
      <c r="B1072" s="19" t="s">
        <v>1080</v>
      </c>
      <c r="C1072" s="20" t="s">
        <v>1081</v>
      </c>
      <c r="D1072" s="21" t="s">
        <v>1109</v>
      </c>
      <c r="E1072" s="22" t="s">
        <v>1716</v>
      </c>
      <c r="F1072" s="15" t="str">
        <f>_xlfn.XLOOKUP(D1072,[5]Sheet2!$C:$C,[5]Sheet2!$E:$E,"-")</f>
        <v>Ardyanita Wanti, S.Pd</v>
      </c>
    </row>
    <row r="1073" spans="2:6">
      <c r="B1073" s="19" t="s">
        <v>1080</v>
      </c>
      <c r="C1073" s="20" t="s">
        <v>1081</v>
      </c>
      <c r="D1073" s="21" t="s">
        <v>1110</v>
      </c>
      <c r="E1073" s="22" t="s">
        <v>1739</v>
      </c>
      <c r="F1073" s="15" t="str">
        <f>_xlfn.XLOOKUP(D1073,[5]Sheet2!$C:$C,[5]Sheet2!$E:$E,"-")</f>
        <v>Mohammad Fa'Iq Al Abror</v>
      </c>
    </row>
    <row r="1074" spans="2:6">
      <c r="B1074" s="19" t="s">
        <v>1080</v>
      </c>
      <c r="C1074" s="20" t="s">
        <v>1081</v>
      </c>
      <c r="D1074" s="21" t="s">
        <v>1111</v>
      </c>
      <c r="E1074" s="22" t="s">
        <v>1739</v>
      </c>
      <c r="F1074" s="15" t="str">
        <f>_xlfn.XLOOKUP(D1074,[5]Sheet2!$C:$C,[5]Sheet2!$E:$E,"-")</f>
        <v>Dian Putra Aris Firmansyah</v>
      </c>
    </row>
    <row r="1075" spans="2:6">
      <c r="B1075" s="19" t="s">
        <v>1080</v>
      </c>
      <c r="C1075" s="20" t="s">
        <v>1081</v>
      </c>
      <c r="D1075" s="21" t="s">
        <v>1112</v>
      </c>
      <c r="E1075" s="22" t="s">
        <v>1716</v>
      </c>
      <c r="F1075" s="15" t="str">
        <f>_xlfn.XLOOKUP(D1075,[5]Sheet2!$C:$C,[5]Sheet2!$E:$E,"-")</f>
        <v>Ardyanita Wanti, S.Pd</v>
      </c>
    </row>
    <row r="1076" spans="2:6">
      <c r="B1076" s="19" t="s">
        <v>1080</v>
      </c>
      <c r="C1076" s="20" t="s">
        <v>1081</v>
      </c>
      <c r="D1076" s="21" t="s">
        <v>1113</v>
      </c>
      <c r="E1076" s="22" t="s">
        <v>1716</v>
      </c>
      <c r="F1076" s="15" t="str">
        <f>_xlfn.XLOOKUP(D1076,[5]Sheet2!$C:$C,[5]Sheet2!$E:$E,"-")</f>
        <v>Fariszulhazmi</v>
      </c>
    </row>
    <row r="1077" spans="2:6">
      <c r="B1077" s="19" t="s">
        <v>1080</v>
      </c>
      <c r="C1077" s="20" t="s">
        <v>1081</v>
      </c>
      <c r="D1077" s="21" t="s">
        <v>1114</v>
      </c>
      <c r="E1077" s="22" t="s">
        <v>1716</v>
      </c>
      <c r="F1077" s="15" t="str">
        <f>_xlfn.XLOOKUP(D1077,[5]Sheet2!$C:$C,[5]Sheet2!$E:$E,"-")</f>
        <v>Fitra Romansyah</v>
      </c>
    </row>
    <row r="1078" spans="2:6">
      <c r="B1078" s="19" t="s">
        <v>1080</v>
      </c>
      <c r="C1078" s="20" t="s">
        <v>1081</v>
      </c>
      <c r="D1078" s="21" t="s">
        <v>1115</v>
      </c>
      <c r="E1078" s="22" t="s">
        <v>1716</v>
      </c>
      <c r="F1078" s="15" t="str">
        <f>_xlfn.XLOOKUP(D1078,[5]Sheet2!$C:$C,[5]Sheet2!$E:$E,"-")</f>
        <v>Fitra Romansyah</v>
      </c>
    </row>
    <row r="1079" spans="2:6">
      <c r="B1079" s="19" t="s">
        <v>1080</v>
      </c>
      <c r="C1079" s="20" t="s">
        <v>1081</v>
      </c>
      <c r="D1079" s="21" t="s">
        <v>1116</v>
      </c>
      <c r="E1079" s="22" t="s">
        <v>1739</v>
      </c>
      <c r="F1079" s="15" t="str">
        <f>_xlfn.XLOOKUP(D1079,[5]Sheet2!$C:$C,[5]Sheet2!$E:$E,"-")</f>
        <v>M. Faris Rahman</v>
      </c>
    </row>
    <row r="1080" spans="2:6">
      <c r="B1080" s="19" t="s">
        <v>1080</v>
      </c>
      <c r="C1080" s="20" t="s">
        <v>1081</v>
      </c>
      <c r="D1080" s="21" t="s">
        <v>1117</v>
      </c>
      <c r="E1080" s="22" t="s">
        <v>1739</v>
      </c>
      <c r="F1080" s="15" t="str">
        <f>_xlfn.XLOOKUP(D1080,[5]Sheet2!$C:$C,[5]Sheet2!$E:$E,"-")</f>
        <v>Ali Said</v>
      </c>
    </row>
    <row r="1081" spans="2:6">
      <c r="B1081" s="19" t="s">
        <v>1080</v>
      </c>
      <c r="C1081" s="20" t="s">
        <v>1081</v>
      </c>
      <c r="D1081" s="21" t="s">
        <v>1118</v>
      </c>
      <c r="E1081" s="22" t="s">
        <v>1716</v>
      </c>
      <c r="F1081" s="15" t="str">
        <f>_xlfn.XLOOKUP(D1081,[5]Sheet2!$C:$C,[5]Sheet2!$E:$E,"-")</f>
        <v>Siswa Maulana Malik</v>
      </c>
    </row>
    <row r="1082" spans="2:6">
      <c r="B1082" s="19" t="s">
        <v>1080</v>
      </c>
      <c r="C1082" s="20" t="s">
        <v>1081</v>
      </c>
      <c r="D1082" s="21" t="s">
        <v>1119</v>
      </c>
      <c r="E1082" s="22" t="s">
        <v>1716</v>
      </c>
      <c r="F1082" s="15" t="str">
        <f>_xlfn.XLOOKUP(D1082,[5]Sheet2!$C:$C,[5]Sheet2!$E:$E,"-")</f>
        <v>Ahmad Andy Fajar Wijaya</v>
      </c>
    </row>
    <row r="1083" spans="2:6">
      <c r="B1083" s="19" t="s">
        <v>1080</v>
      </c>
      <c r="C1083" s="20" t="s">
        <v>1081</v>
      </c>
      <c r="D1083" s="21" t="s">
        <v>1120</v>
      </c>
      <c r="E1083" s="22" t="s">
        <v>1716</v>
      </c>
      <c r="F1083" s="15" t="str">
        <f>_xlfn.XLOOKUP(D1083,[5]Sheet2!$C:$C,[5]Sheet2!$E:$E,"-")</f>
        <v>Moch Ali Muksin</v>
      </c>
    </row>
    <row r="1084" spans="2:6">
      <c r="B1084" s="19" t="s">
        <v>1080</v>
      </c>
      <c r="C1084" s="20" t="s">
        <v>1081</v>
      </c>
      <c r="D1084" s="21" t="s">
        <v>1121</v>
      </c>
      <c r="E1084" s="22" t="s">
        <v>1716</v>
      </c>
      <c r="F1084" s="15" t="str">
        <f>_xlfn.XLOOKUP(D1084,[5]Sheet2!$C:$C,[5]Sheet2!$E:$E,"-")</f>
        <v>Ahmad Andy Fajar Wijaya</v>
      </c>
    </row>
    <row r="1085" spans="2:6">
      <c r="B1085" s="19" t="s">
        <v>1080</v>
      </c>
      <c r="C1085" s="20" t="s">
        <v>1081</v>
      </c>
      <c r="D1085" s="21" t="s">
        <v>1122</v>
      </c>
      <c r="E1085" s="22" t="s">
        <v>1716</v>
      </c>
      <c r="F1085" s="15" t="str">
        <f>_xlfn.XLOOKUP(D1085,[5]Sheet2!$C:$C,[5]Sheet2!$E:$E,"-")</f>
        <v>Siswa Maulana Malik</v>
      </c>
    </row>
    <row r="1086" spans="2:6">
      <c r="B1086" s="19" t="s">
        <v>1080</v>
      </c>
      <c r="C1086" s="20" t="s">
        <v>1081</v>
      </c>
      <c r="D1086" s="21" t="s">
        <v>1123</v>
      </c>
      <c r="E1086" s="22" t="s">
        <v>1739</v>
      </c>
      <c r="F1086" s="15" t="str">
        <f>_xlfn.XLOOKUP(D1086,[5]Sheet2!$C:$C,[5]Sheet2!$E:$E,"-")</f>
        <v>M. Faris Rahman</v>
      </c>
    </row>
    <row r="1087" spans="2:6">
      <c r="B1087" s="19" t="s">
        <v>1080</v>
      </c>
      <c r="C1087" s="20" t="s">
        <v>1081</v>
      </c>
      <c r="D1087" s="21" t="s">
        <v>1124</v>
      </c>
      <c r="E1087" s="22" t="s">
        <v>1739</v>
      </c>
      <c r="F1087" s="15" t="str">
        <f>_xlfn.XLOOKUP(D1087,[5]Sheet2!$C:$C,[5]Sheet2!$E:$E,"-")</f>
        <v>Ali Said</v>
      </c>
    </row>
    <row r="1088" spans="2:6">
      <c r="B1088" s="19" t="s">
        <v>1080</v>
      </c>
      <c r="C1088" s="20" t="s">
        <v>1081</v>
      </c>
      <c r="D1088" s="21" t="s">
        <v>1125</v>
      </c>
      <c r="E1088" s="22" t="s">
        <v>1739</v>
      </c>
      <c r="F1088" s="15" t="str">
        <f>_xlfn.XLOOKUP(D1088,[5]Sheet2!$C:$C,[5]Sheet2!$E:$E,"-")</f>
        <v>M. Faris Rahman</v>
      </c>
    </row>
    <row r="1089" spans="2:6">
      <c r="B1089" s="19" t="s">
        <v>1080</v>
      </c>
      <c r="C1089" s="20" t="s">
        <v>1081</v>
      </c>
      <c r="D1089" s="21" t="s">
        <v>1126</v>
      </c>
      <c r="E1089" s="22" t="s">
        <v>1716</v>
      </c>
      <c r="F1089" s="15" t="str">
        <f>_xlfn.XLOOKUP(D1089,[5]Sheet2!$C:$C,[5]Sheet2!$E:$E,"-")</f>
        <v>Moch Ali Muksin</v>
      </c>
    </row>
    <row r="1090" spans="2:6">
      <c r="B1090" s="19" t="s">
        <v>1080</v>
      </c>
      <c r="C1090" s="20" t="s">
        <v>1081</v>
      </c>
      <c r="D1090" s="21" t="s">
        <v>1127</v>
      </c>
      <c r="E1090" s="22" t="s">
        <v>1716</v>
      </c>
      <c r="F1090" s="15" t="str">
        <f>_xlfn.XLOOKUP(D1090,[5]Sheet2!$C:$C,[5]Sheet2!$E:$E,"-")</f>
        <v>Ahmad Andy Fajar Wijaya</v>
      </c>
    </row>
    <row r="1091" spans="2:6">
      <c r="B1091" s="19" t="s">
        <v>1080</v>
      </c>
      <c r="C1091" s="20" t="s">
        <v>1081</v>
      </c>
      <c r="D1091" s="21" t="s">
        <v>1128</v>
      </c>
      <c r="E1091" s="22" t="s">
        <v>1716</v>
      </c>
      <c r="F1091" s="15" t="str">
        <f>_xlfn.XLOOKUP(D1091,[5]Sheet2!$C:$C,[5]Sheet2!$E:$E,"-")</f>
        <v>Faris Meilugianta Pratama</v>
      </c>
    </row>
    <row r="1092" spans="2:6">
      <c r="B1092" s="19" t="s">
        <v>1080</v>
      </c>
      <c r="C1092" s="20" t="s">
        <v>1081</v>
      </c>
      <c r="D1092" s="21" t="s">
        <v>1129</v>
      </c>
      <c r="E1092" s="22" t="s">
        <v>1716</v>
      </c>
      <c r="F1092" s="15" t="str">
        <f>_xlfn.XLOOKUP(D1092,[5]Sheet2!$C:$C,[5]Sheet2!$E:$E,"-")</f>
        <v>Zainal Abidin</v>
      </c>
    </row>
    <row r="1093" spans="2:6">
      <c r="B1093" s="19" t="s">
        <v>1080</v>
      </c>
      <c r="C1093" s="20" t="s">
        <v>1081</v>
      </c>
      <c r="D1093" s="21" t="s">
        <v>1130</v>
      </c>
      <c r="E1093" s="22" t="s">
        <v>1716</v>
      </c>
      <c r="F1093" s="15" t="str">
        <f>_xlfn.XLOOKUP(D1093,[5]Sheet2!$C:$C,[5]Sheet2!$E:$E,"-")</f>
        <v>Ega Chandra Dinata</v>
      </c>
    </row>
    <row r="1094" spans="2:6">
      <c r="B1094" s="19" t="s">
        <v>1080</v>
      </c>
      <c r="C1094" s="20" t="s">
        <v>1081</v>
      </c>
      <c r="D1094" s="21" t="s">
        <v>1131</v>
      </c>
      <c r="E1094" s="22" t="s">
        <v>1716</v>
      </c>
      <c r="F1094" s="15" t="str">
        <f>_xlfn.XLOOKUP(D1094,[5]Sheet2!$C:$C,[5]Sheet2!$E:$E,"-")</f>
        <v>Fauzen Alfan</v>
      </c>
    </row>
    <row r="1095" spans="2:6">
      <c r="B1095" s="19" t="s">
        <v>1080</v>
      </c>
      <c r="C1095" s="20" t="s">
        <v>1081</v>
      </c>
      <c r="D1095" s="21" t="s">
        <v>1132</v>
      </c>
      <c r="E1095" s="22" t="s">
        <v>1716</v>
      </c>
      <c r="F1095" s="15" t="str">
        <f>_xlfn.XLOOKUP(D1095,[5]Sheet2!$C:$C,[5]Sheet2!$E:$E,"-")</f>
        <v>Faris Meilugianta Pratama</v>
      </c>
    </row>
    <row r="1096" spans="2:6">
      <c r="B1096" s="19" t="s">
        <v>1080</v>
      </c>
      <c r="C1096" s="20" t="s">
        <v>1081</v>
      </c>
      <c r="D1096" s="21" t="s">
        <v>1133</v>
      </c>
      <c r="E1096" s="22" t="s">
        <v>1716</v>
      </c>
      <c r="F1096" s="15" t="str">
        <f>_xlfn.XLOOKUP(D1096,[5]Sheet2!$C:$C,[5]Sheet2!$E:$E,"-")</f>
        <v>Hilman Anshori</v>
      </c>
    </row>
    <row r="1097" spans="2:6">
      <c r="B1097" s="19" t="s">
        <v>1080</v>
      </c>
      <c r="C1097" s="20" t="s">
        <v>1081</v>
      </c>
      <c r="D1097" s="21" t="s">
        <v>1134</v>
      </c>
      <c r="E1097" s="22" t="s">
        <v>1739</v>
      </c>
      <c r="F1097" s="15" t="str">
        <f>_xlfn.XLOOKUP(D1097,[5]Sheet2!$C:$C,[5]Sheet2!$E:$E,"-")</f>
        <v>-</v>
      </c>
    </row>
    <row r="1098" spans="2:6">
      <c r="B1098" s="19" t="s">
        <v>1080</v>
      </c>
      <c r="C1098" s="20" t="s">
        <v>1081</v>
      </c>
      <c r="D1098" s="21" t="s">
        <v>1135</v>
      </c>
      <c r="E1098" s="22" t="s">
        <v>1739</v>
      </c>
      <c r="F1098" s="15" t="str">
        <f>_xlfn.XLOOKUP(D1098,[5]Sheet2!$C:$C,[5]Sheet2!$E:$E,"-")</f>
        <v>-</v>
      </c>
    </row>
    <row r="1099" spans="2:6">
      <c r="B1099" s="19" t="s">
        <v>1080</v>
      </c>
      <c r="C1099" s="20" t="s">
        <v>1081</v>
      </c>
      <c r="D1099" s="21" t="s">
        <v>1136</v>
      </c>
      <c r="E1099" s="22" t="s">
        <v>1739</v>
      </c>
      <c r="F1099" s="15" t="str">
        <f>_xlfn.XLOOKUP(D1099,[5]Sheet2!$C:$C,[5]Sheet2!$E:$E,"-")</f>
        <v>-</v>
      </c>
    </row>
    <row r="1100" spans="2:6">
      <c r="B1100" s="19" t="s">
        <v>1080</v>
      </c>
      <c r="C1100" s="20" t="s">
        <v>1081</v>
      </c>
      <c r="D1100" s="21" t="s">
        <v>1137</v>
      </c>
      <c r="E1100" s="22" t="s">
        <v>1739</v>
      </c>
      <c r="F1100" s="15" t="str">
        <f>_xlfn.XLOOKUP(D1100,[5]Sheet2!$C:$C,[5]Sheet2!$E:$E,"-")</f>
        <v>-</v>
      </c>
    </row>
    <row r="1101" spans="2:6">
      <c r="B1101" s="19" t="s">
        <v>1080</v>
      </c>
      <c r="C1101" s="20" t="s">
        <v>1081</v>
      </c>
      <c r="D1101" s="21" t="s">
        <v>1138</v>
      </c>
      <c r="E1101" s="22" t="s">
        <v>1739</v>
      </c>
      <c r="F1101" s="15" t="str">
        <f>_xlfn.XLOOKUP(D1101,[5]Sheet2!$C:$C,[5]Sheet2!$E:$E,"-")</f>
        <v>Andi Wiranata Negara</v>
      </c>
    </row>
    <row r="1102" spans="2:6">
      <c r="B1102" s="19" t="s">
        <v>1080</v>
      </c>
      <c r="C1102" s="20" t="s">
        <v>1081</v>
      </c>
      <c r="D1102" s="21" t="s">
        <v>1139</v>
      </c>
      <c r="E1102" s="22" t="s">
        <v>1739</v>
      </c>
      <c r="F1102" s="15" t="str">
        <f>_xlfn.XLOOKUP(D1102,[5]Sheet2!$C:$C,[5]Sheet2!$E:$E,"-")</f>
        <v>Moh. Hasan</v>
      </c>
    </row>
    <row r="1103" spans="2:6">
      <c r="B1103" s="19" t="s">
        <v>1080</v>
      </c>
      <c r="C1103" s="20" t="s">
        <v>1081</v>
      </c>
      <c r="D1103" s="21" t="s">
        <v>1140</v>
      </c>
      <c r="E1103" s="22" t="s">
        <v>1739</v>
      </c>
      <c r="F1103" s="15" t="str">
        <f>_xlfn.XLOOKUP(D1103,[5]Sheet2!$C:$C,[5]Sheet2!$E:$E,"-")</f>
        <v>Farida</v>
      </c>
    </row>
    <row r="1104" spans="2:6">
      <c r="B1104" s="19" t="s">
        <v>1080</v>
      </c>
      <c r="C1104" s="20" t="s">
        <v>1081</v>
      </c>
      <c r="D1104" s="21" t="s">
        <v>1141</v>
      </c>
      <c r="E1104" s="22" t="s">
        <v>1739</v>
      </c>
      <c r="F1104" s="15" t="str">
        <f>_xlfn.XLOOKUP(D1104,[5]Sheet2!$C:$C,[5]Sheet2!$E:$E,"-")</f>
        <v>Moh. Hasan</v>
      </c>
    </row>
    <row r="1105" spans="2:6">
      <c r="B1105" s="19" t="s">
        <v>1080</v>
      </c>
      <c r="C1105" s="20" t="s">
        <v>1081</v>
      </c>
      <c r="D1105" s="21" t="s">
        <v>1142</v>
      </c>
      <c r="E1105" s="22" t="s">
        <v>1739</v>
      </c>
      <c r="F1105" s="15" t="str">
        <f>_xlfn.XLOOKUP(D1105,[5]Sheet2!$C:$C,[5]Sheet2!$E:$E,"-")</f>
        <v>Farida</v>
      </c>
    </row>
    <row r="1106" spans="2:6">
      <c r="B1106" s="19" t="s">
        <v>1080</v>
      </c>
      <c r="C1106" s="20" t="s">
        <v>1081</v>
      </c>
      <c r="D1106" s="21" t="s">
        <v>1143</v>
      </c>
      <c r="E1106" s="22" t="s">
        <v>1739</v>
      </c>
      <c r="F1106" s="15" t="str">
        <f>_xlfn.XLOOKUP(D1106,[5]Sheet2!$C:$C,[5]Sheet2!$E:$E,"-")</f>
        <v>Abdur Rahman</v>
      </c>
    </row>
    <row r="1107" spans="2:6">
      <c r="B1107" s="19" t="s">
        <v>1080</v>
      </c>
      <c r="C1107" s="20" t="s">
        <v>1081</v>
      </c>
      <c r="D1107" s="21" t="s">
        <v>1144</v>
      </c>
      <c r="E1107" s="22" t="s">
        <v>1739</v>
      </c>
      <c r="F1107" s="15" t="str">
        <f>_xlfn.XLOOKUP(D1107,[5]Sheet2!$C:$C,[5]Sheet2!$E:$E,"-")</f>
        <v>Abdur Rahman</v>
      </c>
    </row>
    <row r="1108" spans="2:6">
      <c r="B1108" s="19" t="s">
        <v>1080</v>
      </c>
      <c r="C1108" s="20" t="s">
        <v>1081</v>
      </c>
      <c r="D1108" s="21" t="s">
        <v>1145</v>
      </c>
      <c r="E1108" s="22" t="s">
        <v>1716</v>
      </c>
      <c r="F1108" s="15" t="str">
        <f>_xlfn.XLOOKUP(D1108,[5]Sheet2!$C:$C,[5]Sheet2!$E:$E,"-")</f>
        <v>Ahmad Khairul Zawawi</v>
      </c>
    </row>
    <row r="1109" spans="2:6">
      <c r="B1109" s="19" t="s">
        <v>1080</v>
      </c>
      <c r="C1109" s="20" t="s">
        <v>1081</v>
      </c>
      <c r="D1109" s="21" t="s">
        <v>1146</v>
      </c>
      <c r="E1109" s="22" t="s">
        <v>1716</v>
      </c>
      <c r="F1109" s="15" t="str">
        <f>_xlfn.XLOOKUP(D1109,[5]Sheet2!$C:$C,[5]Sheet2!$E:$E,"-")</f>
        <v>Ahmad Khairul Zawawi</v>
      </c>
    </row>
    <row r="1110" spans="2:6">
      <c r="B1110" s="19" t="s">
        <v>1080</v>
      </c>
      <c r="C1110" s="20" t="s">
        <v>1081</v>
      </c>
      <c r="D1110" s="21" t="s">
        <v>1147</v>
      </c>
      <c r="E1110" s="22" t="s">
        <v>1716</v>
      </c>
      <c r="F1110" s="15" t="str">
        <f>_xlfn.XLOOKUP(D1110,[5]Sheet2!$C:$C,[5]Sheet2!$E:$E,"-")</f>
        <v>Muhlis Riyadi</v>
      </c>
    </row>
    <row r="1111" spans="2:6">
      <c r="B1111" s="19" t="s">
        <v>1080</v>
      </c>
      <c r="C1111" s="20" t="s">
        <v>1081</v>
      </c>
      <c r="D1111" s="21" t="s">
        <v>1148</v>
      </c>
      <c r="E1111" s="22" t="s">
        <v>1716</v>
      </c>
      <c r="F1111" s="15" t="str">
        <f>_xlfn.XLOOKUP(D1111,[5]Sheet2!$C:$C,[5]Sheet2!$E:$E,"-")</f>
        <v>Mohammad Irsyad</v>
      </c>
    </row>
    <row r="1112" spans="2:6">
      <c r="B1112" s="19" t="s">
        <v>1080</v>
      </c>
      <c r="C1112" s="20" t="s">
        <v>1081</v>
      </c>
      <c r="D1112" s="21" t="s">
        <v>1149</v>
      </c>
      <c r="E1112" s="22" t="s">
        <v>1716</v>
      </c>
      <c r="F1112" s="15" t="str">
        <f>_xlfn.XLOOKUP(D1112,[5]Sheet2!$C:$C,[5]Sheet2!$E:$E,"-")</f>
        <v>Mohammad Irsyad</v>
      </c>
    </row>
    <row r="1113" spans="2:6">
      <c r="B1113" s="19" t="s">
        <v>1080</v>
      </c>
      <c r="C1113" s="20" t="s">
        <v>1081</v>
      </c>
      <c r="D1113" s="21" t="s">
        <v>1150</v>
      </c>
      <c r="E1113" s="22" t="s">
        <v>1716</v>
      </c>
      <c r="F1113" s="15" t="str">
        <f>_xlfn.XLOOKUP(D1113,[5]Sheet2!$C:$C,[5]Sheet2!$E:$E,"-")</f>
        <v>Eka Satrio</v>
      </c>
    </row>
    <row r="1114" spans="2:6">
      <c r="B1114" s="19" t="s">
        <v>1080</v>
      </c>
      <c r="C1114" s="20" t="s">
        <v>1081</v>
      </c>
      <c r="D1114" s="21" t="s">
        <v>1151</v>
      </c>
      <c r="E1114" s="22" t="s">
        <v>1716</v>
      </c>
      <c r="F1114" s="15" t="str">
        <f>_xlfn.XLOOKUP(D1114,[5]Sheet2!$C:$C,[5]Sheet2!$E:$E,"-")</f>
        <v>Hodaifah</v>
      </c>
    </row>
    <row r="1115" spans="2:6">
      <c r="B1115" s="19" t="s">
        <v>1080</v>
      </c>
      <c r="C1115" s="20" t="s">
        <v>1081</v>
      </c>
      <c r="D1115" s="21" t="s">
        <v>1152</v>
      </c>
      <c r="E1115" s="22" t="s">
        <v>1716</v>
      </c>
      <c r="F1115" s="15" t="str">
        <f>_xlfn.XLOOKUP(D1115,[5]Sheet2!$C:$C,[5]Sheet2!$E:$E,"-")</f>
        <v>Hodaifah</v>
      </c>
    </row>
    <row r="1116" spans="2:6">
      <c r="B1116" s="19" t="s">
        <v>1080</v>
      </c>
      <c r="C1116" s="20" t="s">
        <v>1081</v>
      </c>
      <c r="D1116" s="21" t="s">
        <v>1153</v>
      </c>
      <c r="E1116" s="22" t="s">
        <v>1716</v>
      </c>
      <c r="F1116" s="15" t="str">
        <f>_xlfn.XLOOKUP(D1116,[5]Sheet2!$C:$C,[5]Sheet2!$E:$E,"-")</f>
        <v>Mohammad Irsyad</v>
      </c>
    </row>
    <row r="1117" spans="2:6">
      <c r="B1117" s="19" t="s">
        <v>1080</v>
      </c>
      <c r="C1117" s="20" t="s">
        <v>1081</v>
      </c>
      <c r="D1117" s="21" t="s">
        <v>1154</v>
      </c>
      <c r="E1117" s="22" t="s">
        <v>1716</v>
      </c>
      <c r="F1117" s="15" t="str">
        <f>_xlfn.XLOOKUP(D1117,[5]Sheet2!$C:$C,[5]Sheet2!$E:$E,"-")</f>
        <v>Syamsuddin</v>
      </c>
    </row>
    <row r="1118" spans="2:6">
      <c r="B1118" s="19" t="s">
        <v>1080</v>
      </c>
      <c r="C1118" s="20" t="s">
        <v>1081</v>
      </c>
      <c r="D1118" s="21" t="s">
        <v>1155</v>
      </c>
      <c r="E1118" s="22" t="s">
        <v>1716</v>
      </c>
      <c r="F1118" s="15" t="str">
        <f>_xlfn.XLOOKUP(D1118,[5]Sheet2!$C:$C,[5]Sheet2!$E:$E,"-")</f>
        <v>Yusufil Hamdhani Akbar</v>
      </c>
    </row>
    <row r="1119" spans="2:6">
      <c r="B1119" s="19" t="s">
        <v>1080</v>
      </c>
      <c r="C1119" s="20" t="s">
        <v>1081</v>
      </c>
      <c r="D1119" s="21" t="s">
        <v>1156</v>
      </c>
      <c r="E1119" s="22" t="s">
        <v>1739</v>
      </c>
      <c r="F1119" s="15" t="str">
        <f>_xlfn.XLOOKUP(D1119,[5]Sheet2!$C:$C,[5]Sheet2!$E:$E,"-")</f>
        <v>-</v>
      </c>
    </row>
    <row r="1120" spans="2:6">
      <c r="B1120" s="19" t="s">
        <v>1080</v>
      </c>
      <c r="C1120" s="20" t="s">
        <v>1081</v>
      </c>
      <c r="D1120" s="21" t="s">
        <v>1157</v>
      </c>
      <c r="E1120" s="22" t="s">
        <v>1716</v>
      </c>
      <c r="F1120" s="15" t="str">
        <f>_xlfn.XLOOKUP(D1120,[5]Sheet2!$C:$C,[5]Sheet2!$E:$E,"-")</f>
        <v>Moh. Adfar Istihar</v>
      </c>
    </row>
    <row r="1121" spans="2:6">
      <c r="B1121" s="19" t="s">
        <v>1080</v>
      </c>
      <c r="C1121" s="20" t="s">
        <v>1081</v>
      </c>
      <c r="D1121" s="21" t="s">
        <v>1158</v>
      </c>
      <c r="E1121" s="22" t="s">
        <v>1716</v>
      </c>
      <c r="F1121" s="15" t="str">
        <f>_xlfn.XLOOKUP(D1121,[5]Sheet2!$C:$C,[5]Sheet2!$E:$E,"-")</f>
        <v>Moh. Adfar Istihar</v>
      </c>
    </row>
    <row r="1122" spans="2:6">
      <c r="B1122" s="19" t="s">
        <v>1080</v>
      </c>
      <c r="C1122" s="20" t="s">
        <v>1081</v>
      </c>
      <c r="D1122" s="21" t="s">
        <v>1159</v>
      </c>
      <c r="E1122" s="22" t="s">
        <v>1716</v>
      </c>
      <c r="F1122" s="15" t="str">
        <f>_xlfn.XLOOKUP(D1122,[5]Sheet2!$C:$C,[5]Sheet2!$E:$E,"-")</f>
        <v>Abd. Ghoni</v>
      </c>
    </row>
    <row r="1123" spans="2:6">
      <c r="B1123" s="19" t="s">
        <v>1080</v>
      </c>
      <c r="C1123" s="20" t="s">
        <v>1081</v>
      </c>
      <c r="D1123" s="21" t="s">
        <v>1160</v>
      </c>
      <c r="E1123" s="22" t="s">
        <v>1716</v>
      </c>
      <c r="F1123" s="15" t="str">
        <f>_xlfn.XLOOKUP(D1123,[5]Sheet2!$C:$C,[5]Sheet2!$E:$E,"-")</f>
        <v>Abd. Syakur</v>
      </c>
    </row>
    <row r="1124" spans="2:6">
      <c r="B1124" s="19" t="s">
        <v>1080</v>
      </c>
      <c r="C1124" s="20" t="s">
        <v>1081</v>
      </c>
      <c r="D1124" s="21" t="s">
        <v>1161</v>
      </c>
      <c r="E1124" s="22" t="s">
        <v>1716</v>
      </c>
      <c r="F1124" s="15" t="str">
        <f>_xlfn.XLOOKUP(D1124,[5]Sheet2!$C:$C,[5]Sheet2!$E:$E,"-")</f>
        <v>Abd. Syakur</v>
      </c>
    </row>
    <row r="1125" spans="2:6">
      <c r="B1125" s="19" t="s">
        <v>1080</v>
      </c>
      <c r="C1125" s="20" t="s">
        <v>1081</v>
      </c>
      <c r="D1125" s="21" t="s">
        <v>1162</v>
      </c>
      <c r="E1125" s="22" t="s">
        <v>1739</v>
      </c>
      <c r="F1125" s="15" t="str">
        <f>_xlfn.XLOOKUP(D1125,[5]Sheet2!$C:$C,[5]Sheet2!$E:$E,"-")</f>
        <v>-</v>
      </c>
    </row>
    <row r="1126" spans="2:6">
      <c r="B1126" s="19" t="s">
        <v>1080</v>
      </c>
      <c r="C1126" s="20" t="s">
        <v>1081</v>
      </c>
      <c r="D1126" s="21" t="s">
        <v>1163</v>
      </c>
      <c r="E1126" s="22" t="s">
        <v>1739</v>
      </c>
      <c r="F1126" s="15" t="str">
        <f>_xlfn.XLOOKUP(D1126,[5]Sheet2!$C:$C,[5]Sheet2!$E:$E,"-")</f>
        <v>-</v>
      </c>
    </row>
    <row r="1127" spans="2:6">
      <c r="B1127" s="19" t="s">
        <v>1080</v>
      </c>
      <c r="C1127" s="20" t="s">
        <v>1081</v>
      </c>
      <c r="D1127" s="21" t="s">
        <v>1164</v>
      </c>
      <c r="E1127" s="22" t="s">
        <v>1739</v>
      </c>
      <c r="F1127" s="15" t="str">
        <f>_xlfn.XLOOKUP(D1127,[5]Sheet2!$C:$C,[5]Sheet2!$E:$E,"-")</f>
        <v>-</v>
      </c>
    </row>
    <row r="1128" spans="2:6">
      <c r="B1128" s="19" t="s">
        <v>1080</v>
      </c>
      <c r="C1128" s="20" t="s">
        <v>1081</v>
      </c>
      <c r="D1128" s="21" t="s">
        <v>1165</v>
      </c>
      <c r="E1128" s="22" t="s">
        <v>1716</v>
      </c>
      <c r="F1128" s="15" t="str">
        <f>_xlfn.XLOOKUP(D1128,[5]Sheet2!$C:$C,[5]Sheet2!$E:$E,"-")</f>
        <v>Eko Junaidi</v>
      </c>
    </row>
    <row r="1129" spans="2:6">
      <c r="B1129" s="19" t="s">
        <v>1080</v>
      </c>
      <c r="C1129" s="20" t="s">
        <v>1081</v>
      </c>
      <c r="D1129" s="21" t="s">
        <v>1166</v>
      </c>
      <c r="E1129" s="22" t="s">
        <v>1716</v>
      </c>
      <c r="F1129" s="15" t="str">
        <f>_xlfn.XLOOKUP(D1129,[5]Sheet2!$C:$C,[5]Sheet2!$E:$E,"-")</f>
        <v>Tika Vebrian Tiara Devi</v>
      </c>
    </row>
    <row r="1130" spans="2:6">
      <c r="B1130" s="19" t="s">
        <v>1080</v>
      </c>
      <c r="C1130" s="20" t="s">
        <v>1081</v>
      </c>
      <c r="D1130" s="21" t="s">
        <v>1167</v>
      </c>
      <c r="E1130" s="22" t="s">
        <v>1716</v>
      </c>
      <c r="F1130" s="15" t="str">
        <f>_xlfn.XLOOKUP(D1130,[5]Sheet2!$C:$C,[5]Sheet2!$E:$E,"-")</f>
        <v>Eko Prasetianto Nugroho</v>
      </c>
    </row>
    <row r="1131" spans="2:6">
      <c r="B1131" s="19" t="s">
        <v>1080</v>
      </c>
      <c r="C1131" s="20" t="s">
        <v>1081</v>
      </c>
      <c r="D1131" s="21" t="s">
        <v>1168</v>
      </c>
      <c r="E1131" s="22" t="s">
        <v>1716</v>
      </c>
      <c r="F1131" s="15" t="str">
        <f>_xlfn.XLOOKUP(D1131,[5]Sheet2!$C:$C,[5]Sheet2!$E:$E,"-")</f>
        <v>Eko Junaidi</v>
      </c>
    </row>
    <row r="1132" spans="2:6">
      <c r="B1132" s="19" t="s">
        <v>1080</v>
      </c>
      <c r="C1132" s="20" t="s">
        <v>1081</v>
      </c>
      <c r="D1132" s="21" t="s">
        <v>1169</v>
      </c>
      <c r="E1132" s="22" t="s">
        <v>1739</v>
      </c>
      <c r="F1132" s="15" t="str">
        <f>_xlfn.XLOOKUP(D1132,[5]Sheet2!$C:$C,[5]Sheet2!$E:$E,"-")</f>
        <v>Boma Eka Kurniawan</v>
      </c>
    </row>
    <row r="1133" spans="2:6">
      <c r="B1133" s="19" t="s">
        <v>1080</v>
      </c>
      <c r="C1133" s="20" t="s">
        <v>1081</v>
      </c>
      <c r="D1133" s="21" t="s">
        <v>1170</v>
      </c>
      <c r="E1133" s="22" t="s">
        <v>1716</v>
      </c>
      <c r="F1133" s="15" t="str">
        <f>_xlfn.XLOOKUP(D1133,[5]Sheet2!$C:$C,[5]Sheet2!$E:$E,"-")</f>
        <v>Tika Vebrian Tiara Devi</v>
      </c>
    </row>
    <row r="1134" spans="2:6">
      <c r="B1134" s="19" t="s">
        <v>1080</v>
      </c>
      <c r="C1134" s="20" t="s">
        <v>1081</v>
      </c>
      <c r="D1134" s="21" t="s">
        <v>1171</v>
      </c>
      <c r="E1134" s="22" t="s">
        <v>1739</v>
      </c>
      <c r="F1134" s="15" t="str">
        <f>_xlfn.XLOOKUP(D1134,[5]Sheet2!$C:$C,[5]Sheet2!$E:$E,"-")</f>
        <v>Galih Dewangga</v>
      </c>
    </row>
    <row r="1135" spans="2:6">
      <c r="B1135" s="19" t="s">
        <v>1080</v>
      </c>
      <c r="C1135" s="20" t="s">
        <v>1081</v>
      </c>
      <c r="D1135" s="21" t="s">
        <v>1172</v>
      </c>
      <c r="E1135" s="22" t="s">
        <v>1716</v>
      </c>
      <c r="F1135" s="15" t="str">
        <f>_xlfn.XLOOKUP(D1135,[5]Sheet2!$C:$C,[5]Sheet2!$E:$E,"-")</f>
        <v>Riza Aji Nurcholis</v>
      </c>
    </row>
    <row r="1136" spans="2:6">
      <c r="B1136" s="19" t="s">
        <v>1080</v>
      </c>
      <c r="C1136" s="20" t="s">
        <v>1081</v>
      </c>
      <c r="D1136" s="21" t="s">
        <v>1173</v>
      </c>
      <c r="E1136" s="22" t="s">
        <v>1716</v>
      </c>
      <c r="F1136" s="15" t="str">
        <f>_xlfn.XLOOKUP(D1136,[5]Sheet2!$C:$C,[5]Sheet2!$E:$E,"-")</f>
        <v>Hendrik Robi Saputra</v>
      </c>
    </row>
    <row r="1137" spans="2:6">
      <c r="B1137" s="19" t="s">
        <v>1080</v>
      </c>
      <c r="C1137" s="20" t="s">
        <v>1081</v>
      </c>
      <c r="D1137" s="21" t="s">
        <v>1174</v>
      </c>
      <c r="E1137" s="22" t="s">
        <v>1716</v>
      </c>
      <c r="F1137" s="15" t="str">
        <f>_xlfn.XLOOKUP(D1137,[5]Sheet2!$C:$C,[5]Sheet2!$E:$E,"-")</f>
        <v>Rika Arif Aprianto</v>
      </c>
    </row>
    <row r="1138" spans="2:6">
      <c r="B1138" s="19" t="s">
        <v>1080</v>
      </c>
      <c r="C1138" s="20" t="s">
        <v>1081</v>
      </c>
      <c r="D1138" s="21" t="s">
        <v>1175</v>
      </c>
      <c r="E1138" s="22" t="s">
        <v>1716</v>
      </c>
      <c r="F1138" s="15" t="str">
        <f>_xlfn.XLOOKUP(D1138,[5]Sheet2!$C:$C,[5]Sheet2!$E:$E,"-")</f>
        <v>Yacob Juan Firmansyah</v>
      </c>
    </row>
    <row r="1139" spans="2:6">
      <c r="B1139" s="19" t="s">
        <v>1080</v>
      </c>
      <c r="C1139" s="20" t="s">
        <v>1081</v>
      </c>
      <c r="D1139" s="21" t="s">
        <v>1176</v>
      </c>
      <c r="E1139" s="22" t="s">
        <v>1739</v>
      </c>
      <c r="F1139" s="15" t="str">
        <f>_xlfn.XLOOKUP(D1139,[5]Sheet2!$C:$C,[5]Sheet2!$E:$E,"-")</f>
        <v>Rony Koco Abrianto</v>
      </c>
    </row>
    <row r="1140" spans="2:6">
      <c r="B1140" s="19" t="s">
        <v>1080</v>
      </c>
      <c r="C1140" s="20" t="s">
        <v>1081</v>
      </c>
      <c r="D1140" s="21" t="s">
        <v>1177</v>
      </c>
      <c r="E1140" s="22" t="s">
        <v>1716</v>
      </c>
      <c r="F1140" s="15" t="str">
        <f>_xlfn.XLOOKUP(D1140,[5]Sheet2!$C:$C,[5]Sheet2!$E:$E,"-")</f>
        <v>Fathoni Yusuf</v>
      </c>
    </row>
    <row r="1141" spans="2:6">
      <c r="B1141" s="19" t="s">
        <v>1080</v>
      </c>
      <c r="C1141" s="20" t="s">
        <v>1081</v>
      </c>
      <c r="D1141" s="21" t="s">
        <v>1178</v>
      </c>
      <c r="E1141" s="22" t="s">
        <v>1739</v>
      </c>
      <c r="F1141" s="15" t="str">
        <f>_xlfn.XLOOKUP(D1141,[5]Sheet2!$C:$C,[5]Sheet2!$E:$E,"-")</f>
        <v>Faizal Dwi Pramono</v>
      </c>
    </row>
    <row r="1142" spans="2:6">
      <c r="B1142" s="19" t="s">
        <v>1080</v>
      </c>
      <c r="C1142" s="20" t="s">
        <v>1081</v>
      </c>
      <c r="D1142" s="21" t="s">
        <v>1179</v>
      </c>
      <c r="E1142" s="22" t="s">
        <v>1716</v>
      </c>
      <c r="F1142" s="15" t="str">
        <f>_xlfn.XLOOKUP(D1142,[5]Sheet2!$C:$C,[5]Sheet2!$E:$E,"-")</f>
        <v>Yudi Yiswoyo</v>
      </c>
    </row>
    <row r="1143" spans="2:6">
      <c r="B1143" s="19" t="s">
        <v>1080</v>
      </c>
      <c r="C1143" s="20" t="s">
        <v>1081</v>
      </c>
      <c r="D1143" s="21" t="s">
        <v>1180</v>
      </c>
      <c r="E1143" s="22" t="s">
        <v>1716</v>
      </c>
      <c r="F1143" s="15" t="str">
        <f>_xlfn.XLOOKUP(D1143,[5]Sheet2!$C:$C,[5]Sheet2!$E:$E,"-")</f>
        <v>Irul Marwianto</v>
      </c>
    </row>
    <row r="1144" spans="2:6">
      <c r="B1144" s="19" t="s">
        <v>1080</v>
      </c>
      <c r="C1144" s="20" t="s">
        <v>1081</v>
      </c>
      <c r="D1144" s="21" t="s">
        <v>1181</v>
      </c>
      <c r="E1144" s="22" t="s">
        <v>1716</v>
      </c>
      <c r="F1144" s="15" t="str">
        <f>_xlfn.XLOOKUP(D1144,[5]Sheet2!$C:$C,[5]Sheet2!$E:$E,"-")</f>
        <v>Fikto Nur Mansah</v>
      </c>
    </row>
    <row r="1145" spans="2:6">
      <c r="B1145" s="19" t="s">
        <v>1080</v>
      </c>
      <c r="C1145" s="20" t="s">
        <v>1081</v>
      </c>
      <c r="D1145" s="21" t="s">
        <v>1182</v>
      </c>
      <c r="E1145" s="22" t="s">
        <v>1716</v>
      </c>
      <c r="F1145" s="15" t="str">
        <f>_xlfn.XLOOKUP(D1145,[5]Sheet2!$C:$C,[5]Sheet2!$E:$E,"-")</f>
        <v>Fikto Nur Mansah</v>
      </c>
    </row>
    <row r="1146" spans="2:6">
      <c r="B1146" s="19" t="s">
        <v>1080</v>
      </c>
      <c r="C1146" s="20" t="s">
        <v>1081</v>
      </c>
      <c r="D1146" s="21" t="s">
        <v>1183</v>
      </c>
      <c r="E1146" s="22" t="s">
        <v>1716</v>
      </c>
      <c r="F1146" s="15" t="str">
        <f>_xlfn.XLOOKUP(D1146,[5]Sheet2!$C:$C,[5]Sheet2!$E:$E,"-")</f>
        <v>Irul Marwianto</v>
      </c>
    </row>
    <row r="1147" spans="2:6">
      <c r="B1147" s="19" t="s">
        <v>1080</v>
      </c>
      <c r="C1147" s="20" t="s">
        <v>1081</v>
      </c>
      <c r="D1147" s="21" t="s">
        <v>1184</v>
      </c>
      <c r="E1147" s="22" t="s">
        <v>1739</v>
      </c>
      <c r="F1147" s="15" t="str">
        <f>_xlfn.XLOOKUP(D1147,[5]Sheet2!$C:$C,[5]Sheet2!$E:$E,"-")</f>
        <v>Fanky Puguh Prasetyo</v>
      </c>
    </row>
    <row r="1148" spans="2:6">
      <c r="B1148" s="19" t="s">
        <v>1080</v>
      </c>
      <c r="C1148" s="20" t="s">
        <v>1081</v>
      </c>
      <c r="D1148" s="21" t="s">
        <v>1185</v>
      </c>
      <c r="E1148" s="22" t="s">
        <v>1716</v>
      </c>
      <c r="F1148" s="15" t="str">
        <f>_xlfn.XLOOKUP(D1148,[5]Sheet2!$C:$C,[5]Sheet2!$E:$E,"-")</f>
        <v>Mohamad Ariz Zakariya</v>
      </c>
    </row>
    <row r="1149" spans="2:6">
      <c r="B1149" s="19" t="s">
        <v>1080</v>
      </c>
      <c r="C1149" s="20" t="s">
        <v>1081</v>
      </c>
      <c r="D1149" s="21" t="s">
        <v>1186</v>
      </c>
      <c r="E1149" s="22" t="s">
        <v>1716</v>
      </c>
      <c r="F1149" s="15" t="str">
        <f>_xlfn.XLOOKUP(D1149,[5]Sheet2!$C:$C,[5]Sheet2!$E:$E,"-")</f>
        <v>Mohammad Putra Surya Mahendra</v>
      </c>
    </row>
    <row r="1150" spans="2:6">
      <c r="B1150" s="19" t="s">
        <v>1080</v>
      </c>
      <c r="C1150" s="20" t="s">
        <v>1081</v>
      </c>
      <c r="D1150" s="21" t="s">
        <v>1187</v>
      </c>
      <c r="E1150" s="22" t="s">
        <v>1716</v>
      </c>
      <c r="F1150" s="15" t="str">
        <f>_xlfn.XLOOKUP(D1150,[5]Sheet2!$C:$C,[5]Sheet2!$E:$E,"-")</f>
        <v>Angga Widayanto</v>
      </c>
    </row>
    <row r="1151" spans="2:6">
      <c r="B1151" s="19" t="s">
        <v>1080</v>
      </c>
      <c r="C1151" s="20" t="s">
        <v>1081</v>
      </c>
      <c r="D1151" s="21" t="s">
        <v>1188</v>
      </c>
      <c r="E1151" s="22" t="s">
        <v>1739</v>
      </c>
      <c r="F1151" s="15" t="str">
        <f>_xlfn.XLOOKUP(D1151,[5]Sheet2!$C:$C,[5]Sheet2!$E:$E,"-")</f>
        <v>Ruly Syaiful Ansor</v>
      </c>
    </row>
    <row r="1152" spans="2:6">
      <c r="B1152" s="19" t="s">
        <v>1080</v>
      </c>
      <c r="C1152" s="20" t="s">
        <v>1081</v>
      </c>
      <c r="D1152" s="21" t="s">
        <v>1189</v>
      </c>
      <c r="E1152" s="22" t="s">
        <v>1739</v>
      </c>
      <c r="F1152" s="15" t="str">
        <f>_xlfn.XLOOKUP(D1152,[5]Sheet2!$C:$C,[5]Sheet2!$E:$E,"-")</f>
        <v>Prasetyo Istianto</v>
      </c>
    </row>
    <row r="1153" spans="2:6">
      <c r="B1153" s="19" t="s">
        <v>1080</v>
      </c>
      <c r="C1153" s="20" t="s">
        <v>1081</v>
      </c>
      <c r="D1153" s="21" t="s">
        <v>1190</v>
      </c>
      <c r="E1153" s="22" t="s">
        <v>1739</v>
      </c>
      <c r="F1153" s="15" t="str">
        <f>_xlfn.XLOOKUP(D1153,[5]Sheet2!$C:$C,[5]Sheet2!$E:$E,"-")</f>
        <v>Widi Rumekso</v>
      </c>
    </row>
    <row r="1154" spans="2:6">
      <c r="B1154" s="19" t="s">
        <v>1080</v>
      </c>
      <c r="C1154" s="20" t="s">
        <v>1081</v>
      </c>
      <c r="D1154" s="21" t="s">
        <v>1191</v>
      </c>
      <c r="E1154" s="22" t="s">
        <v>1739</v>
      </c>
      <c r="F1154" s="15" t="str">
        <f>_xlfn.XLOOKUP(D1154,[5]Sheet2!$C:$C,[5]Sheet2!$E:$E,"-")</f>
        <v>Mohammad Afreza Al Ayyubi</v>
      </c>
    </row>
    <row r="1155" spans="2:6">
      <c r="B1155" s="19" t="s">
        <v>1080</v>
      </c>
      <c r="C1155" s="20" t="s">
        <v>1081</v>
      </c>
      <c r="D1155" s="21" t="s">
        <v>1192</v>
      </c>
      <c r="E1155" s="22" t="s">
        <v>1739</v>
      </c>
      <c r="F1155" s="15" t="str">
        <f>_xlfn.XLOOKUP(D1155,[5]Sheet2!$C:$C,[5]Sheet2!$E:$E,"-")</f>
        <v>Laga Pratama Nurjiwo</v>
      </c>
    </row>
    <row r="1156" spans="2:6">
      <c r="B1156" s="19" t="s">
        <v>1080</v>
      </c>
      <c r="C1156" s="20" t="s">
        <v>1081</v>
      </c>
      <c r="D1156" s="21" t="s">
        <v>1193</v>
      </c>
      <c r="E1156" s="22" t="s">
        <v>1739</v>
      </c>
      <c r="F1156" s="15" t="str">
        <f>_xlfn.XLOOKUP(D1156,[5]Sheet2!$C:$C,[5]Sheet2!$E:$E,"-")</f>
        <v>Ali Zainal Abidin</v>
      </c>
    </row>
    <row r="1157" spans="2:6">
      <c r="B1157" s="19" t="s">
        <v>1080</v>
      </c>
      <c r="C1157" s="20" t="s">
        <v>1081</v>
      </c>
      <c r="D1157" s="21" t="s">
        <v>1194</v>
      </c>
      <c r="E1157" s="22" t="s">
        <v>1739</v>
      </c>
      <c r="F1157" s="15" t="str">
        <f>_xlfn.XLOOKUP(D1157,[5]Sheet2!$C:$C,[5]Sheet2!$E:$E,"-")</f>
        <v>Dyah Ayu Larasati Tri Palupi</v>
      </c>
    </row>
    <row r="1158" spans="2:6">
      <c r="B1158" s="19" t="s">
        <v>1080</v>
      </c>
      <c r="C1158" s="20" t="s">
        <v>1081</v>
      </c>
      <c r="D1158" s="21" t="s">
        <v>1195</v>
      </c>
      <c r="E1158" s="22" t="s">
        <v>1739</v>
      </c>
      <c r="F1158" s="15" t="str">
        <f>_xlfn.XLOOKUP(D1158,[5]Sheet2!$C:$C,[5]Sheet2!$E:$E,"-")</f>
        <v>Feri Setiawan</v>
      </c>
    </row>
    <row r="1159" spans="2:6">
      <c r="B1159" s="19" t="s">
        <v>1080</v>
      </c>
      <c r="C1159" s="20" t="s">
        <v>1081</v>
      </c>
      <c r="D1159" s="21" t="s">
        <v>1196</v>
      </c>
      <c r="E1159" s="22" t="s">
        <v>1739</v>
      </c>
      <c r="F1159" s="15" t="str">
        <f>_xlfn.XLOOKUP(D1159,[5]Sheet2!$C:$C,[5]Sheet2!$E:$E,"-")</f>
        <v>M. Yanuar Rifa'I</v>
      </c>
    </row>
    <row r="1160" spans="2:6">
      <c r="B1160" s="19" t="s">
        <v>1080</v>
      </c>
      <c r="C1160" s="20" t="s">
        <v>1081</v>
      </c>
      <c r="D1160" s="21" t="s">
        <v>1197</v>
      </c>
      <c r="E1160" s="22" t="s">
        <v>1739</v>
      </c>
      <c r="F1160" s="15" t="str">
        <f>_xlfn.XLOOKUP(D1160,[5]Sheet2!$C:$C,[5]Sheet2!$E:$E,"-")</f>
        <v>Muhammad Syaifullah</v>
      </c>
    </row>
    <row r="1161" spans="2:6">
      <c r="B1161" s="19" t="s">
        <v>1080</v>
      </c>
      <c r="C1161" s="20" t="s">
        <v>1081</v>
      </c>
      <c r="D1161" s="21" t="s">
        <v>1198</v>
      </c>
      <c r="E1161" s="22" t="s">
        <v>1739</v>
      </c>
      <c r="F1161" s="15" t="str">
        <f>_xlfn.XLOOKUP(D1161,[5]Sheet2!$C:$C,[5]Sheet2!$E:$E,"-")</f>
        <v>Diky Satriawan</v>
      </c>
    </row>
    <row r="1162" spans="2:6">
      <c r="B1162" s="19" t="s">
        <v>1080</v>
      </c>
      <c r="C1162" s="20" t="s">
        <v>1081</v>
      </c>
      <c r="D1162" s="21" t="s">
        <v>1199</v>
      </c>
      <c r="E1162" s="22" t="s">
        <v>1739</v>
      </c>
      <c r="F1162" s="15" t="str">
        <f>_xlfn.XLOOKUP(D1162,[5]Sheet2!$C:$C,[5]Sheet2!$E:$E,"-")</f>
        <v>Achmad Afandi</v>
      </c>
    </row>
    <row r="1163" spans="2:6">
      <c r="B1163" s="19" t="s">
        <v>1080</v>
      </c>
      <c r="C1163" s="20" t="s">
        <v>1081</v>
      </c>
      <c r="D1163" s="21" t="s">
        <v>1200</v>
      </c>
      <c r="E1163" s="22" t="s">
        <v>1739</v>
      </c>
      <c r="F1163" s="15" t="str">
        <f>_xlfn.XLOOKUP(D1163,[5]Sheet2!$C:$C,[5]Sheet2!$E:$E,"-")</f>
        <v>Nanang Arifianto</v>
      </c>
    </row>
    <row r="1164" spans="2:6">
      <c r="B1164" s="19" t="s">
        <v>1080</v>
      </c>
      <c r="C1164" s="20" t="s">
        <v>1081</v>
      </c>
      <c r="D1164" s="21" t="s">
        <v>1201</v>
      </c>
      <c r="E1164" s="22" t="s">
        <v>1739</v>
      </c>
      <c r="F1164" s="15" t="str">
        <f>_xlfn.XLOOKUP(D1164,[5]Sheet2!$C:$C,[5]Sheet2!$E:$E,"-")</f>
        <v>Rif'An Munawwir</v>
      </c>
    </row>
    <row r="1165" spans="2:6">
      <c r="B1165" s="19" t="s">
        <v>1080</v>
      </c>
      <c r="C1165" s="20" t="s">
        <v>1081</v>
      </c>
      <c r="D1165" s="21" t="s">
        <v>1202</v>
      </c>
      <c r="E1165" s="22" t="s">
        <v>1739</v>
      </c>
      <c r="F1165" s="15" t="str">
        <f>_xlfn.XLOOKUP(D1165,[5]Sheet2!$C:$C,[5]Sheet2!$E:$E,"-")</f>
        <v>Shokibul Kafi</v>
      </c>
    </row>
    <row r="1166" spans="2:6">
      <c r="B1166" s="19" t="s">
        <v>1080</v>
      </c>
      <c r="C1166" s="20" t="s">
        <v>1081</v>
      </c>
      <c r="D1166" s="21" t="s">
        <v>1203</v>
      </c>
      <c r="E1166" s="22" t="s">
        <v>1739</v>
      </c>
      <c r="F1166" s="15" t="str">
        <f>_xlfn.XLOOKUP(D1166,[5]Sheet2!$C:$C,[5]Sheet2!$E:$E,"-")</f>
        <v>Ahmad Fakhru Rozan</v>
      </c>
    </row>
    <row r="1167" spans="2:6">
      <c r="B1167" s="19" t="s">
        <v>1080</v>
      </c>
      <c r="C1167" s="20" t="s">
        <v>1081</v>
      </c>
      <c r="D1167" s="21" t="s">
        <v>1204</v>
      </c>
      <c r="E1167" s="22" t="s">
        <v>1739</v>
      </c>
      <c r="F1167" s="15" t="str">
        <f>_xlfn.XLOOKUP(D1167,[5]Sheet2!$C:$C,[5]Sheet2!$E:$E,"-")</f>
        <v>Afan Fardianto</v>
      </c>
    </row>
    <row r="1168" spans="2:6">
      <c r="B1168" s="19" t="s">
        <v>1080</v>
      </c>
      <c r="C1168" s="20" t="s">
        <v>1081</v>
      </c>
      <c r="D1168" s="21" t="s">
        <v>1205</v>
      </c>
      <c r="E1168" s="22" t="s">
        <v>1739</v>
      </c>
      <c r="F1168" s="15" t="str">
        <f>_xlfn.XLOOKUP(D1168,[5]Sheet2!$C:$C,[5]Sheet2!$E:$E,"-")</f>
        <v>Dwi Wahyu Wichaksono</v>
      </c>
    </row>
    <row r="1169" spans="2:6">
      <c r="B1169" s="19" t="s">
        <v>1080</v>
      </c>
      <c r="C1169" s="20" t="s">
        <v>1081</v>
      </c>
      <c r="D1169" s="21" t="s">
        <v>1206</v>
      </c>
      <c r="E1169" s="22" t="s">
        <v>1739</v>
      </c>
      <c r="F1169" s="15" t="str">
        <f>_xlfn.XLOOKUP(D1169,[5]Sheet2!$C:$C,[5]Sheet2!$E:$E,"-")</f>
        <v>Hafiz Adam Adidarmawan</v>
      </c>
    </row>
    <row r="1170" spans="2:6">
      <c r="B1170" s="19" t="s">
        <v>1080</v>
      </c>
      <c r="C1170" s="20" t="s">
        <v>1081</v>
      </c>
      <c r="D1170" s="21" t="s">
        <v>1207</v>
      </c>
      <c r="E1170" s="22" t="s">
        <v>1739</v>
      </c>
      <c r="F1170" s="15" t="str">
        <f>_xlfn.XLOOKUP(D1170,[5]Sheet2!$C:$C,[5]Sheet2!$E:$E,"-")</f>
        <v>Argo Lumaksana</v>
      </c>
    </row>
    <row r="1171" spans="2:6">
      <c r="B1171" s="19" t="s">
        <v>1080</v>
      </c>
      <c r="C1171" s="20" t="s">
        <v>1081</v>
      </c>
      <c r="D1171" s="21" t="s">
        <v>1208</v>
      </c>
      <c r="E1171" s="22" t="s">
        <v>1739</v>
      </c>
      <c r="F1171" s="15" t="str">
        <f>_xlfn.XLOOKUP(D1171,[5]Sheet2!$C:$C,[5]Sheet2!$E:$E,"-")</f>
        <v>Ahmad Fakhru Rozan</v>
      </c>
    </row>
    <row r="1172" spans="2:6">
      <c r="B1172" s="19" t="s">
        <v>1080</v>
      </c>
      <c r="C1172" s="20" t="s">
        <v>1081</v>
      </c>
      <c r="D1172" s="21" t="s">
        <v>1209</v>
      </c>
      <c r="E1172" s="22" t="s">
        <v>1739</v>
      </c>
      <c r="F1172" s="15" t="str">
        <f>_xlfn.XLOOKUP(D1172,[5]Sheet2!$C:$C,[5]Sheet2!$E:$E,"-")</f>
        <v>Hafiz Adam Adidarmawan</v>
      </c>
    </row>
    <row r="1173" spans="2:6">
      <c r="B1173" s="19" t="s">
        <v>1080</v>
      </c>
      <c r="C1173" s="20" t="s">
        <v>1081</v>
      </c>
      <c r="D1173" s="21" t="s">
        <v>1210</v>
      </c>
      <c r="E1173" s="22" t="s">
        <v>1739</v>
      </c>
      <c r="F1173" s="15" t="str">
        <f>_xlfn.XLOOKUP(D1173,[5]Sheet2!$C:$C,[5]Sheet2!$E:$E,"-")</f>
        <v>Rochma Ridho Permadi</v>
      </c>
    </row>
    <row r="1174" spans="2:6">
      <c r="B1174" s="19" t="s">
        <v>1080</v>
      </c>
      <c r="C1174" s="20" t="s">
        <v>1081</v>
      </c>
      <c r="D1174" s="21" t="s">
        <v>1211</v>
      </c>
      <c r="E1174" s="22" t="s">
        <v>1716</v>
      </c>
      <c r="F1174" s="15" t="str">
        <f>_xlfn.XLOOKUP(D1174,[5]Sheet2!$C:$C,[5]Sheet2!$E:$E,"-")</f>
        <v>Mohammad Chandra Hermawan</v>
      </c>
    </row>
    <row r="1175" spans="2:6">
      <c r="B1175" s="19" t="s">
        <v>1080</v>
      </c>
      <c r="C1175" s="20" t="s">
        <v>1081</v>
      </c>
      <c r="D1175" s="21" t="s">
        <v>1212</v>
      </c>
      <c r="E1175" s="22" t="s">
        <v>1739</v>
      </c>
      <c r="F1175" s="15" t="str">
        <f>_xlfn.XLOOKUP(D1175,[5]Sheet2!$C:$C,[5]Sheet2!$E:$E,"-")</f>
        <v>Setiyo Budi Iswanto</v>
      </c>
    </row>
    <row r="1176" spans="2:6">
      <c r="B1176" s="19" t="s">
        <v>1080</v>
      </c>
      <c r="C1176" s="20" t="s">
        <v>1081</v>
      </c>
      <c r="D1176" s="21" t="s">
        <v>1213</v>
      </c>
      <c r="E1176" s="22" t="s">
        <v>1716</v>
      </c>
      <c r="F1176" s="15" t="str">
        <f>_xlfn.XLOOKUP(D1176,[5]Sheet2!$C:$C,[5]Sheet2!$E:$E,"-")</f>
        <v>Muhammad Alfan Fauzi</v>
      </c>
    </row>
    <row r="1177" spans="2:6">
      <c r="B1177" s="19" t="s">
        <v>1080</v>
      </c>
      <c r="C1177" s="20" t="s">
        <v>1081</v>
      </c>
      <c r="D1177" s="21" t="s">
        <v>1214</v>
      </c>
      <c r="E1177" s="22" t="s">
        <v>1716</v>
      </c>
      <c r="F1177" s="15" t="str">
        <f>_xlfn.XLOOKUP(D1177,[5]Sheet2!$C:$C,[5]Sheet2!$E:$E,"-")</f>
        <v>Muhammad Ali Yusuf</v>
      </c>
    </row>
    <row r="1178" spans="2:6">
      <c r="B1178" s="19" t="s">
        <v>1080</v>
      </c>
      <c r="C1178" s="20" t="s">
        <v>1081</v>
      </c>
      <c r="D1178" s="21" t="s">
        <v>1215</v>
      </c>
      <c r="E1178" s="22" t="s">
        <v>1739</v>
      </c>
      <c r="F1178" s="15" t="str">
        <f>_xlfn.XLOOKUP(D1178,[5]Sheet2!$C:$C,[5]Sheet2!$E:$E,"-")</f>
        <v>Ali Ghofar</v>
      </c>
    </row>
    <row r="1179" spans="2:6">
      <c r="B1179" s="19" t="s">
        <v>1080</v>
      </c>
      <c r="C1179" s="20" t="s">
        <v>1081</v>
      </c>
      <c r="D1179" s="21" t="s">
        <v>1216</v>
      </c>
      <c r="E1179" s="22" t="s">
        <v>1716</v>
      </c>
      <c r="F1179" s="15" t="str">
        <f>_xlfn.XLOOKUP(D1179,[5]Sheet2!$C:$C,[5]Sheet2!$E:$E,"-")</f>
        <v>Muhammad Ali Yusuf</v>
      </c>
    </row>
    <row r="1180" spans="2:6">
      <c r="B1180" s="19" t="s">
        <v>1080</v>
      </c>
      <c r="C1180" s="20" t="s">
        <v>1081</v>
      </c>
      <c r="D1180" s="21" t="s">
        <v>1217</v>
      </c>
      <c r="E1180" s="22" t="s">
        <v>1716</v>
      </c>
      <c r="F1180" s="15" t="str">
        <f>_xlfn.XLOOKUP(D1180,[5]Sheet2!$C:$C,[5]Sheet2!$E:$E,"-")</f>
        <v>Muhammad Ghoniyyulloh</v>
      </c>
    </row>
    <row r="1181" spans="2:6">
      <c r="B1181" s="19" t="s">
        <v>1080</v>
      </c>
      <c r="C1181" s="20" t="s">
        <v>1081</v>
      </c>
      <c r="D1181" s="21" t="s">
        <v>1218</v>
      </c>
      <c r="E1181" s="22" t="s">
        <v>1716</v>
      </c>
      <c r="F1181" s="15" t="str">
        <f>_xlfn.XLOOKUP(D1181,[5]Sheet2!$C:$C,[5]Sheet2!$E:$E,"-")</f>
        <v>Agung Hendi Alparista</v>
      </c>
    </row>
    <row r="1182" spans="2:6">
      <c r="B1182" s="19" t="s">
        <v>1080</v>
      </c>
      <c r="C1182" s="20" t="s">
        <v>1081</v>
      </c>
      <c r="D1182" s="21" t="s">
        <v>1219</v>
      </c>
      <c r="E1182" s="22" t="s">
        <v>1716</v>
      </c>
      <c r="F1182" s="15" t="str">
        <f>_xlfn.XLOOKUP(D1182,[5]Sheet2!$C:$C,[5]Sheet2!$E:$E,"-")</f>
        <v>Agung Hendi Alparista</v>
      </c>
    </row>
    <row r="1183" spans="2:6">
      <c r="B1183" s="19" t="s">
        <v>1080</v>
      </c>
      <c r="C1183" s="20" t="s">
        <v>1081</v>
      </c>
      <c r="D1183" s="21" t="s">
        <v>1220</v>
      </c>
      <c r="E1183" s="22" t="s">
        <v>1739</v>
      </c>
      <c r="F1183" s="15" t="str">
        <f>_xlfn.XLOOKUP(D1183,[5]Sheet2!$C:$C,[5]Sheet2!$E:$E,"-")</f>
        <v>Muhammad Azam Khoirur Roziqin</v>
      </c>
    </row>
    <row r="1184" spans="2:6">
      <c r="B1184" s="19" t="s">
        <v>1080</v>
      </c>
      <c r="C1184" s="20" t="s">
        <v>1081</v>
      </c>
      <c r="D1184" s="21" t="s">
        <v>1221</v>
      </c>
      <c r="E1184" s="22" t="s">
        <v>1739</v>
      </c>
      <c r="F1184" s="15" t="str">
        <f>_xlfn.XLOOKUP(D1184,[5]Sheet2!$C:$C,[5]Sheet2!$E:$E,"-")</f>
        <v>Didit Adi Saputro</v>
      </c>
    </row>
    <row r="1185" spans="2:6">
      <c r="B1185" s="19" t="s">
        <v>1080</v>
      </c>
      <c r="C1185" s="20" t="s">
        <v>1081</v>
      </c>
      <c r="D1185" s="21" t="s">
        <v>1222</v>
      </c>
      <c r="E1185" s="22" t="s">
        <v>1739</v>
      </c>
      <c r="F1185" s="15" t="str">
        <f>_xlfn.XLOOKUP(D1185,[5]Sheet2!$C:$C,[5]Sheet2!$E:$E,"-")</f>
        <v>Ali Machtub</v>
      </c>
    </row>
    <row r="1186" spans="2:6">
      <c r="B1186" s="19" t="s">
        <v>1080</v>
      </c>
      <c r="C1186" s="20" t="s">
        <v>1081</v>
      </c>
      <c r="D1186" s="21" t="s">
        <v>1223</v>
      </c>
      <c r="E1186" s="22" t="s">
        <v>1739</v>
      </c>
      <c r="F1186" s="15" t="str">
        <f>_xlfn.XLOOKUP(D1186,[5]Sheet2!$C:$C,[5]Sheet2!$E:$E,"-")</f>
        <v>Didit Adi Saputro</v>
      </c>
    </row>
    <row r="1187" spans="2:6">
      <c r="B1187" s="19" t="s">
        <v>1080</v>
      </c>
      <c r="C1187" s="20" t="s">
        <v>1081</v>
      </c>
      <c r="D1187" s="21" t="s">
        <v>1224</v>
      </c>
      <c r="E1187" s="22" t="s">
        <v>1739</v>
      </c>
      <c r="F1187" s="15" t="str">
        <f>_xlfn.XLOOKUP(D1187,[5]Sheet2!$C:$C,[5]Sheet2!$E:$E,"-")</f>
        <v>Wanto Sugianto</v>
      </c>
    </row>
    <row r="1188" spans="2:6">
      <c r="B1188" s="19" t="s">
        <v>1080</v>
      </c>
      <c r="C1188" s="20" t="s">
        <v>1081</v>
      </c>
      <c r="D1188" s="21" t="s">
        <v>1225</v>
      </c>
      <c r="E1188" s="22" t="s">
        <v>1739</v>
      </c>
      <c r="F1188" s="15" t="str">
        <f>_xlfn.XLOOKUP(D1188,[5]Sheet2!$C:$C,[5]Sheet2!$E:$E,"-")</f>
        <v>Ali Machtub</v>
      </c>
    </row>
    <row r="1189" spans="2:6">
      <c r="B1189" s="19" t="s">
        <v>1080</v>
      </c>
      <c r="C1189" s="20" t="s">
        <v>1081</v>
      </c>
      <c r="D1189" s="21" t="s">
        <v>1226</v>
      </c>
      <c r="E1189" s="22" t="s">
        <v>1739</v>
      </c>
      <c r="F1189" s="15" t="str">
        <f>_xlfn.XLOOKUP(D1189,[5]Sheet2!$C:$C,[5]Sheet2!$E:$E,"-")</f>
        <v>Dedi Wibowo</v>
      </c>
    </row>
    <row r="1190" spans="2:6">
      <c r="B1190" s="19" t="s">
        <v>1080</v>
      </c>
      <c r="C1190" s="20" t="s">
        <v>1081</v>
      </c>
      <c r="D1190" s="21" t="s">
        <v>1227</v>
      </c>
      <c r="E1190" s="22" t="s">
        <v>1716</v>
      </c>
      <c r="F1190" s="15" t="str">
        <f>_xlfn.XLOOKUP(D1190,[5]Sheet2!$C:$C,[5]Sheet2!$E:$E,"-")</f>
        <v>Indra Kokasih</v>
      </c>
    </row>
    <row r="1191" spans="2:6">
      <c r="B1191" s="19" t="s">
        <v>1080</v>
      </c>
      <c r="C1191" s="20" t="s">
        <v>1081</v>
      </c>
      <c r="D1191" s="21" t="s">
        <v>1228</v>
      </c>
      <c r="E1191" s="22" t="s">
        <v>1716</v>
      </c>
      <c r="F1191" s="15" t="str">
        <f>_xlfn.XLOOKUP(D1191,[5]Sheet2!$C:$C,[5]Sheet2!$E:$E,"-")</f>
        <v>Dwi Harioseno</v>
      </c>
    </row>
    <row r="1192" spans="2:6">
      <c r="B1192" s="19" t="s">
        <v>1080</v>
      </c>
      <c r="C1192" s="20" t="s">
        <v>1081</v>
      </c>
      <c r="D1192" s="21" t="s">
        <v>1229</v>
      </c>
      <c r="E1192" s="22" t="s">
        <v>1716</v>
      </c>
      <c r="F1192" s="15" t="str">
        <f>_xlfn.XLOOKUP(D1192,[5]Sheet2!$C:$C,[5]Sheet2!$E:$E,"-")</f>
        <v>Harianto</v>
      </c>
    </row>
    <row r="1193" spans="2:6">
      <c r="B1193" s="19" t="s">
        <v>1080</v>
      </c>
      <c r="C1193" s="20" t="s">
        <v>1081</v>
      </c>
      <c r="D1193" s="21" t="s">
        <v>1230</v>
      </c>
      <c r="E1193" s="22" t="s">
        <v>1716</v>
      </c>
      <c r="F1193" s="15" t="str">
        <f>_xlfn.XLOOKUP(D1193,[5]Sheet2!$C:$C,[5]Sheet2!$E:$E,"-")</f>
        <v>Mokhammad Arif Pratama Wijaya</v>
      </c>
    </row>
    <row r="1194" spans="2:6">
      <c r="B1194" s="19" t="s">
        <v>1080</v>
      </c>
      <c r="C1194" s="20" t="s">
        <v>1081</v>
      </c>
      <c r="D1194" s="21" t="s">
        <v>1231</v>
      </c>
      <c r="E1194" s="22" t="s">
        <v>1716</v>
      </c>
      <c r="F1194" s="15" t="str">
        <f>_xlfn.XLOOKUP(D1194,[5]Sheet2!$C:$C,[5]Sheet2!$E:$E,"-")</f>
        <v>Harianto</v>
      </c>
    </row>
    <row r="1195" spans="2:6">
      <c r="B1195" s="19" t="s">
        <v>1080</v>
      </c>
      <c r="C1195" s="20" t="s">
        <v>1081</v>
      </c>
      <c r="D1195" s="21" t="s">
        <v>1232</v>
      </c>
      <c r="E1195" s="22" t="s">
        <v>1716</v>
      </c>
      <c r="F1195" s="15" t="str">
        <f>_xlfn.XLOOKUP(D1195,[5]Sheet2!$C:$C,[5]Sheet2!$E:$E,"-")</f>
        <v>Abdul Rauf Nafik</v>
      </c>
    </row>
    <row r="1196" spans="2:6">
      <c r="B1196" s="19" t="s">
        <v>1080</v>
      </c>
      <c r="C1196" s="20" t="s">
        <v>1081</v>
      </c>
      <c r="D1196" s="21" t="s">
        <v>1233</v>
      </c>
      <c r="E1196" s="22" t="s">
        <v>1716</v>
      </c>
      <c r="F1196" s="15" t="str">
        <f>_xlfn.XLOOKUP(D1196,[5]Sheet2!$C:$C,[5]Sheet2!$E:$E,"-")</f>
        <v>Abdul Rauf Nafik</v>
      </c>
    </row>
    <row r="1197" spans="2:6">
      <c r="B1197" s="19" t="s">
        <v>1080</v>
      </c>
      <c r="C1197" s="20" t="s">
        <v>1081</v>
      </c>
      <c r="D1197" s="21" t="s">
        <v>1234</v>
      </c>
      <c r="E1197" s="22" t="s">
        <v>1716</v>
      </c>
      <c r="F1197" s="15" t="str">
        <f>_xlfn.XLOOKUP(D1197,[5]Sheet2!$C:$C,[5]Sheet2!$E:$E,"-")</f>
        <v>Indra Kokasih</v>
      </c>
    </row>
    <row r="1198" spans="2:6">
      <c r="B1198" s="19" t="s">
        <v>1080</v>
      </c>
      <c r="C1198" s="20" t="s">
        <v>1081</v>
      </c>
      <c r="D1198" s="21" t="s">
        <v>1235</v>
      </c>
      <c r="E1198" s="22" t="s">
        <v>1716</v>
      </c>
      <c r="F1198" s="15" t="str">
        <f>_xlfn.XLOOKUP(D1198,[5]Sheet2!$C:$C,[5]Sheet2!$E:$E,"-")</f>
        <v>Ahmad Fariz Rohmatulloh</v>
      </c>
    </row>
    <row r="1199" spans="2:6">
      <c r="B1199" s="19" t="s">
        <v>1080</v>
      </c>
      <c r="C1199" s="20" t="s">
        <v>1081</v>
      </c>
      <c r="D1199" s="21" t="s">
        <v>1236</v>
      </c>
      <c r="E1199" s="22" t="s">
        <v>1716</v>
      </c>
      <c r="F1199" s="15" t="str">
        <f>_xlfn.XLOOKUP(D1199,[5]Sheet2!$C:$C,[5]Sheet2!$E:$E,"-")</f>
        <v>Mokhammad Arif Pratama Wijaya</v>
      </c>
    </row>
    <row r="1200" spans="2:6">
      <c r="B1200" s="19" t="s">
        <v>1080</v>
      </c>
      <c r="C1200" s="20" t="s">
        <v>1081</v>
      </c>
      <c r="D1200" s="21" t="s">
        <v>1237</v>
      </c>
      <c r="E1200" s="22" t="s">
        <v>1739</v>
      </c>
      <c r="F1200" s="15" t="str">
        <f>_xlfn.XLOOKUP(D1200,[5]Sheet2!$C:$C,[5]Sheet2!$E:$E,"-")</f>
        <v>Taufiq Hidayat</v>
      </c>
    </row>
    <row r="1201" spans="2:6">
      <c r="B1201" s="19" t="s">
        <v>1080</v>
      </c>
      <c r="C1201" s="20" t="s">
        <v>1081</v>
      </c>
      <c r="D1201" s="21" t="s">
        <v>1238</v>
      </c>
      <c r="E1201" s="22" t="s">
        <v>1739</v>
      </c>
      <c r="F1201" s="15" t="str">
        <f>_xlfn.XLOOKUP(D1201,[5]Sheet2!$C:$C,[5]Sheet2!$E:$E,"-")</f>
        <v>Wahyu Hari Prayitno</v>
      </c>
    </row>
    <row r="1202" spans="2:6">
      <c r="B1202" s="19" t="s">
        <v>1080</v>
      </c>
      <c r="C1202" s="20" t="s">
        <v>1081</v>
      </c>
      <c r="D1202" s="21" t="s">
        <v>1239</v>
      </c>
      <c r="E1202" s="22" t="s">
        <v>1739</v>
      </c>
      <c r="F1202" s="15" t="str">
        <f>_xlfn.XLOOKUP(D1202,[5]Sheet2!$C:$C,[5]Sheet2!$E:$E,"-")</f>
        <v>Achmad Findi Kurniawan</v>
      </c>
    </row>
    <row r="1203" spans="2:6">
      <c r="B1203" s="19" t="s">
        <v>1080</v>
      </c>
      <c r="C1203" s="20" t="s">
        <v>1081</v>
      </c>
      <c r="D1203" s="21" t="s">
        <v>1240</v>
      </c>
      <c r="E1203" s="22" t="s">
        <v>1739</v>
      </c>
      <c r="F1203" s="15" t="str">
        <f>_xlfn.XLOOKUP(D1203,[5]Sheet2!$C:$C,[5]Sheet2!$E:$E,"-")</f>
        <v>Hartoyo Utomo</v>
      </c>
    </row>
    <row r="1204" spans="2:6">
      <c r="B1204" s="19" t="s">
        <v>1080</v>
      </c>
      <c r="C1204" s="20" t="s">
        <v>1081</v>
      </c>
      <c r="D1204" s="21" t="s">
        <v>1241</v>
      </c>
      <c r="E1204" s="22" t="s">
        <v>1739</v>
      </c>
      <c r="F1204" s="15" t="str">
        <f>_xlfn.XLOOKUP(D1204,[5]Sheet2!$C:$C,[5]Sheet2!$E:$E,"-")</f>
        <v>Fani Putra Adi Pratama</v>
      </c>
    </row>
    <row r="1205" spans="2:6">
      <c r="B1205" s="19" t="s">
        <v>1080</v>
      </c>
      <c r="C1205" s="20" t="s">
        <v>1081</v>
      </c>
      <c r="D1205" s="21" t="s">
        <v>1242</v>
      </c>
      <c r="E1205" s="22" t="s">
        <v>1739</v>
      </c>
      <c r="F1205" s="15" t="str">
        <f>_xlfn.XLOOKUP(D1205,[5]Sheet2!$C:$C,[5]Sheet2!$E:$E,"-")</f>
        <v>Tarmuji</v>
      </c>
    </row>
    <row r="1206" spans="2:6">
      <c r="B1206" s="19" t="s">
        <v>1080</v>
      </c>
      <c r="C1206" s="20" t="s">
        <v>1081</v>
      </c>
      <c r="D1206" s="21" t="s">
        <v>1243</v>
      </c>
      <c r="E1206" s="22" t="s">
        <v>1739</v>
      </c>
      <c r="F1206" s="15" t="str">
        <f>_xlfn.XLOOKUP(D1206,[5]Sheet2!$C:$C,[5]Sheet2!$E:$E,"-")</f>
        <v>Hartoyo Utomo</v>
      </c>
    </row>
    <row r="1207" spans="2:6">
      <c r="B1207" s="19" t="s">
        <v>1080</v>
      </c>
      <c r="C1207" s="20" t="s">
        <v>1081</v>
      </c>
      <c r="D1207" s="21" t="s">
        <v>1244</v>
      </c>
      <c r="E1207" s="22" t="s">
        <v>1739</v>
      </c>
      <c r="F1207" s="15" t="str">
        <f>_xlfn.XLOOKUP(D1207,[5]Sheet2!$C:$C,[5]Sheet2!$E:$E,"-")</f>
        <v>Ainun Yahya, S.Kom</v>
      </c>
    </row>
    <row r="1208" spans="2:6">
      <c r="B1208" s="19" t="s">
        <v>1080</v>
      </c>
      <c r="C1208" s="20" t="s">
        <v>1081</v>
      </c>
      <c r="D1208" s="21" t="s">
        <v>1245</v>
      </c>
      <c r="E1208" s="22" t="s">
        <v>1716</v>
      </c>
      <c r="F1208" s="15" t="str">
        <f>_xlfn.XLOOKUP(D1208,[5]Sheet2!$C:$C,[5]Sheet2!$E:$E,"-")</f>
        <v>Roqi Andrianus Duka Djuma</v>
      </c>
    </row>
    <row r="1209" spans="2:6">
      <c r="B1209" s="19" t="s">
        <v>1080</v>
      </c>
      <c r="C1209" s="20" t="s">
        <v>1081</v>
      </c>
      <c r="D1209" s="21" t="s">
        <v>1246</v>
      </c>
      <c r="E1209" s="22" t="s">
        <v>1739</v>
      </c>
      <c r="F1209" s="15" t="str">
        <f>_xlfn.XLOOKUP(D1209,[5]Sheet2!$C:$C,[5]Sheet2!$E:$E,"-")</f>
        <v>-</v>
      </c>
    </row>
    <row r="1210" spans="2:6">
      <c r="B1210" s="19" t="s">
        <v>1080</v>
      </c>
      <c r="C1210" s="20" t="s">
        <v>1081</v>
      </c>
      <c r="D1210" s="21" t="s">
        <v>1247</v>
      </c>
      <c r="E1210" s="22" t="s">
        <v>1739</v>
      </c>
      <c r="F1210" s="15" t="str">
        <f>_xlfn.XLOOKUP(D1210,[5]Sheet2!$C:$C,[5]Sheet2!$E:$E,"-")</f>
        <v>Ahmad Syihab Taqiyulloh</v>
      </c>
    </row>
    <row r="1211" spans="2:6">
      <c r="B1211" s="19" t="s">
        <v>1080</v>
      </c>
      <c r="C1211" s="20" t="s">
        <v>1081</v>
      </c>
      <c r="D1211" s="21" t="s">
        <v>1248</v>
      </c>
      <c r="E1211" s="22" t="s">
        <v>1716</v>
      </c>
      <c r="F1211" s="15" t="str">
        <f>_xlfn.XLOOKUP(D1211,[5]Sheet2!$C:$C,[5]Sheet2!$E:$E,"-")</f>
        <v>Mochammad Nor Cholis</v>
      </c>
    </row>
    <row r="1212" spans="2:6">
      <c r="B1212" s="19" t="s">
        <v>1080</v>
      </c>
      <c r="C1212" s="20" t="s">
        <v>1081</v>
      </c>
      <c r="D1212" s="21" t="s">
        <v>1249</v>
      </c>
      <c r="E1212" s="22" t="s">
        <v>1739</v>
      </c>
      <c r="F1212" s="15" t="str">
        <f>_xlfn.XLOOKUP(D1212,[5]Sheet2!$C:$C,[5]Sheet2!$E:$E,"-")</f>
        <v>-</v>
      </c>
    </row>
    <row r="1213" spans="2:6">
      <c r="B1213" s="19" t="s">
        <v>1080</v>
      </c>
      <c r="C1213" s="20" t="s">
        <v>1081</v>
      </c>
      <c r="D1213" s="21" t="s">
        <v>1250</v>
      </c>
      <c r="E1213" s="22" t="s">
        <v>1739</v>
      </c>
      <c r="F1213" s="15" t="str">
        <f>_xlfn.XLOOKUP(D1213,[5]Sheet2!$C:$C,[5]Sheet2!$E:$E,"-")</f>
        <v>Pradiska Julianda Vebyola</v>
      </c>
    </row>
    <row r="1214" spans="2:6">
      <c r="B1214" s="19" t="s">
        <v>1080</v>
      </c>
      <c r="C1214" s="20" t="s">
        <v>1081</v>
      </c>
      <c r="D1214" s="21" t="s">
        <v>1251</v>
      </c>
      <c r="E1214" s="22" t="s">
        <v>1739</v>
      </c>
      <c r="F1214" s="15" t="str">
        <f>_xlfn.XLOOKUP(D1214,[5]Sheet2!$C:$C,[5]Sheet2!$E:$E,"-")</f>
        <v>Indra Bayu</v>
      </c>
    </row>
    <row r="1215" spans="2:6">
      <c r="B1215" s="19" t="s">
        <v>1080</v>
      </c>
      <c r="C1215" s="20" t="s">
        <v>1081</v>
      </c>
      <c r="D1215" s="21" t="s">
        <v>1252</v>
      </c>
      <c r="E1215" s="22" t="s">
        <v>1739</v>
      </c>
      <c r="F1215" s="15" t="str">
        <f>_xlfn.XLOOKUP(D1215,[5]Sheet2!$C:$C,[5]Sheet2!$E:$E,"-")</f>
        <v>Bagus Hermawan</v>
      </c>
    </row>
    <row r="1216" spans="2:6">
      <c r="B1216" s="19" t="s">
        <v>1080</v>
      </c>
      <c r="C1216" s="20" t="s">
        <v>1081</v>
      </c>
      <c r="D1216" s="21" t="s">
        <v>1253</v>
      </c>
      <c r="E1216" s="22" t="s">
        <v>1716</v>
      </c>
      <c r="F1216" s="15" t="str">
        <f>_xlfn.XLOOKUP(D1216,[5]Sheet2!$C:$C,[5]Sheet2!$E:$E,"-")</f>
        <v>-</v>
      </c>
    </row>
    <row r="1217" spans="2:6">
      <c r="B1217" s="19" t="s">
        <v>1080</v>
      </c>
      <c r="C1217" s="20" t="s">
        <v>1081</v>
      </c>
      <c r="D1217" s="21" t="s">
        <v>1254</v>
      </c>
      <c r="E1217" s="22" t="s">
        <v>1739</v>
      </c>
      <c r="F1217" s="15" t="str">
        <f>_xlfn.XLOOKUP(D1217,[5]Sheet2!$C:$C,[5]Sheet2!$E:$E,"-")</f>
        <v>Satrio Wahyu Nugroho</v>
      </c>
    </row>
    <row r="1218" spans="2:6">
      <c r="B1218" s="19" t="s">
        <v>1080</v>
      </c>
      <c r="C1218" s="20" t="s">
        <v>1081</v>
      </c>
      <c r="D1218" s="21" t="s">
        <v>1255</v>
      </c>
      <c r="E1218" s="22" t="s">
        <v>1716</v>
      </c>
      <c r="F1218" s="15" t="str">
        <f>_xlfn.XLOOKUP(D1218,[5]Sheet2!$C:$C,[5]Sheet2!$E:$E,"-")</f>
        <v>Bintang Zaesar Ramadan</v>
      </c>
    </row>
    <row r="1219" spans="2:6">
      <c r="B1219" s="19" t="s">
        <v>1080</v>
      </c>
      <c r="C1219" s="20" t="s">
        <v>1081</v>
      </c>
      <c r="D1219" s="21" t="s">
        <v>1256</v>
      </c>
      <c r="E1219" s="22" t="s">
        <v>1739</v>
      </c>
      <c r="F1219" s="15" t="str">
        <f>_xlfn.XLOOKUP(D1219,[5]Sheet2!$C:$C,[5]Sheet2!$E:$E,"-")</f>
        <v>-</v>
      </c>
    </row>
    <row r="1220" spans="2:6">
      <c r="B1220" s="19" t="s">
        <v>1080</v>
      </c>
      <c r="C1220" s="20" t="s">
        <v>1081</v>
      </c>
      <c r="D1220" s="21" t="s">
        <v>1257</v>
      </c>
      <c r="E1220" s="22" t="s">
        <v>1716</v>
      </c>
      <c r="F1220" s="15" t="str">
        <f>_xlfn.XLOOKUP(D1220,[5]Sheet2!$C:$C,[5]Sheet2!$E:$E,"-")</f>
        <v>Havid Rambu Sinaga</v>
      </c>
    </row>
    <row r="1221" spans="2:6">
      <c r="B1221" s="19" t="s">
        <v>1080</v>
      </c>
      <c r="C1221" s="20" t="s">
        <v>1081</v>
      </c>
      <c r="D1221" s="21" t="s">
        <v>1258</v>
      </c>
      <c r="E1221" s="22" t="s">
        <v>1739</v>
      </c>
      <c r="F1221" s="15" t="str">
        <f>_xlfn.XLOOKUP(D1221,[5]Sheet2!$C:$C,[5]Sheet2!$E:$E,"-")</f>
        <v>-</v>
      </c>
    </row>
    <row r="1222" spans="2:6">
      <c r="B1222" s="19" t="s">
        <v>1080</v>
      </c>
      <c r="C1222" s="20" t="s">
        <v>1081</v>
      </c>
      <c r="D1222" s="21" t="s">
        <v>1259</v>
      </c>
      <c r="E1222" s="22" t="s">
        <v>1739</v>
      </c>
      <c r="F1222" s="15" t="str">
        <f>_xlfn.XLOOKUP(D1222,[5]Sheet2!$C:$C,[5]Sheet2!$E:$E,"-")</f>
        <v>Angga Yulistyawan</v>
      </c>
    </row>
    <row r="1223" spans="2:6">
      <c r="B1223" s="19" t="s">
        <v>1080</v>
      </c>
      <c r="C1223" s="20" t="s">
        <v>1081</v>
      </c>
      <c r="D1223" s="21" t="s">
        <v>1260</v>
      </c>
      <c r="E1223" s="22" t="s">
        <v>1739</v>
      </c>
      <c r="F1223" s="15" t="str">
        <f>_xlfn.XLOOKUP(D1223,[5]Sheet2!$C:$C,[5]Sheet2!$E:$E,"-")</f>
        <v>Moch. Irsyad</v>
      </c>
    </row>
    <row r="1224" spans="2:6">
      <c r="B1224" s="19" t="s">
        <v>1080</v>
      </c>
      <c r="C1224" s="20" t="s">
        <v>1081</v>
      </c>
      <c r="D1224" s="21" t="s">
        <v>1261</v>
      </c>
      <c r="E1224" s="22" t="s">
        <v>1739</v>
      </c>
      <c r="F1224" s="15" t="str">
        <f>_xlfn.XLOOKUP(D1224,[5]Sheet2!$C:$C,[5]Sheet2!$E:$E,"-")</f>
        <v>Alfiyatuz Zahra</v>
      </c>
    </row>
    <row r="1225" spans="2:6">
      <c r="B1225" s="19" t="s">
        <v>1080</v>
      </c>
      <c r="C1225" s="20" t="s">
        <v>1081</v>
      </c>
      <c r="D1225" s="21" t="s">
        <v>1262</v>
      </c>
      <c r="E1225" s="22" t="s">
        <v>1716</v>
      </c>
      <c r="F1225" s="15" t="str">
        <f>_xlfn.XLOOKUP(D1225,[5]Sheet2!$C:$C,[5]Sheet2!$E:$E,"-")</f>
        <v>Impron Suryadi</v>
      </c>
    </row>
    <row r="1226" spans="2:6">
      <c r="B1226" s="19" t="s">
        <v>1080</v>
      </c>
      <c r="C1226" s="20" t="s">
        <v>1081</v>
      </c>
      <c r="D1226" s="21" t="s">
        <v>1263</v>
      </c>
      <c r="E1226" s="22" t="s">
        <v>1739</v>
      </c>
      <c r="F1226" s="15" t="str">
        <f>_xlfn.XLOOKUP(D1226,[5]Sheet2!$C:$C,[5]Sheet2!$E:$E,"-")</f>
        <v>Wahyu Sujatmiko</v>
      </c>
    </row>
    <row r="1227" spans="2:6">
      <c r="B1227" s="19" t="s">
        <v>1080</v>
      </c>
      <c r="C1227" s="20" t="s">
        <v>1081</v>
      </c>
      <c r="D1227" s="21" t="s">
        <v>1264</v>
      </c>
      <c r="E1227" s="22" t="s">
        <v>1739</v>
      </c>
      <c r="F1227" s="15" t="str">
        <f>_xlfn.XLOOKUP(D1227,[5]Sheet2!$C:$C,[5]Sheet2!$E:$E,"-")</f>
        <v>Wahyu Sujatmiko</v>
      </c>
    </row>
    <row r="1228" spans="2:6">
      <c r="B1228" s="19" t="s">
        <v>1080</v>
      </c>
      <c r="C1228" s="20" t="s">
        <v>1081</v>
      </c>
      <c r="D1228" s="21" t="s">
        <v>1265</v>
      </c>
      <c r="E1228" s="22" t="s">
        <v>1739</v>
      </c>
      <c r="F1228" s="15" t="str">
        <f>_xlfn.XLOOKUP(D1228,[5]Sheet2!$C:$C,[5]Sheet2!$E:$E,"-")</f>
        <v>-</v>
      </c>
    </row>
    <row r="1229" spans="2:6">
      <c r="B1229" s="19" t="s">
        <v>1080</v>
      </c>
      <c r="C1229" s="20" t="s">
        <v>1081</v>
      </c>
      <c r="D1229" s="21" t="s">
        <v>1266</v>
      </c>
      <c r="E1229" s="22" t="s">
        <v>1739</v>
      </c>
      <c r="F1229" s="15" t="str">
        <f>_xlfn.XLOOKUP(D1229,[5]Sheet2!$C:$C,[5]Sheet2!$E:$E,"-")</f>
        <v>Bayu Dian Krisdianto</v>
      </c>
    </row>
    <row r="1230" spans="2:6">
      <c r="B1230" s="19" t="s">
        <v>1080</v>
      </c>
      <c r="C1230" s="20" t="s">
        <v>1081</v>
      </c>
      <c r="D1230" s="21" t="s">
        <v>1267</v>
      </c>
      <c r="E1230" s="22" t="s">
        <v>1739</v>
      </c>
      <c r="F1230" s="15" t="str">
        <f>_xlfn.XLOOKUP(D1230,[5]Sheet2!$C:$C,[5]Sheet2!$E:$E,"-")</f>
        <v>Enggar Ida Ariawan</v>
      </c>
    </row>
    <row r="1231" spans="2:6">
      <c r="B1231" s="19" t="s">
        <v>1080</v>
      </c>
      <c r="C1231" s="20" t="s">
        <v>1081</v>
      </c>
      <c r="D1231" s="21" t="s">
        <v>1268</v>
      </c>
      <c r="E1231" s="22" t="s">
        <v>1739</v>
      </c>
      <c r="F1231" s="15" t="str">
        <f>_xlfn.XLOOKUP(D1231,[5]Sheet2!$C:$C,[5]Sheet2!$E:$E,"-")</f>
        <v>Ghifar Zakatus Suaidah</v>
      </c>
    </row>
    <row r="1232" spans="2:6">
      <c r="B1232" s="19" t="s">
        <v>1080</v>
      </c>
      <c r="C1232" s="20" t="s">
        <v>1081</v>
      </c>
      <c r="D1232" s="21" t="s">
        <v>1269</v>
      </c>
      <c r="E1232" s="22" t="s">
        <v>1739</v>
      </c>
      <c r="F1232" s="15" t="str">
        <f>_xlfn.XLOOKUP(D1232,[5]Sheet2!$C:$C,[5]Sheet2!$E:$E,"-")</f>
        <v>Agus Prianto</v>
      </c>
    </row>
    <row r="1233" spans="2:6">
      <c r="B1233" s="19" t="s">
        <v>1080</v>
      </c>
      <c r="C1233" s="20" t="s">
        <v>1081</v>
      </c>
      <c r="D1233" s="21" t="s">
        <v>1270</v>
      </c>
      <c r="E1233" s="22" t="s">
        <v>1739</v>
      </c>
      <c r="F1233" s="15" t="str">
        <f>_xlfn.XLOOKUP(D1233,[5]Sheet2!$C:$C,[5]Sheet2!$E:$E,"-")</f>
        <v>Moch. Ragil Januar</v>
      </c>
    </row>
    <row r="1234" spans="2:6">
      <c r="B1234" s="19" t="s">
        <v>1080</v>
      </c>
      <c r="C1234" s="20" t="s">
        <v>1081</v>
      </c>
      <c r="D1234" s="21" t="s">
        <v>1271</v>
      </c>
      <c r="E1234" s="22" t="s">
        <v>1739</v>
      </c>
      <c r="F1234" s="15" t="str">
        <f>_xlfn.XLOOKUP(D1234,[5]Sheet2!$C:$C,[5]Sheet2!$E:$E,"-")</f>
        <v>Hasan Mahmudi</v>
      </c>
    </row>
    <row r="1235" spans="2:6">
      <c r="B1235" s="19" t="s">
        <v>1080</v>
      </c>
      <c r="C1235" s="20" t="s">
        <v>1081</v>
      </c>
      <c r="D1235" s="21" t="s">
        <v>1272</v>
      </c>
      <c r="E1235" s="22" t="s">
        <v>1739</v>
      </c>
      <c r="F1235" s="15" t="str">
        <f>_xlfn.XLOOKUP(D1235,[5]Sheet2!$C:$C,[5]Sheet2!$E:$E,"-")</f>
        <v>Moch. Ragil Januar</v>
      </c>
    </row>
    <row r="1236" spans="2:6">
      <c r="B1236" s="19" t="s">
        <v>1080</v>
      </c>
      <c r="C1236" s="20" t="s">
        <v>1081</v>
      </c>
      <c r="D1236" s="21" t="s">
        <v>1273</v>
      </c>
      <c r="E1236" s="22" t="s">
        <v>1739</v>
      </c>
      <c r="F1236" s="15" t="str">
        <f>_xlfn.XLOOKUP(D1236,[5]Sheet2!$C:$C,[5]Sheet2!$E:$E,"-")</f>
        <v>Dwi Novitasari</v>
      </c>
    </row>
    <row r="1237" spans="2:6">
      <c r="B1237" s="19" t="s">
        <v>1080</v>
      </c>
      <c r="C1237" s="20" t="s">
        <v>1081</v>
      </c>
      <c r="D1237" s="21" t="s">
        <v>1274</v>
      </c>
      <c r="E1237" s="22" t="s">
        <v>1739</v>
      </c>
      <c r="F1237" s="15" t="str">
        <f>_xlfn.XLOOKUP(D1237,[5]Sheet2!$C:$C,[5]Sheet2!$E:$E,"-")</f>
        <v>Agus Prianto</v>
      </c>
    </row>
    <row r="1238" spans="2:6">
      <c r="B1238" s="19" t="s">
        <v>1080</v>
      </c>
      <c r="C1238" s="20" t="s">
        <v>1081</v>
      </c>
      <c r="D1238" s="21" t="s">
        <v>1275</v>
      </c>
      <c r="E1238" s="22" t="s">
        <v>1739</v>
      </c>
      <c r="F1238" s="15" t="str">
        <f>_xlfn.XLOOKUP(D1238,[5]Sheet2!$C:$C,[5]Sheet2!$E:$E,"-")</f>
        <v>Fanny Zubiatmoko</v>
      </c>
    </row>
    <row r="1239" spans="2:6">
      <c r="B1239" s="19" t="s">
        <v>1080</v>
      </c>
      <c r="C1239" s="20" t="s">
        <v>1081</v>
      </c>
      <c r="D1239" s="21" t="s">
        <v>1276</v>
      </c>
      <c r="E1239" s="22" t="s">
        <v>1739</v>
      </c>
      <c r="F1239" s="15" t="str">
        <f>_xlfn.XLOOKUP(D1239,[5]Sheet2!$C:$C,[5]Sheet2!$E:$E,"-")</f>
        <v>Bonifacius Edo Prasetio</v>
      </c>
    </row>
    <row r="1240" spans="2:6">
      <c r="B1240" s="19" t="s">
        <v>1080</v>
      </c>
      <c r="C1240" s="20" t="s">
        <v>1081</v>
      </c>
      <c r="D1240" s="21" t="s">
        <v>1277</v>
      </c>
      <c r="E1240" s="22" t="s">
        <v>1716</v>
      </c>
      <c r="F1240" s="15" t="str">
        <f>_xlfn.XLOOKUP(D1240,[5]Sheet2!$C:$C,[5]Sheet2!$E:$E,"-")</f>
        <v>Adha Mubarok</v>
      </c>
    </row>
    <row r="1241" spans="2:6">
      <c r="B1241" s="19" t="s">
        <v>1080</v>
      </c>
      <c r="C1241" s="20" t="s">
        <v>1081</v>
      </c>
      <c r="D1241" s="21" t="s">
        <v>1278</v>
      </c>
      <c r="E1241" s="22" t="s">
        <v>1716</v>
      </c>
      <c r="F1241" s="15" t="str">
        <f>_xlfn.XLOOKUP(D1241,[5]Sheet2!$C:$C,[5]Sheet2!$E:$E,"-")</f>
        <v>Adha Mubarok</v>
      </c>
    </row>
    <row r="1242" spans="2:6">
      <c r="B1242" s="19" t="s">
        <v>1080</v>
      </c>
      <c r="C1242" s="20" t="s">
        <v>1081</v>
      </c>
      <c r="D1242" s="21" t="s">
        <v>1279</v>
      </c>
      <c r="E1242" s="22" t="s">
        <v>1716</v>
      </c>
      <c r="F1242" s="15" t="str">
        <f>_xlfn.XLOOKUP(D1242,[5]Sheet2!$C:$C,[5]Sheet2!$E:$E,"-")</f>
        <v>Gilang Sabastian Vernando</v>
      </c>
    </row>
    <row r="1243" spans="2:6">
      <c r="B1243" s="19" t="s">
        <v>1080</v>
      </c>
      <c r="C1243" s="20" t="s">
        <v>1081</v>
      </c>
      <c r="D1243" s="21" t="s">
        <v>1280</v>
      </c>
      <c r="E1243" s="22" t="s">
        <v>1716</v>
      </c>
      <c r="F1243" s="15" t="str">
        <f>_xlfn.XLOOKUP(D1243,[5]Sheet2!$C:$C,[5]Sheet2!$E:$E,"-")</f>
        <v>Legowo Herlambang</v>
      </c>
    </row>
    <row r="1244" spans="2:6">
      <c r="B1244" s="19" t="s">
        <v>1080</v>
      </c>
      <c r="C1244" s="20" t="s">
        <v>1081</v>
      </c>
      <c r="D1244" s="21" t="s">
        <v>1281</v>
      </c>
      <c r="E1244" s="22" t="s">
        <v>1716</v>
      </c>
      <c r="F1244" s="15" t="str">
        <f>_xlfn.XLOOKUP(D1244,[5]Sheet2!$C:$C,[5]Sheet2!$E:$E,"-")</f>
        <v>Afid Mahardianto</v>
      </c>
    </row>
    <row r="1245" spans="2:6">
      <c r="B1245" s="19" t="s">
        <v>1080</v>
      </c>
      <c r="C1245" s="20" t="s">
        <v>1081</v>
      </c>
      <c r="D1245" s="21" t="s">
        <v>1282</v>
      </c>
      <c r="E1245" s="22" t="s">
        <v>1716</v>
      </c>
      <c r="F1245" s="15" t="str">
        <f>_xlfn.XLOOKUP(D1245,[5]Sheet2!$C:$C,[5]Sheet2!$E:$E,"-")</f>
        <v>Yusky Ali</v>
      </c>
    </row>
    <row r="1246" spans="2:6">
      <c r="B1246" s="19" t="s">
        <v>1080</v>
      </c>
      <c r="C1246" s="20" t="s">
        <v>1081</v>
      </c>
      <c r="D1246" s="21" t="s">
        <v>1283</v>
      </c>
      <c r="E1246" s="22" t="s">
        <v>1739</v>
      </c>
      <c r="F1246" s="15" t="str">
        <f>_xlfn.XLOOKUP(D1246,[5]Sheet2!$C:$C,[5]Sheet2!$E:$E,"-")</f>
        <v>Rofi Firmansyah</v>
      </c>
    </row>
    <row r="1247" spans="2:6">
      <c r="B1247" s="19" t="s">
        <v>1080</v>
      </c>
      <c r="C1247" s="20" t="s">
        <v>1081</v>
      </c>
      <c r="D1247" s="21" t="s">
        <v>1284</v>
      </c>
      <c r="E1247" s="22" t="s">
        <v>1739</v>
      </c>
      <c r="F1247" s="15" t="str">
        <f>_xlfn.XLOOKUP(D1247,[5]Sheet2!$C:$C,[5]Sheet2!$E:$E,"-")</f>
        <v>Annur Rahman Hakim</v>
      </c>
    </row>
    <row r="1248" spans="2:6">
      <c r="B1248" s="19" t="s">
        <v>1080</v>
      </c>
      <c r="C1248" s="20" t="s">
        <v>1081</v>
      </c>
      <c r="D1248" s="21" t="s">
        <v>1285</v>
      </c>
      <c r="E1248" s="22" t="s">
        <v>1716</v>
      </c>
      <c r="F1248" s="15" t="str">
        <f>_xlfn.XLOOKUP(D1248,[5]Sheet2!$C:$C,[5]Sheet2!$E:$E,"-")</f>
        <v>Rifki Maghrobi Putra Pamungkas</v>
      </c>
    </row>
    <row r="1249" spans="2:6">
      <c r="B1249" s="19" t="s">
        <v>1080</v>
      </c>
      <c r="C1249" s="20" t="s">
        <v>1081</v>
      </c>
      <c r="D1249" s="21" t="s">
        <v>1286</v>
      </c>
      <c r="E1249" s="22" t="s">
        <v>1716</v>
      </c>
      <c r="F1249" s="15" t="str">
        <f>_xlfn.XLOOKUP(D1249,[5]Sheet2!$C:$C,[5]Sheet2!$E:$E,"-")</f>
        <v>Rifki Maghrobi Putra Pamungkas</v>
      </c>
    </row>
    <row r="1250" spans="2:6">
      <c r="B1250" s="19" t="s">
        <v>1080</v>
      </c>
      <c r="C1250" s="20" t="s">
        <v>1081</v>
      </c>
      <c r="D1250" s="21" t="s">
        <v>1287</v>
      </c>
      <c r="E1250" s="22" t="s">
        <v>1716</v>
      </c>
      <c r="F1250" s="15" t="str">
        <f>_xlfn.XLOOKUP(D1250,[5]Sheet2!$C:$C,[5]Sheet2!$E:$E,"-")</f>
        <v>Fajar Fir Rizky</v>
      </c>
    </row>
    <row r="1251" spans="2:6">
      <c r="B1251" s="19" t="s">
        <v>1080</v>
      </c>
      <c r="C1251" s="20" t="s">
        <v>1081</v>
      </c>
      <c r="D1251" s="21" t="s">
        <v>1288</v>
      </c>
      <c r="E1251" s="22" t="s">
        <v>1716</v>
      </c>
      <c r="F1251" s="15" t="str">
        <f>_xlfn.XLOOKUP(D1251,[5]Sheet2!$C:$C,[5]Sheet2!$E:$E,"-")</f>
        <v>Yusky Ali</v>
      </c>
    </row>
    <row r="1252" spans="2:6">
      <c r="B1252" s="19" t="s">
        <v>1080</v>
      </c>
      <c r="C1252" s="20" t="s">
        <v>1081</v>
      </c>
      <c r="D1252" s="21" t="s">
        <v>1289</v>
      </c>
      <c r="E1252" s="22" t="s">
        <v>1739</v>
      </c>
      <c r="F1252" s="15" t="str">
        <f>_xlfn.XLOOKUP(D1252,[5]Sheet2!$C:$C,[5]Sheet2!$E:$E,"-")</f>
        <v>Annur Rahman Hakim</v>
      </c>
    </row>
    <row r="1253" spans="2:6">
      <c r="B1253" s="19" t="s">
        <v>1080</v>
      </c>
      <c r="C1253" s="20" t="s">
        <v>1081</v>
      </c>
      <c r="D1253" s="21" t="s">
        <v>1290</v>
      </c>
      <c r="E1253" s="22" t="s">
        <v>1739</v>
      </c>
      <c r="F1253" s="15" t="str">
        <f>_xlfn.XLOOKUP(D1253,[5]Sheet2!$C:$C,[5]Sheet2!$E:$E,"-")</f>
        <v>Annur Rahman Hakim</v>
      </c>
    </row>
    <row r="1254" spans="2:6">
      <c r="B1254" s="19" t="s">
        <v>1080</v>
      </c>
      <c r="C1254" s="20" t="s">
        <v>1081</v>
      </c>
      <c r="D1254" s="21" t="s">
        <v>1291</v>
      </c>
      <c r="E1254" s="22" t="s">
        <v>1716</v>
      </c>
      <c r="F1254" s="15" t="str">
        <f>_xlfn.XLOOKUP(D1254,[5]Sheet2!$C:$C,[5]Sheet2!$E:$E,"-")</f>
        <v>Fajar Fir Rizky</v>
      </c>
    </row>
    <row r="1255" spans="2:6">
      <c r="B1255" s="19" t="s">
        <v>1080</v>
      </c>
      <c r="C1255" s="20" t="s">
        <v>1081</v>
      </c>
      <c r="D1255" s="21" t="s">
        <v>1292</v>
      </c>
      <c r="E1255" s="22" t="s">
        <v>1739</v>
      </c>
      <c r="F1255" s="15" t="str">
        <f>_xlfn.XLOOKUP(D1255,[5]Sheet2!$C:$C,[5]Sheet2!$E:$E,"-")</f>
        <v>Rofi Firmansyah</v>
      </c>
    </row>
    <row r="1256" spans="2:6">
      <c r="B1256" s="19" t="s">
        <v>1080</v>
      </c>
      <c r="C1256" s="20" t="s">
        <v>1081</v>
      </c>
      <c r="D1256" s="21" t="s">
        <v>1293</v>
      </c>
      <c r="E1256" s="22" t="s">
        <v>1716</v>
      </c>
      <c r="F1256" s="15" t="str">
        <f>_xlfn.XLOOKUP(D1256,[5]Sheet2!$C:$C,[5]Sheet2!$E:$E,"-")</f>
        <v>Aries Firman Widiansyah</v>
      </c>
    </row>
    <row r="1257" spans="2:6">
      <c r="B1257" s="19" t="s">
        <v>1080</v>
      </c>
      <c r="C1257" s="20" t="s">
        <v>1081</v>
      </c>
      <c r="D1257" s="21" t="s">
        <v>1294</v>
      </c>
      <c r="E1257" s="22" t="s">
        <v>1739</v>
      </c>
      <c r="F1257" s="15" t="str">
        <f>_xlfn.XLOOKUP(D1257,[5]Sheet2!$C:$C,[5]Sheet2!$E:$E,"-")</f>
        <v>Moch Erfan</v>
      </c>
    </row>
    <row r="1258" spans="2:6">
      <c r="B1258" s="19" t="s">
        <v>1080</v>
      </c>
      <c r="C1258" s="20" t="s">
        <v>1081</v>
      </c>
      <c r="D1258" s="21" t="s">
        <v>1295</v>
      </c>
      <c r="E1258" s="22" t="s">
        <v>1739</v>
      </c>
      <c r="F1258" s="15" t="str">
        <f>_xlfn.XLOOKUP(D1258,[5]Sheet2!$C:$C,[5]Sheet2!$E:$E,"-")</f>
        <v>Olivia Sukma Rini Widyananda</v>
      </c>
    </row>
    <row r="1259" spans="2:6">
      <c r="B1259" s="19" t="s">
        <v>1080</v>
      </c>
      <c r="C1259" s="20" t="s">
        <v>1081</v>
      </c>
      <c r="D1259" s="21" t="s">
        <v>1296</v>
      </c>
      <c r="E1259" s="22" t="s">
        <v>1716</v>
      </c>
      <c r="F1259" s="15" t="str">
        <f>_xlfn.XLOOKUP(D1259,[5]Sheet2!$C:$C,[5]Sheet2!$E:$E,"-")</f>
        <v>Aries Firman Widiansyah</v>
      </c>
    </row>
    <row r="1260" spans="2:6">
      <c r="B1260" s="19" t="s">
        <v>1080</v>
      </c>
      <c r="C1260" s="20" t="s">
        <v>1081</v>
      </c>
      <c r="D1260" s="21" t="s">
        <v>1297</v>
      </c>
      <c r="E1260" s="22" t="s">
        <v>1716</v>
      </c>
      <c r="F1260" s="15" t="str">
        <f>_xlfn.XLOOKUP(D1260,[5]Sheet2!$C:$C,[5]Sheet2!$E:$E,"-")</f>
        <v>Yusril Abdillah</v>
      </c>
    </row>
    <row r="1261" spans="2:6">
      <c r="B1261" s="19" t="s">
        <v>1080</v>
      </c>
      <c r="C1261" s="20" t="s">
        <v>1081</v>
      </c>
      <c r="D1261" s="21" t="s">
        <v>1298</v>
      </c>
      <c r="E1261" s="22" t="s">
        <v>1716</v>
      </c>
      <c r="F1261" s="15" t="str">
        <f>_xlfn.XLOOKUP(D1261,[5]Sheet2!$C:$C,[5]Sheet2!$E:$E,"-")</f>
        <v>Vidya Putri Ramadhanti</v>
      </c>
    </row>
    <row r="1262" spans="2:6">
      <c r="B1262" s="19" t="s">
        <v>1080</v>
      </c>
      <c r="C1262" s="20" t="s">
        <v>1081</v>
      </c>
      <c r="D1262" s="21" t="s">
        <v>1299</v>
      </c>
      <c r="E1262" s="22" t="s">
        <v>1716</v>
      </c>
      <c r="F1262" s="15" t="str">
        <f>_xlfn.XLOOKUP(D1262,[5]Sheet2!$C:$C,[5]Sheet2!$E:$E,"-")</f>
        <v>Yusril Abdillah</v>
      </c>
    </row>
    <row r="1263" spans="2:6">
      <c r="B1263" s="19" t="s">
        <v>1080</v>
      </c>
      <c r="C1263" s="20" t="s">
        <v>1081</v>
      </c>
      <c r="D1263" s="21" t="s">
        <v>1300</v>
      </c>
      <c r="E1263" s="22" t="s">
        <v>1739</v>
      </c>
      <c r="F1263" s="15" t="str">
        <f>_xlfn.XLOOKUP(D1263,[5]Sheet2!$C:$C,[5]Sheet2!$E:$E,"-")</f>
        <v>Olivia Sukma Rini Widyananda</v>
      </c>
    </row>
    <row r="1264" spans="2:6">
      <c r="B1264" s="19" t="s">
        <v>1080</v>
      </c>
      <c r="C1264" s="20" t="s">
        <v>1081</v>
      </c>
      <c r="D1264" s="21" t="s">
        <v>1301</v>
      </c>
      <c r="E1264" s="22" t="s">
        <v>1739</v>
      </c>
      <c r="F1264" s="15" t="str">
        <f>_xlfn.XLOOKUP(D1264,[5]Sheet2!$C:$C,[5]Sheet2!$E:$E,"-")</f>
        <v>Moch Erfan</v>
      </c>
    </row>
    <row r="1265" spans="2:6">
      <c r="B1265" s="19" t="s">
        <v>1080</v>
      </c>
      <c r="C1265" s="20" t="s">
        <v>1081</v>
      </c>
      <c r="D1265" s="21" t="s">
        <v>1302</v>
      </c>
      <c r="E1265" s="22" t="s">
        <v>1739</v>
      </c>
      <c r="F1265" s="15" t="str">
        <f>_xlfn.XLOOKUP(D1265,[5]Sheet2!$C:$C,[5]Sheet2!$E:$E,"-")</f>
        <v>Moch Erfan</v>
      </c>
    </row>
    <row r="1266" spans="2:6">
      <c r="B1266" s="19" t="s">
        <v>1080</v>
      </c>
      <c r="C1266" s="20" t="s">
        <v>1081</v>
      </c>
      <c r="D1266" s="21" t="s">
        <v>1303</v>
      </c>
      <c r="E1266" s="22" t="s">
        <v>1716</v>
      </c>
      <c r="F1266" s="15" t="str">
        <f>_xlfn.XLOOKUP(D1266,[5]Sheet2!$C:$C,[5]Sheet2!$E:$E,"-")</f>
        <v>Erwin Purwanto</v>
      </c>
    </row>
    <row r="1267" spans="2:6">
      <c r="B1267" s="19" t="s">
        <v>1080</v>
      </c>
      <c r="C1267" s="20" t="s">
        <v>1081</v>
      </c>
      <c r="D1267" s="21" t="s">
        <v>1304</v>
      </c>
      <c r="E1267" s="22" t="s">
        <v>1716</v>
      </c>
      <c r="F1267" s="15" t="str">
        <f>_xlfn.XLOOKUP(D1267,[5]Sheet2!$C:$C,[5]Sheet2!$E:$E,"-")</f>
        <v>Erwin Purwanto</v>
      </c>
    </row>
    <row r="1268" spans="2:6">
      <c r="B1268" s="19" t="s">
        <v>1080</v>
      </c>
      <c r="C1268" s="20" t="s">
        <v>1081</v>
      </c>
      <c r="D1268" s="21" t="s">
        <v>1305</v>
      </c>
      <c r="E1268" s="22" t="s">
        <v>1716</v>
      </c>
      <c r="F1268" s="15" t="str">
        <f>_xlfn.XLOOKUP(D1268,[5]Sheet2!$C:$C,[5]Sheet2!$E:$E,"-")</f>
        <v>Rendhy Bhaskara Putra</v>
      </c>
    </row>
    <row r="1269" spans="2:6">
      <c r="B1269" s="19" t="s">
        <v>1080</v>
      </c>
      <c r="C1269" s="20" t="s">
        <v>1081</v>
      </c>
      <c r="D1269" s="21" t="s">
        <v>1306</v>
      </c>
      <c r="E1269" s="22" t="s">
        <v>1716</v>
      </c>
      <c r="F1269" s="15" t="str">
        <f>_xlfn.XLOOKUP(D1269,[5]Sheet2!$C:$C,[5]Sheet2!$E:$E,"-")</f>
        <v>Deby Alief Intan Permata</v>
      </c>
    </row>
    <row r="1270" spans="2:6">
      <c r="B1270" s="19" t="s">
        <v>1080</v>
      </c>
      <c r="C1270" s="20" t="s">
        <v>1081</v>
      </c>
      <c r="D1270" s="21" t="s">
        <v>1307</v>
      </c>
      <c r="E1270" s="22" t="s">
        <v>1716</v>
      </c>
      <c r="F1270" s="15" t="str">
        <f>_xlfn.XLOOKUP(D1270,[5]Sheet2!$C:$C,[5]Sheet2!$E:$E,"-")</f>
        <v>Rizki Fajar Kurniawan</v>
      </c>
    </row>
    <row r="1271" spans="2:6">
      <c r="B1271" s="19" t="s">
        <v>1080</v>
      </c>
      <c r="C1271" s="20" t="s">
        <v>1081</v>
      </c>
      <c r="D1271" s="21" t="s">
        <v>1308</v>
      </c>
      <c r="E1271" s="22" t="s">
        <v>1716</v>
      </c>
      <c r="F1271" s="15" t="str">
        <f>_xlfn.XLOOKUP(D1271,[5]Sheet2!$C:$C,[5]Sheet2!$E:$E,"-")</f>
        <v>Imam Safiudin Mustaqim</v>
      </c>
    </row>
    <row r="1272" spans="2:6">
      <c r="B1272" s="19" t="s">
        <v>1080</v>
      </c>
      <c r="C1272" s="20" t="s">
        <v>1081</v>
      </c>
      <c r="D1272" s="21" t="s">
        <v>1309</v>
      </c>
      <c r="E1272" s="22" t="s">
        <v>1716</v>
      </c>
      <c r="F1272" s="15" t="str">
        <f>_xlfn.XLOOKUP(D1272,[5]Sheet2!$C:$C,[5]Sheet2!$E:$E,"-")</f>
        <v>Imam Safiudin Mustaqim</v>
      </c>
    </row>
    <row r="1273" spans="2:6">
      <c r="B1273" s="19" t="s">
        <v>1080</v>
      </c>
      <c r="C1273" s="20" t="s">
        <v>1081</v>
      </c>
      <c r="D1273" s="21" t="s">
        <v>1310</v>
      </c>
      <c r="E1273" s="22" t="s">
        <v>1716</v>
      </c>
      <c r="F1273" s="15" t="str">
        <f>_xlfn.XLOOKUP(D1273,[5]Sheet2!$C:$C,[5]Sheet2!$E:$E,"-")</f>
        <v>Muhammad Yasin</v>
      </c>
    </row>
    <row r="1274" spans="2:6">
      <c r="B1274" s="19" t="s">
        <v>1080</v>
      </c>
      <c r="C1274" s="20" t="s">
        <v>1081</v>
      </c>
      <c r="D1274" s="21" t="s">
        <v>1311</v>
      </c>
      <c r="E1274" s="22" t="s">
        <v>1716</v>
      </c>
      <c r="F1274" s="15" t="str">
        <f>_xlfn.XLOOKUP(D1274,[5]Sheet2!$C:$C,[5]Sheet2!$E:$E,"-")</f>
        <v>Mohammad Sholehhuddin</v>
      </c>
    </row>
    <row r="1275" spans="2:6">
      <c r="B1275" s="19" t="s">
        <v>1080</v>
      </c>
      <c r="C1275" s="20" t="s">
        <v>1081</v>
      </c>
      <c r="D1275" s="21" t="s">
        <v>1312</v>
      </c>
      <c r="E1275" s="22" t="s">
        <v>1716</v>
      </c>
      <c r="F1275" s="15" t="str">
        <f>_xlfn.XLOOKUP(D1275,[5]Sheet2!$C:$C,[5]Sheet2!$E:$E,"-")</f>
        <v>Riki Yuhan Diantoro</v>
      </c>
    </row>
    <row r="1276" spans="2:6">
      <c r="B1276" s="19" t="s">
        <v>1080</v>
      </c>
      <c r="C1276" s="20" t="s">
        <v>1081</v>
      </c>
      <c r="D1276" s="21" t="s">
        <v>1313</v>
      </c>
      <c r="E1276" s="22" t="s">
        <v>1716</v>
      </c>
      <c r="F1276" s="15" t="str">
        <f>_xlfn.XLOOKUP(D1276,[5]Sheet2!$C:$C,[5]Sheet2!$E:$E,"-")</f>
        <v>Mohammad Sholehhuddin</v>
      </c>
    </row>
    <row r="1277" spans="2:6">
      <c r="B1277" s="19" t="s">
        <v>1080</v>
      </c>
      <c r="C1277" s="20" t="s">
        <v>1081</v>
      </c>
      <c r="D1277" s="21" t="s">
        <v>1314</v>
      </c>
      <c r="E1277" s="22" t="s">
        <v>1716</v>
      </c>
      <c r="F1277" s="15" t="str">
        <f>_xlfn.XLOOKUP(D1277,[5]Sheet2!$C:$C,[5]Sheet2!$E:$E,"-")</f>
        <v>Deby Alief Intan Permata</v>
      </c>
    </row>
    <row r="1278" spans="2:6">
      <c r="B1278" s="19" t="s">
        <v>1080</v>
      </c>
      <c r="C1278" s="20" t="s">
        <v>1081</v>
      </c>
      <c r="D1278" s="21" t="s">
        <v>1315</v>
      </c>
      <c r="E1278" s="22" t="s">
        <v>1716</v>
      </c>
      <c r="F1278" s="15" t="str">
        <f>_xlfn.XLOOKUP(D1278,[5]Sheet2!$C:$C,[5]Sheet2!$E:$E,"-")</f>
        <v>Riki Yuhan Diantoro</v>
      </c>
    </row>
    <row r="1279" spans="2:6">
      <c r="B1279" s="19" t="s">
        <v>1080</v>
      </c>
      <c r="C1279" s="20" t="s">
        <v>1081</v>
      </c>
      <c r="D1279" s="21" t="s">
        <v>1316</v>
      </c>
      <c r="E1279" s="22" t="s">
        <v>1716</v>
      </c>
      <c r="F1279" s="15" t="str">
        <f>_xlfn.XLOOKUP(D1279,[5]Sheet2!$C:$C,[5]Sheet2!$E:$E,"-")</f>
        <v>Muhammad Yasin</v>
      </c>
    </row>
    <row r="1280" spans="2:6">
      <c r="B1280" s="19" t="s">
        <v>1080</v>
      </c>
      <c r="C1280" s="20" t="s">
        <v>1081</v>
      </c>
      <c r="D1280" s="21" t="s">
        <v>1317</v>
      </c>
      <c r="E1280" s="22" t="s">
        <v>1739</v>
      </c>
      <c r="F1280" s="15" t="str">
        <f>_xlfn.XLOOKUP(D1280,[5]Sheet2!$C:$C,[5]Sheet2!$E:$E,"-")</f>
        <v>Miftahul Rahman</v>
      </c>
    </row>
    <row r="1281" spans="2:6">
      <c r="B1281" s="19" t="s">
        <v>1080</v>
      </c>
      <c r="C1281" s="20" t="s">
        <v>1081</v>
      </c>
      <c r="D1281" s="21" t="s">
        <v>1318</v>
      </c>
      <c r="E1281" s="22" t="s">
        <v>1716</v>
      </c>
      <c r="F1281" s="15" t="str">
        <f>_xlfn.XLOOKUP(D1281,[5]Sheet2!$C:$C,[5]Sheet2!$E:$E,"-")</f>
        <v>Dwi Rahman Saleh</v>
      </c>
    </row>
    <row r="1282" spans="2:6">
      <c r="B1282" s="19" t="s">
        <v>1080</v>
      </c>
      <c r="C1282" s="20" t="s">
        <v>1081</v>
      </c>
      <c r="D1282" s="21" t="s">
        <v>1319</v>
      </c>
      <c r="E1282" s="22" t="s">
        <v>1716</v>
      </c>
      <c r="F1282" s="15" t="str">
        <f>_xlfn.XLOOKUP(D1282,[5]Sheet2!$C:$C,[5]Sheet2!$E:$E,"-")</f>
        <v>Ilham Tri Cahyono</v>
      </c>
    </row>
    <row r="1283" spans="2:6">
      <c r="B1283" s="19" t="s">
        <v>1080</v>
      </c>
      <c r="C1283" s="20" t="s">
        <v>1081</v>
      </c>
      <c r="D1283" s="21" t="s">
        <v>1320</v>
      </c>
      <c r="E1283" s="22" t="s">
        <v>1716</v>
      </c>
      <c r="F1283" s="15" t="str">
        <f>_xlfn.XLOOKUP(D1283,[5]Sheet2!$C:$C,[5]Sheet2!$E:$E,"-")</f>
        <v>Rizki Eki Prayoga</v>
      </c>
    </row>
    <row r="1284" spans="2:6">
      <c r="B1284" s="19" t="s">
        <v>1080</v>
      </c>
      <c r="C1284" s="20" t="s">
        <v>1081</v>
      </c>
      <c r="D1284" s="21" t="s">
        <v>1321</v>
      </c>
      <c r="E1284" s="22" t="s">
        <v>1739</v>
      </c>
      <c r="F1284" s="15" t="str">
        <f>_xlfn.XLOOKUP(D1284,[5]Sheet2!$C:$C,[5]Sheet2!$E:$E,"-")</f>
        <v>Farid Amrullah</v>
      </c>
    </row>
    <row r="1285" spans="2:6">
      <c r="B1285" s="19" t="s">
        <v>1080</v>
      </c>
      <c r="C1285" s="20" t="s">
        <v>1081</v>
      </c>
      <c r="D1285" s="21" t="s">
        <v>1322</v>
      </c>
      <c r="E1285" s="22" t="s">
        <v>1739</v>
      </c>
      <c r="F1285" s="15" t="str">
        <f>_xlfn.XLOOKUP(D1285,[5]Sheet2!$C:$C,[5]Sheet2!$E:$E,"-")</f>
        <v>Miftahul Rahman</v>
      </c>
    </row>
    <row r="1286" spans="2:6">
      <c r="B1286" s="19" t="s">
        <v>1080</v>
      </c>
      <c r="C1286" s="20" t="s">
        <v>1081</v>
      </c>
      <c r="D1286" s="21" t="s">
        <v>1323</v>
      </c>
      <c r="E1286" s="22" t="s">
        <v>1739</v>
      </c>
      <c r="F1286" s="15" t="str">
        <f>_xlfn.XLOOKUP(D1286,[5]Sheet2!$C:$C,[5]Sheet2!$E:$E,"-")</f>
        <v>Moh. Kusnadi</v>
      </c>
    </row>
    <row r="1287" spans="2:6">
      <c r="B1287" s="19" t="s">
        <v>1080</v>
      </c>
      <c r="C1287" s="20" t="s">
        <v>1081</v>
      </c>
      <c r="D1287" s="21" t="s">
        <v>1324</v>
      </c>
      <c r="E1287" s="22" t="s">
        <v>1739</v>
      </c>
      <c r="F1287" s="15" t="str">
        <f>_xlfn.XLOOKUP(D1287,[5]Sheet2!$C:$C,[5]Sheet2!$E:$E,"-")</f>
        <v>Moh. Kusnadi</v>
      </c>
    </row>
    <row r="1288" spans="2:6">
      <c r="B1288" s="19" t="s">
        <v>1080</v>
      </c>
      <c r="C1288" s="20" t="s">
        <v>1081</v>
      </c>
      <c r="D1288" s="21" t="s">
        <v>1325</v>
      </c>
      <c r="E1288" s="22" t="s">
        <v>1716</v>
      </c>
      <c r="F1288" s="15" t="str">
        <f>_xlfn.XLOOKUP(D1288,[5]Sheet2!$C:$C,[5]Sheet2!$E:$E,"-")</f>
        <v>Imro'Atul Azizah</v>
      </c>
    </row>
    <row r="1289" spans="2:6">
      <c r="B1289" s="19" t="s">
        <v>1080</v>
      </c>
      <c r="C1289" s="20" t="s">
        <v>1081</v>
      </c>
      <c r="D1289" s="21" t="s">
        <v>1326</v>
      </c>
      <c r="E1289" s="22" t="s">
        <v>1716</v>
      </c>
      <c r="F1289" s="15" t="str">
        <f>_xlfn.XLOOKUP(D1289,[5]Sheet2!$C:$C,[5]Sheet2!$E:$E,"-")</f>
        <v>Dwi Rahman Saleh</v>
      </c>
    </row>
    <row r="1290" spans="2:6">
      <c r="B1290" s="19" t="s">
        <v>1080</v>
      </c>
      <c r="C1290" s="20" t="s">
        <v>1081</v>
      </c>
      <c r="D1290" s="21" t="s">
        <v>1327</v>
      </c>
      <c r="E1290" s="22" t="s">
        <v>1739</v>
      </c>
      <c r="F1290" s="15" t="str">
        <f>_xlfn.XLOOKUP(D1290,[5]Sheet2!$C:$C,[5]Sheet2!$E:$E,"-")</f>
        <v>Muhammad Suhir</v>
      </c>
    </row>
    <row r="1291" spans="2:6">
      <c r="B1291" s="19" t="s">
        <v>1080</v>
      </c>
      <c r="C1291" s="20" t="s">
        <v>1081</v>
      </c>
      <c r="D1291" s="21" t="s">
        <v>1328</v>
      </c>
      <c r="E1291" s="22" t="s">
        <v>1739</v>
      </c>
      <c r="F1291" s="15" t="str">
        <f>_xlfn.XLOOKUP(D1291,[5]Sheet2!$C:$C,[5]Sheet2!$E:$E,"-")</f>
        <v>Farid Amrullah</v>
      </c>
    </row>
    <row r="1292" spans="2:6">
      <c r="B1292" s="19" t="s">
        <v>1080</v>
      </c>
      <c r="C1292" s="20" t="s">
        <v>1081</v>
      </c>
      <c r="D1292" s="21" t="s">
        <v>1329</v>
      </c>
      <c r="E1292" s="22" t="s">
        <v>1716</v>
      </c>
      <c r="F1292" s="15" t="str">
        <f>_xlfn.XLOOKUP(D1292,[5]Sheet2!$C:$C,[5]Sheet2!$E:$E,"-")</f>
        <v>Vigil Setya Sembada</v>
      </c>
    </row>
    <row r="1293" spans="2:6">
      <c r="B1293" s="19" t="s">
        <v>1080</v>
      </c>
      <c r="C1293" s="20" t="s">
        <v>1081</v>
      </c>
      <c r="D1293" s="21" t="s">
        <v>1330</v>
      </c>
      <c r="E1293" s="22" t="s">
        <v>1716</v>
      </c>
      <c r="F1293" s="15" t="str">
        <f>_xlfn.XLOOKUP(D1293,[5]Sheet2!$C:$C,[5]Sheet2!$E:$E,"-")</f>
        <v>Putra Pratama Iwan Wahyudi</v>
      </c>
    </row>
    <row r="1294" spans="2:6">
      <c r="B1294" s="19" t="s">
        <v>1080</v>
      </c>
      <c r="C1294" s="20" t="s">
        <v>1081</v>
      </c>
      <c r="D1294" s="21" t="s">
        <v>1331</v>
      </c>
      <c r="E1294" s="22" t="s">
        <v>1716</v>
      </c>
      <c r="F1294" s="15" t="str">
        <f>_xlfn.XLOOKUP(D1294,[5]Sheet2!$C:$C,[5]Sheet2!$E:$E,"-")</f>
        <v>Putra Pratama Iwan Wahyudi</v>
      </c>
    </row>
    <row r="1295" spans="2:6">
      <c r="B1295" s="19" t="s">
        <v>1080</v>
      </c>
      <c r="C1295" s="20" t="s">
        <v>1081</v>
      </c>
      <c r="D1295" s="21" t="s">
        <v>1332</v>
      </c>
      <c r="E1295" s="22" t="s">
        <v>1716</v>
      </c>
      <c r="F1295" s="15" t="str">
        <f>_xlfn.XLOOKUP(D1295,[5]Sheet2!$C:$C,[5]Sheet2!$E:$E,"-")</f>
        <v>Akhmad Taufikqul Hakim</v>
      </c>
    </row>
    <row r="1296" spans="2:6">
      <c r="B1296" s="19" t="s">
        <v>1080</v>
      </c>
      <c r="C1296" s="20" t="s">
        <v>1081</v>
      </c>
      <c r="D1296" s="21" t="s">
        <v>1333</v>
      </c>
      <c r="E1296" s="22" t="s">
        <v>1716</v>
      </c>
      <c r="F1296" s="15" t="str">
        <f>_xlfn.XLOOKUP(D1296,[5]Sheet2!$C:$C,[5]Sheet2!$E:$E,"-")</f>
        <v>Putra Pratama Iwan Wahyudi</v>
      </c>
    </row>
    <row r="1297" spans="2:6">
      <c r="B1297" s="19" t="s">
        <v>1080</v>
      </c>
      <c r="C1297" s="20" t="s">
        <v>1081</v>
      </c>
      <c r="D1297" s="21" t="s">
        <v>1334</v>
      </c>
      <c r="E1297" s="22" t="s">
        <v>1716</v>
      </c>
      <c r="F1297" s="15" t="str">
        <f>_xlfn.XLOOKUP(D1297,[5]Sheet2!$C:$C,[5]Sheet2!$E:$E,"-")</f>
        <v>Akhmad Taufikqul Hakim</v>
      </c>
    </row>
    <row r="1298" spans="2:6">
      <c r="B1298" s="19" t="s">
        <v>1080</v>
      </c>
      <c r="C1298" s="20" t="s">
        <v>1081</v>
      </c>
      <c r="D1298" s="21" t="s">
        <v>1335</v>
      </c>
      <c r="E1298" s="22" t="s">
        <v>1716</v>
      </c>
      <c r="F1298" s="15" t="str">
        <f>_xlfn.XLOOKUP(D1298,[5]Sheet2!$C:$C,[5]Sheet2!$E:$E,"-")</f>
        <v>Akhmad Taufikqul Hakim</v>
      </c>
    </row>
    <row r="1299" spans="2:6">
      <c r="B1299" s="19" t="s">
        <v>1080</v>
      </c>
      <c r="C1299" s="20" t="s">
        <v>1081</v>
      </c>
      <c r="D1299" s="21" t="s">
        <v>1336</v>
      </c>
      <c r="E1299" s="22" t="s">
        <v>1716</v>
      </c>
      <c r="F1299" s="15" t="str">
        <f>_xlfn.XLOOKUP(D1299,[5]Sheet2!$C:$C,[5]Sheet2!$E:$E,"-")</f>
        <v>Akhmad Taufikqul Hakim</v>
      </c>
    </row>
    <row r="1300" spans="2:6">
      <c r="B1300" s="19" t="s">
        <v>1080</v>
      </c>
      <c r="C1300" s="20" t="s">
        <v>1081</v>
      </c>
      <c r="D1300" s="21" t="s">
        <v>1337</v>
      </c>
      <c r="E1300" s="22" t="s">
        <v>1716</v>
      </c>
      <c r="F1300" s="15" t="str">
        <f>_xlfn.XLOOKUP(D1300,[5]Sheet2!$C:$C,[5]Sheet2!$E:$E,"-")</f>
        <v>Putra Pratama Iwan Wahyudi</v>
      </c>
    </row>
    <row r="1301" spans="2:6">
      <c r="B1301" s="19" t="s">
        <v>1080</v>
      </c>
      <c r="C1301" s="20" t="s">
        <v>1081</v>
      </c>
      <c r="D1301" s="21" t="s">
        <v>1338</v>
      </c>
      <c r="E1301" s="22" t="s">
        <v>1716</v>
      </c>
      <c r="F1301" s="15" t="str">
        <f>_xlfn.XLOOKUP(D1301,[5]Sheet2!$C:$C,[5]Sheet2!$E:$E,"-")</f>
        <v>Hermanto</v>
      </c>
    </row>
    <row r="1302" spans="2:6">
      <c r="B1302" s="19" t="s">
        <v>1080</v>
      </c>
      <c r="C1302" s="20" t="s">
        <v>1081</v>
      </c>
      <c r="D1302" s="21" t="s">
        <v>1339</v>
      </c>
      <c r="E1302" s="22" t="s">
        <v>1716</v>
      </c>
      <c r="F1302" s="15" t="str">
        <f>_xlfn.XLOOKUP(D1302,[5]Sheet2!$C:$C,[5]Sheet2!$E:$E,"-")</f>
        <v>Satrio Aji Pamungkas</v>
      </c>
    </row>
    <row r="1303" spans="2:6">
      <c r="B1303" s="19" t="s">
        <v>1080</v>
      </c>
      <c r="C1303" s="20" t="s">
        <v>1081</v>
      </c>
      <c r="D1303" s="21" t="s">
        <v>1340</v>
      </c>
      <c r="E1303" s="22" t="s">
        <v>1716</v>
      </c>
      <c r="F1303" s="15" t="str">
        <f>_xlfn.XLOOKUP(D1303,[5]Sheet2!$C:$C,[5]Sheet2!$E:$E,"-")</f>
        <v>Hermanto</v>
      </c>
    </row>
    <row r="1304" spans="2:6">
      <c r="B1304" s="19" t="s">
        <v>1080</v>
      </c>
      <c r="C1304" s="20" t="s">
        <v>1081</v>
      </c>
      <c r="D1304" s="21" t="s">
        <v>1341</v>
      </c>
      <c r="E1304" s="22" t="s">
        <v>1716</v>
      </c>
      <c r="F1304" s="15" t="str">
        <f>_xlfn.XLOOKUP(D1304,[5]Sheet2!$C:$C,[5]Sheet2!$E:$E,"-")</f>
        <v>Moh. Ria Sholeh</v>
      </c>
    </row>
    <row r="1305" spans="2:6">
      <c r="B1305" s="19" t="s">
        <v>1080</v>
      </c>
      <c r="C1305" s="20" t="s">
        <v>1081</v>
      </c>
      <c r="D1305" s="21" t="s">
        <v>1342</v>
      </c>
      <c r="E1305" s="22" t="s">
        <v>1716</v>
      </c>
      <c r="F1305" s="15" t="str">
        <f>_xlfn.XLOOKUP(D1305,[5]Sheet2!$C:$C,[5]Sheet2!$E:$E,"-")</f>
        <v>Agung Permana</v>
      </c>
    </row>
    <row r="1306" spans="2:6">
      <c r="B1306" s="19" t="s">
        <v>1080</v>
      </c>
      <c r="C1306" s="20" t="s">
        <v>1081</v>
      </c>
      <c r="D1306" s="21" t="s">
        <v>1343</v>
      </c>
      <c r="E1306" s="22" t="s">
        <v>1716</v>
      </c>
      <c r="F1306" s="15" t="str">
        <f>_xlfn.XLOOKUP(D1306,[5]Sheet2!$C:$C,[5]Sheet2!$E:$E,"-")</f>
        <v>Agung Permana</v>
      </c>
    </row>
    <row r="1307" spans="2:6">
      <c r="B1307" s="19" t="s">
        <v>1080</v>
      </c>
      <c r="C1307" s="20" t="s">
        <v>1081</v>
      </c>
      <c r="D1307" s="21" t="s">
        <v>1344</v>
      </c>
      <c r="E1307" s="22" t="s">
        <v>1716</v>
      </c>
      <c r="F1307" s="15" t="str">
        <f>_xlfn.XLOOKUP(D1307,[5]Sheet2!$C:$C,[5]Sheet2!$E:$E,"-")</f>
        <v>Moh. Ria Sholeh</v>
      </c>
    </row>
    <row r="1308" spans="2:6">
      <c r="B1308" s="19" t="s">
        <v>1080</v>
      </c>
      <c r="C1308" s="20" t="s">
        <v>1081</v>
      </c>
      <c r="D1308" s="21" t="s">
        <v>1345</v>
      </c>
      <c r="E1308" s="22" t="s">
        <v>1716</v>
      </c>
      <c r="F1308" s="15" t="str">
        <f>_xlfn.XLOOKUP(D1308,[5]Sheet2!$C:$C,[5]Sheet2!$E:$E,"-")</f>
        <v>Satrio Aji Pamungkas</v>
      </c>
    </row>
    <row r="1309" spans="2:6">
      <c r="B1309" s="19" t="s">
        <v>1080</v>
      </c>
      <c r="C1309" s="20" t="s">
        <v>1081</v>
      </c>
      <c r="D1309" s="21" t="s">
        <v>1346</v>
      </c>
      <c r="E1309" s="22" t="s">
        <v>1716</v>
      </c>
      <c r="F1309" s="15" t="str">
        <f>_xlfn.XLOOKUP(D1309,[5]Sheet2!$C:$C,[5]Sheet2!$E:$E,"-")</f>
        <v>Mochammad Rifqi Riva</v>
      </c>
    </row>
    <row r="1310" spans="2:6">
      <c r="B1310" s="19" t="s">
        <v>1080</v>
      </c>
      <c r="C1310" s="20" t="s">
        <v>1081</v>
      </c>
      <c r="D1310" s="21" t="s">
        <v>1347</v>
      </c>
      <c r="E1310" s="22" t="s">
        <v>1739</v>
      </c>
      <c r="F1310" s="15" t="str">
        <f>_xlfn.XLOOKUP(D1310,[5]Sheet2!$C:$C,[5]Sheet2!$E:$E,"-")</f>
        <v>Bingar Restu Wiyana</v>
      </c>
    </row>
    <row r="1311" spans="2:6">
      <c r="B1311" s="19" t="s">
        <v>1080</v>
      </c>
      <c r="C1311" s="20" t="s">
        <v>1081</v>
      </c>
      <c r="D1311" s="21" t="s">
        <v>1348</v>
      </c>
      <c r="E1311" s="22" t="s">
        <v>1716</v>
      </c>
      <c r="F1311" s="15" t="str">
        <f>_xlfn.XLOOKUP(D1311,[5]Sheet2!$C:$C,[5]Sheet2!$E:$E,"-")</f>
        <v>Jefri Biantoro</v>
      </c>
    </row>
    <row r="1312" spans="2:6">
      <c r="B1312" s="19" t="s">
        <v>1080</v>
      </c>
      <c r="C1312" s="20" t="s">
        <v>1081</v>
      </c>
      <c r="D1312" s="21" t="s">
        <v>1349</v>
      </c>
      <c r="E1312" s="22" t="s">
        <v>1739</v>
      </c>
      <c r="F1312" s="15" t="str">
        <f>_xlfn.XLOOKUP(D1312,[5]Sheet2!$C:$C,[5]Sheet2!$E:$E,"-")</f>
        <v>Mohammad Rizky Adhe Nugraha</v>
      </c>
    </row>
    <row r="1313" spans="2:6">
      <c r="B1313" s="19" t="s">
        <v>1080</v>
      </c>
      <c r="C1313" s="20" t="s">
        <v>1081</v>
      </c>
      <c r="D1313" s="21" t="s">
        <v>1350</v>
      </c>
      <c r="E1313" s="22" t="s">
        <v>1716</v>
      </c>
      <c r="F1313" s="15" t="str">
        <f>_xlfn.XLOOKUP(D1313,[5]Sheet2!$C:$C,[5]Sheet2!$E:$E,"-")</f>
        <v>Nor Dwi Prakoso</v>
      </c>
    </row>
    <row r="1314" spans="2:6">
      <c r="B1314" s="19" t="s">
        <v>1080</v>
      </c>
      <c r="C1314" s="20" t="s">
        <v>1081</v>
      </c>
      <c r="D1314" s="21" t="s">
        <v>1351</v>
      </c>
      <c r="E1314" s="22" t="s">
        <v>1716</v>
      </c>
      <c r="F1314" s="15" t="str">
        <f>_xlfn.XLOOKUP(D1314,[5]Sheet2!$C:$C,[5]Sheet2!$E:$E,"-")</f>
        <v>Nor Dwi Prakoso</v>
      </c>
    </row>
    <row r="1315" spans="2:6">
      <c r="B1315" s="19" t="s">
        <v>1080</v>
      </c>
      <c r="C1315" s="20" t="s">
        <v>1081</v>
      </c>
      <c r="D1315" s="21" t="s">
        <v>1352</v>
      </c>
      <c r="E1315" s="22" t="s">
        <v>1716</v>
      </c>
      <c r="F1315" s="15" t="str">
        <f>_xlfn.XLOOKUP(D1315,[5]Sheet2!$C:$C,[5]Sheet2!$E:$E,"-")</f>
        <v>Muhammad Robit</v>
      </c>
    </row>
    <row r="1316" spans="2:6">
      <c r="B1316" s="19" t="s">
        <v>1080</v>
      </c>
      <c r="C1316" s="20" t="s">
        <v>1081</v>
      </c>
      <c r="D1316" s="21" t="s">
        <v>1353</v>
      </c>
      <c r="E1316" s="22" t="s">
        <v>1716</v>
      </c>
      <c r="F1316" s="15" t="str">
        <f>_xlfn.XLOOKUP(D1316,[5]Sheet2!$C:$C,[5]Sheet2!$E:$E,"-")</f>
        <v>Tri Ari Febriyanto</v>
      </c>
    </row>
    <row r="1317" spans="2:6">
      <c r="B1317" s="19" t="s">
        <v>1080</v>
      </c>
      <c r="C1317" s="20" t="s">
        <v>1081</v>
      </c>
      <c r="D1317" s="21" t="s">
        <v>1354</v>
      </c>
      <c r="E1317" s="22" t="s">
        <v>1716</v>
      </c>
      <c r="F1317" s="15" t="str">
        <f>_xlfn.XLOOKUP(D1317,[5]Sheet2!$C:$C,[5]Sheet2!$E:$E,"-")</f>
        <v>Mochammad Rifqi Riva</v>
      </c>
    </row>
    <row r="1318" spans="2:6">
      <c r="B1318" s="19" t="s">
        <v>1080</v>
      </c>
      <c r="C1318" s="20" t="s">
        <v>1081</v>
      </c>
      <c r="D1318" s="21" t="s">
        <v>1355</v>
      </c>
      <c r="E1318" s="22" t="s">
        <v>1716</v>
      </c>
      <c r="F1318" s="15" t="str">
        <f>_xlfn.XLOOKUP(D1318,[5]Sheet2!$C:$C,[5]Sheet2!$E:$E,"-")</f>
        <v>Mochammad Rifqi Riva</v>
      </c>
    </row>
    <row r="1319" spans="2:6">
      <c r="B1319" s="19" t="s">
        <v>1080</v>
      </c>
      <c r="C1319" s="20" t="s">
        <v>1081</v>
      </c>
      <c r="D1319" s="21" t="s">
        <v>1356</v>
      </c>
      <c r="E1319" s="22" t="s">
        <v>1739</v>
      </c>
      <c r="F1319" s="15" t="str">
        <f>_xlfn.XLOOKUP(D1319,[5]Sheet2!$C:$C,[5]Sheet2!$E:$E,"-")</f>
        <v>Lutfiyanto</v>
      </c>
    </row>
    <row r="1320" spans="2:6">
      <c r="B1320" s="19" t="s">
        <v>1080</v>
      </c>
      <c r="C1320" s="20" t="s">
        <v>1081</v>
      </c>
      <c r="D1320" s="21" t="s">
        <v>1357</v>
      </c>
      <c r="E1320" s="22" t="s">
        <v>1716</v>
      </c>
      <c r="F1320" s="15" t="str">
        <f>_xlfn.XLOOKUP(D1320,[5]Sheet2!$C:$C,[5]Sheet2!$E:$E,"-")</f>
        <v>Jefri Biantoro</v>
      </c>
    </row>
    <row r="1321" spans="2:6">
      <c r="B1321" s="19" t="s">
        <v>1080</v>
      </c>
      <c r="C1321" s="20" t="s">
        <v>1081</v>
      </c>
      <c r="D1321" s="21" t="s">
        <v>1358</v>
      </c>
      <c r="E1321" s="22" t="s">
        <v>1739</v>
      </c>
      <c r="F1321" s="15" t="str">
        <f>_xlfn.XLOOKUP(D1321,[5]Sheet2!$C:$C,[5]Sheet2!$E:$E,"-")</f>
        <v>Lutfiyanto</v>
      </c>
    </row>
    <row r="1322" spans="2:6">
      <c r="B1322" s="19" t="s">
        <v>1080</v>
      </c>
      <c r="C1322" s="20" t="s">
        <v>1081</v>
      </c>
      <c r="D1322" s="21" t="s">
        <v>1359</v>
      </c>
      <c r="E1322" s="22" t="s">
        <v>1716</v>
      </c>
      <c r="F1322" s="15" t="str">
        <f>_xlfn.XLOOKUP(D1322,[5]Sheet2!$C:$C,[5]Sheet2!$E:$E,"-")</f>
        <v>Muhammad Robit</v>
      </c>
    </row>
    <row r="1323" spans="2:6">
      <c r="B1323" s="19" t="s">
        <v>1080</v>
      </c>
      <c r="C1323" s="20" t="s">
        <v>1081</v>
      </c>
      <c r="D1323" s="21" t="s">
        <v>1360</v>
      </c>
      <c r="E1323" s="22" t="s">
        <v>1739</v>
      </c>
      <c r="F1323" s="15" t="str">
        <f>_xlfn.XLOOKUP(D1323,[5]Sheet2!$C:$C,[5]Sheet2!$E:$E,"-")</f>
        <v>Mohammad Rizky Adhe Nugraha</v>
      </c>
    </row>
    <row r="1324" spans="2:6">
      <c r="B1324" s="19" t="s">
        <v>1080</v>
      </c>
      <c r="C1324" s="20" t="s">
        <v>1081</v>
      </c>
      <c r="D1324" s="21" t="s">
        <v>1361</v>
      </c>
      <c r="E1324" s="22" t="s">
        <v>1739</v>
      </c>
      <c r="F1324" s="15" t="str">
        <f>_xlfn.XLOOKUP(D1324,[5]Sheet2!$C:$C,[5]Sheet2!$E:$E,"-")</f>
        <v>Bingar Restu Wiyana</v>
      </c>
    </row>
    <row r="1325" spans="2:6">
      <c r="B1325" s="19" t="s">
        <v>1080</v>
      </c>
      <c r="C1325" s="20" t="s">
        <v>1081</v>
      </c>
      <c r="D1325" s="21" t="s">
        <v>1362</v>
      </c>
      <c r="E1325" s="22" t="s">
        <v>1739</v>
      </c>
      <c r="F1325" s="15" t="str">
        <f>_xlfn.XLOOKUP(D1325,[5]Sheet2!$C:$C,[5]Sheet2!$E:$E,"-")</f>
        <v>Rizka Azizi</v>
      </c>
    </row>
    <row r="1326" spans="2:6">
      <c r="B1326" s="19" t="s">
        <v>1080</v>
      </c>
      <c r="C1326" s="20" t="s">
        <v>1081</v>
      </c>
      <c r="D1326" s="21" t="s">
        <v>1363</v>
      </c>
      <c r="E1326" s="22" t="s">
        <v>1716</v>
      </c>
      <c r="F1326" s="15" t="str">
        <f>_xlfn.XLOOKUP(D1326,[5]Sheet2!$C:$C,[5]Sheet2!$E:$E,"-")</f>
        <v>Nor Dwi Prakoso</v>
      </c>
    </row>
    <row r="1327" spans="2:6">
      <c r="B1327" s="19" t="s">
        <v>1080</v>
      </c>
      <c r="C1327" s="20" t="s">
        <v>1081</v>
      </c>
      <c r="D1327" s="21" t="s">
        <v>1364</v>
      </c>
      <c r="E1327" s="22" t="s">
        <v>1716</v>
      </c>
      <c r="F1327" s="15" t="str">
        <f>_xlfn.XLOOKUP(D1327,[5]Sheet2!$C:$C,[5]Sheet2!$E:$E,"-")</f>
        <v>Nor Dwi Prakoso</v>
      </c>
    </row>
    <row r="1328" spans="2:6">
      <c r="B1328" s="19" t="s">
        <v>1080</v>
      </c>
      <c r="C1328" s="20" t="s">
        <v>1081</v>
      </c>
      <c r="D1328" s="21" t="s">
        <v>1365</v>
      </c>
      <c r="E1328" s="22" t="s">
        <v>1739</v>
      </c>
      <c r="F1328" s="15" t="str">
        <f>_xlfn.XLOOKUP(D1328,[5]Sheet2!$C:$C,[5]Sheet2!$E:$E,"-")</f>
        <v>Galih Christian Kusworo</v>
      </c>
    </row>
    <row r="1329" spans="2:6">
      <c r="B1329" s="19" t="s">
        <v>1080</v>
      </c>
      <c r="C1329" s="20" t="s">
        <v>1081</v>
      </c>
      <c r="D1329" s="21" t="s">
        <v>1366</v>
      </c>
      <c r="E1329" s="22" t="s">
        <v>1716</v>
      </c>
      <c r="F1329" s="15" t="str">
        <f>_xlfn.XLOOKUP(D1329,[5]Sheet2!$C:$C,[5]Sheet2!$E:$E,"-")</f>
        <v>Yohanes Tri Agung Laksono</v>
      </c>
    </row>
    <row r="1330" spans="2:6">
      <c r="B1330" s="19" t="s">
        <v>1080</v>
      </c>
      <c r="C1330" s="20" t="s">
        <v>1081</v>
      </c>
      <c r="D1330" s="21" t="s">
        <v>1367</v>
      </c>
      <c r="E1330" s="22" t="s">
        <v>1739</v>
      </c>
      <c r="F1330" s="15" t="str">
        <f>_xlfn.XLOOKUP(D1330,[5]Sheet2!$C:$C,[5]Sheet2!$E:$E,"-")</f>
        <v>Hafid Arie Prastyo</v>
      </c>
    </row>
    <row r="1331" spans="2:6">
      <c r="B1331" s="19" t="s">
        <v>1080</v>
      </c>
      <c r="C1331" s="20" t="s">
        <v>1081</v>
      </c>
      <c r="D1331" s="21" t="s">
        <v>1368</v>
      </c>
      <c r="E1331" s="22" t="s">
        <v>1716</v>
      </c>
      <c r="F1331" s="15" t="str">
        <f>_xlfn.XLOOKUP(D1331,[5]Sheet2!$C:$C,[5]Sheet2!$E:$E,"-")</f>
        <v>Mochamad Rizky Maulana</v>
      </c>
    </row>
    <row r="1332" spans="2:6">
      <c r="B1332" s="19" t="s">
        <v>1080</v>
      </c>
      <c r="C1332" s="20" t="s">
        <v>1081</v>
      </c>
      <c r="D1332" s="21" t="s">
        <v>1369</v>
      </c>
      <c r="E1332" s="22" t="s">
        <v>1716</v>
      </c>
      <c r="F1332" s="15" t="str">
        <f>_xlfn.XLOOKUP(D1332,[5]Sheet2!$C:$C,[5]Sheet2!$E:$E,"-")</f>
        <v>Hervin Samsul Bakhri</v>
      </c>
    </row>
    <row r="1333" spans="2:6">
      <c r="B1333" s="19" t="s">
        <v>1080</v>
      </c>
      <c r="C1333" s="20" t="s">
        <v>1081</v>
      </c>
      <c r="D1333" s="21" t="s">
        <v>1370</v>
      </c>
      <c r="E1333" s="22" t="s">
        <v>1739</v>
      </c>
      <c r="F1333" s="15" t="str">
        <f>_xlfn.XLOOKUP(D1333,[5]Sheet2!$C:$C,[5]Sheet2!$E:$E,"-")</f>
        <v>Tedy Eko Saputra</v>
      </c>
    </row>
    <row r="1334" spans="2:6">
      <c r="B1334" s="19" t="s">
        <v>1080</v>
      </c>
      <c r="C1334" s="20" t="s">
        <v>1081</v>
      </c>
      <c r="D1334" s="21" t="s">
        <v>1371</v>
      </c>
      <c r="E1334" s="22" t="s">
        <v>1739</v>
      </c>
      <c r="F1334" s="15" t="str">
        <f>_xlfn.XLOOKUP(D1334,[5]Sheet2!$C:$C,[5]Sheet2!$E:$E,"-")</f>
        <v>Frendy Satria Nugraha</v>
      </c>
    </row>
    <row r="1335" spans="2:6">
      <c r="B1335" s="19" t="s">
        <v>1080</v>
      </c>
      <c r="C1335" s="20" t="s">
        <v>1081</v>
      </c>
      <c r="D1335" s="21" t="s">
        <v>1372</v>
      </c>
      <c r="E1335" s="22" t="s">
        <v>1716</v>
      </c>
      <c r="F1335" s="15" t="str">
        <f>_xlfn.XLOOKUP(D1335,[5]Sheet2!$C:$C,[5]Sheet2!$E:$E,"-")</f>
        <v>Rizki Dio Reza Andriawan</v>
      </c>
    </row>
    <row r="1336" spans="2:6">
      <c r="B1336" s="19" t="s">
        <v>1080</v>
      </c>
      <c r="C1336" s="20" t="s">
        <v>1081</v>
      </c>
      <c r="D1336" s="21" t="s">
        <v>1373</v>
      </c>
      <c r="E1336" s="22" t="s">
        <v>1739</v>
      </c>
      <c r="F1336" s="15" t="str">
        <f>_xlfn.XLOOKUP(D1336,[5]Sheet2!$C:$C,[5]Sheet2!$E:$E,"-")</f>
        <v>Wahyu Doniansyah</v>
      </c>
    </row>
    <row r="1337" spans="2:6">
      <c r="B1337" s="19" t="s">
        <v>1080</v>
      </c>
      <c r="C1337" s="20" t="s">
        <v>1081</v>
      </c>
      <c r="D1337" s="21" t="s">
        <v>1374</v>
      </c>
      <c r="E1337" s="22" t="s">
        <v>1739</v>
      </c>
      <c r="F1337" s="15" t="str">
        <f>_xlfn.XLOOKUP(D1337,[5]Sheet2!$C:$C,[5]Sheet2!$E:$E,"-")</f>
        <v>Galih Christian Kusworo</v>
      </c>
    </row>
    <row r="1338" spans="2:6">
      <c r="B1338" s="19" t="s">
        <v>1080</v>
      </c>
      <c r="C1338" s="20" t="s">
        <v>1081</v>
      </c>
      <c r="D1338" s="21" t="s">
        <v>1375</v>
      </c>
      <c r="E1338" s="22" t="s">
        <v>1739</v>
      </c>
      <c r="F1338" s="15" t="str">
        <f>_xlfn.XLOOKUP(D1338,[5]Sheet2!$C:$C,[5]Sheet2!$E:$E,"-")</f>
        <v>Wahyu Doniansyah</v>
      </c>
    </row>
    <row r="1339" spans="2:6">
      <c r="B1339" s="19" t="s">
        <v>1080</v>
      </c>
      <c r="C1339" s="20" t="s">
        <v>1081</v>
      </c>
      <c r="D1339" s="21" t="s">
        <v>1376</v>
      </c>
      <c r="E1339" s="22" t="s">
        <v>1716</v>
      </c>
      <c r="F1339" s="15" t="str">
        <f>_xlfn.XLOOKUP(D1339,[5]Sheet2!$C:$C,[5]Sheet2!$E:$E,"-")</f>
        <v>Irfan Wahyu Bahtiar</v>
      </c>
    </row>
    <row r="1340" spans="2:6">
      <c r="B1340" s="19" t="s">
        <v>1080</v>
      </c>
      <c r="C1340" s="20" t="s">
        <v>1081</v>
      </c>
      <c r="D1340" s="21" t="s">
        <v>1377</v>
      </c>
      <c r="E1340" s="22" t="s">
        <v>1716</v>
      </c>
      <c r="F1340" s="15" t="str">
        <f>_xlfn.XLOOKUP(D1340,[5]Sheet2!$C:$C,[5]Sheet2!$E:$E,"-")</f>
        <v>Irfan Wahyu Bahtiar</v>
      </c>
    </row>
    <row r="1341" spans="2:6">
      <c r="B1341" s="19" t="s">
        <v>1080</v>
      </c>
      <c r="C1341" s="20" t="s">
        <v>1081</v>
      </c>
      <c r="D1341" s="21" t="s">
        <v>1378</v>
      </c>
      <c r="E1341" s="22" t="s">
        <v>1716</v>
      </c>
      <c r="F1341" s="15" t="str">
        <f>_xlfn.XLOOKUP(D1341,[5]Sheet2!$C:$C,[5]Sheet2!$E:$E,"-")</f>
        <v>Umi Hanik</v>
      </c>
    </row>
    <row r="1342" spans="2:6">
      <c r="B1342" s="19" t="s">
        <v>1080</v>
      </c>
      <c r="C1342" s="20" t="s">
        <v>1081</v>
      </c>
      <c r="D1342" s="21" t="s">
        <v>1379</v>
      </c>
      <c r="E1342" s="22" t="s">
        <v>1716</v>
      </c>
      <c r="F1342" s="15" t="str">
        <f>_xlfn.XLOOKUP(D1342,[5]Sheet2!$C:$C,[5]Sheet2!$E:$E,"-")</f>
        <v>Much Zainuri</v>
      </c>
    </row>
    <row r="1343" spans="2:6">
      <c r="B1343" s="19" t="s">
        <v>1080</v>
      </c>
      <c r="C1343" s="20" t="s">
        <v>1081</v>
      </c>
      <c r="D1343" s="21" t="s">
        <v>1380</v>
      </c>
      <c r="E1343" s="22" t="s">
        <v>1716</v>
      </c>
      <c r="F1343" s="15" t="str">
        <f>_xlfn.XLOOKUP(D1343,[5]Sheet2!$C:$C,[5]Sheet2!$E:$E,"-")</f>
        <v>Wisnu Mahesa Murti</v>
      </c>
    </row>
    <row r="1344" spans="2:6">
      <c r="B1344" s="19" t="s">
        <v>1080</v>
      </c>
      <c r="C1344" s="20" t="s">
        <v>1081</v>
      </c>
      <c r="D1344" s="21" t="s">
        <v>1381</v>
      </c>
      <c r="E1344" s="22" t="s">
        <v>1716</v>
      </c>
      <c r="F1344" s="15" t="str">
        <f>_xlfn.XLOOKUP(D1344,[5]Sheet2!$C:$C,[5]Sheet2!$E:$E,"-")</f>
        <v>Muhammad Angga Saputra</v>
      </c>
    </row>
    <row r="1345" spans="2:6">
      <c r="B1345" s="19" t="s">
        <v>1080</v>
      </c>
      <c r="C1345" s="20" t="s">
        <v>1081</v>
      </c>
      <c r="D1345" s="21" t="s">
        <v>1382</v>
      </c>
      <c r="E1345" s="22" t="s">
        <v>1716</v>
      </c>
      <c r="F1345" s="15" t="str">
        <f>_xlfn.XLOOKUP(D1345,[5]Sheet2!$C:$C,[5]Sheet2!$E:$E,"-")</f>
        <v>Muhammad Angga Saputra</v>
      </c>
    </row>
    <row r="1346" spans="2:6">
      <c r="B1346" s="19" t="s">
        <v>1080</v>
      </c>
      <c r="C1346" s="20" t="s">
        <v>1081</v>
      </c>
      <c r="D1346" s="21" t="s">
        <v>1383</v>
      </c>
      <c r="E1346" s="22" t="s">
        <v>1716</v>
      </c>
      <c r="F1346" s="15" t="str">
        <f>_xlfn.XLOOKUP(D1346,[5]Sheet2!$C:$C,[5]Sheet2!$E:$E,"-")</f>
        <v>Dading Tustiyan Pratama</v>
      </c>
    </row>
    <row r="1347" spans="2:6">
      <c r="B1347" s="19" t="s">
        <v>1080</v>
      </c>
      <c r="C1347" s="20" t="s">
        <v>1081</v>
      </c>
      <c r="D1347" s="21" t="s">
        <v>1384</v>
      </c>
      <c r="E1347" s="22" t="s">
        <v>1716</v>
      </c>
      <c r="F1347" s="15" t="str">
        <f>_xlfn.XLOOKUP(D1347,[5]Sheet2!$C:$C,[5]Sheet2!$E:$E,"-")</f>
        <v>Wisnu Mahesa Murti</v>
      </c>
    </row>
    <row r="1348" spans="2:6">
      <c r="B1348" s="19" t="s">
        <v>1080</v>
      </c>
      <c r="C1348" s="20" t="s">
        <v>1081</v>
      </c>
      <c r="D1348" s="21" t="s">
        <v>1385</v>
      </c>
      <c r="E1348" s="22" t="s">
        <v>1716</v>
      </c>
      <c r="F1348" s="15" t="str">
        <f>_xlfn.XLOOKUP(D1348,[5]Sheet2!$C:$C,[5]Sheet2!$E:$E,"-")</f>
        <v>Doni Hadi Prasetyo</v>
      </c>
    </row>
    <row r="1349" spans="2:6">
      <c r="B1349" s="19" t="s">
        <v>1080</v>
      </c>
      <c r="C1349" s="20" t="s">
        <v>1081</v>
      </c>
      <c r="D1349" s="21" t="s">
        <v>1386</v>
      </c>
      <c r="E1349" s="22" t="s">
        <v>1716</v>
      </c>
      <c r="F1349" s="15" t="str">
        <f>_xlfn.XLOOKUP(D1349,[5]Sheet2!$C:$C,[5]Sheet2!$E:$E,"-")</f>
        <v>Dading Tustiyan Pratama</v>
      </c>
    </row>
    <row r="1350" spans="2:6">
      <c r="B1350" s="19" t="s">
        <v>1080</v>
      </c>
      <c r="C1350" s="20" t="s">
        <v>1081</v>
      </c>
      <c r="D1350" s="21" t="s">
        <v>1387</v>
      </c>
      <c r="E1350" s="22" t="s">
        <v>1739</v>
      </c>
      <c r="F1350" s="15" t="str">
        <f>_xlfn.XLOOKUP(D1350,[5]Sheet2!$C:$C,[5]Sheet2!$E:$E,"-")</f>
        <v>Presma Havila Manggara</v>
      </c>
    </row>
    <row r="1351" spans="2:6">
      <c r="B1351" s="19" t="s">
        <v>1080</v>
      </c>
      <c r="C1351" s="20" t="s">
        <v>1081</v>
      </c>
      <c r="D1351" s="21" t="s">
        <v>1388</v>
      </c>
      <c r="E1351" s="22" t="s">
        <v>1716</v>
      </c>
      <c r="F1351" s="15" t="str">
        <f>_xlfn.XLOOKUP(D1351,[5]Sheet2!$C:$C,[5]Sheet2!$E:$E,"-")</f>
        <v>Feri Ardiansyah</v>
      </c>
    </row>
    <row r="1352" spans="2:6">
      <c r="B1352" s="19" t="s">
        <v>1080</v>
      </c>
      <c r="C1352" s="20" t="s">
        <v>1081</v>
      </c>
      <c r="D1352" s="21" t="s">
        <v>1389</v>
      </c>
      <c r="E1352" s="22" t="s">
        <v>1739</v>
      </c>
      <c r="F1352" s="15" t="str">
        <f>_xlfn.XLOOKUP(D1352,[5]Sheet2!$C:$C,[5]Sheet2!$E:$E,"-")</f>
        <v>Andrean Pradhana Putra Maulana</v>
      </c>
    </row>
    <row r="1353" spans="2:6">
      <c r="B1353" s="19" t="s">
        <v>1080</v>
      </c>
      <c r="C1353" s="20" t="s">
        <v>1081</v>
      </c>
      <c r="D1353" s="21" t="s">
        <v>1390</v>
      </c>
      <c r="E1353" s="22" t="s">
        <v>1739</v>
      </c>
      <c r="F1353" s="15" t="str">
        <f>_xlfn.XLOOKUP(D1353,[5]Sheet2!$C:$C,[5]Sheet2!$E:$E,"-")</f>
        <v>Gayuh Triasa</v>
      </c>
    </row>
    <row r="1354" spans="2:6">
      <c r="B1354" s="19" t="s">
        <v>1080</v>
      </c>
      <c r="C1354" s="20" t="s">
        <v>1081</v>
      </c>
      <c r="D1354" s="21" t="s">
        <v>1391</v>
      </c>
      <c r="E1354" s="22" t="s">
        <v>1739</v>
      </c>
      <c r="F1354" s="15" t="str">
        <f>_xlfn.XLOOKUP(D1354,[5]Sheet2!$C:$C,[5]Sheet2!$E:$E,"-")</f>
        <v>Wahyu Kristanto</v>
      </c>
    </row>
    <row r="1355" spans="2:6">
      <c r="B1355" s="19" t="s">
        <v>1080</v>
      </c>
      <c r="C1355" s="20" t="s">
        <v>1081</v>
      </c>
      <c r="D1355" s="21" t="s">
        <v>1392</v>
      </c>
      <c r="E1355" s="22" t="s">
        <v>1739</v>
      </c>
      <c r="F1355" s="15" t="str">
        <f>_xlfn.XLOOKUP(D1355,[5]Sheet2!$C:$C,[5]Sheet2!$E:$E,"-")</f>
        <v>Andrean Pradhana Putra Maulana</v>
      </c>
    </row>
    <row r="1356" spans="2:6">
      <c r="B1356" s="19" t="s">
        <v>1080</v>
      </c>
      <c r="C1356" s="20" t="s">
        <v>1081</v>
      </c>
      <c r="D1356" s="21" t="s">
        <v>1393</v>
      </c>
      <c r="E1356" s="22" t="s">
        <v>1716</v>
      </c>
      <c r="F1356" s="15" t="str">
        <f>_xlfn.XLOOKUP(D1356,[5]Sheet2!$C:$C,[5]Sheet2!$E:$E,"-")</f>
        <v>Bayu Indiarto Wisnu Barata</v>
      </c>
    </row>
    <row r="1357" spans="2:6">
      <c r="B1357" s="19" t="s">
        <v>1080</v>
      </c>
      <c r="C1357" s="20" t="s">
        <v>1081</v>
      </c>
      <c r="D1357" s="21" t="s">
        <v>1394</v>
      </c>
      <c r="E1357" s="22" t="s">
        <v>1739</v>
      </c>
      <c r="F1357" s="15" t="str">
        <f>_xlfn.XLOOKUP(D1357,[5]Sheet2!$C:$C,[5]Sheet2!$E:$E,"-")</f>
        <v>Roffik Ari Wibowo</v>
      </c>
    </row>
    <row r="1358" spans="2:6">
      <c r="B1358" s="19" t="s">
        <v>1080</v>
      </c>
      <c r="C1358" s="20" t="s">
        <v>1081</v>
      </c>
      <c r="D1358" s="21" t="s">
        <v>1395</v>
      </c>
      <c r="E1358" s="22" t="s">
        <v>1716</v>
      </c>
      <c r="F1358" s="15" t="str">
        <f>_xlfn.XLOOKUP(D1358,[5]Sheet2!$C:$C,[5]Sheet2!$E:$E,"-")</f>
        <v>Catur Budi Cahyono</v>
      </c>
    </row>
    <row r="1359" spans="2:6">
      <c r="B1359" s="19" t="s">
        <v>1080</v>
      </c>
      <c r="C1359" s="20" t="s">
        <v>1081</v>
      </c>
      <c r="D1359" s="21" t="s">
        <v>1396</v>
      </c>
      <c r="E1359" s="22" t="s">
        <v>1739</v>
      </c>
      <c r="F1359" s="15" t="str">
        <f>_xlfn.XLOOKUP(D1359,[5]Sheet2!$C:$C,[5]Sheet2!$E:$E,"-")</f>
        <v>Andru Hindriyat Saputra</v>
      </c>
    </row>
    <row r="1360" spans="2:6">
      <c r="B1360" s="19" t="s">
        <v>1080</v>
      </c>
      <c r="C1360" s="20" t="s">
        <v>1081</v>
      </c>
      <c r="D1360" s="21" t="s">
        <v>1397</v>
      </c>
      <c r="E1360" s="22" t="s">
        <v>1716</v>
      </c>
      <c r="F1360" s="15" t="str">
        <f>_xlfn.XLOOKUP(D1360,[5]Sheet2!$C:$C,[5]Sheet2!$E:$E,"-")</f>
        <v>Catur Budi Cahyono</v>
      </c>
    </row>
    <row r="1361" spans="2:6">
      <c r="B1361" s="19" t="s">
        <v>1080</v>
      </c>
      <c r="C1361" s="20" t="s">
        <v>1081</v>
      </c>
      <c r="D1361" s="21" t="s">
        <v>1398</v>
      </c>
      <c r="E1361" s="22" t="s">
        <v>1739</v>
      </c>
      <c r="F1361" s="15" t="str">
        <f>_xlfn.XLOOKUP(D1361,[5]Sheet2!$C:$C,[5]Sheet2!$E:$E,"-")</f>
        <v>Essa Abdiandiri</v>
      </c>
    </row>
    <row r="1362" spans="2:6">
      <c r="B1362" s="19" t="s">
        <v>1080</v>
      </c>
      <c r="C1362" s="20" t="s">
        <v>1081</v>
      </c>
      <c r="D1362" s="21" t="s">
        <v>1399</v>
      </c>
      <c r="E1362" s="22" t="s">
        <v>1739</v>
      </c>
      <c r="F1362" s="15" t="str">
        <f>_xlfn.XLOOKUP(D1362,[5]Sheet2!$C:$C,[5]Sheet2!$E:$E,"-")</f>
        <v>Achmad Misbachul Munir</v>
      </c>
    </row>
    <row r="1363" spans="2:6">
      <c r="B1363" s="19" t="s">
        <v>1080</v>
      </c>
      <c r="C1363" s="20" t="s">
        <v>1081</v>
      </c>
      <c r="D1363" s="21" t="s">
        <v>1400</v>
      </c>
      <c r="E1363" s="22" t="s">
        <v>1739</v>
      </c>
      <c r="F1363" s="15" t="str">
        <f>_xlfn.XLOOKUP(D1363,[5]Sheet2!$C:$C,[5]Sheet2!$E:$E,"-")</f>
        <v>Achmad Misbachul Munir</v>
      </c>
    </row>
    <row r="1364" spans="2:6">
      <c r="B1364" s="19" t="s">
        <v>1080</v>
      </c>
      <c r="C1364" s="20" t="s">
        <v>1081</v>
      </c>
      <c r="D1364" s="21" t="s">
        <v>1401</v>
      </c>
      <c r="E1364" s="22" t="s">
        <v>1739</v>
      </c>
      <c r="F1364" s="15" t="str">
        <f>_xlfn.XLOOKUP(D1364,[5]Sheet2!$C:$C,[5]Sheet2!$E:$E,"-")</f>
        <v>Achmad Misbachul Munir</v>
      </c>
    </row>
    <row r="1365" spans="2:6">
      <c r="B1365" s="19" t="s">
        <v>1080</v>
      </c>
      <c r="C1365" s="20" t="s">
        <v>1081</v>
      </c>
      <c r="D1365" s="21" t="s">
        <v>1402</v>
      </c>
      <c r="E1365" s="22" t="s">
        <v>1739</v>
      </c>
      <c r="F1365" s="15" t="str">
        <f>_xlfn.XLOOKUP(D1365,[5]Sheet2!$C:$C,[5]Sheet2!$E:$E,"-")</f>
        <v>Roffik Ari Wibowo</v>
      </c>
    </row>
    <row r="1366" spans="2:6">
      <c r="B1366" s="19" t="s">
        <v>1080</v>
      </c>
      <c r="C1366" s="20" t="s">
        <v>1081</v>
      </c>
      <c r="D1366" s="21" t="s">
        <v>1403</v>
      </c>
      <c r="E1366" s="22" t="s">
        <v>1716</v>
      </c>
      <c r="F1366" s="15" t="str">
        <f>_xlfn.XLOOKUP(D1366,[5]Sheet2!$C:$C,[5]Sheet2!$E:$E,"-")</f>
        <v>Catur Budi Cahyono</v>
      </c>
    </row>
    <row r="1367" spans="2:6">
      <c r="B1367" s="19" t="s">
        <v>1080</v>
      </c>
      <c r="C1367" s="20" t="s">
        <v>1081</v>
      </c>
      <c r="D1367" s="21" t="s">
        <v>1404</v>
      </c>
      <c r="E1367" s="22" t="s">
        <v>1716</v>
      </c>
      <c r="F1367" s="15" t="str">
        <f>_xlfn.XLOOKUP(D1367,[5]Sheet2!$C:$C,[5]Sheet2!$E:$E,"-")</f>
        <v>Moh Abdul Rozaq</v>
      </c>
    </row>
    <row r="1368" spans="2:6">
      <c r="B1368" s="19" t="s">
        <v>1080</v>
      </c>
      <c r="C1368" s="20" t="s">
        <v>1081</v>
      </c>
      <c r="D1368" s="21" t="s">
        <v>1405</v>
      </c>
      <c r="E1368" s="22" t="s">
        <v>1739</v>
      </c>
      <c r="F1368" s="15" t="str">
        <f>_xlfn.XLOOKUP(D1368,[5]Sheet2!$C:$C,[5]Sheet2!$E:$E,"-")</f>
        <v>Andru Hindriyat Saputra</v>
      </c>
    </row>
    <row r="1369" spans="2:6">
      <c r="B1369" s="19" t="s">
        <v>1080</v>
      </c>
      <c r="C1369" s="20" t="s">
        <v>1081</v>
      </c>
      <c r="D1369" s="21" t="s">
        <v>1406</v>
      </c>
      <c r="E1369" s="22" t="s">
        <v>1716</v>
      </c>
      <c r="F1369" s="15" t="str">
        <f>_xlfn.XLOOKUP(D1369,[5]Sheet2!$C:$C,[5]Sheet2!$E:$E,"-")</f>
        <v>Moh Abdul Rozaq</v>
      </c>
    </row>
    <row r="1370" spans="2:6">
      <c r="B1370" s="19" t="s">
        <v>1080</v>
      </c>
      <c r="C1370" s="20" t="s">
        <v>1081</v>
      </c>
      <c r="D1370" s="21" t="s">
        <v>1407</v>
      </c>
      <c r="E1370" s="22" t="s">
        <v>1716</v>
      </c>
      <c r="F1370" s="15" t="str">
        <f>_xlfn.XLOOKUP(D1370,[5]Sheet2!$C:$C,[5]Sheet2!$E:$E,"-")</f>
        <v>Moh Abdul Rozaq</v>
      </c>
    </row>
    <row r="1371" spans="2:6">
      <c r="B1371" s="19" t="s">
        <v>1080</v>
      </c>
      <c r="C1371" s="20" t="s">
        <v>1081</v>
      </c>
      <c r="D1371" s="21" t="s">
        <v>1408</v>
      </c>
      <c r="E1371" s="22" t="s">
        <v>1739</v>
      </c>
      <c r="F1371" s="15" t="str">
        <f>_xlfn.XLOOKUP(D1371,[5]Sheet2!$C:$C,[5]Sheet2!$E:$E,"-")</f>
        <v>Rifqi Auliaq Humaidi</v>
      </c>
    </row>
    <row r="1372" spans="2:6">
      <c r="B1372" s="19" t="s">
        <v>1080</v>
      </c>
      <c r="C1372" s="20" t="s">
        <v>1081</v>
      </c>
      <c r="D1372" s="21" t="s">
        <v>1409</v>
      </c>
      <c r="E1372" s="22" t="s">
        <v>1716</v>
      </c>
      <c r="F1372" s="15" t="str">
        <f>_xlfn.XLOOKUP(D1372,[5]Sheet2!$C:$C,[5]Sheet2!$E:$E,"-")</f>
        <v>Novan Yogmaputra</v>
      </c>
    </row>
    <row r="1373" spans="2:6">
      <c r="B1373" s="19" t="s">
        <v>1080</v>
      </c>
      <c r="C1373" s="20" t="s">
        <v>1081</v>
      </c>
      <c r="D1373" s="21" t="s">
        <v>1410</v>
      </c>
      <c r="E1373" s="22" t="s">
        <v>1739</v>
      </c>
      <c r="F1373" s="15" t="str">
        <f>_xlfn.XLOOKUP(D1373,[5]Sheet2!$C:$C,[5]Sheet2!$E:$E,"-")</f>
        <v>Rizky Kurniawan</v>
      </c>
    </row>
    <row r="1374" spans="2:6">
      <c r="B1374" s="19" t="s">
        <v>1080</v>
      </c>
      <c r="C1374" s="20" t="s">
        <v>1081</v>
      </c>
      <c r="D1374" s="21" t="s">
        <v>1411</v>
      </c>
      <c r="E1374" s="22" t="s">
        <v>1716</v>
      </c>
      <c r="F1374" s="15" t="str">
        <f>_xlfn.XLOOKUP(D1374,[5]Sheet2!$C:$C,[5]Sheet2!$E:$E,"-")</f>
        <v>Nurul Hidayatullah</v>
      </c>
    </row>
    <row r="1375" spans="2:6">
      <c r="B1375" s="19" t="s">
        <v>1080</v>
      </c>
      <c r="C1375" s="20" t="s">
        <v>1081</v>
      </c>
      <c r="D1375" s="21" t="s">
        <v>1412</v>
      </c>
      <c r="E1375" s="22" t="s">
        <v>1716</v>
      </c>
      <c r="F1375" s="15" t="str">
        <f>_xlfn.XLOOKUP(D1375,[5]Sheet2!$C:$C,[5]Sheet2!$E:$E,"-")</f>
        <v>Yudhy Indra Prasetya</v>
      </c>
    </row>
    <row r="1376" spans="2:6">
      <c r="B1376" s="19" t="s">
        <v>1080</v>
      </c>
      <c r="C1376" s="20" t="s">
        <v>1081</v>
      </c>
      <c r="D1376" s="21" t="s">
        <v>1413</v>
      </c>
      <c r="E1376" s="22" t="s">
        <v>1716</v>
      </c>
      <c r="F1376" s="15" t="str">
        <f>_xlfn.XLOOKUP(D1376,[5]Sheet2!$C:$C,[5]Sheet2!$E:$E,"-")</f>
        <v>Ridwan Fatarudin</v>
      </c>
    </row>
    <row r="1377" spans="2:6">
      <c r="B1377" s="19" t="s">
        <v>1080</v>
      </c>
      <c r="C1377" s="20" t="s">
        <v>1081</v>
      </c>
      <c r="D1377" s="21" t="s">
        <v>1414</v>
      </c>
      <c r="E1377" s="22" t="s">
        <v>1716</v>
      </c>
      <c r="F1377" s="15" t="str">
        <f>_xlfn.XLOOKUP(D1377,[5]Sheet2!$C:$C,[5]Sheet2!$E:$E,"-")</f>
        <v>Anang Prasetyo</v>
      </c>
    </row>
    <row r="1378" spans="2:6">
      <c r="B1378" s="19" t="s">
        <v>1080</v>
      </c>
      <c r="C1378" s="20" t="s">
        <v>1081</v>
      </c>
      <c r="D1378" s="21" t="s">
        <v>1415</v>
      </c>
      <c r="E1378" s="22" t="s">
        <v>1716</v>
      </c>
      <c r="F1378" s="15" t="str">
        <f>_xlfn.XLOOKUP(D1378,[5]Sheet2!$C:$C,[5]Sheet2!$E:$E,"-")</f>
        <v>Ridwan Fatarudin</v>
      </c>
    </row>
    <row r="1379" spans="2:6">
      <c r="B1379" s="19" t="s">
        <v>1080</v>
      </c>
      <c r="C1379" s="20" t="s">
        <v>1081</v>
      </c>
      <c r="D1379" s="21" t="s">
        <v>1416</v>
      </c>
      <c r="E1379" s="22" t="s">
        <v>1716</v>
      </c>
      <c r="F1379" s="15" t="str">
        <f>_xlfn.XLOOKUP(D1379,[5]Sheet2!$C:$C,[5]Sheet2!$E:$E,"-")</f>
        <v>Nurul Hidayatullah</v>
      </c>
    </row>
    <row r="1380" spans="2:6">
      <c r="B1380" s="19" t="s">
        <v>1080</v>
      </c>
      <c r="C1380" s="20" t="s">
        <v>1081</v>
      </c>
      <c r="D1380" s="21" t="s">
        <v>1417</v>
      </c>
      <c r="E1380" s="22" t="s">
        <v>1716</v>
      </c>
      <c r="F1380" s="15" t="str">
        <f>_xlfn.XLOOKUP(D1380,[5]Sheet2!$C:$C,[5]Sheet2!$E:$E,"-")</f>
        <v>Imam Nawawi</v>
      </c>
    </row>
    <row r="1381" spans="2:6">
      <c r="B1381" s="19" t="s">
        <v>1080</v>
      </c>
      <c r="C1381" s="20" t="s">
        <v>1081</v>
      </c>
      <c r="D1381" s="21" t="s">
        <v>1418</v>
      </c>
      <c r="E1381" s="22" t="s">
        <v>1716</v>
      </c>
      <c r="F1381" s="15" t="str">
        <f>_xlfn.XLOOKUP(D1381,[5]Sheet2!$C:$C,[5]Sheet2!$E:$E,"-")</f>
        <v>Fauzi Permana Putra</v>
      </c>
    </row>
    <row r="1382" spans="2:6">
      <c r="B1382" s="19" t="s">
        <v>1080</v>
      </c>
      <c r="C1382" s="20" t="s">
        <v>1081</v>
      </c>
      <c r="D1382" s="21" t="s">
        <v>1419</v>
      </c>
      <c r="E1382" s="22" t="s">
        <v>1716</v>
      </c>
      <c r="F1382" s="15" t="str">
        <f>_xlfn.XLOOKUP(D1382,[5]Sheet2!$C:$C,[5]Sheet2!$E:$E,"-")</f>
        <v>Alif Septian Nur Alamsyah</v>
      </c>
    </row>
    <row r="1383" spans="2:6">
      <c r="B1383" s="19" t="s">
        <v>1080</v>
      </c>
      <c r="C1383" s="20" t="s">
        <v>1081</v>
      </c>
      <c r="D1383" s="21" t="s">
        <v>1420</v>
      </c>
      <c r="E1383" s="22" t="s">
        <v>1716</v>
      </c>
      <c r="F1383" s="15" t="str">
        <f>_xlfn.XLOOKUP(D1383,[5]Sheet2!$C:$C,[5]Sheet2!$E:$E,"-")</f>
        <v>Lasio Efendi</v>
      </c>
    </row>
    <row r="1384" spans="2:6">
      <c r="B1384" s="19" t="s">
        <v>1080</v>
      </c>
      <c r="C1384" s="20" t="s">
        <v>1081</v>
      </c>
      <c r="D1384" s="21" t="s">
        <v>1421</v>
      </c>
      <c r="E1384" s="22" t="s">
        <v>1716</v>
      </c>
      <c r="F1384" s="15" t="str">
        <f>_xlfn.XLOOKUP(D1384,[5]Sheet2!$C:$C,[5]Sheet2!$E:$E,"-")</f>
        <v>Ilham Ramadhan</v>
      </c>
    </row>
    <row r="1385" spans="2:6">
      <c r="B1385" s="19" t="s">
        <v>1080</v>
      </c>
      <c r="C1385" s="20" t="s">
        <v>1081</v>
      </c>
      <c r="D1385" s="21" t="s">
        <v>1422</v>
      </c>
      <c r="E1385" s="22" t="s">
        <v>1716</v>
      </c>
      <c r="F1385" s="15" t="str">
        <f>_xlfn.XLOOKUP(D1385,[5]Sheet2!$C:$C,[5]Sheet2!$E:$E,"-")</f>
        <v>Muhammad Irsan Junud</v>
      </c>
    </row>
    <row r="1386" spans="2:6">
      <c r="B1386" s="19" t="s">
        <v>1080</v>
      </c>
      <c r="C1386" s="20" t="s">
        <v>1081</v>
      </c>
      <c r="D1386" s="21" t="s">
        <v>1423</v>
      </c>
      <c r="E1386" s="22" t="s">
        <v>1716</v>
      </c>
      <c r="F1386" s="15" t="str">
        <f>_xlfn.XLOOKUP(D1386,[5]Sheet2!$C:$C,[5]Sheet2!$E:$E,"-")</f>
        <v>Imam Nawawi</v>
      </c>
    </row>
    <row r="1387" spans="2:6">
      <c r="B1387" s="19" t="s">
        <v>1080</v>
      </c>
      <c r="C1387" s="20" t="s">
        <v>1081</v>
      </c>
      <c r="D1387" s="21" t="s">
        <v>1424</v>
      </c>
      <c r="E1387" s="22" t="s">
        <v>1716</v>
      </c>
      <c r="F1387" s="15" t="str">
        <f>_xlfn.XLOOKUP(D1387,[5]Sheet2!$C:$C,[5]Sheet2!$E:$E,"-")</f>
        <v>Muhammad Irsan Junud</v>
      </c>
    </row>
    <row r="1388" spans="2:6">
      <c r="B1388" s="19" t="s">
        <v>1080</v>
      </c>
      <c r="C1388" s="20" t="s">
        <v>1081</v>
      </c>
      <c r="D1388" s="21" t="s">
        <v>1425</v>
      </c>
      <c r="E1388" s="22" t="s">
        <v>1716</v>
      </c>
      <c r="F1388" s="15" t="str">
        <f>_xlfn.XLOOKUP(D1388,[5]Sheet2!$C:$C,[5]Sheet2!$E:$E,"-")</f>
        <v>Muhammad Irsan Junud</v>
      </c>
    </row>
    <row r="1389" spans="2:6">
      <c r="B1389" s="19" t="s">
        <v>1080</v>
      </c>
      <c r="C1389" s="20" t="s">
        <v>1081</v>
      </c>
      <c r="D1389" s="21" t="s">
        <v>1426</v>
      </c>
      <c r="E1389" s="22" t="s">
        <v>1716</v>
      </c>
      <c r="F1389" s="15" t="str">
        <f>_xlfn.XLOOKUP(D1389,[5]Sheet2!$C:$C,[5]Sheet2!$E:$E,"-")</f>
        <v>Leo Fajar Saputra</v>
      </c>
    </row>
    <row r="1390" spans="2:6">
      <c r="B1390" s="19" t="s">
        <v>1080</v>
      </c>
      <c r="C1390" s="20" t="s">
        <v>1081</v>
      </c>
      <c r="D1390" s="21" t="s">
        <v>1427</v>
      </c>
      <c r="E1390" s="22" t="s">
        <v>1716</v>
      </c>
      <c r="F1390" s="15" t="str">
        <f>_xlfn.XLOOKUP(D1390,[5]Sheet2!$C:$C,[5]Sheet2!$E:$E,"-")</f>
        <v>Fauzi Permana Putra</v>
      </c>
    </row>
    <row r="1391" spans="2:6">
      <c r="B1391" s="19" t="s">
        <v>1080</v>
      </c>
      <c r="C1391" s="20" t="s">
        <v>1081</v>
      </c>
      <c r="D1391" s="21" t="s">
        <v>1428</v>
      </c>
      <c r="E1391" s="22" t="s">
        <v>1716</v>
      </c>
      <c r="F1391" s="15" t="str">
        <f>_xlfn.XLOOKUP(D1391,[5]Sheet2!$C:$C,[5]Sheet2!$E:$E,"-")</f>
        <v>Budi Achirianto</v>
      </c>
    </row>
    <row r="1392" spans="2:6">
      <c r="B1392" s="19" t="s">
        <v>1080</v>
      </c>
      <c r="C1392" s="20" t="s">
        <v>1081</v>
      </c>
      <c r="D1392" s="21" t="s">
        <v>1429</v>
      </c>
      <c r="E1392" s="22" t="s">
        <v>1716</v>
      </c>
      <c r="F1392" s="15" t="str">
        <f>_xlfn.XLOOKUP(D1392,[5]Sheet2!$C:$C,[5]Sheet2!$E:$E,"-")</f>
        <v>Candra Robianto</v>
      </c>
    </row>
    <row r="1393" spans="2:6">
      <c r="B1393" s="19" t="s">
        <v>1080</v>
      </c>
      <c r="C1393" s="20" t="s">
        <v>1081</v>
      </c>
      <c r="D1393" s="21" t="s">
        <v>1430</v>
      </c>
      <c r="E1393" s="22" t="s">
        <v>1716</v>
      </c>
      <c r="F1393" s="15" t="str">
        <f>_xlfn.XLOOKUP(D1393,[5]Sheet2!$C:$C,[5]Sheet2!$E:$E,"-")</f>
        <v>Moh. Sihabudin Zuhri, S.Pd</v>
      </c>
    </row>
    <row r="1394" spans="2:6">
      <c r="B1394" s="19" t="s">
        <v>1080</v>
      </c>
      <c r="C1394" s="20" t="s">
        <v>1081</v>
      </c>
      <c r="D1394" s="21" t="s">
        <v>1431</v>
      </c>
      <c r="E1394" s="22" t="s">
        <v>1716</v>
      </c>
      <c r="F1394" s="15" t="str">
        <f>_xlfn.XLOOKUP(D1394,[5]Sheet2!$C:$C,[5]Sheet2!$E:$E,"-")</f>
        <v>Ahmad Luky Cahyono</v>
      </c>
    </row>
    <row r="1395" spans="2:6">
      <c r="B1395" s="19" t="s">
        <v>1080</v>
      </c>
      <c r="C1395" s="20" t="s">
        <v>1081</v>
      </c>
      <c r="D1395" s="21" t="s">
        <v>1432</v>
      </c>
      <c r="E1395" s="22" t="s">
        <v>1716</v>
      </c>
      <c r="F1395" s="15" t="str">
        <f>_xlfn.XLOOKUP(D1395,[5]Sheet2!$C:$C,[5]Sheet2!$E:$E,"-")</f>
        <v>Achmad Subairi</v>
      </c>
    </row>
    <row r="1396" spans="2:6">
      <c r="B1396" s="19" t="s">
        <v>1080</v>
      </c>
      <c r="C1396" s="20" t="s">
        <v>1081</v>
      </c>
      <c r="D1396" s="21" t="s">
        <v>1433</v>
      </c>
      <c r="E1396" s="22" t="s">
        <v>1716</v>
      </c>
      <c r="F1396" s="15" t="str">
        <f>_xlfn.XLOOKUP(D1396,[5]Sheet2!$C:$C,[5]Sheet2!$E:$E,"-")</f>
        <v>Joko Purnomo</v>
      </c>
    </row>
    <row r="1397" spans="2:6">
      <c r="B1397" s="19" t="s">
        <v>1080</v>
      </c>
      <c r="C1397" s="20" t="s">
        <v>1081</v>
      </c>
      <c r="D1397" s="21" t="s">
        <v>1434</v>
      </c>
      <c r="E1397" s="22" t="s">
        <v>1716</v>
      </c>
      <c r="F1397" s="15" t="str">
        <f>_xlfn.XLOOKUP(D1397,[5]Sheet2!$C:$C,[5]Sheet2!$E:$E,"-")</f>
        <v>Mochamad Zaini</v>
      </c>
    </row>
    <row r="1398" spans="2:6">
      <c r="B1398" s="19" t="s">
        <v>1080</v>
      </c>
      <c r="C1398" s="20" t="s">
        <v>1081</v>
      </c>
      <c r="D1398" s="21" t="s">
        <v>1435</v>
      </c>
      <c r="E1398" s="22" t="s">
        <v>1716</v>
      </c>
      <c r="F1398" s="15" t="str">
        <f>_xlfn.XLOOKUP(D1398,[5]Sheet2!$C:$C,[5]Sheet2!$E:$E,"-")</f>
        <v>Fery Hardianto Setiawan</v>
      </c>
    </row>
    <row r="1399" spans="2:6">
      <c r="B1399" s="19" t="s">
        <v>1080</v>
      </c>
      <c r="C1399" s="20" t="s">
        <v>1081</v>
      </c>
      <c r="D1399" s="21" t="s">
        <v>1436</v>
      </c>
      <c r="E1399" s="22" t="s">
        <v>1716</v>
      </c>
      <c r="F1399" s="15" t="str">
        <f>_xlfn.XLOOKUP(D1399,[5]Sheet2!$C:$C,[5]Sheet2!$E:$E,"-")</f>
        <v>Alfi Abidin</v>
      </c>
    </row>
    <row r="1400" spans="2:6">
      <c r="B1400" s="19" t="s">
        <v>1080</v>
      </c>
      <c r="C1400" s="20" t="s">
        <v>1081</v>
      </c>
      <c r="D1400" s="21" t="s">
        <v>1437</v>
      </c>
      <c r="E1400" s="22" t="s">
        <v>1716</v>
      </c>
      <c r="F1400" s="15" t="str">
        <f>_xlfn.XLOOKUP(D1400,[5]Sheet2!$C:$C,[5]Sheet2!$E:$E,"-")</f>
        <v>Vavan Aldi Zulkarnain</v>
      </c>
    </row>
    <row r="1401" spans="2:6">
      <c r="B1401" s="19" t="s">
        <v>1080</v>
      </c>
      <c r="C1401" s="20" t="s">
        <v>1081</v>
      </c>
      <c r="D1401" s="21" t="s">
        <v>1438</v>
      </c>
      <c r="E1401" s="22" t="s">
        <v>1716</v>
      </c>
      <c r="F1401" s="15" t="str">
        <f>_xlfn.XLOOKUP(D1401,[5]Sheet2!$C:$C,[5]Sheet2!$E:$E,"-")</f>
        <v>Aldo Irwansyah</v>
      </c>
    </row>
    <row r="1402" spans="2:6">
      <c r="B1402" s="19" t="s">
        <v>1080</v>
      </c>
      <c r="C1402" s="20" t="s">
        <v>1081</v>
      </c>
      <c r="D1402" s="21" t="s">
        <v>1439</v>
      </c>
      <c r="E1402" s="22" t="s">
        <v>1716</v>
      </c>
      <c r="F1402" s="15" t="str">
        <f>_xlfn.XLOOKUP(D1402,[5]Sheet2!$C:$C,[5]Sheet2!$E:$E,"-")</f>
        <v>Roni Nofendra Trimanto</v>
      </c>
    </row>
    <row r="1403" spans="2:6">
      <c r="B1403" s="19" t="s">
        <v>1080</v>
      </c>
      <c r="C1403" s="20" t="s">
        <v>1081</v>
      </c>
      <c r="D1403" s="21" t="s">
        <v>1440</v>
      </c>
      <c r="E1403" s="22" t="s">
        <v>1716</v>
      </c>
      <c r="F1403" s="15" t="str">
        <f>_xlfn.XLOOKUP(D1403,[5]Sheet2!$C:$C,[5]Sheet2!$E:$E,"-")</f>
        <v>Tri Atmojo</v>
      </c>
    </row>
    <row r="1404" spans="2:6">
      <c r="B1404" s="19" t="s">
        <v>1080</v>
      </c>
      <c r="C1404" s="20" t="s">
        <v>1081</v>
      </c>
      <c r="D1404" s="21" t="s">
        <v>1441</v>
      </c>
      <c r="E1404" s="22" t="s">
        <v>1739</v>
      </c>
      <c r="F1404" s="15" t="str">
        <f>_xlfn.XLOOKUP(D1404,[5]Sheet2!$C:$C,[5]Sheet2!$E:$E,"-")</f>
        <v>Luhur Setya Budi</v>
      </c>
    </row>
    <row r="1405" spans="2:6">
      <c r="B1405" s="19" t="s">
        <v>1080</v>
      </c>
      <c r="C1405" s="20" t="s">
        <v>1081</v>
      </c>
      <c r="D1405" s="21" t="s">
        <v>1442</v>
      </c>
      <c r="E1405" s="22" t="s">
        <v>1739</v>
      </c>
      <c r="F1405" s="15" t="str">
        <f>_xlfn.XLOOKUP(D1405,[5]Sheet2!$C:$C,[5]Sheet2!$E:$E,"-")</f>
        <v>Rundi Atmoko</v>
      </c>
    </row>
    <row r="1406" spans="2:6">
      <c r="B1406" s="19" t="s">
        <v>1080</v>
      </c>
      <c r="C1406" s="20" t="s">
        <v>1081</v>
      </c>
      <c r="D1406" s="21" t="s">
        <v>1443</v>
      </c>
      <c r="E1406" s="22" t="s">
        <v>1739</v>
      </c>
      <c r="F1406" s="15" t="str">
        <f>_xlfn.XLOOKUP(D1406,[5]Sheet2!$C:$C,[5]Sheet2!$E:$E,"-")</f>
        <v>Rundi Atmoko</v>
      </c>
    </row>
    <row r="1407" spans="2:6">
      <c r="B1407" s="19" t="s">
        <v>1080</v>
      </c>
      <c r="C1407" s="20" t="s">
        <v>1081</v>
      </c>
      <c r="D1407" s="21" t="s">
        <v>1444</v>
      </c>
      <c r="E1407" s="22" t="s">
        <v>1739</v>
      </c>
      <c r="F1407" s="15" t="str">
        <f>_xlfn.XLOOKUP(D1407,[5]Sheet2!$C:$C,[5]Sheet2!$E:$E,"-")</f>
        <v>Luhur Setya Budi</v>
      </c>
    </row>
    <row r="1408" spans="2:6">
      <c r="B1408" s="19" t="s">
        <v>1080</v>
      </c>
      <c r="C1408" s="20" t="s">
        <v>1081</v>
      </c>
      <c r="D1408" s="21" t="s">
        <v>1445</v>
      </c>
      <c r="E1408" s="22" t="s">
        <v>1716</v>
      </c>
      <c r="F1408" s="15" t="str">
        <f>_xlfn.XLOOKUP(D1408,[5]Sheet2!$C:$C,[5]Sheet2!$E:$E,"-")</f>
        <v>Alvin Aviandika Aksanah Pu</v>
      </c>
    </row>
    <row r="1409" spans="2:6">
      <c r="B1409" s="19" t="s">
        <v>1080</v>
      </c>
      <c r="C1409" s="20" t="s">
        <v>1081</v>
      </c>
      <c r="D1409" s="21" t="s">
        <v>1446</v>
      </c>
      <c r="E1409" s="22" t="s">
        <v>1739</v>
      </c>
      <c r="F1409" s="15" t="str">
        <f>_xlfn.XLOOKUP(D1409,[5]Sheet2!$C:$C,[5]Sheet2!$E:$E,"-")</f>
        <v>Muhammad Ikhwanul Masruri</v>
      </c>
    </row>
    <row r="1410" spans="2:6">
      <c r="B1410" s="19" t="s">
        <v>1080</v>
      </c>
      <c r="C1410" s="20" t="s">
        <v>1081</v>
      </c>
      <c r="D1410" s="21" t="s">
        <v>1447</v>
      </c>
      <c r="E1410" s="22" t="s">
        <v>1716</v>
      </c>
      <c r="F1410" s="15" t="str">
        <f>_xlfn.XLOOKUP(D1410,[5]Sheet2!$C:$C,[5]Sheet2!$E:$E,"-")</f>
        <v>-</v>
      </c>
    </row>
    <row r="1411" spans="2:6">
      <c r="B1411" s="19" t="s">
        <v>1080</v>
      </c>
      <c r="C1411" s="20" t="s">
        <v>1081</v>
      </c>
      <c r="D1411" s="21" t="s">
        <v>1448</v>
      </c>
      <c r="E1411" s="22" t="s">
        <v>1716</v>
      </c>
      <c r="F1411" s="15" t="str">
        <f>_xlfn.XLOOKUP(D1411,[5]Sheet2!$C:$C,[5]Sheet2!$E:$E,"-")</f>
        <v>-</v>
      </c>
    </row>
    <row r="1412" spans="2:6">
      <c r="B1412" s="19" t="s">
        <v>1449</v>
      </c>
      <c r="C1412" s="20" t="s">
        <v>1450</v>
      </c>
      <c r="D1412" s="21" t="s">
        <v>1451</v>
      </c>
      <c r="E1412" s="22" t="s">
        <v>1739</v>
      </c>
      <c r="F1412" s="15" t="str">
        <f>_xlfn.XLOOKUP(D1412,[4]ALL!$C:$C,[4]ALL!$N:$N,"Tidak Ditemukan")</f>
        <v>KADEK DWIPA ANGGARASTRA</v>
      </c>
    </row>
    <row r="1413" spans="2:6">
      <c r="B1413" s="19" t="s">
        <v>1449</v>
      </c>
      <c r="C1413" s="20" t="s">
        <v>1450</v>
      </c>
      <c r="D1413" s="21" t="s">
        <v>1452</v>
      </c>
      <c r="E1413" s="22" t="s">
        <v>1739</v>
      </c>
      <c r="F1413" s="15" t="str">
        <f>_xlfn.XLOOKUP(D1413,[4]ALL!$C:$C,[4]ALL!$N:$N,"Tidak Ditemukan")</f>
        <v>NI WAYAN ELSA SEPTIANA INDRIANI</v>
      </c>
    </row>
    <row r="1414" spans="2:6">
      <c r="B1414" s="19" t="s">
        <v>1449</v>
      </c>
      <c r="C1414" s="20" t="s">
        <v>1450</v>
      </c>
      <c r="D1414" s="21" t="s">
        <v>1453</v>
      </c>
      <c r="E1414" s="22" t="s">
        <v>1739</v>
      </c>
      <c r="F1414" s="15" t="str">
        <f>_xlfn.XLOOKUP(D1414,[4]ALL!$C:$C,[4]ALL!$N:$N,"Tidak Ditemukan")</f>
        <v>DEAR RAMOS DAMANIK</v>
      </c>
    </row>
    <row r="1415" spans="2:6">
      <c r="B1415" s="19" t="s">
        <v>1449</v>
      </c>
      <c r="C1415" s="20" t="s">
        <v>1450</v>
      </c>
      <c r="D1415" s="21" t="s">
        <v>1454</v>
      </c>
      <c r="E1415" s="22" t="s">
        <v>1739</v>
      </c>
      <c r="F1415" s="15" t="str">
        <f>_xlfn.XLOOKUP(D1415,[4]ALL!$C:$C,[4]ALL!$N:$N,"Tidak Ditemukan")</f>
        <v>DWIKY REZA ARDANI WINAHARA</v>
      </c>
    </row>
    <row r="1416" spans="2:6">
      <c r="B1416" s="19" t="s">
        <v>1449</v>
      </c>
      <c r="C1416" s="20" t="s">
        <v>1450</v>
      </c>
      <c r="D1416" s="21" t="s">
        <v>1455</v>
      </c>
      <c r="E1416" s="22" t="s">
        <v>1739</v>
      </c>
      <c r="F1416" s="15" t="str">
        <f>_xlfn.XLOOKUP(D1416,[4]ALL!$C:$C,[4]ALL!$N:$N,"Tidak Ditemukan")</f>
        <v>NI WAYAN ELSA SEPTIANA INDRIANI</v>
      </c>
    </row>
    <row r="1417" spans="2:6">
      <c r="B1417" s="19" t="s">
        <v>1449</v>
      </c>
      <c r="C1417" s="20" t="s">
        <v>1450</v>
      </c>
      <c r="D1417" s="21" t="s">
        <v>1456</v>
      </c>
      <c r="E1417" s="22" t="s">
        <v>1739</v>
      </c>
      <c r="F1417" s="15" t="str">
        <f>_xlfn.XLOOKUP(D1417,[4]ALL!$C:$C,[4]ALL!$N:$N,"Tidak Ditemukan")</f>
        <v>NI PUTU DEWI LASTINI</v>
      </c>
    </row>
    <row r="1418" spans="2:6">
      <c r="B1418" s="19" t="s">
        <v>1449</v>
      </c>
      <c r="C1418" s="20" t="s">
        <v>1450</v>
      </c>
      <c r="D1418" s="21" t="s">
        <v>1457</v>
      </c>
      <c r="E1418" s="22" t="s">
        <v>1739</v>
      </c>
      <c r="F1418" s="15" t="str">
        <f>_xlfn.XLOOKUP(D1418,[4]ALL!$C:$C,[4]ALL!$N:$N,"Tidak Ditemukan")</f>
        <v>NI WAYAN ELSA SEPTIANA INDRIANI</v>
      </c>
    </row>
    <row r="1419" spans="2:6">
      <c r="B1419" s="19" t="s">
        <v>1449</v>
      </c>
      <c r="C1419" s="20" t="s">
        <v>1450</v>
      </c>
      <c r="D1419" s="21" t="s">
        <v>1458</v>
      </c>
      <c r="E1419" s="22" t="s">
        <v>1739</v>
      </c>
      <c r="F1419" s="15" t="str">
        <f>_xlfn.XLOOKUP(D1419,[4]ALL!$C:$C,[4]ALL!$N:$N,"Tidak Ditemukan")</f>
        <v>GUSTI NGURAH ARY RAKA DARMAYASA, SE.MM</v>
      </c>
    </row>
    <row r="1420" spans="2:6">
      <c r="B1420" s="19" t="s">
        <v>1449</v>
      </c>
      <c r="C1420" s="20" t="s">
        <v>1450</v>
      </c>
      <c r="D1420" s="21" t="s">
        <v>1459</v>
      </c>
      <c r="E1420" s="22" t="s">
        <v>1739</v>
      </c>
      <c r="F1420" s="15" t="str">
        <f>_xlfn.XLOOKUP(D1420,[4]ALL!$C:$C,[4]ALL!$N:$N,"Tidak Ditemukan")</f>
        <v>NI PUTU DEWI LASTINI</v>
      </c>
    </row>
    <row r="1421" spans="2:6">
      <c r="B1421" s="19" t="s">
        <v>1449</v>
      </c>
      <c r="C1421" s="20" t="s">
        <v>1450</v>
      </c>
      <c r="D1421" s="21" t="s">
        <v>1460</v>
      </c>
      <c r="E1421" s="22" t="s">
        <v>1739</v>
      </c>
      <c r="F1421" s="15" t="str">
        <f>_xlfn.XLOOKUP(D1421,[4]ALL!$C:$C,[4]ALL!$N:$N,"Tidak Ditemukan")</f>
        <v>AGUS PRADNYANA</v>
      </c>
    </row>
    <row r="1422" spans="2:6">
      <c r="B1422" s="19" t="s">
        <v>1449</v>
      </c>
      <c r="C1422" s="20" t="s">
        <v>1450</v>
      </c>
      <c r="D1422" s="21" t="s">
        <v>1461</v>
      </c>
      <c r="E1422" s="22" t="s">
        <v>1739</v>
      </c>
      <c r="F1422" s="15" t="str">
        <f>_xlfn.XLOOKUP(D1422,[4]ALL!$C:$C,[4]ALL!$N:$N,"Tidak Ditemukan")</f>
        <v>NI WAYAN ELSA SEPTIANA INDRIANI</v>
      </c>
    </row>
    <row r="1423" spans="2:6">
      <c r="B1423" s="19" t="s">
        <v>1449</v>
      </c>
      <c r="C1423" s="20" t="s">
        <v>1450</v>
      </c>
      <c r="D1423" s="21" t="s">
        <v>1462</v>
      </c>
      <c r="E1423" s="22" t="s">
        <v>1739</v>
      </c>
      <c r="F1423" s="15" t="str">
        <f>_xlfn.XLOOKUP(D1423,[4]ALL!$C:$C,[4]ALL!$N:$N,"Tidak Ditemukan")</f>
        <v>I Gd Andika Adi Prasetya Murya</v>
      </c>
    </row>
    <row r="1424" spans="2:6">
      <c r="B1424" s="19" t="s">
        <v>1449</v>
      </c>
      <c r="C1424" s="20" t="s">
        <v>1450</v>
      </c>
      <c r="D1424" s="21" t="s">
        <v>1463</v>
      </c>
      <c r="E1424" s="22" t="s">
        <v>1739</v>
      </c>
      <c r="F1424" s="15" t="str">
        <f>_xlfn.XLOOKUP(D1424,[4]ALL!$C:$C,[4]ALL!$N:$N,"Tidak Ditemukan")</f>
        <v>DWIKY REZA ARDANI WINAHARA</v>
      </c>
    </row>
    <row r="1425" spans="2:6">
      <c r="B1425" s="19" t="s">
        <v>1449</v>
      </c>
      <c r="C1425" s="20" t="s">
        <v>1450</v>
      </c>
      <c r="D1425" s="21" t="s">
        <v>1464</v>
      </c>
      <c r="E1425" s="22" t="s">
        <v>1739</v>
      </c>
      <c r="F1425" s="15" t="str">
        <f>_xlfn.XLOOKUP(D1425,[4]ALL!$C:$C,[4]ALL!$N:$N,"Tidak Ditemukan")</f>
        <v>NI WAYAN ELSA SEPTIANA INDRIANI</v>
      </c>
    </row>
    <row r="1426" spans="2:6">
      <c r="B1426" s="19" t="s">
        <v>1449</v>
      </c>
      <c r="C1426" s="20" t="s">
        <v>1450</v>
      </c>
      <c r="D1426" s="21" t="s">
        <v>1465</v>
      </c>
      <c r="E1426" s="22" t="s">
        <v>1739</v>
      </c>
      <c r="F1426" s="15" t="str">
        <f>_xlfn.XLOOKUP(D1426,[4]ALL!$C:$C,[4]ALL!$N:$N,"Tidak Ditemukan")</f>
        <v>GUSTI NGURAH ARY RAKA DARMAYASA, SE.MM</v>
      </c>
    </row>
    <row r="1427" spans="2:6">
      <c r="B1427" s="19" t="s">
        <v>1449</v>
      </c>
      <c r="C1427" s="20" t="s">
        <v>1450</v>
      </c>
      <c r="D1427" s="21" t="s">
        <v>1466</v>
      </c>
      <c r="E1427" s="22" t="s">
        <v>1739</v>
      </c>
      <c r="F1427" s="15" t="str">
        <f>_xlfn.XLOOKUP(D1427,[4]ALL!$C:$C,[4]ALL!$N:$N,"Tidak Ditemukan")</f>
        <v>YUNAN FURQONA RAMADHANI</v>
      </c>
    </row>
    <row r="1428" spans="2:6">
      <c r="B1428" s="19" t="s">
        <v>1449</v>
      </c>
      <c r="C1428" s="20" t="s">
        <v>1450</v>
      </c>
      <c r="D1428" s="21" t="s">
        <v>1467</v>
      </c>
      <c r="E1428" s="22" t="s">
        <v>1739</v>
      </c>
      <c r="F1428" s="15" t="str">
        <f>_xlfn.XLOOKUP(D1428,[4]ALL!$C:$C,[4]ALL!$N:$N,"Tidak Ditemukan")</f>
        <v>KADEK DWIPA ANGGARASTRA</v>
      </c>
    </row>
    <row r="1429" spans="2:6">
      <c r="B1429" s="19" t="s">
        <v>1449</v>
      </c>
      <c r="C1429" s="20" t="s">
        <v>1450</v>
      </c>
      <c r="D1429" s="21" t="s">
        <v>1468</v>
      </c>
      <c r="E1429" s="22" t="s">
        <v>1739</v>
      </c>
      <c r="F1429" s="15" t="str">
        <f>_xlfn.XLOOKUP(D1429,[4]ALL!$C:$C,[4]ALL!$N:$N,"Tidak Ditemukan")</f>
        <v>I GEDE BAGUS ADI SURYAWAN , ST</v>
      </c>
    </row>
    <row r="1430" spans="2:6">
      <c r="B1430" s="19" t="s">
        <v>1449</v>
      </c>
      <c r="C1430" s="20" t="s">
        <v>1450</v>
      </c>
      <c r="D1430" s="21" t="s">
        <v>1469</v>
      </c>
      <c r="E1430" s="22" t="s">
        <v>1739</v>
      </c>
      <c r="F1430" s="15" t="str">
        <f>_xlfn.XLOOKUP(D1430,[4]ALL!$C:$C,[4]ALL!$N:$N,"Tidak Ditemukan")</f>
        <v>NI PUTU DEWI LASTINI</v>
      </c>
    </row>
    <row r="1431" spans="2:6">
      <c r="B1431" s="19" t="s">
        <v>1449</v>
      </c>
      <c r="C1431" s="20" t="s">
        <v>1450</v>
      </c>
      <c r="D1431" s="21" t="s">
        <v>1470</v>
      </c>
      <c r="E1431" s="22" t="s">
        <v>1739</v>
      </c>
      <c r="F1431" s="15" t="str">
        <f>_xlfn.XLOOKUP(D1431,[4]ALL!$C:$C,[4]ALL!$N:$N,"Tidak Ditemukan")</f>
        <v>Suhardi </v>
      </c>
    </row>
    <row r="1432" spans="2:6">
      <c r="B1432" s="19" t="s">
        <v>1449</v>
      </c>
      <c r="C1432" s="20" t="s">
        <v>1450</v>
      </c>
      <c r="D1432" s="21" t="s">
        <v>1471</v>
      </c>
      <c r="E1432" s="22" t="s">
        <v>1739</v>
      </c>
      <c r="F1432" s="15" t="str">
        <f>_xlfn.XLOOKUP(D1432,[4]ALL!$C:$C,[4]ALL!$N:$N,"Tidak Ditemukan")</f>
        <v>DEAR RAMOS DAMANIK</v>
      </c>
    </row>
    <row r="1433" spans="2:6">
      <c r="B1433" s="19" t="s">
        <v>1449</v>
      </c>
      <c r="C1433" s="20" t="s">
        <v>1450</v>
      </c>
      <c r="D1433" s="21" t="s">
        <v>1472</v>
      </c>
      <c r="E1433" s="22" t="s">
        <v>1739</v>
      </c>
      <c r="F1433" s="15" t="str">
        <f>_xlfn.XLOOKUP(D1433,[4]ALL!$C:$C,[4]ALL!$N:$N,"Tidak Ditemukan")</f>
        <v>KADEK DWIPA ANGGARASTRA</v>
      </c>
    </row>
    <row r="1434" spans="2:6">
      <c r="B1434" s="19" t="s">
        <v>1449</v>
      </c>
      <c r="C1434" s="20" t="s">
        <v>1450</v>
      </c>
      <c r="D1434" s="21" t="s">
        <v>1473</v>
      </c>
      <c r="E1434" s="22" t="s">
        <v>1739</v>
      </c>
      <c r="F1434" s="15" t="str">
        <f>_xlfn.XLOOKUP(D1434,[4]ALL!$C:$C,[4]ALL!$N:$N,"Tidak Ditemukan")</f>
        <v>I GEDE BAGUS ADI SURYAWAN , ST</v>
      </c>
    </row>
    <row r="1435" spans="2:6">
      <c r="B1435" s="19" t="s">
        <v>1449</v>
      </c>
      <c r="C1435" s="20" t="s">
        <v>1450</v>
      </c>
      <c r="D1435" s="21" t="s">
        <v>1474</v>
      </c>
      <c r="E1435" s="22" t="s">
        <v>1739</v>
      </c>
      <c r="F1435" s="15" t="str">
        <f>_xlfn.XLOOKUP(D1435,[4]ALL!$C:$C,[4]ALL!$N:$N,"Tidak Ditemukan")</f>
        <v>I GEDE BAGUS ADI SURYAWAN , ST</v>
      </c>
    </row>
    <row r="1436" spans="2:6">
      <c r="B1436" s="19" t="s">
        <v>1449</v>
      </c>
      <c r="C1436" s="20" t="s">
        <v>1450</v>
      </c>
      <c r="D1436" s="21" t="s">
        <v>1475</v>
      </c>
      <c r="E1436" s="22" t="s">
        <v>1739</v>
      </c>
      <c r="F1436" s="15" t="str">
        <f>_xlfn.XLOOKUP(D1436,[4]ALL!$C:$C,[4]ALL!$N:$N,"Tidak Ditemukan")</f>
        <v>Abi Hilmawan</v>
      </c>
    </row>
    <row r="1437" spans="2:6">
      <c r="B1437" s="19" t="s">
        <v>1449</v>
      </c>
      <c r="C1437" s="20" t="s">
        <v>1450</v>
      </c>
      <c r="D1437" s="21" t="s">
        <v>1476</v>
      </c>
      <c r="E1437" s="22" t="s">
        <v>1739</v>
      </c>
      <c r="F1437" s="15" t="str">
        <f>_xlfn.XLOOKUP(D1437,[4]ALL!$C:$C,[4]ALL!$N:$N,"Tidak Ditemukan")</f>
        <v>I KOMANG FERI INDRAJAYA</v>
      </c>
    </row>
    <row r="1438" spans="2:6">
      <c r="B1438" s="19" t="s">
        <v>1449</v>
      </c>
      <c r="C1438" s="20" t="s">
        <v>1450</v>
      </c>
      <c r="D1438" s="21" t="s">
        <v>1477</v>
      </c>
      <c r="E1438" s="22" t="s">
        <v>1739</v>
      </c>
      <c r="F1438" s="15" t="str">
        <f>_xlfn.XLOOKUP(D1438,[4]ALL!$C:$C,[4]ALL!$N:$N,"Tidak Ditemukan")</f>
        <v>MUHAMMAD JUMADIL</v>
      </c>
    </row>
    <row r="1439" spans="2:6">
      <c r="B1439" s="19" t="s">
        <v>1449</v>
      </c>
      <c r="C1439" s="20" t="s">
        <v>1450</v>
      </c>
      <c r="D1439" s="21" t="s">
        <v>1478</v>
      </c>
      <c r="E1439" s="22" t="s">
        <v>1739</v>
      </c>
      <c r="F1439" s="15" t="str">
        <f>_xlfn.XLOOKUP(D1439,[4]ALL!$C:$C,[4]ALL!$N:$N,"Tidak Ditemukan")</f>
        <v>KADEK DWIPA ANGGARASTRA</v>
      </c>
    </row>
    <row r="1440" spans="2:6">
      <c r="B1440" s="19" t="s">
        <v>1449</v>
      </c>
      <c r="C1440" s="20" t="s">
        <v>1450</v>
      </c>
      <c r="D1440" s="21" t="s">
        <v>1479</v>
      </c>
      <c r="E1440" s="22" t="s">
        <v>1739</v>
      </c>
      <c r="F1440" s="15" t="str">
        <f>_xlfn.XLOOKUP(D1440,[4]ALL!$C:$C,[4]ALL!$N:$N,"Tidak Ditemukan")</f>
        <v>GUSTI NGURAH ARY RAKA DARMAYASA, SE.MM</v>
      </c>
    </row>
    <row r="1441" spans="2:6">
      <c r="B1441" s="19" t="s">
        <v>1449</v>
      </c>
      <c r="C1441" s="20" t="s">
        <v>1450</v>
      </c>
      <c r="D1441" s="21" t="s">
        <v>1480</v>
      </c>
      <c r="E1441" s="22" t="s">
        <v>1739</v>
      </c>
      <c r="F1441" s="15" t="str">
        <f>_xlfn.XLOOKUP(D1441,[4]ALL!$C:$C,[4]ALL!$N:$N,"Tidak Ditemukan")</f>
        <v>DWIKY REZA ARDANI WINAHARA</v>
      </c>
    </row>
    <row r="1442" spans="2:6">
      <c r="B1442" s="19" t="s">
        <v>1449</v>
      </c>
      <c r="C1442" s="20" t="s">
        <v>1450</v>
      </c>
      <c r="D1442" s="21" t="s">
        <v>1481</v>
      </c>
      <c r="E1442" s="22" t="s">
        <v>1739</v>
      </c>
      <c r="F1442" s="15" t="str">
        <f>_xlfn.XLOOKUP(D1442,[4]ALL!$C:$C,[4]ALL!$N:$N,"Tidak Ditemukan")</f>
        <v>NI WAYAN ELSA SEPTIANA INDRIANI</v>
      </c>
    </row>
    <row r="1443" spans="2:6">
      <c r="B1443" s="19" t="s">
        <v>1449</v>
      </c>
      <c r="C1443" s="20" t="s">
        <v>1450</v>
      </c>
      <c r="D1443" s="21" t="s">
        <v>1482</v>
      </c>
      <c r="E1443" s="22" t="s">
        <v>1739</v>
      </c>
      <c r="F1443" s="15" t="str">
        <f>_xlfn.XLOOKUP(D1443,[4]ALL!$C:$C,[4]ALL!$N:$N,"Tidak Ditemukan")</f>
        <v>GUSTI NGURAH ARY RAKA DARMAYASA, SE.MM</v>
      </c>
    </row>
    <row r="1444" spans="2:6">
      <c r="B1444" s="19" t="s">
        <v>1449</v>
      </c>
      <c r="C1444" s="20" t="s">
        <v>1450</v>
      </c>
      <c r="D1444" s="21" t="s">
        <v>1483</v>
      </c>
      <c r="E1444" s="22" t="s">
        <v>1739</v>
      </c>
      <c r="F1444" s="15" t="str">
        <f>_xlfn.XLOOKUP(D1444,[4]ALL!$C:$C,[4]ALL!$N:$N,"Tidak Ditemukan")</f>
        <v>GUSTI NGURAH ARY RAKA DARMAYASA, SE.MM</v>
      </c>
    </row>
    <row r="1445" spans="2:6">
      <c r="B1445" s="19" t="s">
        <v>1449</v>
      </c>
      <c r="C1445" s="20" t="s">
        <v>1450</v>
      </c>
      <c r="D1445" s="21" t="s">
        <v>1484</v>
      </c>
      <c r="E1445" s="22" t="s">
        <v>1739</v>
      </c>
      <c r="F1445" s="15" t="str">
        <f>_xlfn.XLOOKUP(D1445,[4]ALL!$C:$C,[4]ALL!$N:$N,"Tidak Ditemukan")</f>
        <v>NI WAYAN ELSA SEPTIANA INDRIANI</v>
      </c>
    </row>
    <row r="1446" spans="2:6">
      <c r="B1446" s="19" t="s">
        <v>1449</v>
      </c>
      <c r="C1446" s="20" t="s">
        <v>1450</v>
      </c>
      <c r="D1446" s="21" t="s">
        <v>1485</v>
      </c>
      <c r="E1446" s="22" t="s">
        <v>1739</v>
      </c>
      <c r="F1446" s="15" t="str">
        <f>_xlfn.XLOOKUP(D1446,[4]ALL!$C:$C,[4]ALL!$N:$N,"Tidak Ditemukan")</f>
        <v>KADEK DWIPA ANGGARASTRA</v>
      </c>
    </row>
    <row r="1447" spans="2:6">
      <c r="B1447" s="19" t="s">
        <v>1449</v>
      </c>
      <c r="C1447" s="20" t="s">
        <v>1450</v>
      </c>
      <c r="D1447" s="21" t="s">
        <v>1486</v>
      </c>
      <c r="E1447" s="22" t="s">
        <v>1716</v>
      </c>
      <c r="F1447" s="15" t="str">
        <f>_xlfn.XLOOKUP(D1447,[4]ALL!$C:$C,[4]ALL!$N:$N,"Tidak Ditemukan")</f>
        <v>MUHAMMAD TONY NUGRAHA</v>
      </c>
    </row>
    <row r="1448" spans="2:6">
      <c r="B1448" s="19" t="s">
        <v>1449</v>
      </c>
      <c r="C1448" s="20" t="s">
        <v>1450</v>
      </c>
      <c r="D1448" s="21" t="s">
        <v>1487</v>
      </c>
      <c r="E1448" s="22" t="s">
        <v>1716</v>
      </c>
      <c r="F1448" s="15" t="str">
        <f>_xlfn.XLOOKUP(D1448,[4]ALL!$C:$C,[4]ALL!$N:$N,"Tidak Ditemukan")</f>
        <v>Abi Hilmawan</v>
      </c>
    </row>
    <row r="1449" spans="2:6">
      <c r="B1449" s="19" t="s">
        <v>1449</v>
      </c>
      <c r="C1449" s="20" t="s">
        <v>1450</v>
      </c>
      <c r="D1449" s="21" t="s">
        <v>1488</v>
      </c>
      <c r="E1449" s="22" t="s">
        <v>1716</v>
      </c>
      <c r="F1449" s="15" t="str">
        <f>_xlfn.XLOOKUP(D1449,[4]ALL!$C:$C,[4]ALL!$N:$N,"Tidak Ditemukan")</f>
        <v>CICI TRISNAWATI NGGILLI</v>
      </c>
    </row>
    <row r="1450" spans="2:6">
      <c r="B1450" s="19" t="s">
        <v>1449</v>
      </c>
      <c r="C1450" s="20" t="s">
        <v>1450</v>
      </c>
      <c r="D1450" s="21" t="s">
        <v>1489</v>
      </c>
      <c r="E1450" s="22" t="s">
        <v>1716</v>
      </c>
      <c r="F1450" s="15" t="str">
        <f>_xlfn.XLOOKUP(D1450,[4]ALL!$C:$C,[4]ALL!$N:$N,"Tidak Ditemukan")</f>
        <v>PETRUS TRIMULIA WANGGA DALA</v>
      </c>
    </row>
    <row r="1451" spans="2:6">
      <c r="B1451" s="19" t="s">
        <v>1449</v>
      </c>
      <c r="C1451" s="20" t="s">
        <v>1450</v>
      </c>
      <c r="D1451" s="21" t="s">
        <v>1490</v>
      </c>
      <c r="E1451" s="22" t="s">
        <v>1716</v>
      </c>
      <c r="F1451" s="15" t="str">
        <f>_xlfn.XLOOKUP(D1451,[4]ALL!$C:$C,[4]ALL!$N:$N,"Tidak Ditemukan")</f>
        <v>SYARIFUDDIN</v>
      </c>
    </row>
    <row r="1452" spans="2:6">
      <c r="B1452" s="19" t="s">
        <v>1449</v>
      </c>
      <c r="C1452" s="20" t="s">
        <v>1450</v>
      </c>
      <c r="D1452" s="21" t="s">
        <v>1491</v>
      </c>
      <c r="E1452" s="22" t="s">
        <v>1716</v>
      </c>
      <c r="F1452" s="15" t="str">
        <f>_xlfn.XLOOKUP(D1452,[4]ALL!$C:$C,[4]ALL!$N:$N,"Tidak Ditemukan")</f>
        <v>Suhardi </v>
      </c>
    </row>
    <row r="1453" spans="2:6">
      <c r="B1453" s="19" t="s">
        <v>1449</v>
      </c>
      <c r="C1453" s="20" t="s">
        <v>1450</v>
      </c>
      <c r="D1453" s="21" t="s">
        <v>1492</v>
      </c>
      <c r="E1453" s="22" t="s">
        <v>1716</v>
      </c>
      <c r="F1453" s="15" t="str">
        <f>_xlfn.XLOOKUP(D1453,[4]ALL!$C:$C,[4]ALL!$N:$N,"Tidak Ditemukan")</f>
        <v>M. SALAHUDIN</v>
      </c>
    </row>
    <row r="1454" spans="2:6">
      <c r="B1454" s="19" t="s">
        <v>1449</v>
      </c>
      <c r="C1454" s="20" t="s">
        <v>1450</v>
      </c>
      <c r="D1454" s="21" t="s">
        <v>1493</v>
      </c>
      <c r="E1454" s="22" t="s">
        <v>1716</v>
      </c>
      <c r="F1454" s="15" t="str">
        <f>_xlfn.XLOOKUP(D1454,[4]ALL!$C:$C,[4]ALL!$N:$N,"Tidak Ditemukan")</f>
        <v>Abi Hilmawan</v>
      </c>
    </row>
    <row r="1455" spans="2:6">
      <c r="B1455" s="19" t="s">
        <v>1449</v>
      </c>
      <c r="C1455" s="20" t="s">
        <v>1450</v>
      </c>
      <c r="D1455" s="21" t="s">
        <v>1494</v>
      </c>
      <c r="E1455" s="22" t="s">
        <v>1716</v>
      </c>
      <c r="F1455" s="15" t="str">
        <f>_xlfn.XLOOKUP(D1455,[4]ALL!$C:$C,[4]ALL!$N:$N,"Tidak Ditemukan")</f>
        <v>RITA HERMAWATI</v>
      </c>
    </row>
    <row r="1456" spans="2:6">
      <c r="B1456" s="19" t="s">
        <v>1449</v>
      </c>
      <c r="C1456" s="20" t="s">
        <v>1450</v>
      </c>
      <c r="D1456" s="21" t="s">
        <v>1495</v>
      </c>
      <c r="E1456" s="22" t="s">
        <v>1716</v>
      </c>
      <c r="F1456" s="15" t="str">
        <f>_xlfn.XLOOKUP(D1456,[4]ALL!$C:$C,[4]ALL!$N:$N,"Tidak Ditemukan")</f>
        <v>DENI SUSATYO</v>
      </c>
    </row>
    <row r="1457" spans="2:6">
      <c r="B1457" s="19" t="s">
        <v>1449</v>
      </c>
      <c r="C1457" s="20" t="s">
        <v>1450</v>
      </c>
      <c r="D1457" s="21" t="s">
        <v>1496</v>
      </c>
      <c r="E1457" s="22" t="s">
        <v>1716</v>
      </c>
      <c r="F1457" s="15" t="str">
        <f>_xlfn.XLOOKUP(D1457,[4]ALL!$C:$C,[4]ALL!$N:$N,"Tidak Ditemukan")</f>
        <v>MUHAMMAD TONY NUGRAHA</v>
      </c>
    </row>
    <row r="1458" spans="2:6">
      <c r="B1458" s="19" t="s">
        <v>1449</v>
      </c>
      <c r="C1458" s="20" t="s">
        <v>1450</v>
      </c>
      <c r="D1458" s="21" t="s">
        <v>1497</v>
      </c>
      <c r="E1458" s="22" t="s">
        <v>1716</v>
      </c>
      <c r="F1458" s="15" t="str">
        <f>_xlfn.XLOOKUP(D1458,[4]ALL!$C:$C,[4]ALL!$N:$N,"Tidak Ditemukan")</f>
        <v>MUHAMMAD JUMADIL</v>
      </c>
    </row>
    <row r="1459" spans="2:6">
      <c r="B1459" s="19" t="s">
        <v>1449</v>
      </c>
      <c r="C1459" s="20" t="s">
        <v>1450</v>
      </c>
      <c r="D1459" s="21" t="s">
        <v>1498</v>
      </c>
      <c r="E1459" s="22" t="s">
        <v>1716</v>
      </c>
      <c r="F1459" s="15" t="str">
        <f>_xlfn.XLOOKUP(D1459,[4]ALL!$C:$C,[4]ALL!$N:$N,"Tidak Ditemukan")</f>
        <v>EKAYASA EBENHAEZER SANDY KALLA</v>
      </c>
    </row>
    <row r="1460" spans="2:6">
      <c r="B1460" s="19" t="s">
        <v>1449</v>
      </c>
      <c r="C1460" s="20" t="s">
        <v>1450</v>
      </c>
      <c r="D1460" s="21" t="s">
        <v>1499</v>
      </c>
      <c r="E1460" s="22" t="s">
        <v>1716</v>
      </c>
      <c r="F1460" s="15" t="str">
        <f>_xlfn.XLOOKUP(D1460,[4]ALL!$C:$C,[4]ALL!$N:$N,"Tidak Ditemukan")</f>
        <v>CICI TRISNAWATI NGGILLI</v>
      </c>
    </row>
    <row r="1461" spans="2:6">
      <c r="B1461" s="19" t="s">
        <v>1449</v>
      </c>
      <c r="C1461" s="20" t="s">
        <v>1450</v>
      </c>
      <c r="D1461" s="21" t="s">
        <v>1500</v>
      </c>
      <c r="E1461" s="22" t="s">
        <v>1716</v>
      </c>
      <c r="F1461" s="15" t="str">
        <f>_xlfn.XLOOKUP(D1461,[4]ALL!$C:$C,[4]ALL!$N:$N,"Tidak Ditemukan")</f>
        <v>ALOYSIUS RIWANTO</v>
      </c>
    </row>
    <row r="1462" spans="2:6">
      <c r="B1462" s="19" t="s">
        <v>1449</v>
      </c>
      <c r="C1462" s="20" t="s">
        <v>1450</v>
      </c>
      <c r="D1462" s="21" t="s">
        <v>1501</v>
      </c>
      <c r="E1462" s="22" t="s">
        <v>1716</v>
      </c>
      <c r="F1462" s="15" t="str">
        <f>_xlfn.XLOOKUP(D1462,[4]ALL!$C:$C,[4]ALL!$N:$N,"Tidak Ditemukan")</f>
        <v>SYARIFUDDIN</v>
      </c>
    </row>
    <row r="1463" spans="2:6">
      <c r="B1463" s="19" t="s">
        <v>1449</v>
      </c>
      <c r="C1463" s="20" t="s">
        <v>1450</v>
      </c>
      <c r="D1463" s="21" t="s">
        <v>1502</v>
      </c>
      <c r="E1463" s="22" t="s">
        <v>1716</v>
      </c>
      <c r="F1463" s="15" t="str">
        <f>_xlfn.XLOOKUP(D1463,[4]ALL!$C:$C,[4]ALL!$N:$N,"Tidak Ditemukan")</f>
        <v>CICI TRISNAWATI NGGILLI</v>
      </c>
    </row>
    <row r="1464" spans="2:6">
      <c r="B1464" s="19" t="s">
        <v>1449</v>
      </c>
      <c r="C1464" s="20" t="s">
        <v>1450</v>
      </c>
      <c r="D1464" s="21" t="s">
        <v>1503</v>
      </c>
      <c r="E1464" s="22" t="s">
        <v>1716</v>
      </c>
      <c r="F1464" s="15" t="str">
        <f>_xlfn.XLOOKUP(D1464,[4]ALL!$C:$C,[4]ALL!$N:$N,"Tidak Ditemukan")</f>
        <v>CICI TRISNAWATI NGGILLI</v>
      </c>
    </row>
    <row r="1465" spans="2:6">
      <c r="B1465" s="19" t="s">
        <v>1449</v>
      </c>
      <c r="C1465" s="20" t="s">
        <v>1450</v>
      </c>
      <c r="D1465" s="21" t="s">
        <v>1504</v>
      </c>
      <c r="E1465" s="22" t="s">
        <v>1716</v>
      </c>
      <c r="F1465" s="15" t="str">
        <f>_xlfn.XLOOKUP(D1465,[4]ALL!$C:$C,[4]ALL!$N:$N,"Tidak Ditemukan")</f>
        <v>PETRUS TRIMULIA WANGGA DALA</v>
      </c>
    </row>
    <row r="1466" spans="2:6">
      <c r="B1466" s="19" t="s">
        <v>1449</v>
      </c>
      <c r="C1466" s="20" t="s">
        <v>1450</v>
      </c>
      <c r="D1466" s="21" t="s">
        <v>1505</v>
      </c>
      <c r="E1466" s="22" t="s">
        <v>1716</v>
      </c>
      <c r="F1466" s="15" t="str">
        <f>_xlfn.XLOOKUP(D1466,[4]ALL!$C:$C,[4]ALL!$N:$N,"Tidak Ditemukan")</f>
        <v>Abi Hilmawan</v>
      </c>
    </row>
    <row r="1467" spans="2:6">
      <c r="B1467" s="19" t="s">
        <v>1449</v>
      </c>
      <c r="C1467" s="20" t="s">
        <v>1450</v>
      </c>
      <c r="D1467" s="21" t="s">
        <v>1506</v>
      </c>
      <c r="E1467" s="22" t="s">
        <v>1716</v>
      </c>
      <c r="F1467" s="15" t="str">
        <f>_xlfn.XLOOKUP(D1467,[4]ALL!$C:$C,[4]ALL!$N:$N,"Tidak Ditemukan")</f>
        <v>CHINDY BIRE</v>
      </c>
    </row>
    <row r="1468" spans="2:6">
      <c r="B1468" s="19" t="s">
        <v>1449</v>
      </c>
      <c r="C1468" s="20" t="s">
        <v>1450</v>
      </c>
      <c r="D1468" s="21" t="s">
        <v>1507</v>
      </c>
      <c r="E1468" s="22" t="s">
        <v>1716</v>
      </c>
      <c r="F1468" s="15" t="str">
        <f>_xlfn.XLOOKUP(D1468,[4]ALL!$C:$C,[4]ALL!$N:$N,"Tidak Ditemukan")</f>
        <v>MANAHAN SIMATUPANG SIBURIAN</v>
      </c>
    </row>
    <row r="1469" spans="2:6">
      <c r="B1469" s="19" t="s">
        <v>1449</v>
      </c>
      <c r="C1469" s="20" t="s">
        <v>1450</v>
      </c>
      <c r="D1469" s="21" t="s">
        <v>1508</v>
      </c>
      <c r="E1469" s="22" t="s">
        <v>1716</v>
      </c>
      <c r="F1469" s="15" t="str">
        <f>_xlfn.XLOOKUP(D1469,[4]ALL!$C:$C,[4]ALL!$N:$N,"Tidak Ditemukan")</f>
        <v>ADRIAN ALFANDION BENU</v>
      </c>
    </row>
    <row r="1470" spans="2:6">
      <c r="B1470" s="19" t="s">
        <v>1449</v>
      </c>
      <c r="C1470" s="20" t="s">
        <v>1450</v>
      </c>
      <c r="D1470" s="21" t="s">
        <v>1509</v>
      </c>
      <c r="E1470" s="22" t="s">
        <v>1716</v>
      </c>
      <c r="F1470" s="15" t="str">
        <f>_xlfn.XLOOKUP(D1470,[4]ALL!$C:$C,[4]ALL!$N:$N,"Tidak Ditemukan")</f>
        <v>MUHAMMAD JUMADIL</v>
      </c>
    </row>
    <row r="1471" spans="2:6">
      <c r="B1471" s="19" t="s">
        <v>1449</v>
      </c>
      <c r="C1471" s="20" t="s">
        <v>1450</v>
      </c>
      <c r="D1471" s="21" t="s">
        <v>1510</v>
      </c>
      <c r="E1471" s="22" t="s">
        <v>1716</v>
      </c>
      <c r="F1471" s="15" t="str">
        <f>_xlfn.XLOOKUP(D1471,[4]ALL!$C:$C,[4]ALL!$N:$N,"Tidak Ditemukan")</f>
        <v>MUHAMMAD JUMADIL</v>
      </c>
    </row>
    <row r="1472" spans="2:6">
      <c r="B1472" s="19" t="s">
        <v>1449</v>
      </c>
      <c r="C1472" s="20" t="s">
        <v>1450</v>
      </c>
      <c r="D1472" s="21" t="s">
        <v>1511</v>
      </c>
      <c r="E1472" s="22" t="s">
        <v>1716</v>
      </c>
      <c r="F1472" s="15" t="str">
        <f>_xlfn.XLOOKUP(D1472,[4]ALL!$C:$C,[4]ALL!$N:$N,"Tidak Ditemukan")</f>
        <v>MUHAMMAD JUMADIL</v>
      </c>
    </row>
    <row r="1473" spans="2:6">
      <c r="B1473" s="19" t="s">
        <v>1449</v>
      </c>
      <c r="C1473" s="20" t="s">
        <v>1450</v>
      </c>
      <c r="D1473" s="21" t="s">
        <v>1512</v>
      </c>
      <c r="E1473" s="22" t="s">
        <v>1716</v>
      </c>
      <c r="F1473" s="15" t="str">
        <f>_xlfn.XLOOKUP(D1473,[4]ALL!$C:$C,[4]ALL!$N:$N,"Tidak Ditemukan")</f>
        <v>CHINDY BIRE</v>
      </c>
    </row>
    <row r="1474" spans="2:6">
      <c r="B1474" s="19" t="s">
        <v>1449</v>
      </c>
      <c r="C1474" s="20" t="s">
        <v>1450</v>
      </c>
      <c r="D1474" s="21" t="s">
        <v>1513</v>
      </c>
      <c r="E1474" s="22" t="s">
        <v>1716</v>
      </c>
      <c r="F1474" s="15" t="str">
        <f>_xlfn.XLOOKUP(D1474,[4]ALL!$C:$C,[4]ALL!$N:$N,"Tidak Ditemukan")</f>
        <v>JUNEIDI ANDRI MANDALA</v>
      </c>
    </row>
    <row r="1475" spans="2:6">
      <c r="B1475" s="19" t="s">
        <v>1449</v>
      </c>
      <c r="C1475" s="20" t="s">
        <v>1450</v>
      </c>
      <c r="D1475" s="21" t="s">
        <v>1514</v>
      </c>
      <c r="E1475" s="22" t="s">
        <v>1716</v>
      </c>
      <c r="F1475" s="15" t="str">
        <f>_xlfn.XLOOKUP(D1475,[4]ALL!$C:$C,[4]ALL!$N:$N,"Tidak Ditemukan")</f>
        <v>FELIX DEMASIUS FOENAY</v>
      </c>
    </row>
    <row r="1476" spans="2:6">
      <c r="B1476" s="19" t="s">
        <v>1449</v>
      </c>
      <c r="C1476" s="20" t="s">
        <v>1450</v>
      </c>
      <c r="D1476" s="21" t="s">
        <v>1515</v>
      </c>
      <c r="E1476" s="22" t="s">
        <v>1716</v>
      </c>
      <c r="F1476" s="15" t="str">
        <f>_xlfn.XLOOKUP(D1476,[4]ALL!$C:$C,[4]ALL!$N:$N,"Tidak Ditemukan")</f>
        <v>MUHAMMAD JUMADIL</v>
      </c>
    </row>
    <row r="1477" spans="2:6">
      <c r="B1477" s="19" t="s">
        <v>1449</v>
      </c>
      <c r="C1477" s="20" t="s">
        <v>1450</v>
      </c>
      <c r="D1477" s="21" t="s">
        <v>1516</v>
      </c>
      <c r="E1477" s="22" t="s">
        <v>1716</v>
      </c>
      <c r="F1477" s="15" t="str">
        <f>_xlfn.XLOOKUP(D1477,[4]ALL!$C:$C,[4]ALL!$N:$N,"Tidak Ditemukan")</f>
        <v>ARMIYATI BULU</v>
      </c>
    </row>
    <row r="1478" spans="2:6">
      <c r="B1478" s="19" t="s">
        <v>1449</v>
      </c>
      <c r="C1478" s="20" t="s">
        <v>1450</v>
      </c>
      <c r="D1478" s="21" t="s">
        <v>1517</v>
      </c>
      <c r="E1478" s="22" t="s">
        <v>1716</v>
      </c>
      <c r="F1478" s="15" t="str">
        <f>_xlfn.XLOOKUP(D1478,[4]ALL!$C:$C,[4]ALL!$N:$N,"Tidak Ditemukan")</f>
        <v>PETRUS TRIMULIA WANGGA DALA</v>
      </c>
    </row>
    <row r="1479" spans="2:6">
      <c r="B1479" s="19" t="s">
        <v>1449</v>
      </c>
      <c r="C1479" s="20" t="s">
        <v>1450</v>
      </c>
      <c r="D1479" s="21" t="s">
        <v>1518</v>
      </c>
      <c r="E1479" s="22" t="s">
        <v>1716</v>
      </c>
      <c r="F1479" s="15" t="str">
        <f>_xlfn.XLOOKUP(D1479,[4]ALL!$C:$C,[4]ALL!$N:$N,"Tidak Ditemukan")</f>
        <v>CICI TRISNAWATI NGGILLI</v>
      </c>
    </row>
    <row r="1480" spans="2:6">
      <c r="B1480" s="19" t="s">
        <v>1449</v>
      </c>
      <c r="C1480" s="20" t="s">
        <v>1450</v>
      </c>
      <c r="D1480" s="21" t="s">
        <v>1519</v>
      </c>
      <c r="E1480" s="22" t="s">
        <v>1716</v>
      </c>
      <c r="F1480" s="15" t="str">
        <f>_xlfn.XLOOKUP(D1480,[4]ALL!$C:$C,[4]ALL!$N:$N,"Tidak Ditemukan")</f>
        <v>MUHAMMAD JUMADIL</v>
      </c>
    </row>
    <row r="1481" spans="2:6">
      <c r="B1481" s="19" t="s">
        <v>1449</v>
      </c>
      <c r="C1481" s="20" t="s">
        <v>1450</v>
      </c>
      <c r="D1481" s="21" t="s">
        <v>1520</v>
      </c>
      <c r="E1481" s="22" t="s">
        <v>1716</v>
      </c>
      <c r="F1481" s="15" t="str">
        <f>_xlfn.XLOOKUP(D1481,[4]ALL!$C:$C,[4]ALL!$N:$N,"Tidak Ditemukan")</f>
        <v>PUTRY PRATIWY ELISABETH KAMEO</v>
      </c>
    </row>
    <row r="1482" spans="2:6">
      <c r="B1482" s="19" t="s">
        <v>1449</v>
      </c>
      <c r="C1482" s="20" t="s">
        <v>1450</v>
      </c>
      <c r="D1482" s="21" t="s">
        <v>1521</v>
      </c>
      <c r="E1482" s="22" t="s">
        <v>1716</v>
      </c>
      <c r="F1482" s="15" t="str">
        <f>_xlfn.XLOOKUP(D1482,[4]ALL!$C:$C,[4]ALL!$N:$N,"Tidak Ditemukan")</f>
        <v>M. SALAHUDIN</v>
      </c>
    </row>
    <row r="1483" spans="2:6">
      <c r="B1483" s="19" t="s">
        <v>1449</v>
      </c>
      <c r="C1483" s="20" t="s">
        <v>1450</v>
      </c>
      <c r="D1483" s="21" t="s">
        <v>1522</v>
      </c>
      <c r="E1483" s="22" t="s">
        <v>1716</v>
      </c>
      <c r="F1483" s="15" t="str">
        <f>_xlfn.XLOOKUP(D1483,[4]ALL!$C:$C,[4]ALL!$N:$N,"Tidak Ditemukan")</f>
        <v>ARMIYATI BULU</v>
      </c>
    </row>
    <row r="1484" spans="2:6">
      <c r="B1484" s="19" t="s">
        <v>1449</v>
      </c>
      <c r="C1484" s="20" t="s">
        <v>1450</v>
      </c>
      <c r="D1484" s="21" t="s">
        <v>1523</v>
      </c>
      <c r="E1484" s="22" t="s">
        <v>1716</v>
      </c>
      <c r="F1484" s="15" t="str">
        <f>_xlfn.XLOOKUP(D1484,[4]ALL!$C:$C,[4]ALL!$N:$N,"Tidak Ditemukan")</f>
        <v>ISMAIL ABDURAHMAN MARO</v>
      </c>
    </row>
    <row r="1485" spans="2:6">
      <c r="B1485" s="19" t="s">
        <v>1449</v>
      </c>
      <c r="C1485" s="20" t="s">
        <v>1450</v>
      </c>
      <c r="D1485" s="21" t="s">
        <v>1524</v>
      </c>
      <c r="E1485" s="22" t="s">
        <v>1716</v>
      </c>
      <c r="F1485" s="15" t="str">
        <f>_xlfn.XLOOKUP(D1485,[4]ALL!$C:$C,[4]ALL!$N:$N,"Tidak Ditemukan")</f>
        <v>ALOYSIUS RIWANTO</v>
      </c>
    </row>
    <row r="1486" spans="2:6">
      <c r="B1486" s="19" t="s">
        <v>1449</v>
      </c>
      <c r="C1486" s="20" t="s">
        <v>1450</v>
      </c>
      <c r="D1486" s="21" t="s">
        <v>1525</v>
      </c>
      <c r="E1486" s="22" t="s">
        <v>1716</v>
      </c>
      <c r="F1486" s="15" t="str">
        <f>_xlfn.XLOOKUP(D1486,[4]ALL!$C:$C,[4]ALL!$N:$N,"Tidak Ditemukan")</f>
        <v>ALOYSIUS RIWANTO</v>
      </c>
    </row>
    <row r="1487" spans="2:6">
      <c r="B1487" s="19" t="s">
        <v>1449</v>
      </c>
      <c r="C1487" s="20" t="s">
        <v>1450</v>
      </c>
      <c r="D1487" s="21" t="s">
        <v>1526</v>
      </c>
      <c r="E1487" s="22" t="s">
        <v>1716</v>
      </c>
      <c r="F1487" s="15" t="str">
        <f>_xlfn.XLOOKUP(D1487,[4]ALL!$C:$C,[4]ALL!$N:$N,"Tidak Ditemukan")</f>
        <v>PETRUS TRIMULIA WANGGA DALA</v>
      </c>
    </row>
    <row r="1488" spans="2:6">
      <c r="B1488" s="19" t="s">
        <v>1449</v>
      </c>
      <c r="C1488" s="20" t="s">
        <v>1450</v>
      </c>
      <c r="D1488" s="21" t="s">
        <v>1527</v>
      </c>
      <c r="E1488" s="22" t="s">
        <v>1716</v>
      </c>
      <c r="F1488" s="15" t="str">
        <f>_xlfn.XLOOKUP(D1488,[4]ALL!$C:$C,[4]ALL!$N:$N,"Tidak Ditemukan")</f>
        <v>ARMIYATI BULU</v>
      </c>
    </row>
    <row r="1489" spans="2:6">
      <c r="B1489" s="19" t="s">
        <v>1449</v>
      </c>
      <c r="C1489" s="20" t="s">
        <v>1450</v>
      </c>
      <c r="D1489" s="21" t="s">
        <v>1528</v>
      </c>
      <c r="E1489" s="22" t="s">
        <v>1716</v>
      </c>
      <c r="F1489" s="15" t="str">
        <f>_xlfn.XLOOKUP(D1489,[4]ALL!$C:$C,[4]ALL!$N:$N,"Tidak Ditemukan")</f>
        <v>ALOYSIUS RIWANTO</v>
      </c>
    </row>
    <row r="1490" spans="2:6">
      <c r="B1490" s="19" t="s">
        <v>1449</v>
      </c>
      <c r="C1490" s="20" t="s">
        <v>1450</v>
      </c>
      <c r="D1490" s="21" t="s">
        <v>1529</v>
      </c>
      <c r="E1490" s="22" t="s">
        <v>1716</v>
      </c>
      <c r="F1490" s="15" t="str">
        <f>_xlfn.XLOOKUP(D1490,[4]ALL!$C:$C,[4]ALL!$N:$N,"Tidak Ditemukan")</f>
        <v>PETRUS TRIMULIA WANGGA DALA</v>
      </c>
    </row>
    <row r="1491" spans="2:6">
      <c r="B1491" s="19" t="s">
        <v>1449</v>
      </c>
      <c r="C1491" s="20" t="s">
        <v>1450</v>
      </c>
      <c r="D1491" s="21" t="s">
        <v>1530</v>
      </c>
      <c r="E1491" s="22" t="s">
        <v>1716</v>
      </c>
      <c r="F1491" s="15" t="str">
        <f>_xlfn.XLOOKUP(D1491,[4]ALL!$C:$C,[4]ALL!$N:$N,"Tidak Ditemukan")</f>
        <v>CHINDY BIRE</v>
      </c>
    </row>
    <row r="1492" spans="2:6">
      <c r="B1492" s="19" t="s">
        <v>1449</v>
      </c>
      <c r="C1492" s="20" t="s">
        <v>1450</v>
      </c>
      <c r="D1492" s="21" t="s">
        <v>1531</v>
      </c>
      <c r="E1492" s="22" t="s">
        <v>1716</v>
      </c>
      <c r="F1492" s="15" t="str">
        <f>_xlfn.XLOOKUP(D1492,[4]ALL!$C:$C,[4]ALL!$N:$N,"Tidak Ditemukan")</f>
        <v>FAHRURRAZI</v>
      </c>
    </row>
    <row r="1493" spans="2:6">
      <c r="B1493" s="19" t="s">
        <v>1449</v>
      </c>
      <c r="C1493" s="20" t="s">
        <v>1450</v>
      </c>
      <c r="D1493" s="21" t="s">
        <v>1532</v>
      </c>
      <c r="E1493" s="22" t="s">
        <v>1716</v>
      </c>
      <c r="F1493" s="15" t="str">
        <f>_xlfn.XLOOKUP(D1493,[4]ALL!$C:$C,[4]ALL!$N:$N,"Tidak Ditemukan")</f>
        <v>PETRUS TRIMULIA WANGGA DALA</v>
      </c>
    </row>
    <row r="1494" spans="2:6">
      <c r="B1494" s="19" t="s">
        <v>1449</v>
      </c>
      <c r="C1494" s="20" t="s">
        <v>1450</v>
      </c>
      <c r="D1494" s="21" t="s">
        <v>1533</v>
      </c>
      <c r="E1494" s="22" t="s">
        <v>1716</v>
      </c>
      <c r="F1494" s="15" t="str">
        <f>_xlfn.XLOOKUP(D1494,[4]ALL!$C:$C,[4]ALL!$N:$N,"Tidak Ditemukan")</f>
        <v>ALOYSIUS RIWANTO</v>
      </c>
    </row>
    <row r="1495" spans="2:6">
      <c r="B1495" s="19" t="s">
        <v>1449</v>
      </c>
      <c r="C1495" s="20" t="s">
        <v>1450</v>
      </c>
      <c r="D1495" s="21" t="s">
        <v>1534</v>
      </c>
      <c r="E1495" s="22" t="s">
        <v>1716</v>
      </c>
      <c r="F1495" s="15" t="str">
        <f>_xlfn.XLOOKUP(D1495,[4]ALL!$C:$C,[4]ALL!$N:$N,"Tidak Ditemukan")</f>
        <v>MUHAMMAD JUMADIL</v>
      </c>
    </row>
    <row r="1496" spans="2:6">
      <c r="B1496" s="19" t="s">
        <v>1449</v>
      </c>
      <c r="C1496" s="20" t="s">
        <v>1450</v>
      </c>
      <c r="D1496" s="21" t="s">
        <v>1535</v>
      </c>
      <c r="E1496" s="22" t="s">
        <v>1716</v>
      </c>
      <c r="F1496" s="15" t="str">
        <f>_xlfn.XLOOKUP(D1496,[4]ALL!$C:$C,[4]ALL!$N:$N,"Tidak Ditemukan")</f>
        <v>I Gd Andika Adi Prasetya Murya</v>
      </c>
    </row>
    <row r="1497" spans="2:6">
      <c r="B1497" s="19" t="s">
        <v>1449</v>
      </c>
      <c r="C1497" s="20" t="s">
        <v>1450</v>
      </c>
      <c r="D1497" s="21" t="s">
        <v>1536</v>
      </c>
      <c r="E1497" s="22" t="s">
        <v>1716</v>
      </c>
      <c r="F1497" s="15" t="str">
        <f>_xlfn.XLOOKUP(D1497,[4]ALL!$C:$C,[4]ALL!$N:$N,"Tidak Ditemukan")</f>
        <v>MUHAMMAD JUMADIL</v>
      </c>
    </row>
    <row r="1498" spans="2:6">
      <c r="B1498" s="19" t="s">
        <v>1449</v>
      </c>
      <c r="C1498" s="20" t="s">
        <v>1450</v>
      </c>
      <c r="D1498" s="21" t="s">
        <v>1537</v>
      </c>
      <c r="E1498" s="22" t="s">
        <v>1716</v>
      </c>
      <c r="F1498" s="15" t="str">
        <f>_xlfn.XLOOKUP(D1498,[4]ALL!$C:$C,[4]ALL!$N:$N,"Tidak Ditemukan")</f>
        <v>GUSTI NGURAH ARY RAKA DARMAYASA, SE.MM</v>
      </c>
    </row>
    <row r="1499" spans="2:6">
      <c r="B1499" s="19" t="s">
        <v>1449</v>
      </c>
      <c r="C1499" s="20" t="s">
        <v>1450</v>
      </c>
      <c r="D1499" s="21" t="s">
        <v>1538</v>
      </c>
      <c r="E1499" s="22" t="s">
        <v>1716</v>
      </c>
      <c r="F1499" s="15" t="str">
        <f>_xlfn.XLOOKUP(D1499,[4]ALL!$C:$C,[4]ALL!$N:$N,"Tidak Ditemukan")</f>
        <v>MUHAMMAD TONY NUGRAHA</v>
      </c>
    </row>
    <row r="1500" spans="2:6">
      <c r="B1500" s="19" t="s">
        <v>1449</v>
      </c>
      <c r="C1500" s="20" t="s">
        <v>1450</v>
      </c>
      <c r="D1500" s="21" t="s">
        <v>1539</v>
      </c>
      <c r="E1500" s="22" t="s">
        <v>1716</v>
      </c>
      <c r="F1500" s="15" t="str">
        <f>_xlfn.XLOOKUP(D1500,[4]ALL!$C:$C,[4]ALL!$N:$N,"Tidak Ditemukan")</f>
        <v>MUHAMMAD TONY NUGRAHA</v>
      </c>
    </row>
    <row r="1501" spans="2:6">
      <c r="B1501" s="19" t="s">
        <v>1449</v>
      </c>
      <c r="C1501" s="20" t="s">
        <v>1450</v>
      </c>
      <c r="D1501" s="21" t="s">
        <v>1540</v>
      </c>
      <c r="E1501" s="22" t="s">
        <v>1716</v>
      </c>
      <c r="F1501" s="15" t="str">
        <f>_xlfn.XLOOKUP(D1501,[4]ALL!$C:$C,[4]ALL!$N:$N,"Tidak Ditemukan")</f>
        <v>GUSTI NGURAH ARY RAKA DARMAYASA, SE.MM</v>
      </c>
    </row>
    <row r="1502" spans="2:6">
      <c r="B1502" s="19" t="s">
        <v>1449</v>
      </c>
      <c r="C1502" s="20" t="s">
        <v>1450</v>
      </c>
      <c r="D1502" s="21" t="s">
        <v>1541</v>
      </c>
      <c r="E1502" s="22" t="s">
        <v>1716</v>
      </c>
      <c r="F1502" s="15" t="str">
        <f>_xlfn.XLOOKUP(D1502,[4]ALL!$C:$C,[4]ALL!$N:$N,"Tidak Ditemukan")</f>
        <v>GEMAYA WANGSA</v>
      </c>
    </row>
    <row r="1503" spans="2:6">
      <c r="B1503" s="19" t="s">
        <v>1449</v>
      </c>
      <c r="C1503" s="20" t="s">
        <v>1450</v>
      </c>
      <c r="D1503" s="21" t="s">
        <v>1542</v>
      </c>
      <c r="E1503" s="22" t="s">
        <v>1716</v>
      </c>
      <c r="F1503" s="15" t="str">
        <f>_xlfn.XLOOKUP(D1503,[4]ALL!$C:$C,[4]ALL!$N:$N,"Tidak Ditemukan")</f>
        <v>AGUS KADE DIVA RAMANA</v>
      </c>
    </row>
    <row r="1504" spans="2:6">
      <c r="B1504" s="19" t="s">
        <v>1449</v>
      </c>
      <c r="C1504" s="20" t="s">
        <v>1450</v>
      </c>
      <c r="D1504" s="21" t="s">
        <v>1543</v>
      </c>
      <c r="E1504" s="22" t="s">
        <v>1716</v>
      </c>
      <c r="F1504" s="15" t="str">
        <f>_xlfn.XLOOKUP(D1504,[4]ALL!$C:$C,[4]ALL!$N:$N,"Tidak Ditemukan")</f>
        <v>GEMAYA WANGSA</v>
      </c>
    </row>
    <row r="1505" spans="2:6">
      <c r="B1505" s="19" t="s">
        <v>1449</v>
      </c>
      <c r="C1505" s="20" t="s">
        <v>1450</v>
      </c>
      <c r="D1505" s="21" t="s">
        <v>1544</v>
      </c>
      <c r="E1505" s="22" t="s">
        <v>1716</v>
      </c>
      <c r="F1505" s="15" t="str">
        <f>_xlfn.XLOOKUP(D1505,[4]ALL!$C:$C,[4]ALL!$N:$N,"Tidak Ditemukan")</f>
        <v>YUNAN FURQONA RAMADHANI</v>
      </c>
    </row>
    <row r="1506" spans="2:6">
      <c r="B1506" s="19" t="s">
        <v>1449</v>
      </c>
      <c r="C1506" s="20" t="s">
        <v>1450</v>
      </c>
      <c r="D1506" s="21" t="s">
        <v>1545</v>
      </c>
      <c r="E1506" s="22" t="s">
        <v>1716</v>
      </c>
      <c r="F1506" s="15" t="str">
        <f>_xlfn.XLOOKUP(D1506,[4]ALL!$C:$C,[4]ALL!$N:$N,"Tidak Ditemukan")</f>
        <v>I Gd Andika Adi Prasetya Murya</v>
      </c>
    </row>
    <row r="1507" spans="2:6">
      <c r="B1507" s="19" t="s">
        <v>1449</v>
      </c>
      <c r="C1507" s="20" t="s">
        <v>1450</v>
      </c>
      <c r="D1507" s="21" t="s">
        <v>1546</v>
      </c>
      <c r="E1507" s="22" t="s">
        <v>1716</v>
      </c>
      <c r="F1507" s="15" t="str">
        <f>_xlfn.XLOOKUP(D1507,[4]ALL!$C:$C,[4]ALL!$N:$N,"Tidak Ditemukan")</f>
        <v>I Gd Andika Adi Prasetya Murya</v>
      </c>
    </row>
    <row r="1508" spans="2:6">
      <c r="B1508" s="19" t="s">
        <v>1449</v>
      </c>
      <c r="C1508" s="20" t="s">
        <v>1450</v>
      </c>
      <c r="D1508" s="21" t="s">
        <v>1547</v>
      </c>
      <c r="E1508" s="22" t="s">
        <v>1716</v>
      </c>
      <c r="F1508" s="15" t="str">
        <f>_xlfn.XLOOKUP(D1508,[4]ALL!$C:$C,[4]ALL!$N:$N,"Tidak Ditemukan")</f>
        <v>AGUSTINUS DICKY PURWONO</v>
      </c>
    </row>
    <row r="1509" spans="2:6">
      <c r="B1509" s="19" t="s">
        <v>1449</v>
      </c>
      <c r="C1509" s="20" t="s">
        <v>1450</v>
      </c>
      <c r="D1509" s="21" t="s">
        <v>1548</v>
      </c>
      <c r="E1509" s="22" t="s">
        <v>1716</v>
      </c>
      <c r="F1509" s="15" t="str">
        <f>_xlfn.XLOOKUP(D1509,[4]ALL!$C:$C,[4]ALL!$N:$N,"Tidak Ditemukan")</f>
        <v>AGUSTINUS DICKY PURWONO</v>
      </c>
    </row>
    <row r="1510" spans="2:6">
      <c r="B1510" s="19" t="s">
        <v>1449</v>
      </c>
      <c r="C1510" s="20" t="s">
        <v>1450</v>
      </c>
      <c r="D1510" s="21" t="s">
        <v>1549</v>
      </c>
      <c r="E1510" s="22" t="s">
        <v>1716</v>
      </c>
      <c r="F1510" s="15" t="str">
        <f>_xlfn.XLOOKUP(D1510,[4]ALL!$C:$C,[4]ALL!$N:$N,"Tidak Ditemukan")</f>
        <v>AGUSTINUS DICKY PURWONO</v>
      </c>
    </row>
    <row r="1511" spans="2:6">
      <c r="B1511" s="19" t="s">
        <v>1449</v>
      </c>
      <c r="C1511" s="20" t="s">
        <v>1450</v>
      </c>
      <c r="D1511" s="21" t="s">
        <v>1550</v>
      </c>
      <c r="E1511" s="22" t="s">
        <v>1716</v>
      </c>
      <c r="F1511" s="15" t="str">
        <f>_xlfn.XLOOKUP(D1511,[4]ALL!$C:$C,[4]ALL!$N:$N,"Tidak Ditemukan")</f>
        <v>AGUSTINUS DICKY PURWONO</v>
      </c>
    </row>
    <row r="1512" spans="2:6">
      <c r="B1512" s="19" t="s">
        <v>1449</v>
      </c>
      <c r="C1512" s="20" t="s">
        <v>1450</v>
      </c>
      <c r="D1512" s="21" t="s">
        <v>1551</v>
      </c>
      <c r="E1512" s="22" t="s">
        <v>1716</v>
      </c>
      <c r="F1512" s="15" t="str">
        <f>_xlfn.XLOOKUP(D1512,[4]ALL!$C:$C,[4]ALL!$N:$N,"Tidak Ditemukan")</f>
        <v>I Gd Andika Adi Prasetya Murya</v>
      </c>
    </row>
    <row r="1513" spans="2:6">
      <c r="B1513" s="19" t="s">
        <v>1449</v>
      </c>
      <c r="C1513" s="20" t="s">
        <v>1450</v>
      </c>
      <c r="D1513" s="21" t="s">
        <v>1552</v>
      </c>
      <c r="E1513" s="22" t="s">
        <v>1716</v>
      </c>
      <c r="F1513" s="15" t="str">
        <f>_xlfn.XLOOKUP(D1513,[4]ALL!$C:$C,[4]ALL!$N:$N,"Tidak Ditemukan")</f>
        <v>YUNAN FURQONA RAMADHANI</v>
      </c>
    </row>
    <row r="1514" spans="2:6">
      <c r="B1514" s="19" t="s">
        <v>1449</v>
      </c>
      <c r="C1514" s="20" t="s">
        <v>1450</v>
      </c>
      <c r="D1514" s="21" t="s">
        <v>1553</v>
      </c>
      <c r="E1514" s="22" t="s">
        <v>1716</v>
      </c>
      <c r="F1514" s="15" t="str">
        <f>_xlfn.XLOOKUP(D1514,[4]ALL!$C:$C,[4]ALL!$N:$N,"Tidak Ditemukan")</f>
        <v>GUSTI NGURAH ARY RAKA DARMAYASA, SE.MM</v>
      </c>
    </row>
    <row r="1515" spans="2:6">
      <c r="B1515" s="19" t="s">
        <v>1449</v>
      </c>
      <c r="C1515" s="20" t="s">
        <v>1450</v>
      </c>
      <c r="D1515" s="21" t="s">
        <v>1554</v>
      </c>
      <c r="E1515" s="22" t="s">
        <v>1716</v>
      </c>
      <c r="F1515" s="15" t="str">
        <f>_xlfn.XLOOKUP(D1515,[4]ALL!$C:$C,[4]ALL!$N:$N,"Tidak Ditemukan")</f>
        <v>AGUSTINUS DICKY PURWONO</v>
      </c>
    </row>
    <row r="1516" spans="2:6">
      <c r="B1516" s="19" t="s">
        <v>1449</v>
      </c>
      <c r="C1516" s="20" t="s">
        <v>1450</v>
      </c>
      <c r="D1516" s="21" t="s">
        <v>1555</v>
      </c>
      <c r="E1516" s="22" t="s">
        <v>1716</v>
      </c>
      <c r="F1516" s="15" t="str">
        <f>_xlfn.XLOOKUP(D1516,[4]ALL!$C:$C,[4]ALL!$N:$N,"Tidak Ditemukan")</f>
        <v>GUSTI NGURAH ARY RAKA DARMAYASA, SE.MM</v>
      </c>
    </row>
    <row r="1517" spans="2:6">
      <c r="B1517" s="19" t="s">
        <v>1449</v>
      </c>
      <c r="C1517" s="20" t="s">
        <v>1450</v>
      </c>
      <c r="D1517" s="21" t="s">
        <v>1556</v>
      </c>
      <c r="E1517" s="22" t="s">
        <v>1716</v>
      </c>
      <c r="F1517" s="15" t="str">
        <f>_xlfn.XLOOKUP(D1517,[4]ALL!$C:$C,[4]ALL!$N:$N,"Tidak Ditemukan")</f>
        <v>YUNAN FURQONA RAMADHANI</v>
      </c>
    </row>
    <row r="1518" spans="2:6">
      <c r="B1518" s="19" t="s">
        <v>1449</v>
      </c>
      <c r="C1518" s="20" t="s">
        <v>1450</v>
      </c>
      <c r="D1518" s="21" t="s">
        <v>1557</v>
      </c>
      <c r="E1518" s="22" t="s">
        <v>1716</v>
      </c>
      <c r="F1518" s="15" t="str">
        <f>_xlfn.XLOOKUP(D1518,[4]ALL!$C:$C,[4]ALL!$N:$N,"Tidak Ditemukan")</f>
        <v>YUNAN FURQONA RAMADHANI</v>
      </c>
    </row>
    <row r="1519" spans="2:6">
      <c r="B1519" s="19" t="s">
        <v>1449</v>
      </c>
      <c r="C1519" s="20" t="s">
        <v>1450</v>
      </c>
      <c r="D1519" s="21" t="s">
        <v>1558</v>
      </c>
      <c r="E1519" s="22" t="s">
        <v>1716</v>
      </c>
      <c r="F1519" s="15" t="str">
        <f>_xlfn.XLOOKUP(D1519,[4]ALL!$C:$C,[4]ALL!$N:$N,"Tidak Ditemukan")</f>
        <v>DEAR RAMOS DAMANIK</v>
      </c>
    </row>
    <row r="1520" spans="2:6">
      <c r="B1520" s="19" t="s">
        <v>1449</v>
      </c>
      <c r="C1520" s="20" t="s">
        <v>1450</v>
      </c>
      <c r="D1520" s="21" t="s">
        <v>1559</v>
      </c>
      <c r="E1520" s="22" t="s">
        <v>1716</v>
      </c>
      <c r="F1520" s="15" t="str">
        <f>_xlfn.XLOOKUP(D1520,[4]ALL!$C:$C,[4]ALL!$N:$N,"Tidak Ditemukan")</f>
        <v>DEAR RAMOS DAMANIK</v>
      </c>
    </row>
    <row r="1521" spans="2:6">
      <c r="B1521" s="19" t="s">
        <v>1449</v>
      </c>
      <c r="C1521" s="20" t="s">
        <v>1450</v>
      </c>
      <c r="D1521" s="21" t="s">
        <v>1560</v>
      </c>
      <c r="E1521" s="22" t="s">
        <v>1716</v>
      </c>
      <c r="F1521" s="15" t="str">
        <f>_xlfn.XLOOKUP(D1521,[4]ALL!$C:$C,[4]ALL!$N:$N,"Tidak Ditemukan")</f>
        <v>AGUS KADE DIVA RAMANA</v>
      </c>
    </row>
    <row r="1522" spans="2:6">
      <c r="B1522" s="19" t="s">
        <v>1449</v>
      </c>
      <c r="C1522" s="20" t="s">
        <v>1450</v>
      </c>
      <c r="D1522" s="21" t="s">
        <v>1561</v>
      </c>
      <c r="E1522" s="22" t="s">
        <v>1716</v>
      </c>
      <c r="F1522" s="15" t="str">
        <f>_xlfn.XLOOKUP(D1522,[4]ALL!$C:$C,[4]ALL!$N:$N,"Tidak Ditemukan")</f>
        <v>DEAR RAMOS DAMANIK</v>
      </c>
    </row>
    <row r="1523" spans="2:6">
      <c r="B1523" s="19" t="s">
        <v>1449</v>
      </c>
      <c r="C1523" s="20" t="s">
        <v>1450</v>
      </c>
      <c r="D1523" s="21" t="s">
        <v>1562</v>
      </c>
      <c r="E1523" s="22" t="s">
        <v>1716</v>
      </c>
      <c r="F1523" s="15" t="str">
        <f>_xlfn.XLOOKUP(D1523,[4]ALL!$C:$C,[4]ALL!$N:$N,"Tidak Ditemukan")</f>
        <v>AGUS KADE DIVA RAMANA</v>
      </c>
    </row>
    <row r="1524" spans="2:6">
      <c r="B1524" s="19" t="s">
        <v>1449</v>
      </c>
      <c r="C1524" s="20" t="s">
        <v>1450</v>
      </c>
      <c r="D1524" s="21" t="s">
        <v>1563</v>
      </c>
      <c r="E1524" s="22" t="s">
        <v>1716</v>
      </c>
      <c r="F1524" s="15" t="str">
        <f>_xlfn.XLOOKUP(D1524,[4]ALL!$C:$C,[4]ALL!$N:$N,"Tidak Ditemukan")</f>
        <v>DEAR RAMOS DAMANIK</v>
      </c>
    </row>
    <row r="1525" spans="2:6">
      <c r="B1525" s="19" t="s">
        <v>1449</v>
      </c>
      <c r="C1525" s="20" t="s">
        <v>1450</v>
      </c>
      <c r="D1525" s="21" t="s">
        <v>1564</v>
      </c>
      <c r="E1525" s="22" t="s">
        <v>1716</v>
      </c>
      <c r="F1525" s="15" t="str">
        <f>_xlfn.XLOOKUP(D1525,[4]ALL!$C:$C,[4]ALL!$N:$N,"Tidak Ditemukan")</f>
        <v>DEAR RAMOS DAMANIK</v>
      </c>
    </row>
    <row r="1526" spans="2:6">
      <c r="B1526" s="19" t="s">
        <v>1449</v>
      </c>
      <c r="C1526" s="20" t="s">
        <v>1450</v>
      </c>
      <c r="D1526" s="21" t="s">
        <v>1565</v>
      </c>
      <c r="E1526" s="22" t="s">
        <v>1716</v>
      </c>
      <c r="F1526" s="15" t="str">
        <f>_xlfn.XLOOKUP(D1526,[4]ALL!$C:$C,[4]ALL!$N:$N,"Tidak Ditemukan")</f>
        <v>DEAR RAMOS DAMANIK</v>
      </c>
    </row>
    <row r="1527" spans="2:6">
      <c r="B1527" s="19" t="s">
        <v>1449</v>
      </c>
      <c r="C1527" s="20" t="s">
        <v>1450</v>
      </c>
      <c r="D1527" s="21" t="s">
        <v>1566</v>
      </c>
      <c r="E1527" s="22" t="s">
        <v>1716</v>
      </c>
      <c r="F1527" s="15" t="str">
        <f>_xlfn.XLOOKUP(D1527,[4]ALL!$C:$C,[4]ALL!$N:$N,"Tidak Ditemukan")</f>
        <v>Rino Prasetya Wibowo</v>
      </c>
    </row>
    <row r="1528" spans="2:6">
      <c r="B1528" s="19" t="s">
        <v>1449</v>
      </c>
      <c r="C1528" s="20" t="s">
        <v>1450</v>
      </c>
      <c r="D1528" s="21" t="s">
        <v>1567</v>
      </c>
      <c r="E1528" s="22" t="s">
        <v>1716</v>
      </c>
      <c r="F1528" s="15" t="str">
        <f>_xlfn.XLOOKUP(D1528,[4]ALL!$C:$C,[4]ALL!$N:$N,"Tidak Ditemukan")</f>
        <v>I GEDE BAGUS ADI SURYAWAN , ST</v>
      </c>
    </row>
    <row r="1529" spans="2:6">
      <c r="B1529" s="19" t="s">
        <v>1449</v>
      </c>
      <c r="C1529" s="20" t="s">
        <v>1450</v>
      </c>
      <c r="D1529" s="21" t="s">
        <v>1568</v>
      </c>
      <c r="E1529" s="22" t="s">
        <v>1716</v>
      </c>
      <c r="F1529" s="15" t="str">
        <f>_xlfn.XLOOKUP(D1529,[4]ALL!$C:$C,[4]ALL!$N:$N,"Tidak Ditemukan")</f>
        <v>Rino Prasetya Wibowo</v>
      </c>
    </row>
    <row r="1530" spans="2:6">
      <c r="B1530" s="19" t="s">
        <v>1449</v>
      </c>
      <c r="C1530" s="20" t="s">
        <v>1450</v>
      </c>
      <c r="D1530" s="21" t="s">
        <v>1569</v>
      </c>
      <c r="E1530" s="22" t="s">
        <v>1716</v>
      </c>
      <c r="F1530" s="15" t="str">
        <f>_xlfn.XLOOKUP(D1530,[4]ALL!$C:$C,[4]ALL!$N:$N,"Tidak Ditemukan")</f>
        <v>AGUS PRADNYANA</v>
      </c>
    </row>
    <row r="1531" spans="2:6">
      <c r="B1531" s="19" t="s">
        <v>1449</v>
      </c>
      <c r="C1531" s="20" t="s">
        <v>1450</v>
      </c>
      <c r="D1531" s="21" t="s">
        <v>1570</v>
      </c>
      <c r="E1531" s="22" t="s">
        <v>1716</v>
      </c>
      <c r="F1531" s="15" t="str">
        <f>_xlfn.XLOOKUP(D1531,[4]ALL!$C:$C,[4]ALL!$N:$N,"Tidak Ditemukan")</f>
        <v>I KOMANG FERI INDRAJAYA</v>
      </c>
    </row>
    <row r="1532" spans="2:6">
      <c r="B1532" s="19" t="s">
        <v>1449</v>
      </c>
      <c r="C1532" s="20" t="s">
        <v>1450</v>
      </c>
      <c r="D1532" s="21" t="s">
        <v>1571</v>
      </c>
      <c r="E1532" s="22" t="s">
        <v>1716</v>
      </c>
      <c r="F1532" s="15" t="str">
        <f>_xlfn.XLOOKUP(D1532,[4]ALL!$C:$C,[4]ALL!$N:$N,"Tidak Ditemukan")</f>
        <v>AGUS PRADNYANA</v>
      </c>
    </row>
    <row r="1533" spans="2:6">
      <c r="B1533" s="19" t="s">
        <v>1449</v>
      </c>
      <c r="C1533" s="20" t="s">
        <v>1450</v>
      </c>
      <c r="D1533" s="21" t="s">
        <v>1572</v>
      </c>
      <c r="E1533" s="22" t="s">
        <v>1716</v>
      </c>
      <c r="F1533" s="15" t="str">
        <f>_xlfn.XLOOKUP(D1533,[4]ALL!$C:$C,[4]ALL!$N:$N,"Tidak Ditemukan")</f>
        <v>YUNAN FURQONA RAMADHANI</v>
      </c>
    </row>
    <row r="1534" spans="2:6">
      <c r="B1534" s="19" t="s">
        <v>1449</v>
      </c>
      <c r="C1534" s="20" t="s">
        <v>1450</v>
      </c>
      <c r="D1534" s="21" t="s">
        <v>1573</v>
      </c>
      <c r="E1534" s="22" t="s">
        <v>1716</v>
      </c>
      <c r="F1534" s="15" t="str">
        <f>_xlfn.XLOOKUP(D1534,[4]ALL!$C:$C,[4]ALL!$N:$N,"Tidak Ditemukan")</f>
        <v>Suhardi </v>
      </c>
    </row>
    <row r="1535" spans="2:6">
      <c r="B1535" s="19" t="s">
        <v>1449</v>
      </c>
      <c r="C1535" s="20" t="s">
        <v>1450</v>
      </c>
      <c r="D1535" s="21" t="s">
        <v>1574</v>
      </c>
      <c r="E1535" s="22" t="s">
        <v>1716</v>
      </c>
      <c r="F1535" s="15" t="str">
        <f>_xlfn.XLOOKUP(D1535,[4]ALL!$C:$C,[4]ALL!$N:$N,"Tidak Ditemukan")</f>
        <v>I Gd Andika Adi Prasetya Murya</v>
      </c>
    </row>
    <row r="1536" spans="2:6">
      <c r="B1536" s="19" t="s">
        <v>1449</v>
      </c>
      <c r="C1536" s="20" t="s">
        <v>1450</v>
      </c>
      <c r="D1536" s="21" t="s">
        <v>1575</v>
      </c>
      <c r="E1536" s="22" t="s">
        <v>1716</v>
      </c>
      <c r="F1536" s="15" t="str">
        <f>_xlfn.XLOOKUP(D1536,[4]ALL!$C:$C,[4]ALL!$N:$N,"Tidak Ditemukan")</f>
        <v>DEAR RAMOS DAMANIK</v>
      </c>
    </row>
    <row r="1537" spans="2:6">
      <c r="B1537" s="19" t="s">
        <v>1449</v>
      </c>
      <c r="C1537" s="20" t="s">
        <v>1450</v>
      </c>
      <c r="D1537" s="21" t="s">
        <v>1576</v>
      </c>
      <c r="E1537" s="22" t="s">
        <v>1716</v>
      </c>
      <c r="F1537" s="15" t="str">
        <f>_xlfn.XLOOKUP(D1537,[4]ALL!$C:$C,[4]ALL!$N:$N,"Tidak Ditemukan")</f>
        <v>DEAR RAMOS DAMANIK</v>
      </c>
    </row>
    <row r="1538" spans="2:6">
      <c r="B1538" s="19" t="s">
        <v>1449</v>
      </c>
      <c r="C1538" s="20" t="s">
        <v>1450</v>
      </c>
      <c r="D1538" s="21" t="s">
        <v>1577</v>
      </c>
      <c r="E1538" s="22" t="s">
        <v>1716</v>
      </c>
      <c r="F1538" s="15" t="str">
        <f>_xlfn.XLOOKUP(D1538,[4]ALL!$C:$C,[4]ALL!$N:$N,"Tidak Ditemukan")</f>
        <v>GEMAYA WANGSA</v>
      </c>
    </row>
    <row r="1539" spans="2:6">
      <c r="B1539" s="19" t="s">
        <v>1449</v>
      </c>
      <c r="C1539" s="20" t="s">
        <v>1450</v>
      </c>
      <c r="D1539" s="21" t="s">
        <v>1578</v>
      </c>
      <c r="E1539" s="22" t="s">
        <v>1716</v>
      </c>
      <c r="F1539" s="15" t="str">
        <f>_xlfn.XLOOKUP(D1539,[4]ALL!$C:$C,[4]ALL!$N:$N,"Tidak Ditemukan")</f>
        <v>DEAR RAMOS DAMANIK</v>
      </c>
    </row>
    <row r="1540" spans="2:6">
      <c r="B1540" s="19" t="s">
        <v>1449</v>
      </c>
      <c r="C1540" s="20" t="s">
        <v>1450</v>
      </c>
      <c r="D1540" s="21" t="s">
        <v>1579</v>
      </c>
      <c r="E1540" s="22" t="e">
        <v>#N/A</v>
      </c>
      <c r="F1540" s="15" t="str">
        <f>_xlfn.XLOOKUP(D1540,[4]ALL!$C:$C,[4]ALL!$N:$N,"Tidak Ditemukan")</f>
        <v>DEAR RAMOS DAMANIK</v>
      </c>
    </row>
    <row r="1541" spans="2:6">
      <c r="B1541" s="19" t="s">
        <v>1449</v>
      </c>
      <c r="C1541" s="20" t="s">
        <v>1450</v>
      </c>
      <c r="D1541" s="21" t="s">
        <v>1580</v>
      </c>
      <c r="E1541" s="22" t="s">
        <v>1716</v>
      </c>
      <c r="F1541" s="15" t="str">
        <f>_xlfn.XLOOKUP(D1541,[4]ALL!$C:$C,[4]ALL!$N:$N,"Tidak Ditemukan")</f>
        <v>Suhardi </v>
      </c>
    </row>
    <row r="1542" spans="2:6">
      <c r="B1542" s="19" t="s">
        <v>1449</v>
      </c>
      <c r="C1542" s="20" t="s">
        <v>1450</v>
      </c>
      <c r="D1542" s="21" t="s">
        <v>1581</v>
      </c>
      <c r="E1542" s="22" t="s">
        <v>1716</v>
      </c>
      <c r="F1542" s="15" t="str">
        <f>_xlfn.XLOOKUP(D1542,[4]ALL!$C:$C,[4]ALL!$N:$N,"Tidak Ditemukan")</f>
        <v>M. SALAHUDIN</v>
      </c>
    </row>
    <row r="1543" spans="2:6">
      <c r="B1543" s="19" t="s">
        <v>1449</v>
      </c>
      <c r="C1543" s="20" t="s">
        <v>1450</v>
      </c>
      <c r="D1543" s="21" t="s">
        <v>1582</v>
      </c>
      <c r="E1543" s="22" t="s">
        <v>1716</v>
      </c>
      <c r="F1543" s="15" t="str">
        <f>_xlfn.XLOOKUP(D1543,[4]ALL!$C:$C,[4]ALL!$N:$N,"Tidak Ditemukan")</f>
        <v>Abi Hilmawan</v>
      </c>
    </row>
    <row r="1544" spans="2:6">
      <c r="B1544" s="19" t="s">
        <v>1449</v>
      </c>
      <c r="C1544" s="20" t="s">
        <v>1450</v>
      </c>
      <c r="D1544" s="21" t="s">
        <v>1583</v>
      </c>
      <c r="E1544" s="22" t="s">
        <v>1716</v>
      </c>
      <c r="F1544" s="15" t="str">
        <f>_xlfn.XLOOKUP(D1544,[4]ALL!$C:$C,[4]ALL!$N:$N,"Tidak Ditemukan")</f>
        <v>Abi Hilmawan</v>
      </c>
    </row>
    <row r="1545" spans="2:6">
      <c r="B1545" s="19" t="s">
        <v>1449</v>
      </c>
      <c r="C1545" s="20" t="s">
        <v>1450</v>
      </c>
      <c r="D1545" s="21" t="s">
        <v>1584</v>
      </c>
      <c r="E1545" s="22" t="s">
        <v>1716</v>
      </c>
      <c r="F1545" s="15" t="str">
        <f>_xlfn.XLOOKUP(D1545,[4]ALL!$C:$C,[4]ALL!$N:$N,"Tidak Ditemukan")</f>
        <v>I Kadek Sandiyasa</v>
      </c>
    </row>
    <row r="1546" spans="2:6">
      <c r="B1546" s="19" t="s">
        <v>1449</v>
      </c>
      <c r="C1546" s="20" t="s">
        <v>1450</v>
      </c>
      <c r="D1546" s="21" t="s">
        <v>1585</v>
      </c>
      <c r="E1546" s="22" t="s">
        <v>1716</v>
      </c>
      <c r="F1546" s="15" t="str">
        <f>_xlfn.XLOOKUP(D1546,[4]ALL!$C:$C,[4]ALL!$N:$N,"Tidak Ditemukan")</f>
        <v>Ari Ardiansyah</v>
      </c>
    </row>
    <row r="1547" spans="2:6">
      <c r="B1547" s="19" t="s">
        <v>1449</v>
      </c>
      <c r="C1547" s="20" t="s">
        <v>1450</v>
      </c>
      <c r="D1547" s="21" t="s">
        <v>1586</v>
      </c>
      <c r="E1547" s="22" t="s">
        <v>1716</v>
      </c>
      <c r="F1547" s="15" t="str">
        <f>_xlfn.XLOOKUP(D1547,[4]ALL!$C:$C,[4]ALL!$N:$N,"Tidak Ditemukan")</f>
        <v>SYARIFUDDIN</v>
      </c>
    </row>
    <row r="1548" spans="2:6">
      <c r="B1548" s="19" t="s">
        <v>1449</v>
      </c>
      <c r="C1548" s="20" t="s">
        <v>1450</v>
      </c>
      <c r="D1548" s="21" t="s">
        <v>1587</v>
      </c>
      <c r="E1548" s="22" t="s">
        <v>1716</v>
      </c>
      <c r="F1548" s="15" t="str">
        <f>_xlfn.XLOOKUP(D1548,[4]ALL!$C:$C,[4]ALL!$N:$N,"Tidak Ditemukan")</f>
        <v>DENI SUSATYO</v>
      </c>
    </row>
    <row r="1549" spans="2:6">
      <c r="B1549" s="19" t="s">
        <v>1449</v>
      </c>
      <c r="C1549" s="20" t="s">
        <v>1450</v>
      </c>
      <c r="D1549" s="21" t="s">
        <v>1588</v>
      </c>
      <c r="E1549" s="22" t="s">
        <v>1716</v>
      </c>
      <c r="F1549" s="15" t="str">
        <f>_xlfn.XLOOKUP(D1549,[4]ALL!$C:$C,[4]ALL!$N:$N,"Tidak Ditemukan")</f>
        <v>Syamsul Bahri</v>
      </c>
    </row>
    <row r="1550" spans="2:6">
      <c r="B1550" s="19" t="s">
        <v>1449</v>
      </c>
      <c r="C1550" s="20" t="s">
        <v>1450</v>
      </c>
      <c r="D1550" s="21" t="s">
        <v>1589</v>
      </c>
      <c r="E1550" s="22" t="s">
        <v>1716</v>
      </c>
      <c r="F1550" s="15" t="str">
        <f>_xlfn.XLOOKUP(D1550,[4]ALL!$C:$C,[4]ALL!$N:$N,"Tidak Ditemukan")</f>
        <v>FAHRURRAZI</v>
      </c>
    </row>
    <row r="1551" spans="2:6">
      <c r="B1551" s="19" t="s">
        <v>1449</v>
      </c>
      <c r="C1551" s="20" t="s">
        <v>1450</v>
      </c>
      <c r="D1551" s="21" t="s">
        <v>1590</v>
      </c>
      <c r="E1551" s="22" t="s">
        <v>1716</v>
      </c>
      <c r="F1551" s="15" t="str">
        <f>_xlfn.XLOOKUP(D1551,[4]ALL!$C:$C,[4]ALL!$N:$N,"Tidak Ditemukan")</f>
        <v>Abi Hilmawan</v>
      </c>
    </row>
    <row r="1552" spans="2:6">
      <c r="B1552" s="19" t="s">
        <v>1449</v>
      </c>
      <c r="C1552" s="20" t="s">
        <v>1450</v>
      </c>
      <c r="D1552" s="21" t="s">
        <v>1591</v>
      </c>
      <c r="E1552" s="22" t="s">
        <v>1716</v>
      </c>
      <c r="F1552" s="15" t="str">
        <f>_xlfn.XLOOKUP(D1552,[4]ALL!$C:$C,[4]ALL!$N:$N,"Tidak Ditemukan")</f>
        <v>GEMAYA WANGSA</v>
      </c>
    </row>
    <row r="1553" spans="2:6">
      <c r="B1553" s="19" t="s">
        <v>1449</v>
      </c>
      <c r="C1553" s="20" t="s">
        <v>1450</v>
      </c>
      <c r="D1553" s="21" t="s">
        <v>1592</v>
      </c>
      <c r="E1553" s="22" t="s">
        <v>1716</v>
      </c>
      <c r="F1553" s="216" t="str">
        <f>_xlfn.XLOOKUP(D1553,[4]ALL!$C:$C,[4]ALL!$N:$N,"Tidak Ditemukan")</f>
        <v>Muhammad Aqil Fadhilah</v>
      </c>
    </row>
    <row r="1554" spans="2:6">
      <c r="B1554" s="19" t="s">
        <v>1449</v>
      </c>
      <c r="C1554" s="20" t="s">
        <v>1450</v>
      </c>
      <c r="D1554" s="21" t="s">
        <v>1593</v>
      </c>
      <c r="E1554" s="22" t="s">
        <v>1716</v>
      </c>
      <c r="F1554" s="15" t="str">
        <f>_xlfn.XLOOKUP(D1554,[4]ALL!$C:$C,[4]ALL!$N:$N,"Tidak Ditemukan")</f>
        <v>SYARIFUDDIN</v>
      </c>
    </row>
    <row r="1555" spans="2:6">
      <c r="B1555" s="19" t="s">
        <v>1449</v>
      </c>
      <c r="C1555" s="20" t="s">
        <v>1450</v>
      </c>
      <c r="D1555" s="21" t="s">
        <v>1594</v>
      </c>
      <c r="E1555" s="22" t="s">
        <v>1716</v>
      </c>
      <c r="F1555" s="15" t="str">
        <f>_xlfn.XLOOKUP(D1555,[4]ALL!$C:$C,[4]ALL!$N:$N,"Tidak Ditemukan")</f>
        <v>GEMAYA WANGSA</v>
      </c>
    </row>
    <row r="1556" spans="2:6">
      <c r="B1556" s="19" t="s">
        <v>1449</v>
      </c>
      <c r="C1556" s="20" t="s">
        <v>1450</v>
      </c>
      <c r="D1556" s="21" t="s">
        <v>1595</v>
      </c>
      <c r="E1556" s="22" t="s">
        <v>1716</v>
      </c>
      <c r="F1556" s="15" t="str">
        <f>_xlfn.XLOOKUP(D1556,[4]ALL!$C:$C,[4]ALL!$N:$N,"Tidak Ditemukan")</f>
        <v>Abi Hilmawan</v>
      </c>
    </row>
    <row r="1557" spans="2:6">
      <c r="B1557" s="19" t="s">
        <v>1449</v>
      </c>
      <c r="C1557" s="20" t="s">
        <v>1450</v>
      </c>
      <c r="D1557" s="21" t="s">
        <v>1596</v>
      </c>
      <c r="E1557" s="22" t="s">
        <v>1716</v>
      </c>
      <c r="F1557" s="15" t="str">
        <f>_xlfn.XLOOKUP(D1557,[4]ALL!$C:$C,[4]ALL!$N:$N,"Tidak Ditemukan")</f>
        <v>I Kadek Sandiyasa</v>
      </c>
    </row>
    <row r="1558" spans="2:6">
      <c r="B1558" s="19" t="s">
        <v>1449</v>
      </c>
      <c r="C1558" s="20" t="s">
        <v>1450</v>
      </c>
      <c r="D1558" s="21" t="s">
        <v>1597</v>
      </c>
      <c r="E1558" s="22" t="s">
        <v>1716</v>
      </c>
      <c r="F1558" s="15" t="str">
        <f>_xlfn.XLOOKUP(D1558,[4]ALL!$C:$C,[4]ALL!$N:$N,"Tidak Ditemukan")</f>
        <v>FAHRURRAZI</v>
      </c>
    </row>
    <row r="1559" spans="2:6">
      <c r="B1559" s="19" t="s">
        <v>1449</v>
      </c>
      <c r="C1559" s="20" t="s">
        <v>1450</v>
      </c>
      <c r="D1559" s="21" t="s">
        <v>1598</v>
      </c>
      <c r="E1559" s="22" t="s">
        <v>1716</v>
      </c>
      <c r="F1559" s="15" t="str">
        <f>_xlfn.XLOOKUP(D1559,[4]ALL!$C:$C,[4]ALL!$N:$N,"Tidak Ditemukan")</f>
        <v>Ari Ardiansyah</v>
      </c>
    </row>
    <row r="1560" spans="2:6">
      <c r="B1560" s="19" t="s">
        <v>1449</v>
      </c>
      <c r="C1560" s="20" t="s">
        <v>1450</v>
      </c>
      <c r="D1560" s="21" t="s">
        <v>1599</v>
      </c>
      <c r="E1560" s="22" t="s">
        <v>1716</v>
      </c>
      <c r="F1560" s="15" t="str">
        <f>_xlfn.XLOOKUP(D1560,[4]ALL!$C:$C,[4]ALL!$N:$N,"Tidak Ditemukan")</f>
        <v>Suhardi </v>
      </c>
    </row>
    <row r="1561" spans="2:6">
      <c r="B1561" s="19" t="s">
        <v>1449</v>
      </c>
      <c r="C1561" s="20" t="s">
        <v>1450</v>
      </c>
      <c r="D1561" s="21" t="s">
        <v>1600</v>
      </c>
      <c r="E1561" s="22" t="s">
        <v>1716</v>
      </c>
      <c r="F1561" s="15" t="str">
        <f>_xlfn.XLOOKUP(D1561,[4]ALL!$C:$C,[4]ALL!$N:$N,"Tidak Ditemukan")</f>
        <v>FAHRURRAZI</v>
      </c>
    </row>
    <row r="1562" spans="2:6">
      <c r="B1562" s="19" t="s">
        <v>1449</v>
      </c>
      <c r="C1562" s="20" t="s">
        <v>1450</v>
      </c>
      <c r="D1562" s="21" t="s">
        <v>1601</v>
      </c>
      <c r="E1562" s="22" t="s">
        <v>1716</v>
      </c>
      <c r="F1562" s="15" t="str">
        <f>_xlfn.XLOOKUP(D1562,[4]ALL!$C:$C,[4]ALL!$N:$N,"Tidak Ditemukan")</f>
        <v>Ari Ardiansyah</v>
      </c>
    </row>
    <row r="1563" spans="2:6">
      <c r="B1563" s="19" t="s">
        <v>1449</v>
      </c>
      <c r="C1563" s="20" t="s">
        <v>1450</v>
      </c>
      <c r="D1563" s="21" t="s">
        <v>1602</v>
      </c>
      <c r="E1563" s="22" t="s">
        <v>1716</v>
      </c>
      <c r="F1563" s="15" t="str">
        <f>_xlfn.XLOOKUP(D1563,[4]ALL!$C:$C,[4]ALL!$N:$N,"Tidak Ditemukan")</f>
        <v>ANTON IQRA ANUGRA</v>
      </c>
    </row>
    <row r="1564" spans="2:6">
      <c r="B1564" s="19" t="s">
        <v>1449</v>
      </c>
      <c r="C1564" s="20" t="s">
        <v>1450</v>
      </c>
      <c r="D1564" s="21" t="s">
        <v>1603</v>
      </c>
      <c r="E1564" s="22" t="s">
        <v>1716</v>
      </c>
      <c r="F1564" s="15" t="str">
        <f>_xlfn.XLOOKUP(D1564,[4]ALL!$C:$C,[4]ALL!$N:$N,"Tidak Ditemukan")</f>
        <v>Ari Ardiansyah</v>
      </c>
    </row>
    <row r="1565" spans="2:6">
      <c r="B1565" s="19" t="s">
        <v>1449</v>
      </c>
      <c r="C1565" s="20" t="s">
        <v>1450</v>
      </c>
      <c r="D1565" s="21" t="s">
        <v>1604</v>
      </c>
      <c r="E1565" s="22" t="s">
        <v>1716</v>
      </c>
      <c r="F1565" s="15" t="str">
        <f>_xlfn.XLOOKUP(D1565,[4]ALL!$C:$C,[4]ALL!$N:$N,"Tidak Ditemukan")</f>
        <v>DENI SUSATYO</v>
      </c>
    </row>
    <row r="1566" spans="2:6">
      <c r="B1566" s="19" t="s">
        <v>1449</v>
      </c>
      <c r="C1566" s="20" t="s">
        <v>1450</v>
      </c>
      <c r="D1566" s="21" t="s">
        <v>1605</v>
      </c>
      <c r="E1566" s="22" t="s">
        <v>1716</v>
      </c>
      <c r="F1566" s="15" t="str">
        <f>_xlfn.XLOOKUP(D1566,[4]ALL!$C:$C,[4]ALL!$N:$N,"Tidak Ditemukan")</f>
        <v>Suhardi </v>
      </c>
    </row>
    <row r="1567" spans="2:6">
      <c r="B1567" s="19" t="s">
        <v>1449</v>
      </c>
      <c r="C1567" s="20" t="s">
        <v>1450</v>
      </c>
      <c r="D1567" s="21" t="s">
        <v>1606</v>
      </c>
      <c r="E1567" s="22" t="s">
        <v>1716</v>
      </c>
      <c r="F1567" s="15" t="str">
        <f>_xlfn.XLOOKUP(D1567,[4]ALL!$C:$C,[4]ALL!$N:$N,"Tidak Ditemukan")</f>
        <v>MUHAMMAD TONY NUGRAHA</v>
      </c>
    </row>
    <row r="1568" spans="2:6">
      <c r="B1568" s="19" t="s">
        <v>1449</v>
      </c>
      <c r="C1568" s="20" t="s">
        <v>1450</v>
      </c>
      <c r="D1568" s="21" t="s">
        <v>1607</v>
      </c>
      <c r="E1568" s="22" t="s">
        <v>1716</v>
      </c>
      <c r="F1568" s="15" t="str">
        <f>_xlfn.XLOOKUP(D1568,[4]ALL!$C:$C,[4]ALL!$N:$N,"Tidak Ditemukan")</f>
        <v>MUHAMMAD TONY NUGRAHA</v>
      </c>
    </row>
    <row r="1569" spans="2:6">
      <c r="B1569" s="19" t="s">
        <v>1449</v>
      </c>
      <c r="C1569" s="20" t="s">
        <v>1450</v>
      </c>
      <c r="D1569" s="21" t="s">
        <v>1608</v>
      </c>
      <c r="E1569" s="22" t="s">
        <v>1716</v>
      </c>
      <c r="F1569" s="15" t="str">
        <f>_xlfn.XLOOKUP(D1569,[4]ALL!$C:$C,[4]ALL!$N:$N,"Tidak Ditemukan")</f>
        <v>Abi Hilmawan</v>
      </c>
    </row>
    <row r="1570" spans="2:6">
      <c r="B1570" s="19" t="s">
        <v>1449</v>
      </c>
      <c r="C1570" s="20" t="s">
        <v>1450</v>
      </c>
      <c r="D1570" s="21" t="s">
        <v>1609</v>
      </c>
      <c r="E1570" s="22" t="s">
        <v>1716</v>
      </c>
      <c r="F1570" s="15" t="str">
        <f>_xlfn.XLOOKUP(D1570,[4]ALL!$C:$C,[4]ALL!$N:$N,"Tidak Ditemukan")</f>
        <v>Suhardi </v>
      </c>
    </row>
    <row r="1571" spans="2:6">
      <c r="B1571" s="19" t="s">
        <v>1449</v>
      </c>
      <c r="C1571" s="20" t="s">
        <v>1450</v>
      </c>
      <c r="D1571" s="21" t="s">
        <v>1610</v>
      </c>
      <c r="E1571" s="22" t="s">
        <v>1716</v>
      </c>
      <c r="F1571" s="15" t="str">
        <f>_xlfn.XLOOKUP(D1571,[4]ALL!$C:$C,[4]ALL!$N:$N,"Tidak Ditemukan")</f>
        <v>MUHAMMAD JUMADIL</v>
      </c>
    </row>
    <row r="1572" spans="2:6">
      <c r="B1572" s="19" t="s">
        <v>1449</v>
      </c>
      <c r="C1572" s="20" t="s">
        <v>1450</v>
      </c>
      <c r="D1572" s="21" t="s">
        <v>1611</v>
      </c>
      <c r="E1572" s="22" t="s">
        <v>1716</v>
      </c>
      <c r="F1572" s="15" t="str">
        <f>_xlfn.XLOOKUP(D1572,[4]ALL!$C:$C,[4]ALL!$N:$N,"Tidak Ditemukan")</f>
        <v>DENI SUSATYO</v>
      </c>
    </row>
    <row r="1573" spans="2:6">
      <c r="B1573" s="19" t="s">
        <v>1449</v>
      </c>
      <c r="C1573" s="20" t="s">
        <v>1450</v>
      </c>
      <c r="D1573" s="21" t="s">
        <v>1612</v>
      </c>
      <c r="E1573" s="22" t="s">
        <v>1716</v>
      </c>
      <c r="F1573" s="15" t="str">
        <f>_xlfn.XLOOKUP(D1573,[4]ALL!$C:$C,[4]ALL!$N:$N,"Tidak Ditemukan")</f>
        <v>I Kadek Sandiyasa</v>
      </c>
    </row>
    <row r="1574" spans="2:6">
      <c r="B1574" s="19" t="s">
        <v>1449</v>
      </c>
      <c r="C1574" s="20" t="s">
        <v>1450</v>
      </c>
      <c r="D1574" s="21" t="s">
        <v>1613</v>
      </c>
      <c r="E1574" s="22" t="s">
        <v>1716</v>
      </c>
      <c r="F1574" s="15" t="str">
        <f>_xlfn.XLOOKUP(D1574,[4]ALL!$C:$C,[4]ALL!$N:$N,"Tidak Ditemukan")</f>
        <v>MUHAMMAD TONY NUGRAHA</v>
      </c>
    </row>
    <row r="1575" spans="2:6">
      <c r="B1575" s="19" t="s">
        <v>1449</v>
      </c>
      <c r="C1575" s="20" t="s">
        <v>1450</v>
      </c>
      <c r="D1575" s="21" t="s">
        <v>1614</v>
      </c>
      <c r="E1575" s="22" t="s">
        <v>1716</v>
      </c>
      <c r="F1575" s="15" t="str">
        <f>_xlfn.XLOOKUP(D1575,[4]ALL!$C:$C,[4]ALL!$N:$N,"Tidak Ditemukan")</f>
        <v>Resi Marsila</v>
      </c>
    </row>
    <row r="1576" spans="2:6">
      <c r="B1576" s="19" t="s">
        <v>1449</v>
      </c>
      <c r="C1576" s="20" t="s">
        <v>1450</v>
      </c>
      <c r="D1576" s="21" t="s">
        <v>1615</v>
      </c>
      <c r="E1576" s="22" t="s">
        <v>1716</v>
      </c>
      <c r="F1576" s="15" t="str">
        <f>_xlfn.XLOOKUP(D1576,[4]ALL!$C:$C,[4]ALL!$N:$N,"Tidak Ditemukan")</f>
        <v>DENI SUSATYO</v>
      </c>
    </row>
    <row r="1577" spans="2:6">
      <c r="B1577" s="19" t="s">
        <v>1449</v>
      </c>
      <c r="C1577" s="20" t="s">
        <v>1450</v>
      </c>
      <c r="D1577" s="21" t="s">
        <v>1616</v>
      </c>
      <c r="E1577" s="22" t="s">
        <v>1716</v>
      </c>
      <c r="F1577" s="15" t="str">
        <f>_xlfn.XLOOKUP(D1577,[4]ALL!$C:$C,[4]ALL!$N:$N,"Tidak Ditemukan")</f>
        <v>GEMAYA WANGSA</v>
      </c>
    </row>
    <row r="1578" spans="2:6">
      <c r="B1578" s="19" t="s">
        <v>1449</v>
      </c>
      <c r="C1578" s="20" t="s">
        <v>1450</v>
      </c>
      <c r="D1578" s="21" t="s">
        <v>1617</v>
      </c>
      <c r="E1578" s="22" t="s">
        <v>1716</v>
      </c>
      <c r="F1578" s="15" t="str">
        <f>_xlfn.XLOOKUP(D1578,[4]ALL!$C:$C,[4]ALL!$N:$N,"Tidak Ditemukan")</f>
        <v>I Kadek Sandiyasa</v>
      </c>
    </row>
    <row r="1579" spans="2:6">
      <c r="B1579" s="19" t="s">
        <v>1449</v>
      </c>
      <c r="C1579" s="20" t="s">
        <v>1450</v>
      </c>
      <c r="D1579" s="21" t="s">
        <v>1618</v>
      </c>
      <c r="E1579" s="22" t="s">
        <v>1716</v>
      </c>
      <c r="F1579" s="15" t="str">
        <f>_xlfn.XLOOKUP(D1579,[4]ALL!$C:$C,[4]ALL!$N:$N,"Tidak Ditemukan")</f>
        <v>MUHAMMAD JUMADIL</v>
      </c>
    </row>
    <row r="1580" spans="2:6">
      <c r="B1580" s="19" t="s">
        <v>1449</v>
      </c>
      <c r="C1580" s="20" t="s">
        <v>1450</v>
      </c>
      <c r="D1580" s="21" t="s">
        <v>1619</v>
      </c>
      <c r="E1580" s="22" t="s">
        <v>1716</v>
      </c>
      <c r="F1580" s="15" t="str">
        <f>_xlfn.XLOOKUP(D1580,[4]ALL!$C:$C,[4]ALL!$N:$N,"Tidak Ditemukan")</f>
        <v>MUHAMMAD JUMADIL</v>
      </c>
    </row>
    <row r="1581" spans="2:6">
      <c r="B1581" s="19" t="s">
        <v>1449</v>
      </c>
      <c r="C1581" s="20" t="s">
        <v>1450</v>
      </c>
      <c r="D1581" s="21" t="s">
        <v>1620</v>
      </c>
      <c r="E1581" s="22" t="s">
        <v>1716</v>
      </c>
      <c r="F1581" s="15" t="str">
        <f>_xlfn.XLOOKUP(D1581,[4]ALL!$C:$C,[4]ALL!$N:$N,"Tidak Ditemukan")</f>
        <v>Abi Hilmawan</v>
      </c>
    </row>
    <row r="1582" spans="2:6">
      <c r="B1582" s="19" t="s">
        <v>1449</v>
      </c>
      <c r="C1582" s="20" t="s">
        <v>1450</v>
      </c>
      <c r="D1582" s="21" t="s">
        <v>1621</v>
      </c>
      <c r="E1582" s="22" t="s">
        <v>1716</v>
      </c>
      <c r="F1582" s="15" t="str">
        <f>_xlfn.XLOOKUP(D1582,[4]ALL!$C:$C,[4]ALL!$N:$N,"Tidak Ditemukan")</f>
        <v>AGUS KADE DIVA RAMANA</v>
      </c>
    </row>
    <row r="1583" spans="2:6">
      <c r="B1583" s="19" t="s">
        <v>1449</v>
      </c>
      <c r="C1583" s="20" t="s">
        <v>1450</v>
      </c>
      <c r="D1583" s="21" t="s">
        <v>1622</v>
      </c>
      <c r="E1583" s="22" t="s">
        <v>1716</v>
      </c>
      <c r="F1583" s="15" t="str">
        <f>_xlfn.XLOOKUP(D1583,[4]ALL!$C:$C,[4]ALL!$N:$N,"Tidak Ditemukan")</f>
        <v>Rino Prasetya Wibowo</v>
      </c>
    </row>
    <row r="1584" spans="2:6">
      <c r="B1584" s="19" t="s">
        <v>1449</v>
      </c>
      <c r="C1584" s="20" t="s">
        <v>1450</v>
      </c>
      <c r="D1584" s="21" t="s">
        <v>1623</v>
      </c>
      <c r="E1584" s="22" t="s">
        <v>1716</v>
      </c>
      <c r="F1584" s="15" t="str">
        <f>_xlfn.XLOOKUP(D1584,[4]ALL!$C:$C,[4]ALL!$N:$N,"Tidak Ditemukan")</f>
        <v>I GEDE BAGUS ADI SURYAWAN , ST</v>
      </c>
    </row>
    <row r="1585" spans="2:6">
      <c r="B1585" s="19" t="s">
        <v>1449</v>
      </c>
      <c r="C1585" s="20" t="s">
        <v>1450</v>
      </c>
      <c r="D1585" s="21" t="s">
        <v>1624</v>
      </c>
      <c r="E1585" s="22" t="s">
        <v>1716</v>
      </c>
      <c r="F1585" s="15" t="str">
        <f>_xlfn.XLOOKUP(D1585,[4]ALL!$C:$C,[4]ALL!$N:$N,"Tidak Ditemukan")</f>
        <v>Rino Prasetya Wibowo</v>
      </c>
    </row>
    <row r="1586" spans="2:6">
      <c r="B1586" s="19" t="s">
        <v>1449</v>
      </c>
      <c r="C1586" s="20" t="s">
        <v>1450</v>
      </c>
      <c r="D1586" s="21" t="s">
        <v>1625</v>
      </c>
      <c r="E1586" s="22" t="s">
        <v>1716</v>
      </c>
      <c r="F1586" s="15" t="str">
        <f>_xlfn.XLOOKUP(D1586,[4]ALL!$C:$C,[4]ALL!$N:$N,"Tidak Ditemukan")</f>
        <v>I KOMANG FERI INDRAJAYA</v>
      </c>
    </row>
    <row r="1587" spans="2:6">
      <c r="B1587" s="19" t="s">
        <v>1449</v>
      </c>
      <c r="C1587" s="20" t="s">
        <v>1450</v>
      </c>
      <c r="D1587" s="21" t="s">
        <v>1626</v>
      </c>
      <c r="E1587" s="22" t="s">
        <v>1716</v>
      </c>
      <c r="F1587" s="15" t="str">
        <f>_xlfn.XLOOKUP(D1587,[4]ALL!$C:$C,[4]ALL!$N:$N,"Tidak Ditemukan")</f>
        <v>AGUS PRADNYANA</v>
      </c>
    </row>
    <row r="1588" spans="2:6">
      <c r="B1588" s="19" t="s">
        <v>1449</v>
      </c>
      <c r="C1588" s="20" t="s">
        <v>1450</v>
      </c>
      <c r="D1588" s="21" t="s">
        <v>1627</v>
      </c>
      <c r="E1588" s="22" t="s">
        <v>1716</v>
      </c>
      <c r="F1588" s="15" t="str">
        <f>_xlfn.XLOOKUP(D1588,[4]ALL!$C:$C,[4]ALL!$N:$N,"Tidak Ditemukan")</f>
        <v>I GEDE BAGUS ADI SURYAWAN , ST</v>
      </c>
    </row>
    <row r="1589" spans="2:6">
      <c r="B1589" s="19" t="s">
        <v>1449</v>
      </c>
      <c r="C1589" s="20" t="s">
        <v>1450</v>
      </c>
      <c r="D1589" s="21" t="s">
        <v>1628</v>
      </c>
      <c r="E1589" s="22" t="s">
        <v>1716</v>
      </c>
      <c r="F1589" s="15" t="str">
        <f>_xlfn.XLOOKUP(D1589,[4]ALL!$C:$C,[4]ALL!$N:$N,"Tidak Ditemukan")</f>
        <v>I GEDE BAGUS ADI SURYAWAN , ST</v>
      </c>
    </row>
    <row r="1590" spans="2:6">
      <c r="B1590" s="19" t="s">
        <v>1449</v>
      </c>
      <c r="C1590" s="20" t="s">
        <v>1450</v>
      </c>
      <c r="D1590" s="21" t="s">
        <v>1629</v>
      </c>
      <c r="E1590" s="22" t="s">
        <v>1716</v>
      </c>
      <c r="F1590" s="15" t="str">
        <f>_xlfn.XLOOKUP(D1590,[4]ALL!$C:$C,[4]ALL!$N:$N,"Tidak Ditemukan")</f>
        <v>I GEDE BAGUS ADI SURYAWAN , ST</v>
      </c>
    </row>
    <row r="1591" spans="2:6">
      <c r="B1591" s="19" t="s">
        <v>1449</v>
      </c>
      <c r="C1591" s="20" t="s">
        <v>1450</v>
      </c>
      <c r="D1591" s="21" t="s">
        <v>1630</v>
      </c>
      <c r="E1591" s="22" t="s">
        <v>1716</v>
      </c>
      <c r="F1591" s="15" t="str">
        <f>_xlfn.XLOOKUP(D1591,[4]ALL!$C:$C,[4]ALL!$N:$N,"Tidak Ditemukan")</f>
        <v>I GEDE BAGUS ADI SURYAWAN , ST</v>
      </c>
    </row>
    <row r="1592" spans="2:6">
      <c r="B1592" s="19" t="s">
        <v>1449</v>
      </c>
      <c r="C1592" s="20" t="s">
        <v>1450</v>
      </c>
      <c r="D1592" s="21" t="s">
        <v>1631</v>
      </c>
      <c r="E1592" s="22" t="s">
        <v>1716</v>
      </c>
      <c r="F1592" s="15" t="str">
        <f>_xlfn.XLOOKUP(D1592,[4]ALL!$C:$C,[4]ALL!$N:$N,"Tidak Ditemukan")</f>
        <v>I GEDE BAGUS ADI SURYAWAN , ST</v>
      </c>
    </row>
    <row r="1593" spans="2:6">
      <c r="B1593" s="19" t="s">
        <v>1449</v>
      </c>
      <c r="C1593" s="20" t="s">
        <v>1450</v>
      </c>
      <c r="D1593" s="21" t="s">
        <v>1632</v>
      </c>
      <c r="E1593" s="22" t="s">
        <v>1716</v>
      </c>
      <c r="F1593" s="15" t="str">
        <f>_xlfn.XLOOKUP(D1593,[4]ALL!$C:$C,[4]ALL!$N:$N,"Tidak Ditemukan")</f>
        <v>KADEK DWIPA ANGGARASTRA</v>
      </c>
    </row>
    <row r="1594" spans="2:6">
      <c r="B1594" s="19" t="s">
        <v>1449</v>
      </c>
      <c r="C1594" s="20" t="s">
        <v>1450</v>
      </c>
      <c r="D1594" s="21" t="s">
        <v>1633</v>
      </c>
      <c r="E1594" s="22" t="s">
        <v>1716</v>
      </c>
      <c r="F1594" s="15" t="str">
        <f>_xlfn.XLOOKUP(D1594,[4]ALL!$C:$C,[4]ALL!$N:$N,"Tidak Ditemukan")</f>
        <v>DWIKY REZA ARDANI WINAHARA</v>
      </c>
    </row>
    <row r="1595" spans="2:6">
      <c r="B1595" s="19" t="s">
        <v>1449</v>
      </c>
      <c r="C1595" s="20" t="s">
        <v>1450</v>
      </c>
      <c r="D1595" s="21" t="s">
        <v>1634</v>
      </c>
      <c r="E1595" s="22" t="s">
        <v>1716</v>
      </c>
      <c r="F1595" s="15" t="str">
        <f>_xlfn.XLOOKUP(D1595,[4]ALL!$C:$C,[4]ALL!$N:$N,"Tidak Ditemukan")</f>
        <v>NI PUTU DEWI LASTINI</v>
      </c>
    </row>
    <row r="1596" spans="2:6">
      <c r="B1596" s="19" t="s">
        <v>1449</v>
      </c>
      <c r="C1596" s="20" t="s">
        <v>1450</v>
      </c>
      <c r="D1596" s="21" t="s">
        <v>1635</v>
      </c>
      <c r="E1596" s="22" t="s">
        <v>1716</v>
      </c>
      <c r="F1596" s="15" t="str">
        <f>_xlfn.XLOOKUP(D1596,[4]ALL!$C:$C,[4]ALL!$N:$N,"Tidak Ditemukan")</f>
        <v>NI PUTU DEWI LASTINI</v>
      </c>
    </row>
    <row r="1597" spans="2:6">
      <c r="B1597" s="19" t="s">
        <v>1449</v>
      </c>
      <c r="C1597" s="20" t="s">
        <v>1450</v>
      </c>
      <c r="D1597" s="21" t="s">
        <v>1636</v>
      </c>
      <c r="E1597" s="22" t="s">
        <v>1716</v>
      </c>
      <c r="F1597" s="15" t="str">
        <f>_xlfn.XLOOKUP(D1597,[4]ALL!$C:$C,[4]ALL!$N:$N,"Tidak Ditemukan")</f>
        <v>NI PUTU DEWI LASTINI</v>
      </c>
    </row>
    <row r="1598" spans="2:6">
      <c r="B1598" s="19" t="s">
        <v>1449</v>
      </c>
      <c r="C1598" s="20" t="s">
        <v>1450</v>
      </c>
      <c r="D1598" s="21" t="s">
        <v>1637</v>
      </c>
      <c r="E1598" s="22" t="s">
        <v>1716</v>
      </c>
      <c r="F1598" s="15" t="str">
        <f>_xlfn.XLOOKUP(D1598,[4]ALL!$C:$C,[4]ALL!$N:$N,"Tidak Ditemukan")</f>
        <v>NI PUTU DEWI LASTINI</v>
      </c>
    </row>
    <row r="1599" spans="2:6">
      <c r="B1599" s="19" t="s">
        <v>1449</v>
      </c>
      <c r="C1599" s="20" t="s">
        <v>1450</v>
      </c>
      <c r="D1599" s="21" t="s">
        <v>1638</v>
      </c>
      <c r="E1599" s="22" t="s">
        <v>1716</v>
      </c>
      <c r="F1599" s="15" t="str">
        <f>_xlfn.XLOOKUP(D1599,[4]ALL!$C:$C,[4]ALL!$N:$N,"Tidak Ditemukan")</f>
        <v>DWIKY REZA ARDANI WINAHARA</v>
      </c>
    </row>
    <row r="1600" spans="2:6">
      <c r="B1600" s="19" t="s">
        <v>1449</v>
      </c>
      <c r="C1600" s="20" t="s">
        <v>1450</v>
      </c>
      <c r="D1600" s="21" t="s">
        <v>1639</v>
      </c>
      <c r="E1600" s="22" t="s">
        <v>1716</v>
      </c>
      <c r="F1600" s="15" t="str">
        <f>_xlfn.XLOOKUP(D1600,[4]ALL!$C:$C,[4]ALL!$N:$N,"Tidak Ditemukan")</f>
        <v>NI PUTU DEWI LASTINI</v>
      </c>
    </row>
    <row r="1601" spans="2:6">
      <c r="B1601" s="19" t="s">
        <v>1449</v>
      </c>
      <c r="C1601" s="20" t="s">
        <v>1450</v>
      </c>
      <c r="D1601" s="21" t="s">
        <v>1640</v>
      </c>
      <c r="E1601" s="22" t="s">
        <v>1716</v>
      </c>
      <c r="F1601" s="15" t="str">
        <f>_xlfn.XLOOKUP(D1601,[4]ALL!$C:$C,[4]ALL!$N:$N,"Tidak Ditemukan")</f>
        <v>KADEK DWIPA ANGGARASTRA</v>
      </c>
    </row>
    <row r="1602" spans="2:6">
      <c r="B1602" s="19" t="s">
        <v>1449</v>
      </c>
      <c r="C1602" s="20" t="s">
        <v>1450</v>
      </c>
      <c r="D1602" s="21" t="s">
        <v>1641</v>
      </c>
      <c r="E1602" s="22" t="s">
        <v>1716</v>
      </c>
      <c r="F1602" s="15" t="str">
        <f>_xlfn.XLOOKUP(D1602,[4]ALL!$C:$C,[4]ALL!$N:$N,"Tidak Ditemukan")</f>
        <v>KADEK DWIPA ANGGARASTRA</v>
      </c>
    </row>
    <row r="1603" spans="2:6">
      <c r="B1603" s="19" t="s">
        <v>1449</v>
      </c>
      <c r="C1603" s="20" t="s">
        <v>1450</v>
      </c>
      <c r="D1603" s="21" t="s">
        <v>1642</v>
      </c>
      <c r="E1603" s="22" t="s">
        <v>1716</v>
      </c>
      <c r="F1603" s="15" t="str">
        <f>_xlfn.XLOOKUP(D1603,[4]ALL!$C:$C,[4]ALL!$N:$N,"Tidak Ditemukan")</f>
        <v>DWIKY REZA ARDANI WINAHARA</v>
      </c>
    </row>
    <row r="1604" spans="2:6">
      <c r="B1604" s="19" t="s">
        <v>1449</v>
      </c>
      <c r="C1604" s="20" t="s">
        <v>1450</v>
      </c>
      <c r="D1604" s="21" t="s">
        <v>1643</v>
      </c>
      <c r="E1604" s="22" t="s">
        <v>1716</v>
      </c>
      <c r="F1604" s="15" t="str">
        <f>_xlfn.XLOOKUP(D1604,[4]ALL!$C:$C,[4]ALL!$N:$N,"Tidak Ditemukan")</f>
        <v>NI WAYAN ELSA SEPTIANA INDRIANI</v>
      </c>
    </row>
    <row r="1605" spans="2:6">
      <c r="B1605" s="19" t="s">
        <v>1449</v>
      </c>
      <c r="C1605" s="20" t="s">
        <v>1450</v>
      </c>
      <c r="D1605" s="21" t="s">
        <v>1644</v>
      </c>
      <c r="E1605" s="22" t="s">
        <v>1716</v>
      </c>
      <c r="F1605" s="15" t="str">
        <f>_xlfn.XLOOKUP(D1605,[4]ALL!$C:$C,[4]ALL!$N:$N,"Tidak Ditemukan")</f>
        <v>NI PUTU DEWI LASTINI</v>
      </c>
    </row>
    <row r="1606" spans="2:6">
      <c r="B1606" s="19" t="s">
        <v>1449</v>
      </c>
      <c r="C1606" s="20" t="s">
        <v>1450</v>
      </c>
      <c r="D1606" s="21" t="s">
        <v>1645</v>
      </c>
      <c r="E1606" s="22" t="s">
        <v>1716</v>
      </c>
      <c r="F1606" s="15" t="str">
        <f>_xlfn.XLOOKUP(D1606,[4]ALL!$C:$C,[4]ALL!$N:$N,"Tidak Ditemukan")</f>
        <v>KADEK DWIPA ANGGARASTRA</v>
      </c>
    </row>
    <row r="1607" spans="2:6">
      <c r="B1607" s="19" t="s">
        <v>1449</v>
      </c>
      <c r="C1607" s="20" t="s">
        <v>1450</v>
      </c>
      <c r="D1607" s="21" t="s">
        <v>1646</v>
      </c>
      <c r="E1607" s="22" t="s">
        <v>1716</v>
      </c>
      <c r="F1607" s="15" t="str">
        <f>_xlfn.XLOOKUP(D1607,[4]ALL!$C:$C,[4]ALL!$N:$N,"Tidak Ditemukan")</f>
        <v>KADEK DWIPA ANGGARASTRA</v>
      </c>
    </row>
    <row r="1608" spans="2:6">
      <c r="B1608" s="19" t="s">
        <v>1449</v>
      </c>
      <c r="C1608" s="20" t="s">
        <v>1450</v>
      </c>
      <c r="D1608" s="21" t="s">
        <v>1647</v>
      </c>
      <c r="E1608" s="22" t="s">
        <v>1716</v>
      </c>
      <c r="F1608" s="15" t="str">
        <f>_xlfn.XLOOKUP(D1608,[4]ALL!$C:$C,[4]ALL!$N:$N,"Tidak Ditemukan")</f>
        <v>KADEK DWIPA ANGGARASTRA</v>
      </c>
    </row>
    <row r="1609" spans="2:6">
      <c r="B1609" s="19" t="s">
        <v>1449</v>
      </c>
      <c r="C1609" s="20" t="s">
        <v>1450</v>
      </c>
      <c r="D1609" s="21" t="s">
        <v>1648</v>
      </c>
      <c r="E1609" s="22" t="s">
        <v>1716</v>
      </c>
      <c r="F1609" s="15" t="str">
        <f>_xlfn.XLOOKUP(D1609,[4]ALL!$C:$C,[4]ALL!$N:$N,"Tidak Ditemukan")</f>
        <v>KADEK DWIPA ANGGARASTRA</v>
      </c>
    </row>
    <row r="1610" spans="2:6">
      <c r="B1610" s="19" t="s">
        <v>1449</v>
      </c>
      <c r="C1610" s="20" t="s">
        <v>1450</v>
      </c>
      <c r="D1610" s="21" t="s">
        <v>1649</v>
      </c>
      <c r="E1610" s="22" t="s">
        <v>1716</v>
      </c>
      <c r="F1610" s="15" t="str">
        <f>_xlfn.XLOOKUP(D1610,[4]ALL!$C:$C,[4]ALL!$N:$N,"Tidak Ditemukan")</f>
        <v>NI WAYAN ELSA SEPTIANA INDRIANI</v>
      </c>
    </row>
    <row r="1611" spans="2:6">
      <c r="B1611" s="19" t="s">
        <v>1449</v>
      </c>
      <c r="C1611" s="20" t="s">
        <v>1450</v>
      </c>
      <c r="D1611" s="21" t="s">
        <v>1650</v>
      </c>
      <c r="E1611" s="22" t="s">
        <v>1716</v>
      </c>
      <c r="F1611" s="15" t="str">
        <f>_xlfn.XLOOKUP(D1611,[4]ALL!$C:$C,[4]ALL!$N:$N,"Tidak Ditemukan")</f>
        <v>KADEK DWIPA ANGGARASTRA</v>
      </c>
    </row>
    <row r="1612" spans="2:6">
      <c r="B1612" s="19" t="s">
        <v>1449</v>
      </c>
      <c r="C1612" s="20" t="s">
        <v>1450</v>
      </c>
      <c r="D1612" s="21" t="s">
        <v>1651</v>
      </c>
      <c r="E1612" s="22" t="s">
        <v>1716</v>
      </c>
      <c r="F1612" s="15" t="str">
        <f>_xlfn.XLOOKUP(D1612,[4]ALL!$C:$C,[4]ALL!$N:$N,"Tidak Ditemukan")</f>
        <v>KADEK DWIPA ANGGARASTRA</v>
      </c>
    </row>
    <row r="1613" spans="2:6">
      <c r="B1613" s="19" t="s">
        <v>1449</v>
      </c>
      <c r="C1613" s="20" t="s">
        <v>1450</v>
      </c>
      <c r="D1613" s="21" t="s">
        <v>1652</v>
      </c>
      <c r="E1613" s="22" t="s">
        <v>1716</v>
      </c>
      <c r="F1613" s="15" t="str">
        <f>_xlfn.XLOOKUP(D1613,[4]ALL!$C:$C,[4]ALL!$N:$N,"Tidak Ditemukan")</f>
        <v>NI PUTU DEWI LASTINI</v>
      </c>
    </row>
    <row r="1614" spans="2:6">
      <c r="B1614" s="19" t="s">
        <v>1449</v>
      </c>
      <c r="C1614" s="20" t="s">
        <v>1450</v>
      </c>
      <c r="D1614" s="21" t="s">
        <v>1653</v>
      </c>
      <c r="E1614" s="22" t="s">
        <v>1716</v>
      </c>
      <c r="F1614" s="15" t="str">
        <f>_xlfn.XLOOKUP(D1614,[4]ALL!$C:$C,[4]ALL!$N:$N,"Tidak Ditemukan")</f>
        <v>NI WAYAN ELSA SEPTIANA INDRIANI</v>
      </c>
    </row>
    <row r="1615" spans="2:6">
      <c r="B1615" s="19" t="s">
        <v>1449</v>
      </c>
      <c r="C1615" s="20" t="s">
        <v>1450</v>
      </c>
      <c r="D1615" s="21" t="s">
        <v>1654</v>
      </c>
      <c r="E1615" s="22" t="s">
        <v>1716</v>
      </c>
      <c r="F1615" s="15" t="str">
        <f>_xlfn.XLOOKUP(D1615,[4]ALL!$C:$C,[4]ALL!$N:$N,"Tidak Ditemukan")</f>
        <v>DWIKY REZA ARDANI WINAHARA</v>
      </c>
    </row>
    <row r="1616" spans="2:6">
      <c r="B1616" s="19" t="s">
        <v>1449</v>
      </c>
      <c r="C1616" s="20" t="s">
        <v>1450</v>
      </c>
      <c r="D1616" s="21" t="s">
        <v>1655</v>
      </c>
      <c r="E1616" s="22" t="s">
        <v>1716</v>
      </c>
      <c r="F1616" s="15" t="str">
        <f>_xlfn.XLOOKUP(D1616,[4]ALL!$C:$C,[4]ALL!$N:$N,"Tidak Ditemukan")</f>
        <v>DWIKY REZA ARDANI WINAHARA</v>
      </c>
    </row>
    <row r="1617" spans="2:6">
      <c r="B1617" s="19" t="s">
        <v>1449</v>
      </c>
      <c r="C1617" s="20" t="s">
        <v>1450</v>
      </c>
      <c r="D1617" s="21" t="s">
        <v>1656</v>
      </c>
      <c r="E1617" s="22" t="s">
        <v>1716</v>
      </c>
      <c r="F1617" s="15" t="str">
        <f>_xlfn.XLOOKUP(D1617,[4]ALL!$C:$C,[4]ALL!$N:$N,"Tidak Ditemukan")</f>
        <v>NI WAYAN ELSA SEPTIANA INDRIANI</v>
      </c>
    </row>
    <row r="1618" spans="2:6">
      <c r="B1618" s="19" t="s">
        <v>1449</v>
      </c>
      <c r="C1618" s="20" t="s">
        <v>1450</v>
      </c>
      <c r="D1618" s="21" t="s">
        <v>1657</v>
      </c>
      <c r="E1618" s="22" t="s">
        <v>1716</v>
      </c>
      <c r="F1618" s="15" t="str">
        <f>_xlfn.XLOOKUP(D1618,[4]ALL!$C:$C,[4]ALL!$N:$N,"Tidak Ditemukan")</f>
        <v>AGUS KADE DIVA RAMANA</v>
      </c>
    </row>
    <row r="1619" spans="2:6">
      <c r="B1619" s="19" t="s">
        <v>1449</v>
      </c>
      <c r="C1619" s="20" t="s">
        <v>1450</v>
      </c>
      <c r="D1619" s="21" t="s">
        <v>1658</v>
      </c>
      <c r="E1619" s="22" t="s">
        <v>1716</v>
      </c>
      <c r="F1619" s="15" t="str">
        <f>_xlfn.XLOOKUP(D1619,[4]ALL!$C:$C,[4]ALL!$N:$N,"Tidak Ditemukan")</f>
        <v>KADEK DWIPA ANGGARASTRA</v>
      </c>
    </row>
    <row r="1620" spans="2:6">
      <c r="B1620" s="19" t="s">
        <v>1449</v>
      </c>
      <c r="C1620" s="20" t="s">
        <v>1450</v>
      </c>
      <c r="D1620" s="21" t="s">
        <v>1659</v>
      </c>
      <c r="E1620" s="22" t="s">
        <v>1716</v>
      </c>
      <c r="F1620" s="15" t="str">
        <f>_xlfn.XLOOKUP(D1620,[4]ALL!$C:$C,[4]ALL!$N:$N,"Tidak Ditemukan")</f>
        <v>I GEDE BAGUS ADI SURYAWAN , ST</v>
      </c>
    </row>
    <row r="1621" spans="2:6">
      <c r="B1621" s="19" t="s">
        <v>1449</v>
      </c>
      <c r="C1621" s="20" t="s">
        <v>1450</v>
      </c>
      <c r="D1621" s="21" t="s">
        <v>1660</v>
      </c>
      <c r="E1621" s="22" t="s">
        <v>1716</v>
      </c>
      <c r="F1621" s="15" t="str">
        <f>_xlfn.XLOOKUP(D1621,[4]ALL!$C:$C,[4]ALL!$N:$N,"Tidak Ditemukan")</f>
        <v>I GEDE BAGUS ADI SURYAWAN , ST</v>
      </c>
    </row>
    <row r="1622" spans="2:6">
      <c r="B1622" s="19" t="s">
        <v>1449</v>
      </c>
      <c r="C1622" s="20" t="s">
        <v>1450</v>
      </c>
      <c r="D1622" s="21" t="s">
        <v>1661</v>
      </c>
      <c r="E1622" s="22" t="s">
        <v>1716</v>
      </c>
      <c r="F1622" s="15" t="str">
        <f>_xlfn.XLOOKUP(D1622,[4]ALL!$C:$C,[4]ALL!$N:$N,"Tidak Ditemukan")</f>
        <v>I KOMANG FERI INDRAJAYA</v>
      </c>
    </row>
    <row r="1623" spans="2:6">
      <c r="B1623" s="19" t="s">
        <v>1449</v>
      </c>
      <c r="C1623" s="20" t="s">
        <v>1450</v>
      </c>
      <c r="D1623" s="21" t="s">
        <v>1662</v>
      </c>
      <c r="E1623" s="22" t="s">
        <v>1716</v>
      </c>
      <c r="F1623" s="15" t="str">
        <f>_xlfn.XLOOKUP(D1623,[4]ALL!$C:$C,[4]ALL!$N:$N,"Tidak Ditemukan")</f>
        <v>NI WAYAN ELSA SEPTIANA INDRIANI</v>
      </c>
    </row>
    <row r="1624" spans="2:6">
      <c r="B1624" s="19" t="s">
        <v>1449</v>
      </c>
      <c r="C1624" s="20" t="s">
        <v>1450</v>
      </c>
      <c r="D1624" s="21" t="s">
        <v>1663</v>
      </c>
      <c r="E1624" s="22" t="s">
        <v>1716</v>
      </c>
      <c r="F1624" s="15" t="str">
        <f>_xlfn.XLOOKUP(D1624,[4]ALL!$C:$C,[4]ALL!$N:$N,"Tidak Ditemukan")</f>
        <v>NI WAYAN ELSA SEPTIANA INDRIANI</v>
      </c>
    </row>
    <row r="1625" spans="2:6">
      <c r="B1625" s="19" t="s">
        <v>1449</v>
      </c>
      <c r="C1625" s="20" t="s">
        <v>1450</v>
      </c>
      <c r="D1625" s="21" t="s">
        <v>1664</v>
      </c>
      <c r="E1625" s="22" t="s">
        <v>1716</v>
      </c>
      <c r="F1625" s="15" t="str">
        <f>_xlfn.XLOOKUP(D1625,[4]ALL!$C:$C,[4]ALL!$N:$N,"Tidak Ditemukan")</f>
        <v>AGUS KADE DIVA RAMANA</v>
      </c>
    </row>
    <row r="1626" spans="2:6">
      <c r="B1626" s="19" t="s">
        <v>1449</v>
      </c>
      <c r="C1626" s="20" t="s">
        <v>1450</v>
      </c>
      <c r="D1626" s="21" t="s">
        <v>1665</v>
      </c>
      <c r="E1626" s="22" t="s">
        <v>1716</v>
      </c>
      <c r="F1626" s="15" t="str">
        <f>_xlfn.XLOOKUP(D1626,[4]ALL!$C:$C,[4]ALL!$N:$N,"Tidak Ditemukan")</f>
        <v>Rino Prasetya Wibowo</v>
      </c>
    </row>
    <row r="1627" spans="2:6">
      <c r="B1627" s="19" t="s">
        <v>1449</v>
      </c>
      <c r="C1627" s="20" t="s">
        <v>1450</v>
      </c>
      <c r="D1627" s="21" t="s">
        <v>1666</v>
      </c>
      <c r="E1627" s="22" t="s">
        <v>1716</v>
      </c>
      <c r="F1627" s="15" t="str">
        <f>_xlfn.XLOOKUP(D1627,[4]ALL!$C:$C,[4]ALL!$N:$N,"Tidak Ditemukan")</f>
        <v>AGUS KADE DIVA RAMANA</v>
      </c>
    </row>
    <row r="1628" spans="2:6">
      <c r="B1628" s="19" t="s">
        <v>1449</v>
      </c>
      <c r="C1628" s="20" t="s">
        <v>1450</v>
      </c>
      <c r="D1628" s="21" t="s">
        <v>1667</v>
      </c>
      <c r="E1628" s="22" t="s">
        <v>1716</v>
      </c>
      <c r="F1628" s="15" t="str">
        <f>_xlfn.XLOOKUP(D1628,[4]ALL!$C:$C,[4]ALL!$N:$N,"Tidak Ditemukan")</f>
        <v>NI PUTU DEWI LASTINI</v>
      </c>
    </row>
    <row r="1629" spans="2:6">
      <c r="B1629" s="19" t="s">
        <v>1449</v>
      </c>
      <c r="C1629" s="20" t="s">
        <v>1450</v>
      </c>
      <c r="D1629" s="21" t="s">
        <v>1668</v>
      </c>
      <c r="E1629" s="22" t="s">
        <v>1716</v>
      </c>
      <c r="F1629" s="15" t="str">
        <f>_xlfn.XLOOKUP(D1629,[4]ALL!$C:$C,[4]ALL!$N:$N,"Tidak Ditemukan")</f>
        <v>DWIKY REZA ARDANI WINAHARA</v>
      </c>
    </row>
    <row r="1630" spans="2:6">
      <c r="B1630" s="19" t="s">
        <v>1449</v>
      </c>
      <c r="C1630" s="20" t="s">
        <v>1450</v>
      </c>
      <c r="D1630" s="21" t="s">
        <v>1669</v>
      </c>
      <c r="E1630" s="22" t="s">
        <v>1716</v>
      </c>
      <c r="F1630" s="15" t="str">
        <f>_xlfn.XLOOKUP(D1630,[4]ALL!$C:$C,[4]ALL!$N:$N,"Tidak Ditemukan")</f>
        <v>KADEK DWIPA ANGGARASTRA</v>
      </c>
    </row>
    <row r="1631" spans="2:6">
      <c r="B1631" s="19" t="s">
        <v>1449</v>
      </c>
      <c r="C1631" s="20" t="s">
        <v>1450</v>
      </c>
      <c r="D1631" s="21" t="s">
        <v>1670</v>
      </c>
      <c r="E1631" s="22" t="s">
        <v>1716</v>
      </c>
      <c r="F1631" s="15" t="str">
        <f>_xlfn.XLOOKUP(D1631,[4]ALL!$C:$C,[4]ALL!$N:$N,"Tidak Ditemukan")</f>
        <v>AGUS KADE DIVA RAMANA</v>
      </c>
    </row>
    <row r="1632" spans="2:6">
      <c r="B1632" s="19" t="s">
        <v>1449</v>
      </c>
      <c r="C1632" s="20" t="s">
        <v>1450</v>
      </c>
      <c r="D1632" s="21" t="s">
        <v>1671</v>
      </c>
      <c r="E1632" s="22" t="s">
        <v>1716</v>
      </c>
      <c r="F1632" s="15" t="str">
        <f>_xlfn.XLOOKUP(D1632,[4]ALL!$C:$C,[4]ALL!$N:$N,"Tidak Ditemukan")</f>
        <v>DWIKY REZA ARDANI WINAHARA</v>
      </c>
    </row>
    <row r="1633" spans="2:6">
      <c r="B1633" s="19" t="s">
        <v>1449</v>
      </c>
      <c r="C1633" s="20" t="s">
        <v>1450</v>
      </c>
      <c r="D1633" s="21" t="s">
        <v>1672</v>
      </c>
      <c r="E1633" s="22" t="s">
        <v>1716</v>
      </c>
      <c r="F1633" s="15" t="str">
        <f>_xlfn.XLOOKUP(D1633,[4]ALL!$C:$C,[4]ALL!$N:$N,"Tidak Ditemukan")</f>
        <v>NI PUTU DEWI LASTINI</v>
      </c>
    </row>
    <row r="1634" spans="2:6">
      <c r="B1634" s="19" t="s">
        <v>1449</v>
      </c>
      <c r="C1634" s="20" t="s">
        <v>1450</v>
      </c>
      <c r="D1634" s="21" t="s">
        <v>1673</v>
      </c>
      <c r="E1634" s="22" t="s">
        <v>1716</v>
      </c>
      <c r="F1634" s="15" t="str">
        <f>_xlfn.XLOOKUP(D1634,[4]ALL!$C:$C,[4]ALL!$N:$N,"Tidak Ditemukan")</f>
        <v>NI PUTU DEWI LASTINI</v>
      </c>
    </row>
    <row r="1635" spans="2:6">
      <c r="B1635" s="19" t="s">
        <v>1449</v>
      </c>
      <c r="C1635" s="20" t="s">
        <v>1450</v>
      </c>
      <c r="D1635" s="21" t="s">
        <v>1674</v>
      </c>
      <c r="E1635" s="22" t="s">
        <v>1716</v>
      </c>
      <c r="F1635" s="15" t="str">
        <f>_xlfn.XLOOKUP(D1635,[4]ALL!$C:$C,[4]ALL!$N:$N,"Tidak Ditemukan")</f>
        <v>KADEK DWIPA ANGGARASTRA</v>
      </c>
    </row>
    <row r="1636" spans="2:6">
      <c r="B1636" s="19" t="s">
        <v>1449</v>
      </c>
      <c r="C1636" s="20" t="s">
        <v>1450</v>
      </c>
      <c r="D1636" s="21" t="s">
        <v>1675</v>
      </c>
      <c r="E1636" s="22" t="s">
        <v>1716</v>
      </c>
      <c r="F1636" s="15" t="str">
        <f>_xlfn.XLOOKUP(D1636,[4]ALL!$C:$C,[4]ALL!$N:$N,"Tidak Ditemukan")</f>
        <v>KADEK DWIPA ANGGARASTRA</v>
      </c>
    </row>
    <row r="1637" spans="2:6">
      <c r="B1637" s="19" t="s">
        <v>1449</v>
      </c>
      <c r="C1637" s="20" t="s">
        <v>1450</v>
      </c>
      <c r="D1637" s="21" t="s">
        <v>1676</v>
      </c>
      <c r="E1637" s="22" t="s">
        <v>1716</v>
      </c>
      <c r="F1637" s="15" t="str">
        <f>_xlfn.XLOOKUP(D1637,[4]ALL!$C:$C,[4]ALL!$N:$N,"Tidak Ditemukan")</f>
        <v>I KOMANG FERI INDRAJAYA</v>
      </c>
    </row>
    <row r="1638" spans="2:6">
      <c r="B1638" s="19" t="s">
        <v>1449</v>
      </c>
      <c r="C1638" s="20" t="s">
        <v>1450</v>
      </c>
      <c r="D1638" s="21" t="s">
        <v>1677</v>
      </c>
      <c r="E1638" s="22" t="s">
        <v>1716</v>
      </c>
      <c r="F1638" s="15" t="str">
        <f>_xlfn.XLOOKUP(D1638,[4]ALL!$C:$C,[4]ALL!$N:$N,"Tidak Ditemukan")</f>
        <v>I GEDE BAGUS ADI SURYAWAN , ST</v>
      </c>
    </row>
    <row r="1639" spans="2:6">
      <c r="B1639" s="19" t="s">
        <v>1449</v>
      </c>
      <c r="C1639" s="20" t="s">
        <v>1450</v>
      </c>
      <c r="D1639" s="21" t="s">
        <v>1678</v>
      </c>
      <c r="E1639" s="22" t="s">
        <v>1716</v>
      </c>
      <c r="F1639" s="15" t="str">
        <f>_xlfn.XLOOKUP(D1639,[4]ALL!$C:$C,[4]ALL!$N:$N,"Tidak Ditemukan")</f>
        <v>DWIKY REZA ARDANI WINAHARA</v>
      </c>
    </row>
    <row r="1640" spans="2:6">
      <c r="B1640" s="19" t="s">
        <v>1449</v>
      </c>
      <c r="C1640" s="20" t="s">
        <v>1450</v>
      </c>
      <c r="D1640" s="21" t="s">
        <v>1679</v>
      </c>
      <c r="E1640" s="22" t="s">
        <v>1716</v>
      </c>
      <c r="F1640" s="15" t="str">
        <f>_xlfn.XLOOKUP(D1640,[4]ALL!$C:$C,[4]ALL!$N:$N,"Tidak Ditemukan")</f>
        <v>NI WAYAN ELSA SEPTIANA INDRIANI</v>
      </c>
    </row>
    <row r="1641" spans="2:6">
      <c r="B1641" s="19" t="s">
        <v>1449</v>
      </c>
      <c r="C1641" s="20" t="s">
        <v>1450</v>
      </c>
      <c r="D1641" s="21" t="s">
        <v>1680</v>
      </c>
      <c r="E1641" s="22" t="e">
        <v>#N/A</v>
      </c>
      <c r="F1641" s="15" t="str">
        <f>_xlfn.XLOOKUP(D1641,[4]ALL!$C:$C,[4]ALL!$N:$N,"Tidak Ditemukan")</f>
        <v>NI PUTU DEWI LASTINI</v>
      </c>
    </row>
    <row r="1642" spans="2:6">
      <c r="B1642" s="19" t="s">
        <v>1449</v>
      </c>
      <c r="C1642" s="20" t="s">
        <v>1450</v>
      </c>
      <c r="D1642" s="21" t="s">
        <v>1681</v>
      </c>
      <c r="E1642" s="22" t="e">
        <v>#N/A</v>
      </c>
      <c r="F1642" s="15" t="str">
        <f>_xlfn.XLOOKUP(D1642,[4]ALL!$C:$C,[4]ALL!$N:$N,"Tidak Ditemukan")</f>
        <v>NI WAYAN ELSA SEPTIANA INDRIANI</v>
      </c>
    </row>
    <row r="1643" spans="2:6">
      <c r="B1643" s="19" t="s">
        <v>1449</v>
      </c>
      <c r="C1643" s="20" t="s">
        <v>1450</v>
      </c>
      <c r="D1643" s="21" t="s">
        <v>1682</v>
      </c>
      <c r="E1643" s="22" t="s">
        <v>1739</v>
      </c>
      <c r="F1643" s="15" t="str">
        <f>_xlfn.XLOOKUP(D1643,[4]ALL!$C:$C,[4]ALL!$N:$N,"Tidak Ditemukan")</f>
        <v>I GEDE BAGUS ADI SURYAWAN , ST</v>
      </c>
    </row>
    <row r="1644" spans="2:6">
      <c r="B1644" s="19" t="s">
        <v>1449</v>
      </c>
      <c r="C1644" s="20" t="s">
        <v>1450</v>
      </c>
      <c r="D1644" s="21" t="s">
        <v>1683</v>
      </c>
      <c r="E1644" s="22" t="s">
        <v>1716</v>
      </c>
      <c r="F1644" s="15" t="str">
        <f>_xlfn.XLOOKUP(D1644,[4]ALL!$C:$C,[4]ALL!$N:$N,"Tidak Ditemukan")</f>
        <v>DWIKY REZA ARDANI WINAHARA</v>
      </c>
    </row>
    <row r="1645" spans="2:6">
      <c r="B1645" s="19" t="s">
        <v>1449</v>
      </c>
      <c r="C1645" s="20" t="s">
        <v>1450</v>
      </c>
      <c r="D1645" s="21" t="s">
        <v>1684</v>
      </c>
      <c r="E1645" s="22" t="s">
        <v>1716</v>
      </c>
      <c r="F1645" s="15" t="str">
        <f>_xlfn.XLOOKUP(D1645,[4]ALL!$C:$C,[4]ALL!$N:$N,"Tidak Ditemukan")</f>
        <v>NI WAYAN ELSA SEPTIANA INDRIANI</v>
      </c>
    </row>
    <row r="1646" spans="2:6">
      <c r="B1646" s="19" t="s">
        <v>1449</v>
      </c>
      <c r="C1646" s="20" t="s">
        <v>1450</v>
      </c>
      <c r="D1646" s="21" t="s">
        <v>1685</v>
      </c>
      <c r="E1646" s="22" t="s">
        <v>1716</v>
      </c>
      <c r="F1646" s="15" t="str">
        <f>_xlfn.XLOOKUP(D1646,[4]ALL!$C:$C,[4]ALL!$N:$N,"Tidak Ditemukan")</f>
        <v>AGUS PRADNYANA</v>
      </c>
    </row>
    <row r="1647" spans="2:6">
      <c r="B1647" s="19" t="s">
        <v>1449</v>
      </c>
      <c r="C1647" s="20" t="s">
        <v>1450</v>
      </c>
      <c r="D1647" s="21" t="s">
        <v>1686</v>
      </c>
      <c r="E1647" s="22" t="s">
        <v>1716</v>
      </c>
      <c r="F1647" s="15" t="str">
        <f>_xlfn.XLOOKUP(D1647,[4]ALL!$C:$C,[4]ALL!$N:$N,"Tidak Ditemukan")</f>
        <v>NI WAYAN ELSA SEPTIANA INDRIANI</v>
      </c>
    </row>
    <row r="1648" spans="2:6">
      <c r="B1648" s="19" t="s">
        <v>1449</v>
      </c>
      <c r="C1648" s="20" t="s">
        <v>1450</v>
      </c>
      <c r="D1648" s="21" t="s">
        <v>1687</v>
      </c>
      <c r="E1648" s="22" t="s">
        <v>1716</v>
      </c>
      <c r="F1648" s="15" t="str">
        <f>_xlfn.XLOOKUP(D1648,[4]ALL!$C:$C,[4]ALL!$N:$N,"Tidak Ditemukan")</f>
        <v>NI WAYAN ELSA SEPTIANA INDRIANI</v>
      </c>
    </row>
    <row r="1649" spans="2:6">
      <c r="B1649" s="19" t="s">
        <v>1449</v>
      </c>
      <c r="C1649" s="20" t="s">
        <v>1450</v>
      </c>
      <c r="D1649" s="21" t="s">
        <v>1688</v>
      </c>
      <c r="E1649" s="22" t="s">
        <v>1716</v>
      </c>
      <c r="F1649" s="15" t="str">
        <f>_xlfn.XLOOKUP(D1649,[4]ALL!$C:$C,[4]ALL!$N:$N,"Tidak Ditemukan")</f>
        <v>NI WAYAN ELSA SEPTIANA INDRIANI</v>
      </c>
    </row>
    <row r="1650" spans="2:6">
      <c r="B1650" s="19" t="s">
        <v>1449</v>
      </c>
      <c r="C1650" s="20" t="s">
        <v>1450</v>
      </c>
      <c r="D1650" s="21" t="s">
        <v>1689</v>
      </c>
      <c r="E1650" s="22" t="s">
        <v>1716</v>
      </c>
      <c r="F1650" s="15" t="str">
        <f>_xlfn.XLOOKUP(D1650,[4]ALL!$C:$C,[4]ALL!$N:$N,"Tidak Ditemukan")</f>
        <v>AGUS PRADNYANA</v>
      </c>
    </row>
    <row r="1651" spans="2:6">
      <c r="B1651" s="19" t="s">
        <v>1449</v>
      </c>
      <c r="C1651" s="20" t="s">
        <v>1450</v>
      </c>
      <c r="D1651" s="21" t="s">
        <v>1690</v>
      </c>
      <c r="E1651" s="22" t="s">
        <v>1716</v>
      </c>
      <c r="F1651" s="15" t="str">
        <f>_xlfn.XLOOKUP(D1651,[4]ALL!$C:$C,[4]ALL!$N:$N,"Tidak Ditemukan")</f>
        <v>DWIKY REZA ARDANI WINAHARA</v>
      </c>
    </row>
    <row r="1652" spans="2:6">
      <c r="B1652" s="19" t="s">
        <v>1449</v>
      </c>
      <c r="C1652" s="20" t="s">
        <v>1450</v>
      </c>
      <c r="D1652" s="21" t="s">
        <v>1691</v>
      </c>
      <c r="E1652" s="22" t="s">
        <v>1716</v>
      </c>
      <c r="F1652" s="15" t="str">
        <f>_xlfn.XLOOKUP(D1652,[4]ALL!$C:$C,[4]ALL!$N:$N,"Tidak Ditemukan")</f>
        <v>DWIKY REZA ARDANI WINAHARA</v>
      </c>
    </row>
    <row r="1653" spans="2:6">
      <c r="B1653" s="19" t="s">
        <v>1449</v>
      </c>
      <c r="C1653" s="20" t="s">
        <v>1450</v>
      </c>
      <c r="D1653" s="21" t="s">
        <v>1692</v>
      </c>
      <c r="E1653" s="22" t="s">
        <v>1716</v>
      </c>
      <c r="F1653" s="15" t="str">
        <f>_xlfn.XLOOKUP(D1653,[4]ALL!$C:$C,[4]ALL!$N:$N,"Tidak Ditemukan")</f>
        <v>NI WAYAN ELSA SEPTIANA INDRIANI</v>
      </c>
    </row>
    <row r="1654" spans="2:6">
      <c r="B1654" s="19" t="s">
        <v>1449</v>
      </c>
      <c r="C1654" s="20" t="s">
        <v>1450</v>
      </c>
      <c r="D1654" s="21" t="s">
        <v>1693</v>
      </c>
      <c r="E1654" s="22" t="s">
        <v>1716</v>
      </c>
      <c r="F1654" s="15" t="str">
        <f>_xlfn.XLOOKUP(D1654,[4]ALL!$C:$C,[4]ALL!$N:$N,"Tidak Ditemukan")</f>
        <v>Ari Ardiansyah</v>
      </c>
    </row>
    <row r="1655" spans="2:6">
      <c r="B1655" s="19" t="s">
        <v>1449</v>
      </c>
      <c r="C1655" s="20" t="s">
        <v>1450</v>
      </c>
      <c r="D1655" s="21" t="s">
        <v>1694</v>
      </c>
      <c r="E1655" s="22" t="s">
        <v>1716</v>
      </c>
      <c r="F1655" s="15" t="str">
        <f>_xlfn.XLOOKUP(D1655,[4]ALL!$C:$C,[4]ALL!$N:$N,"Tidak Ditemukan")</f>
        <v>Suhardi </v>
      </c>
    </row>
    <row r="1656" spans="2:6">
      <c r="B1656" s="19" t="s">
        <v>1449</v>
      </c>
      <c r="C1656" s="20" t="s">
        <v>1450</v>
      </c>
      <c r="D1656" s="21" t="s">
        <v>1695</v>
      </c>
      <c r="E1656" s="22" t="s">
        <v>1716</v>
      </c>
      <c r="F1656" s="15" t="str">
        <f>_xlfn.XLOOKUP(D1656,[4]ALL!$C:$C,[4]ALL!$N:$N,"Tidak Ditemukan")</f>
        <v>ADE HARYANTO</v>
      </c>
    </row>
    <row r="1657" spans="2:6">
      <c r="B1657" s="19" t="s">
        <v>1449</v>
      </c>
      <c r="C1657" s="20" t="s">
        <v>1450</v>
      </c>
      <c r="D1657" s="21" t="s">
        <v>1696</v>
      </c>
      <c r="E1657" s="22" t="s">
        <v>1716</v>
      </c>
      <c r="F1657" s="15" t="str">
        <f>_xlfn.XLOOKUP(D1657,[4]ALL!$C:$C,[4]ALL!$N:$N,"Tidak Ditemukan")</f>
        <v>NOFITA</v>
      </c>
    </row>
    <row r="1658" spans="2:6">
      <c r="B1658" s="19" t="s">
        <v>1449</v>
      </c>
      <c r="C1658" s="20" t="s">
        <v>1450</v>
      </c>
      <c r="D1658" s="21" t="s">
        <v>1697</v>
      </c>
      <c r="E1658" s="22" t="s">
        <v>1716</v>
      </c>
      <c r="F1658" s="15" t="str">
        <f>_xlfn.XLOOKUP(D1658,[4]ALL!$C:$C,[4]ALL!$N:$N,"Tidak Ditemukan")</f>
        <v>PANJI PRATAMA</v>
      </c>
    </row>
    <row r="1659" spans="2:6">
      <c r="B1659" s="19" t="s">
        <v>1449</v>
      </c>
      <c r="C1659" s="20" t="s">
        <v>1450</v>
      </c>
      <c r="D1659" s="21" t="s">
        <v>1698</v>
      </c>
      <c r="E1659" s="22" t="s">
        <v>1716</v>
      </c>
      <c r="F1659" s="15" t="str">
        <f>_xlfn.XLOOKUP(D1659,[4]ALL!$C:$C,[4]ALL!$N:$N,"Tidak Ditemukan")</f>
        <v>PANJI PRATAMA</v>
      </c>
    </row>
    <row r="1660" spans="2:6">
      <c r="B1660" s="19" t="s">
        <v>1449</v>
      </c>
      <c r="C1660" s="20" t="s">
        <v>1450</v>
      </c>
      <c r="D1660" s="21" t="s">
        <v>1699</v>
      </c>
      <c r="E1660" s="22" t="s">
        <v>1716</v>
      </c>
      <c r="F1660" s="15" t="str">
        <f>_xlfn.XLOOKUP(D1660,[4]ALL!$C:$C,[4]ALL!$N:$N,"Tidak Ditemukan")</f>
        <v>Panji Pratama</v>
      </c>
    </row>
    <row r="1661" spans="2:6">
      <c r="B1661" s="19" t="s">
        <v>1449</v>
      </c>
      <c r="C1661" s="20" t="s">
        <v>1450</v>
      </c>
      <c r="D1661" s="21" t="s">
        <v>1700</v>
      </c>
      <c r="E1661" s="22" t="s">
        <v>1716</v>
      </c>
      <c r="F1661" s="15" t="str">
        <f>_xlfn.XLOOKUP(D1661,[4]ALL!$C:$C,[4]ALL!$N:$N,"Tidak Ditemukan")</f>
        <v>Suhardi </v>
      </c>
    </row>
    <row r="1662" spans="2:6">
      <c r="B1662" s="19" t="s">
        <v>1449</v>
      </c>
      <c r="C1662" s="20" t="s">
        <v>1450</v>
      </c>
      <c r="D1662" s="21" t="s">
        <v>1701</v>
      </c>
      <c r="E1662" s="22" t="s">
        <v>1716</v>
      </c>
      <c r="F1662" s="15" t="str">
        <f>_xlfn.XLOOKUP(D1662,[4]ALL!$C:$C,[4]ALL!$N:$N,"Tidak Ditemukan")</f>
        <v>FAHRURRAZI</v>
      </c>
    </row>
    <row r="1663" spans="2:6">
      <c r="B1663" s="19" t="s">
        <v>1449</v>
      </c>
      <c r="C1663" s="20" t="s">
        <v>1450</v>
      </c>
      <c r="D1663" s="21" t="s">
        <v>1702</v>
      </c>
      <c r="E1663" s="22" t="s">
        <v>1716</v>
      </c>
      <c r="F1663" s="15" t="str">
        <f>_xlfn.XLOOKUP(D1663,[4]ALL!$C:$C,[4]ALL!$N:$N,"Tidak Ditemukan")</f>
        <v>AGUSTINUS DICKY PURWONO</v>
      </c>
    </row>
    <row r="1664" spans="2:6">
      <c r="B1664" s="19" t="s">
        <v>1449</v>
      </c>
      <c r="C1664" s="20" t="s">
        <v>1450</v>
      </c>
      <c r="D1664" s="21" t="s">
        <v>1703</v>
      </c>
      <c r="E1664" s="22" t="s">
        <v>1716</v>
      </c>
      <c r="F1664" s="15" t="str">
        <f>_xlfn.XLOOKUP(D1664,[4]ALL!$C:$C,[4]ALL!$N:$N,"Tidak Ditemukan")</f>
        <v>AGUS KADE DIVA RAMANA</v>
      </c>
    </row>
    <row r="1665" spans="2:6">
      <c r="B1665" s="19" t="s">
        <v>1449</v>
      </c>
      <c r="C1665" s="20" t="s">
        <v>1450</v>
      </c>
      <c r="D1665" s="21" t="s">
        <v>1704</v>
      </c>
      <c r="E1665" s="22" t="s">
        <v>1716</v>
      </c>
      <c r="F1665" s="15" t="str">
        <f>_xlfn.XLOOKUP(D1665,[4]ALL!$C:$C,[4]ALL!$N:$N,"Tidak Ditemukan")</f>
        <v>I Kadek Sandiyasa</v>
      </c>
    </row>
    <row r="1666" spans="2:6">
      <c r="B1666" s="19" t="s">
        <v>1449</v>
      </c>
      <c r="C1666" s="20" t="s">
        <v>1450</v>
      </c>
      <c r="D1666" s="21" t="s">
        <v>1705</v>
      </c>
      <c r="E1666" s="22" t="s">
        <v>1716</v>
      </c>
      <c r="F1666" s="15" t="str">
        <f>_xlfn.XLOOKUP(D1666,[4]ALL!$C:$C,[4]ALL!$N:$N,"Tidak Ditemukan")</f>
        <v>Resi Marsila</v>
      </c>
    </row>
    <row r="1667" spans="2:6">
      <c r="B1667" s="19" t="s">
        <v>1449</v>
      </c>
      <c r="C1667" s="20" t="s">
        <v>1450</v>
      </c>
      <c r="D1667" s="21" t="s">
        <v>1706</v>
      </c>
      <c r="E1667" s="22" t="s">
        <v>1716</v>
      </c>
      <c r="F1667" s="15" t="str">
        <f>_xlfn.XLOOKUP(D1667,[4]ALL!$C:$C,[4]ALL!$N:$N,"Tidak Ditemukan")</f>
        <v>FAHRURRAZI</v>
      </c>
    </row>
    <row r="1668" spans="2:6">
      <c r="B1668" s="19" t="s">
        <v>1449</v>
      </c>
      <c r="C1668" s="20" t="s">
        <v>1450</v>
      </c>
      <c r="D1668" s="21" t="s">
        <v>1707</v>
      </c>
      <c r="E1668" s="22" t="s">
        <v>1716</v>
      </c>
      <c r="F1668" s="15" t="str">
        <f>_xlfn.XLOOKUP(D1668,[4]ALL!$C:$C,[4]ALL!$N:$N,"Tidak Ditemukan")</f>
        <v>GUSTI NGURAH ARY RAKA DARMAYASA, SE.MM</v>
      </c>
    </row>
    <row r="1669" spans="2:6">
      <c r="B1669" s="19" t="s">
        <v>1449</v>
      </c>
      <c r="C1669" s="20" t="s">
        <v>1450</v>
      </c>
      <c r="D1669" s="21" t="s">
        <v>1708</v>
      </c>
      <c r="E1669" s="22" t="s">
        <v>1716</v>
      </c>
      <c r="F1669" s="15" t="str">
        <f>_xlfn.XLOOKUP(D1669,[4]ALL!$C:$C,[4]ALL!$N:$N,"Tidak Ditemukan")</f>
        <v>AGUSTINUS DICKY PURWONO</v>
      </c>
    </row>
    <row r="1670" ht="15.25" spans="2:6">
      <c r="B1670" s="24" t="s">
        <v>1449</v>
      </c>
      <c r="C1670" s="25" t="s">
        <v>1450</v>
      </c>
      <c r="D1670" s="26" t="s">
        <v>1709</v>
      </c>
      <c r="E1670" s="27" t="s">
        <v>1716</v>
      </c>
      <c r="F1670" s="15" t="str">
        <f>_xlfn.XLOOKUP(D1670,[4]ALL!$C:$C,[4]ALL!$N:$N,"Tidak Ditemukan")</f>
        <v>Salvatris Siro</v>
      </c>
    </row>
  </sheetData>
  <autoFilter xmlns:etc="http://www.wps.cn/officeDocument/2017/etCustomData" ref="B4:F1670" etc:filterBottomFollowUsedRange="0">
    <extLst/>
  </autoFilter>
  <mergeCells count="5">
    <mergeCell ref="B2:B4"/>
    <mergeCell ref="C2:C4"/>
    <mergeCell ref="D2:D4"/>
    <mergeCell ref="E2:E4"/>
    <mergeCell ref="F2:F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ALL DP DATA</vt:lpstr>
      <vt:lpstr>06.30, 07.30, &amp; 12.00</vt:lpstr>
      <vt:lpstr>R-2, TPTW, Persentase TTD</vt:lpstr>
      <vt:lpstr>Pickup &amp; Retur Non Ecom</vt:lpstr>
      <vt:lpstr>Fr&amp;Ag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dennis.huang</dc:creator>
  <cp:lastModifiedBy>Dennis Huang</cp:lastModifiedBy>
  <dcterms:created xsi:type="dcterms:W3CDTF">2026-07-24T09:48:00Z</dcterms:created>
  <dcterms:modified xsi:type="dcterms:W3CDTF">2026-08-13T04:45:03Z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07D42F662116472CAD0C8990573E0105_13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